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shboard" sheetId="1" r:id="rId1"/>
    <sheet name="materials" sheetId="2" r:id="rId2"/>
    <sheet name="material_properties" sheetId="3" r:id="rId3"/>
    <sheet name="sources" sheetId="4" r:id="rId4"/>
    <sheet name="coverage_summary" sheetId="5" r:id="rId5"/>
    <sheet name="unresolved_missing_values" sheetId="6" r:id="rId6"/>
    <sheet name="internal_constants_wide" sheetId="7" r:id="rId7"/>
    <sheet name="calculation_logic" sheetId="8" r:id="rId8"/>
    <sheet name="ui_integration_map" sheetId="9" r:id="rId9"/>
    <sheet name="README" sheetId="10" r:id="rId10"/>
    <sheet name="Formulation_Template" sheetId="11" r:id="rId11"/>
  </sheets>
  <calcPr calcId="191029" fullCalcOnLoad="1" forceFullCalc="1"/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Calibri"/>
    </font>
    <font>
      <b/>
      <color rgb="FFFFFFFF"/>
      <sz val="14"/>
      <name val="Calibri"/>
    </font>
    <font>
      <b/>
      <color rgb="FF17365D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0F766E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1" xfId="0" applyBorder="1">
      <alignment vertical="top" wrapText="1"/>
    </xf>
    <xf numFmtId="0" fontId="1" fillId="2" borderId="1" xfId="0" applyFill="1" applyFont="1" applyBorder="1">
      <alignment horizontal="center" vertical="center" wrapText="1"/>
    </xf>
    <xf numFmtId="0" fontId="2" fillId="3" borderId="1" xfId="0" applyFill="1" applyFont="1" applyBorder="1">
      <alignment horizontal="left" vertical="center" wrapText="1"/>
    </xf>
    <xf numFmtId="0" fontId="3" fillId="4" borderId="1" xfId="0" applyFill="1" applyFont="1" applyBorder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cols>
    <col min="1" max="1" width="34" customWidth="1"/>
    <col min="2" max="2" width="14" customWidth="1"/>
    <col min="3" max="3" width="24" customWidth="1"/>
    <col min="4" max="4" width="14" customWidth="1"/>
    <col min="5" max="5" width="24" customWidth="1"/>
    <col min="6" max="6" width="14" customWidth="1"/>
  </cols>
  <sheetData>
    <row r="1" ht="24" customHeight="1">
      <c r="A1" t="inlineStr" s="2">
        <is>
          <t>NanoFormulationDesigner Internal Material Constants Database</t>
        </is>
      </c>
      <c r="B1" s="2"/>
      <c r="C1" s="2"/>
      <c r="D1" s="2"/>
      <c r="E1" s="2"/>
      <c r="F1" s="2"/>
    </row>
    <row r="2">
      <c r="A2" t="inlineStr" s="1">
        <is>
          <t>Metric</t>
        </is>
      </c>
      <c r="B2" t="inlineStr" s="1">
        <is>
          <t>Value</t>
        </is>
      </c>
      <c r="C2" t="inlineStr" s="1">
        <is>
          <t>Metric</t>
        </is>
      </c>
      <c r="D2" t="inlineStr" s="1">
        <is>
          <t>Value</t>
        </is>
      </c>
      <c r="E2" t="inlineStr" s="1">
        <is>
          <t>Metric</t>
        </is>
      </c>
      <c r="F2" t="inlineStr" s="1">
        <is>
          <t>Value</t>
        </is>
      </c>
    </row>
    <row r="3">
      <c r="A3" t="inlineStr">
        <is>
          <t>total_materials</t>
        </is>
      </c>
      <c r="B3">
        <v>265</v>
      </c>
      <c r="C3" t="inlineStr">
        <is>
          <t>bile_salts</t>
        </is>
      </c>
      <c r="D3">
        <v>8</v>
      </c>
      <c r="E3" t="inlineStr">
        <is>
          <t>pct_with_MW</t>
        </is>
      </c>
      <c r="F3">
        <v>99.6</v>
      </c>
    </row>
    <row r="4">
      <c r="A4" t="inlineStr">
        <is>
          <t>property_rows</t>
        </is>
      </c>
      <c r="B4">
        <v>5279</v>
      </c>
      <c r="C4" t="inlineStr">
        <is>
          <t>solid_lipids_oils</t>
        </is>
      </c>
      <c r="D4">
        <v>35</v>
      </c>
      <c r="E4" t="inlineStr">
        <is>
          <t>pct_with_HLB</t>
        </is>
      </c>
      <c r="F4">
        <v>28.7</v>
      </c>
    </row>
    <row r="5">
      <c r="A5" t="inlineStr">
        <is>
          <t>drugs</t>
        </is>
      </c>
      <c r="B5">
        <v>38</v>
      </c>
      <c r="C5" t="inlineStr">
        <is>
          <t>solvents</t>
        </is>
      </c>
      <c r="D5">
        <v>18</v>
      </c>
      <c r="E5" t="inlineStr">
        <is>
          <t>pct_with_HSP</t>
        </is>
      </c>
      <c r="F5">
        <v>91.3</v>
      </c>
    </row>
    <row r="6">
      <c r="A6" t="inlineStr">
        <is>
          <t>surfactants</t>
        </is>
      </c>
      <c r="B6">
        <v>55</v>
      </c>
      <c r="C6" t="inlineStr">
        <is>
          <t>carriers</t>
        </is>
      </c>
      <c r="D6">
        <v>20</v>
      </c>
      <c r="E6" t="inlineStr">
        <is>
          <t>pct_with_chain_data</t>
        </is>
      </c>
      <c r="F6">
        <v>52.1</v>
      </c>
    </row>
    <row r="7">
      <c r="A7" t="inlineStr">
        <is>
          <t>lipids</t>
        </is>
      </c>
      <c r="B7">
        <v>44</v>
      </c>
      <c r="C7" t="inlineStr">
        <is>
          <t>charge_inducers</t>
        </is>
      </c>
      <c r="D7">
        <v>4</v>
      </c>
      <c r="E7" t="inlineStr">
        <is>
          <t>pct_with_charge_data</t>
        </is>
      </c>
      <c r="F7">
        <v>72.5</v>
      </c>
    </row>
    <row r="8">
      <c r="A8" t="inlineStr">
        <is>
          <t>sterols</t>
        </is>
      </c>
      <c r="B8">
        <v>5</v>
      </c>
      <c r="C8" t="inlineStr">
        <is>
          <t>polymers</t>
        </is>
      </c>
      <c r="D8">
        <v>38</v>
      </c>
      <c r="E8"/>
      <c r="F8"/>
    </row>
    <row r="9">
      <c r="A9"/>
      <c r="B9"/>
      <c r="C9"/>
      <c r="D9"/>
      <c r="E9"/>
      <c r="F9"/>
    </row>
    <row r="10">
      <c r="A10" t="inlineStr">
        <is>
          <t>Most critical missing-property classes</t>
        </is>
      </c>
      <c r="B10" t="inlineStr">
        <is>
          <t>Count</t>
        </is>
      </c>
      <c r="C10"/>
      <c r="D10" t="inlineStr">
        <is>
          <t>Curation policy</t>
        </is>
      </c>
      <c r="E10"/>
      <c r="F10"/>
    </row>
    <row r="11">
      <c r="A11" t="inlineStr">
        <is>
          <t>pKa_base</t>
        </is>
      </c>
      <c r="B11">
        <v>33</v>
      </c>
      <c r="C11"/>
      <c r="D11" t="inlineStr">
        <is>
          <t>Curate from experimental/supplier/handbook source; estimates remain flagged.</t>
        </is>
      </c>
      <c r="E11"/>
      <c r="F11"/>
    </row>
    <row r="12">
      <c r="A12" t="inlineStr">
        <is>
          <t>molecular_weight_g_mol</t>
        </is>
      </c>
      <c r="B12">
        <v>32</v>
      </c>
      <c r="C12"/>
      <c r="D12" t="inlineStr">
        <is>
          <t>Curate from experimental/supplier/handbook source; estimates remain flagged.</t>
        </is>
      </c>
      <c r="E12"/>
      <c r="F12"/>
    </row>
    <row r="13">
      <c r="A13" t="inlineStr">
        <is>
          <t>mw_range</t>
        </is>
      </c>
      <c r="B13">
        <v>31</v>
      </c>
      <c r="C13"/>
      <c r="D13" t="inlineStr">
        <is>
          <t>Curate from experimental/supplier/handbook source; estimates remain flagged.</t>
        </is>
      </c>
      <c r="E13"/>
      <c r="F13"/>
    </row>
    <row r="14">
      <c r="A14" t="inlineStr">
        <is>
          <t>pKa_acid</t>
        </is>
      </c>
      <c r="B14">
        <v>24</v>
      </c>
      <c r="C14"/>
      <c r="D14" t="inlineStr">
        <is>
          <t>Curate from experimental/supplier/handbook source; estimates remain flagged.</t>
        </is>
      </c>
      <c r="E14"/>
      <c r="F14"/>
    </row>
    <row r="15">
      <c r="A15" t="inlineStr">
        <is>
          <t>surface_area_m2_g</t>
        </is>
      </c>
      <c r="B15">
        <v>19</v>
      </c>
      <c r="C15"/>
      <c r="D15" t="inlineStr">
        <is>
          <t>Curate from experimental/supplier/handbook source; estimates remain flagged.</t>
        </is>
      </c>
      <c r="E15"/>
      <c r="F15"/>
    </row>
    <row r="16">
      <c r="A16" t="inlineStr">
        <is>
          <t>phase_transition_temperature_C</t>
        </is>
      </c>
      <c r="B16">
        <v>18</v>
      </c>
      <c r="C16"/>
      <c r="D16" t="inlineStr">
        <is>
          <t>Curate from experimental/supplier/handbook source; estimates remain flagged.</t>
        </is>
      </c>
      <c r="E16"/>
      <c r="F16"/>
    </row>
    <row r="17">
      <c r="A17" t="inlineStr">
        <is>
          <t>porosity</t>
        </is>
      </c>
      <c r="B17">
        <v>18</v>
      </c>
      <c r="C17"/>
      <c r="D17" t="inlineStr">
        <is>
          <t>Curate from experimental/supplier/handbook source; estimates remain flagged.</t>
        </is>
      </c>
      <c r="E17"/>
      <c r="F17"/>
    </row>
    <row r="18">
      <c r="A18" t="inlineStr">
        <is>
          <t>Tg_C</t>
        </is>
      </c>
      <c r="B18">
        <v>17</v>
      </c>
      <c r="C18"/>
      <c r="D18" t="inlineStr">
        <is>
          <t>Curate from experimental/supplier/handbook source; estimates remain flagged.</t>
        </is>
      </c>
      <c r="E18"/>
      <c r="F18"/>
    </row>
    <row r="19">
      <c r="A19" t="inlineStr">
        <is>
          <t>molar_volume_cm3_mol</t>
        </is>
      </c>
      <c r="B19">
        <v>5</v>
      </c>
      <c r="C19"/>
      <c r="D19" t="inlineStr">
        <is>
          <t>Curate from experimental/supplier/handbook source; estimates remain flagged.</t>
        </is>
      </c>
      <c r="E19"/>
      <c r="F19"/>
    </row>
    <row r="20">
      <c r="A20" t="inlineStr">
        <is>
          <t>water_solubility_mg_ml</t>
        </is>
      </c>
      <c r="B20">
        <v>3</v>
      </c>
      <c r="C20"/>
      <c r="D20" t="inlineStr">
        <is>
          <t>Curate from experimental/supplier/handbook source; estimates remain flagged.</t>
        </is>
      </c>
      <c r="E20"/>
      <c r="F20"/>
    </row>
    <row r="21">
      <c r="A21" t="inlineStr">
        <is>
          <t>Hansen_delta_D</t>
        </is>
      </c>
      <c r="B21">
        <v>3</v>
      </c>
      <c r="C21"/>
      <c r="D21" t="inlineStr">
        <is>
          <t>Curate from experimental/supplier/handbook source; estimates remain flagged.</t>
        </is>
      </c>
      <c r="E21"/>
      <c r="F21"/>
    </row>
    <row r="22">
      <c r="A22" t="inlineStr">
        <is>
          <t>Hansen_delta_P</t>
        </is>
      </c>
      <c r="B22">
        <v>3</v>
      </c>
      <c r="C22"/>
      <c r="D22" t="inlineStr">
        <is>
          <t>Curate from experimental/supplier/handbook source; estimates remain flagged.</t>
        </is>
      </c>
      <c r="E22"/>
      <c r="F22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66"/>
  <sheetViews>
    <sheetView workbookViewId="0">
      <pane ySplit="1" topLeftCell="A2" activePane="bottomLeft" state="frozen"/>
    </sheetView>
  </sheetViews>
  <cols>
    <col min="1" max="1" width="22" customWidth="1"/>
    <col min="2" max="2" width="30" customWidth="1"/>
    <col min="3" max="3" width="32" customWidth="1"/>
    <col min="4" max="4" width="20" customWidth="1"/>
    <col min="5" max="5" width="24" customWidth="1"/>
    <col min="6" max="6" width="24" customWidth="1"/>
    <col min="12" max="12" width="34" customWidth="1"/>
    <col min="13" max="13" width="36" customWidth="1"/>
    <col min="17" max="17" width="46" customWidth="1"/>
  </cols>
  <sheetData>
    <row r="1">
      <c r="A1" t="inlineStr" s="1">
        <is>
          <t>material_id</t>
        </is>
      </c>
      <c r="B1" t="inlineStr" s="1">
        <is>
          <t>name</t>
        </is>
      </c>
      <c r="C1" t="inlineStr" s="1">
        <is>
          <t>synonyms</t>
        </is>
      </c>
      <c r="D1" t="inlineStr" s="1">
        <is>
          <t>material_type</t>
        </is>
      </c>
      <c r="E1" t="inlineStr" s="1">
        <is>
          <t>category</t>
        </is>
      </c>
      <c r="F1" t="inlineStr" s="1">
        <is>
          <t>subcategory</t>
        </is>
      </c>
      <c r="G1" t="inlineStr" s="1">
        <is>
          <t>CAS</t>
        </is>
      </c>
      <c r="H1" t="inlineStr" s="1">
        <is>
          <t>PubChem_CID</t>
        </is>
      </c>
      <c r="I1" t="inlineStr" s="1">
        <is>
          <t>SMILES</t>
        </is>
      </c>
      <c r="J1" t="inlineStr" s="1">
        <is>
          <t>InChIKey</t>
        </is>
      </c>
      <c r="K1" t="inlineStr" s="1">
        <is>
          <t>supplier_or_grade_notes</t>
        </is>
      </c>
      <c r="L1" t="inlineStr" s="1">
        <is>
          <t>route_suitability</t>
        </is>
      </c>
      <c r="M1" t="inlineStr" s="1">
        <is>
          <t>regulatory_or_safety_notes</t>
        </is>
      </c>
      <c r="N1" t="inlineStr" s="1">
        <is>
          <t>source_id</t>
        </is>
      </c>
      <c r="O1" t="inlineStr" s="1">
        <is>
          <t>curation_status</t>
        </is>
      </c>
      <c r="P1" t="inlineStr" s="1">
        <is>
          <t>confidence_score</t>
        </is>
      </c>
      <c r="Q1" t="inlineStr" s="1">
        <is>
          <t>notes</t>
        </is>
      </c>
    </row>
    <row r="2">
      <c r="A2" t="inlineStr">
        <is>
          <t>API_DEXAMETHASONE</t>
        </is>
      </c>
      <c r="B2" t="inlineStr">
        <is>
          <t>Dexamethasone</t>
        </is>
      </c>
      <c r="C2"/>
      <c r="D2" t="inlineStr">
        <is>
          <t>API</t>
        </is>
      </c>
      <c r="E2" t="inlineStr">
        <is>
          <t>Drug/API</t>
        </is>
      </c>
      <c r="F2" t="inlineStr">
        <is>
          <t>corticosteroid</t>
        </is>
      </c>
      <c r="G2"/>
      <c r="H2">
        <v>5743</v>
      </c>
      <c r="I2"/>
      <c r="J2"/>
      <c r="K2"/>
      <c r="L2" t="inlineStr">
        <is>
          <t>neutral corticosteroid; pulmonary/topical/oral nanocarrier payload</t>
        </is>
      </c>
      <c r="M2" t="inlineStr">
        <is>
          <t>API-specific; route depends on approved product and toxicology.</t>
        </is>
      </c>
      <c r="N2" t="inlineStr">
        <is>
          <t>S001_PUBCHEM</t>
        </is>
      </c>
      <c r="O2" t="inlineStr">
        <is>
          <t>seed_curated</t>
        </is>
      </c>
      <c r="P2">
        <v>0.72</v>
      </c>
      <c r="Q2" t="inlineStr">
        <is>
          <t>Internal API constants seed; replace uncertain pH-dependent values with project-specific measurements.</t>
        </is>
      </c>
    </row>
    <row r="3">
      <c r="A3" t="inlineStr">
        <is>
          <t>API_BUDESONIDE</t>
        </is>
      </c>
      <c r="B3" t="inlineStr">
        <is>
          <t>Budesonide</t>
        </is>
      </c>
      <c r="C3"/>
      <c r="D3" t="inlineStr">
        <is>
          <t>API</t>
        </is>
      </c>
      <c r="E3" t="inlineStr">
        <is>
          <t>Drug/API</t>
        </is>
      </c>
      <c r="F3" t="inlineStr">
        <is>
          <t>corticosteroid</t>
        </is>
      </c>
      <c r="G3"/>
      <c r="H3">
        <v>2462</v>
      </c>
      <c r="I3"/>
      <c r="J3"/>
      <c r="K3"/>
      <c r="L3" t="inlineStr">
        <is>
          <t>neutral corticosteroid; pulmonary delivery candidate</t>
        </is>
      </c>
      <c r="M3" t="inlineStr">
        <is>
          <t>API-specific; route depends on approved product and toxicology.</t>
        </is>
      </c>
      <c r="N3" t="inlineStr">
        <is>
          <t>S001_PUBCHEM</t>
        </is>
      </c>
      <c r="O3" t="inlineStr">
        <is>
          <t>seed_curated</t>
        </is>
      </c>
      <c r="P3">
        <v>0.72</v>
      </c>
      <c r="Q3" t="inlineStr">
        <is>
          <t>Internal API constants seed; replace uncertain pH-dependent values with project-specific measurements.</t>
        </is>
      </c>
    </row>
    <row r="4">
      <c r="A4" t="inlineStr">
        <is>
          <t>API_FLUTICASONE_PROPIONATE</t>
        </is>
      </c>
      <c r="B4" t="inlineStr">
        <is>
          <t>Fluticasone propionate</t>
        </is>
      </c>
      <c r="C4"/>
      <c r="D4" t="inlineStr">
        <is>
          <t>API</t>
        </is>
      </c>
      <c r="E4" t="inlineStr">
        <is>
          <t>Drug/API</t>
        </is>
      </c>
      <c r="F4" t="inlineStr">
        <is>
          <t>corticosteroid</t>
        </is>
      </c>
      <c r="G4"/>
      <c r="H4">
        <v>5311101</v>
      </c>
      <c r="I4"/>
      <c r="J4"/>
      <c r="K4"/>
      <c r="L4" t="inlineStr">
        <is>
          <t>highly lipophilic inhaled corticosteroid</t>
        </is>
      </c>
      <c r="M4" t="inlineStr">
        <is>
          <t>API-specific; route depends on approved product and toxicology.</t>
        </is>
      </c>
      <c r="N4" t="inlineStr">
        <is>
          <t>S001_PUBCHEM</t>
        </is>
      </c>
      <c r="O4" t="inlineStr">
        <is>
          <t>seed_curated</t>
        </is>
      </c>
      <c r="P4">
        <v>0.72</v>
      </c>
      <c r="Q4" t="inlineStr">
        <is>
          <t>Internal API constants seed; replace uncertain pH-dependent values with project-specific measurements.</t>
        </is>
      </c>
    </row>
    <row r="5">
      <c r="A5" t="inlineStr">
        <is>
          <t>API_BECLOMETHASONE_DIPROPIONATE</t>
        </is>
      </c>
      <c r="B5" t="inlineStr">
        <is>
          <t>Beclomethasone dipropionate</t>
        </is>
      </c>
      <c r="C5"/>
      <c r="D5" t="inlineStr">
        <is>
          <t>API</t>
        </is>
      </c>
      <c r="E5" t="inlineStr">
        <is>
          <t>Drug/API</t>
        </is>
      </c>
      <c r="F5" t="inlineStr">
        <is>
          <t>corticosteroid</t>
        </is>
      </c>
      <c r="G5"/>
      <c r="H5">
        <v>21700</v>
      </c>
      <c r="I5"/>
      <c r="J5"/>
      <c r="K5"/>
      <c r="L5" t="inlineStr">
        <is>
          <t>inhaled corticosteroid prodrug-like ester</t>
        </is>
      </c>
      <c r="M5" t="inlineStr">
        <is>
          <t>API-specific; route depends on approved product and toxicology.</t>
        </is>
      </c>
      <c r="N5" t="inlineStr">
        <is>
          <t>S001_PUBCHEM</t>
        </is>
      </c>
      <c r="O5" t="inlineStr">
        <is>
          <t>seed_curated</t>
        </is>
      </c>
      <c r="P5">
        <v>0.72</v>
      </c>
      <c r="Q5" t="inlineStr">
        <is>
          <t>Internal API constants seed; replace uncertain pH-dependent values with project-specific measurements.</t>
        </is>
      </c>
    </row>
    <row r="6">
      <c r="A6" t="inlineStr">
        <is>
          <t>API_PREDNISOLONE</t>
        </is>
      </c>
      <c r="B6" t="inlineStr">
        <is>
          <t>Prednisolone</t>
        </is>
      </c>
      <c r="C6"/>
      <c r="D6" t="inlineStr">
        <is>
          <t>API</t>
        </is>
      </c>
      <c r="E6" t="inlineStr">
        <is>
          <t>Drug/API</t>
        </is>
      </c>
      <c r="F6" t="inlineStr">
        <is>
          <t>corticosteroid</t>
        </is>
      </c>
      <c r="G6"/>
      <c r="H6">
        <v>5755</v>
      </c>
      <c r="I6"/>
      <c r="J6"/>
      <c r="K6"/>
      <c r="L6" t="inlineStr">
        <is>
          <t>corticosteroid; oral/topical/parenteral precedent</t>
        </is>
      </c>
      <c r="M6" t="inlineStr">
        <is>
          <t>API-specific; route depends on approved product and toxicology.</t>
        </is>
      </c>
      <c r="N6" t="inlineStr">
        <is>
          <t>S001_PUBCHEM</t>
        </is>
      </c>
      <c r="O6" t="inlineStr">
        <is>
          <t>seed_curated</t>
        </is>
      </c>
      <c r="P6">
        <v>0.72</v>
      </c>
      <c r="Q6" t="inlineStr">
        <is>
          <t>Internal API constants seed; replace uncertain pH-dependent values with project-specific measurements.</t>
        </is>
      </c>
    </row>
    <row r="7">
      <c r="A7" t="inlineStr">
        <is>
          <t>API_HYDROCORTISONE</t>
        </is>
      </c>
      <c r="B7" t="inlineStr">
        <is>
          <t>Hydrocortisone</t>
        </is>
      </c>
      <c r="C7"/>
      <c r="D7" t="inlineStr">
        <is>
          <t>API</t>
        </is>
      </c>
      <c r="E7" t="inlineStr">
        <is>
          <t>Drug/API</t>
        </is>
      </c>
      <c r="F7" t="inlineStr">
        <is>
          <t>corticosteroid</t>
        </is>
      </c>
      <c r="G7"/>
      <c r="H7">
        <v>5754</v>
      </c>
      <c r="I7"/>
      <c r="J7"/>
      <c r="K7"/>
      <c r="L7" t="inlineStr">
        <is>
          <t>corticosteroid; benchmark amphiphilic neutral drug</t>
        </is>
      </c>
      <c r="M7" t="inlineStr">
        <is>
          <t>API-specific; route depends on approved product and toxicology.</t>
        </is>
      </c>
      <c r="N7" t="inlineStr">
        <is>
          <t>S001_PUBCHEM</t>
        </is>
      </c>
      <c r="O7" t="inlineStr">
        <is>
          <t>seed_curated</t>
        </is>
      </c>
      <c r="P7">
        <v>0.72</v>
      </c>
      <c r="Q7" t="inlineStr">
        <is>
          <t>Internal API constants seed; replace uncertain pH-dependent values with project-specific measurements.</t>
        </is>
      </c>
    </row>
    <row r="8">
      <c r="A8" t="inlineStr">
        <is>
          <t>API_CURCUMIN</t>
        </is>
      </c>
      <c r="B8" t="inlineStr">
        <is>
          <t>Curcumin</t>
        </is>
      </c>
      <c r="C8"/>
      <c r="D8" t="inlineStr">
        <is>
          <t>API</t>
        </is>
      </c>
      <c r="E8" t="inlineStr">
        <is>
          <t>Drug/API</t>
        </is>
      </c>
      <c r="F8" t="inlineStr">
        <is>
          <t>polyphenol</t>
        </is>
      </c>
      <c r="G8"/>
      <c r="H8">
        <v>969516</v>
      </c>
      <c r="I8"/>
      <c r="J8"/>
      <c r="K8"/>
      <c r="L8" t="inlineStr">
        <is>
          <t>polyphenol; hydrophobic antioxidant/anti-inflammatory payload</t>
        </is>
      </c>
      <c r="M8" t="inlineStr">
        <is>
          <t>API-specific; route depends on approved product and toxicology.</t>
        </is>
      </c>
      <c r="N8" t="inlineStr">
        <is>
          <t>S001_PUBCHEM</t>
        </is>
      </c>
      <c r="O8" t="inlineStr">
        <is>
          <t>seed_curated</t>
        </is>
      </c>
      <c r="P8">
        <v>0.72</v>
      </c>
      <c r="Q8" t="inlineStr">
        <is>
          <t>Internal API constants seed; replace uncertain pH-dependent values with project-specific measurements.</t>
        </is>
      </c>
    </row>
    <row r="9">
      <c r="A9" t="inlineStr">
        <is>
          <t>API_QUERCETIN</t>
        </is>
      </c>
      <c r="B9" t="inlineStr">
        <is>
          <t>Quercetin</t>
        </is>
      </c>
      <c r="C9"/>
      <c r="D9" t="inlineStr">
        <is>
          <t>API</t>
        </is>
      </c>
      <c r="E9" t="inlineStr">
        <is>
          <t>Drug/API</t>
        </is>
      </c>
      <c r="F9" t="inlineStr">
        <is>
          <t>flavonoid</t>
        </is>
      </c>
      <c r="G9"/>
      <c r="H9">
        <v>5280343</v>
      </c>
      <c r="I9"/>
      <c r="J9"/>
      <c r="K9"/>
      <c r="L9" t="inlineStr">
        <is>
          <t>flavonoid; crystallization-prone polyphenol</t>
        </is>
      </c>
      <c r="M9" t="inlineStr">
        <is>
          <t>API-specific; route depends on approved product and toxicology.</t>
        </is>
      </c>
      <c r="N9" t="inlineStr">
        <is>
          <t>S001_PUBCHEM</t>
        </is>
      </c>
      <c r="O9" t="inlineStr">
        <is>
          <t>seed_curated</t>
        </is>
      </c>
      <c r="P9">
        <v>0.72</v>
      </c>
      <c r="Q9" t="inlineStr">
        <is>
          <t>Internal API constants seed; replace uncertain pH-dependent values with project-specific measurements.</t>
        </is>
      </c>
    </row>
    <row r="10">
      <c r="A10" t="inlineStr">
        <is>
          <t>API_RESVERATROL</t>
        </is>
      </c>
      <c r="B10" t="inlineStr">
        <is>
          <t>Resveratrol</t>
        </is>
      </c>
      <c r="C10"/>
      <c r="D10" t="inlineStr">
        <is>
          <t>API</t>
        </is>
      </c>
      <c r="E10" t="inlineStr">
        <is>
          <t>Drug/API</t>
        </is>
      </c>
      <c r="F10" t="inlineStr">
        <is>
          <t>polyphenol</t>
        </is>
      </c>
      <c r="G10"/>
      <c r="H10">
        <v>445154</v>
      </c>
      <c r="I10"/>
      <c r="J10"/>
      <c r="K10"/>
      <c r="L10" t="inlineStr">
        <is>
          <t>polyphenol; neutral weak acid phenolic payload</t>
        </is>
      </c>
      <c r="M10" t="inlineStr">
        <is>
          <t>API-specific; route depends on approved product and toxicology.</t>
        </is>
      </c>
      <c r="N10" t="inlineStr">
        <is>
          <t>S001_PUBCHEM</t>
        </is>
      </c>
      <c r="O10" t="inlineStr">
        <is>
          <t>seed_curated</t>
        </is>
      </c>
      <c r="P10">
        <v>0.72</v>
      </c>
      <c r="Q10" t="inlineStr">
        <is>
          <t>Internal API constants seed; replace uncertain pH-dependent values with project-specific measurements.</t>
        </is>
      </c>
    </row>
    <row r="11">
      <c r="A11" t="inlineStr">
        <is>
          <t>API_IBUPROFEN</t>
        </is>
      </c>
      <c r="B11" t="inlineStr">
        <is>
          <t>Ibuprofen</t>
        </is>
      </c>
      <c r="C11"/>
      <c r="D11" t="inlineStr">
        <is>
          <t>API</t>
        </is>
      </c>
      <c r="E11" t="inlineStr">
        <is>
          <t>Drug/API</t>
        </is>
      </c>
      <c r="F11" t="inlineStr">
        <is>
          <t>NSAID</t>
        </is>
      </c>
      <c r="G11"/>
      <c r="H11">
        <v>3672</v>
      </c>
      <c r="I11"/>
      <c r="J11"/>
      <c r="K11"/>
      <c r="L11" t="inlineStr">
        <is>
          <t>weak-acid NSAID; ionization controls loading/release</t>
        </is>
      </c>
      <c r="M11" t="inlineStr">
        <is>
          <t>API-specific; route depends on approved product and toxicology.</t>
        </is>
      </c>
      <c r="N11" t="inlineStr">
        <is>
          <t>S001_PUBCHEM</t>
        </is>
      </c>
      <c r="O11" t="inlineStr">
        <is>
          <t>seed_curated</t>
        </is>
      </c>
      <c r="P11">
        <v>0.72</v>
      </c>
      <c r="Q11" t="inlineStr">
        <is>
          <t>Internal API constants seed; replace uncertain pH-dependent values with project-specific measurements.</t>
        </is>
      </c>
    </row>
    <row r="12">
      <c r="A12" t="inlineStr">
        <is>
          <t>API_KETOPROFEN</t>
        </is>
      </c>
      <c r="B12" t="inlineStr">
        <is>
          <t>Ketoprofen</t>
        </is>
      </c>
      <c r="C12"/>
      <c r="D12" t="inlineStr">
        <is>
          <t>API</t>
        </is>
      </c>
      <c r="E12" t="inlineStr">
        <is>
          <t>Drug/API</t>
        </is>
      </c>
      <c r="F12" t="inlineStr">
        <is>
          <t>NSAID</t>
        </is>
      </c>
      <c r="G12"/>
      <c r="H12">
        <v>3825</v>
      </c>
      <c r="I12"/>
      <c r="J12"/>
      <c r="K12"/>
      <c r="L12" t="inlineStr">
        <is>
          <t>weak-acid NSAID</t>
        </is>
      </c>
      <c r="M12" t="inlineStr">
        <is>
          <t>API-specific; route depends on approved product and toxicology.</t>
        </is>
      </c>
      <c r="N12" t="inlineStr">
        <is>
          <t>S001_PUBCHEM</t>
        </is>
      </c>
      <c r="O12" t="inlineStr">
        <is>
          <t>seed_curated</t>
        </is>
      </c>
      <c r="P12">
        <v>0.72</v>
      </c>
      <c r="Q12" t="inlineStr">
        <is>
          <t>Internal API constants seed; replace uncertain pH-dependent values with project-specific measurements.</t>
        </is>
      </c>
    </row>
    <row r="13">
      <c r="A13" t="inlineStr">
        <is>
          <t>API_DICLOFENAC</t>
        </is>
      </c>
      <c r="B13" t="inlineStr">
        <is>
          <t>Diclofenac</t>
        </is>
      </c>
      <c r="C13"/>
      <c r="D13" t="inlineStr">
        <is>
          <t>API</t>
        </is>
      </c>
      <c r="E13" t="inlineStr">
        <is>
          <t>Drug/API</t>
        </is>
      </c>
      <c r="F13" t="inlineStr">
        <is>
          <t>NSAID</t>
        </is>
      </c>
      <c r="G13"/>
      <c r="H13">
        <v>3033</v>
      </c>
      <c r="I13"/>
      <c r="J13"/>
      <c r="K13"/>
      <c r="L13" t="inlineStr">
        <is>
          <t>weak-acid NSAID; salt form changes solubility</t>
        </is>
      </c>
      <c r="M13" t="inlineStr">
        <is>
          <t>API-specific; route depends on approved product and toxicology.</t>
        </is>
      </c>
      <c r="N13" t="inlineStr">
        <is>
          <t>S001_PUBCHEM</t>
        </is>
      </c>
      <c r="O13" t="inlineStr">
        <is>
          <t>seed_curated</t>
        </is>
      </c>
      <c r="P13">
        <v>0.72</v>
      </c>
      <c r="Q13" t="inlineStr">
        <is>
          <t>Internal API constants seed; replace uncertain pH-dependent values with project-specific measurements.</t>
        </is>
      </c>
    </row>
    <row r="14">
      <c r="A14" t="inlineStr">
        <is>
          <t>API_NAPROXEN</t>
        </is>
      </c>
      <c r="B14" t="inlineStr">
        <is>
          <t>Naproxen</t>
        </is>
      </c>
      <c r="C14"/>
      <c r="D14" t="inlineStr">
        <is>
          <t>API</t>
        </is>
      </c>
      <c r="E14" t="inlineStr">
        <is>
          <t>Drug/API</t>
        </is>
      </c>
      <c r="F14" t="inlineStr">
        <is>
          <t>NSAID</t>
        </is>
      </c>
      <c r="G14"/>
      <c r="H14">
        <v>156391</v>
      </c>
      <c r="I14"/>
      <c r="J14"/>
      <c r="K14"/>
      <c r="L14" t="inlineStr">
        <is>
          <t>weak-acid NSAID</t>
        </is>
      </c>
      <c r="M14" t="inlineStr">
        <is>
          <t>API-specific; route depends on approved product and toxicology.</t>
        </is>
      </c>
      <c r="N14" t="inlineStr">
        <is>
          <t>S001_PUBCHEM</t>
        </is>
      </c>
      <c r="O14" t="inlineStr">
        <is>
          <t>seed_curated</t>
        </is>
      </c>
      <c r="P14">
        <v>0.72</v>
      </c>
      <c r="Q14" t="inlineStr">
        <is>
          <t>Internal API constants seed; replace uncertain pH-dependent values with project-specific measurements.</t>
        </is>
      </c>
    </row>
    <row r="15">
      <c r="A15" t="inlineStr">
        <is>
          <t>API_INDOMETHACIN</t>
        </is>
      </c>
      <c r="B15" t="inlineStr">
        <is>
          <t>Indomethacin</t>
        </is>
      </c>
      <c r="C15"/>
      <c r="D15" t="inlineStr">
        <is>
          <t>API</t>
        </is>
      </c>
      <c r="E15" t="inlineStr">
        <is>
          <t>Drug/API</t>
        </is>
      </c>
      <c r="F15" t="inlineStr">
        <is>
          <t>NSAID</t>
        </is>
      </c>
      <c r="G15"/>
      <c r="H15">
        <v>3715</v>
      </c>
      <c r="I15"/>
      <c r="J15"/>
      <c r="K15"/>
      <c r="L15" t="inlineStr">
        <is>
          <t>weak-acid NSAID; high crystallization risk</t>
        </is>
      </c>
      <c r="M15" t="inlineStr">
        <is>
          <t>API-specific; route depends on approved product and toxicology.</t>
        </is>
      </c>
      <c r="N15" t="inlineStr">
        <is>
          <t>S001_PUBCHEM</t>
        </is>
      </c>
      <c r="O15" t="inlineStr">
        <is>
          <t>seed_curated</t>
        </is>
      </c>
      <c r="P15">
        <v>0.72</v>
      </c>
      <c r="Q15" t="inlineStr">
        <is>
          <t>Internal API constants seed; replace uncertain pH-dependent values with project-specific measurements.</t>
        </is>
      </c>
    </row>
    <row r="16">
      <c r="A16" t="inlineStr">
        <is>
          <t>API_PACLITAXEL</t>
        </is>
      </c>
      <c r="B16" t="inlineStr">
        <is>
          <t>Paclitaxel</t>
        </is>
      </c>
      <c r="C16"/>
      <c r="D16" t="inlineStr">
        <is>
          <t>API</t>
        </is>
      </c>
      <c r="E16" t="inlineStr">
        <is>
          <t>Drug/API</t>
        </is>
      </c>
      <c r="F16" t="inlineStr">
        <is>
          <t>anticancer taxane</t>
        </is>
      </c>
      <c r="G16"/>
      <c r="H16">
        <v>36314</v>
      </c>
      <c r="I16"/>
      <c r="J16"/>
      <c r="K16"/>
      <c r="L16" t="inlineStr">
        <is>
          <t>neutral bulky hydrophobic anticancer payload</t>
        </is>
      </c>
      <c r="M16" t="inlineStr">
        <is>
          <t>API-specific; route depends on approved product and toxicology.</t>
        </is>
      </c>
      <c r="N16" t="inlineStr">
        <is>
          <t>S001_PUBCHEM</t>
        </is>
      </c>
      <c r="O16" t="inlineStr">
        <is>
          <t>seed_curated</t>
        </is>
      </c>
      <c r="P16">
        <v>0.72</v>
      </c>
      <c r="Q16" t="inlineStr">
        <is>
          <t>Internal API constants seed; replace uncertain pH-dependent values with project-specific measurements.</t>
        </is>
      </c>
    </row>
    <row r="17">
      <c r="A17" t="inlineStr">
        <is>
          <t>API_DOCETAXEL</t>
        </is>
      </c>
      <c r="B17" t="inlineStr">
        <is>
          <t>Docetaxel</t>
        </is>
      </c>
      <c r="C17"/>
      <c r="D17" t="inlineStr">
        <is>
          <t>API</t>
        </is>
      </c>
      <c r="E17" t="inlineStr">
        <is>
          <t>Drug/API</t>
        </is>
      </c>
      <c r="F17" t="inlineStr">
        <is>
          <t>anticancer taxane</t>
        </is>
      </c>
      <c r="G17"/>
      <c r="H17">
        <v>148124</v>
      </c>
      <c r="I17"/>
      <c r="J17"/>
      <c r="K17"/>
      <c r="L17" t="inlineStr">
        <is>
          <t>taxane; precipitation/crystallization risk</t>
        </is>
      </c>
      <c r="M17" t="inlineStr">
        <is>
          <t>API-specific; route depends on approved product and toxicology.</t>
        </is>
      </c>
      <c r="N17" t="inlineStr">
        <is>
          <t>S001_PUBCHEM</t>
        </is>
      </c>
      <c r="O17" t="inlineStr">
        <is>
          <t>seed_curated</t>
        </is>
      </c>
      <c r="P17">
        <v>0.72</v>
      </c>
      <c r="Q17" t="inlineStr">
        <is>
          <t>Internal API constants seed; replace uncertain pH-dependent values with project-specific measurements.</t>
        </is>
      </c>
    </row>
    <row r="18">
      <c r="A18" t="inlineStr">
        <is>
          <t>API_DOXORUBICIN</t>
        </is>
      </c>
      <c r="B18" t="inlineStr">
        <is>
          <t>Doxorubicin</t>
        </is>
      </c>
      <c r="C18"/>
      <c r="D18" t="inlineStr">
        <is>
          <t>API</t>
        </is>
      </c>
      <c r="E18" t="inlineStr">
        <is>
          <t>Drug/API</t>
        </is>
      </c>
      <c r="F18" t="inlineStr">
        <is>
          <t>anthracycline</t>
        </is>
      </c>
      <c r="G18"/>
      <c r="H18">
        <v>31703</v>
      </c>
      <c r="I18"/>
      <c r="J18"/>
      <c r="K18"/>
      <c r="L18" t="inlineStr">
        <is>
          <t>cationizable anthracycline; pH-gradient liposome loading</t>
        </is>
      </c>
      <c r="M18" t="inlineStr">
        <is>
          <t>API-specific; route depends on approved product and toxicology.</t>
        </is>
      </c>
      <c r="N18" t="inlineStr">
        <is>
          <t>S001_PUBCHEM</t>
        </is>
      </c>
      <c r="O18" t="inlineStr">
        <is>
          <t>seed_curated</t>
        </is>
      </c>
      <c r="P18">
        <v>0.72</v>
      </c>
      <c r="Q18" t="inlineStr">
        <is>
          <t>Internal API constants seed; replace uncertain pH-dependent values with project-specific measurements.</t>
        </is>
      </c>
    </row>
    <row r="19">
      <c r="A19" t="inlineStr">
        <is>
          <t>API_CISPLATIN</t>
        </is>
      </c>
      <c r="B19" t="inlineStr">
        <is>
          <t>Cisplatin</t>
        </is>
      </c>
      <c r="C19"/>
      <c r="D19" t="inlineStr">
        <is>
          <t>API</t>
        </is>
      </c>
      <c r="E19" t="inlineStr">
        <is>
          <t>Drug/API</t>
        </is>
      </c>
      <c r="F19" t="inlineStr">
        <is>
          <t>platinum complex</t>
        </is>
      </c>
      <c r="G19"/>
      <c r="H19">
        <v>84691</v>
      </c>
      <c r="I19"/>
      <c r="J19"/>
      <c r="K19"/>
      <c r="L19" t="inlineStr">
        <is>
          <t>placeholder inorganic anticancer; use complex-specific models</t>
        </is>
      </c>
      <c r="M19" t="inlineStr">
        <is>
          <t>API-specific; route depends on approved product and toxicology.</t>
        </is>
      </c>
      <c r="N19" t="inlineStr">
        <is>
          <t>S001_PUBCHEM</t>
        </is>
      </c>
      <c r="O19" t="inlineStr">
        <is>
          <t>seed_curated</t>
        </is>
      </c>
      <c r="P19">
        <v>0.72</v>
      </c>
      <c r="Q19" t="inlineStr">
        <is>
          <t>Internal API constants seed; replace uncertain pH-dependent values with project-specific measurements.</t>
        </is>
      </c>
    </row>
    <row r="20">
      <c r="A20" t="inlineStr">
        <is>
          <t>API_ACYCLOVIR</t>
        </is>
      </c>
      <c r="B20" t="inlineStr">
        <is>
          <t>Acyclovir</t>
        </is>
      </c>
      <c r="C20"/>
      <c r="D20" t="inlineStr">
        <is>
          <t>API</t>
        </is>
      </c>
      <c r="E20" t="inlineStr">
        <is>
          <t>Drug/API</t>
        </is>
      </c>
      <c r="F20" t="inlineStr">
        <is>
          <t>antiviral</t>
        </is>
      </c>
      <c r="G20"/>
      <c r="H20">
        <v>2022</v>
      </c>
      <c r="I20"/>
      <c r="J20"/>
      <c r="K20"/>
      <c r="L20" t="inlineStr">
        <is>
          <t>hydrophilic antiviral; low lipid compatibility</t>
        </is>
      </c>
      <c r="M20" t="inlineStr">
        <is>
          <t>API-specific; route depends on approved product and toxicology.</t>
        </is>
      </c>
      <c r="N20" t="inlineStr">
        <is>
          <t>S001_PUBCHEM</t>
        </is>
      </c>
      <c r="O20" t="inlineStr">
        <is>
          <t>seed_curated</t>
        </is>
      </c>
      <c r="P20">
        <v>0.72</v>
      </c>
      <c r="Q20" t="inlineStr">
        <is>
          <t>Internal API constants seed; replace uncertain pH-dependent values with project-specific measurements.</t>
        </is>
      </c>
    </row>
    <row r="21">
      <c r="A21" t="inlineStr">
        <is>
          <t>API_CLOTRIMAZOLE</t>
        </is>
      </c>
      <c r="B21" t="inlineStr">
        <is>
          <t>Clotrimazole</t>
        </is>
      </c>
      <c r="C21"/>
      <c r="D21" t="inlineStr">
        <is>
          <t>API</t>
        </is>
      </c>
      <c r="E21" t="inlineStr">
        <is>
          <t>Drug/API</t>
        </is>
      </c>
      <c r="F21" t="inlineStr">
        <is>
          <t>antifungal</t>
        </is>
      </c>
      <c r="G21"/>
      <c r="H21">
        <v>2812</v>
      </c>
      <c r="I21"/>
      <c r="J21"/>
      <c r="K21"/>
      <c r="L21" t="inlineStr">
        <is>
          <t>lipophilic imidazole antifungal</t>
        </is>
      </c>
      <c r="M21" t="inlineStr">
        <is>
          <t>API-specific; route depends on approved product and toxicology.</t>
        </is>
      </c>
      <c r="N21" t="inlineStr">
        <is>
          <t>S001_PUBCHEM</t>
        </is>
      </c>
      <c r="O21" t="inlineStr">
        <is>
          <t>seed_curated</t>
        </is>
      </c>
      <c r="P21">
        <v>0.72</v>
      </c>
      <c r="Q21" t="inlineStr">
        <is>
          <t>Internal API constants seed; replace uncertain pH-dependent values with project-specific measurements.</t>
        </is>
      </c>
    </row>
    <row r="22">
      <c r="A22" t="inlineStr">
        <is>
          <t>API_AMPHOTERICIN_B</t>
        </is>
      </c>
      <c r="B22" t="inlineStr">
        <is>
          <t>Amphotericin B</t>
        </is>
      </c>
      <c r="C22"/>
      <c r="D22" t="inlineStr">
        <is>
          <t>API</t>
        </is>
      </c>
      <c r="E22" t="inlineStr">
        <is>
          <t>Drug/API</t>
        </is>
      </c>
      <c r="F22" t="inlineStr">
        <is>
          <t>antifungal polyene</t>
        </is>
      </c>
      <c r="G22"/>
      <c r="H22">
        <v>5280965</v>
      </c>
      <c r="I22"/>
      <c r="J22"/>
      <c r="K22"/>
      <c r="L22" t="inlineStr">
        <is>
          <t>amphiphilic polyene; sterol-binding relevance</t>
        </is>
      </c>
      <c r="M22" t="inlineStr">
        <is>
          <t>API-specific; route depends on approved product and toxicology.</t>
        </is>
      </c>
      <c r="N22" t="inlineStr">
        <is>
          <t>S001_PUBCHEM</t>
        </is>
      </c>
      <c r="O22" t="inlineStr">
        <is>
          <t>seed_curated</t>
        </is>
      </c>
      <c r="P22">
        <v>0.72</v>
      </c>
      <c r="Q22" t="inlineStr">
        <is>
          <t>Internal API constants seed; replace uncertain pH-dependent values with project-specific measurements.</t>
        </is>
      </c>
    </row>
    <row r="23">
      <c r="A23" t="inlineStr">
        <is>
          <t>API_DOXYCYCLINE</t>
        </is>
      </c>
      <c r="B23" t="inlineStr">
        <is>
          <t>Doxycycline</t>
        </is>
      </c>
      <c r="C23"/>
      <c r="D23" t="inlineStr">
        <is>
          <t>API</t>
        </is>
      </c>
      <c r="E23" t="inlineStr">
        <is>
          <t>Drug/API</t>
        </is>
      </c>
      <c r="F23" t="inlineStr">
        <is>
          <t>antibiotic tetracycline</t>
        </is>
      </c>
      <c r="G23"/>
      <c r="H23">
        <v>54671203</v>
      </c>
      <c r="I23"/>
      <c r="J23"/>
      <c r="K23"/>
      <c r="L23" t="inlineStr">
        <is>
          <t>chelation and pH-sensitive solubility</t>
        </is>
      </c>
      <c r="M23" t="inlineStr">
        <is>
          <t>API-specific; route depends on approved product and toxicology.</t>
        </is>
      </c>
      <c r="N23" t="inlineStr">
        <is>
          <t>S001_PUBCHEM</t>
        </is>
      </c>
      <c r="O23" t="inlineStr">
        <is>
          <t>seed_curated</t>
        </is>
      </c>
      <c r="P23">
        <v>0.72</v>
      </c>
      <c r="Q23" t="inlineStr">
        <is>
          <t>Internal API constants seed; replace uncertain pH-dependent values with project-specific measurements.</t>
        </is>
      </c>
    </row>
    <row r="24">
      <c r="A24" t="inlineStr">
        <is>
          <t>API_RIFAMPICIN</t>
        </is>
      </c>
      <c r="B24" t="inlineStr">
        <is>
          <t>Rifampicin</t>
        </is>
      </c>
      <c r="C24"/>
      <c r="D24" t="inlineStr">
        <is>
          <t>API</t>
        </is>
      </c>
      <c r="E24" t="inlineStr">
        <is>
          <t>Drug/API</t>
        </is>
      </c>
      <c r="F24" t="inlineStr">
        <is>
          <t>antibiotic rifamycin</t>
        </is>
      </c>
      <c r="G24"/>
      <c r="H24">
        <v>5381226</v>
      </c>
      <c r="I24"/>
      <c r="J24"/>
      <c r="K24"/>
      <c r="L24" t="inlineStr">
        <is>
          <t>large amphiphilic antibiotic; oxidation-sensitive</t>
        </is>
      </c>
      <c r="M24" t="inlineStr">
        <is>
          <t>API-specific; route depends on approved product and toxicology.</t>
        </is>
      </c>
      <c r="N24" t="inlineStr">
        <is>
          <t>S001_PUBCHEM</t>
        </is>
      </c>
      <c r="O24" t="inlineStr">
        <is>
          <t>seed_curated</t>
        </is>
      </c>
      <c r="P24">
        <v>0.72</v>
      </c>
      <c r="Q24" t="inlineStr">
        <is>
          <t>Internal API constants seed; replace uncertain pH-dependent values with project-specific measurements.</t>
        </is>
      </c>
    </row>
    <row r="25">
      <c r="A25" t="inlineStr">
        <is>
          <t>API_CYCLOSPORINE_A</t>
        </is>
      </c>
      <c r="B25" t="inlineStr">
        <is>
          <t>Cyclosporine A</t>
        </is>
      </c>
      <c r="C25"/>
      <c r="D25" t="inlineStr">
        <is>
          <t>API</t>
        </is>
      </c>
      <c r="E25" t="inlineStr">
        <is>
          <t>Drug/API</t>
        </is>
      </c>
      <c r="F25" t="inlineStr">
        <is>
          <t>peptide/cyclic peptide</t>
        </is>
      </c>
      <c r="G25"/>
      <c r="H25">
        <v>5284373</v>
      </c>
      <c r="I25"/>
      <c r="J25"/>
      <c r="K25"/>
      <c r="L25" t="inlineStr">
        <is>
          <t>cyclic peptide; lipid emulsion/self-emulsifying relevance</t>
        </is>
      </c>
      <c r="M25" t="inlineStr">
        <is>
          <t>API-specific; route depends on approved product and toxicology.</t>
        </is>
      </c>
      <c r="N25" t="inlineStr">
        <is>
          <t>S001_PUBCHEM</t>
        </is>
      </c>
      <c r="O25" t="inlineStr">
        <is>
          <t>seed_curated</t>
        </is>
      </c>
      <c r="P25">
        <v>0.72</v>
      </c>
      <c r="Q25" t="inlineStr">
        <is>
          <t>Internal API constants seed; replace uncertain pH-dependent values with project-specific measurements.</t>
        </is>
      </c>
    </row>
    <row r="26">
      <c r="A26" t="inlineStr">
        <is>
          <t>API_TACROLIMUS</t>
        </is>
      </c>
      <c r="B26" t="inlineStr">
        <is>
          <t>Tacrolimus</t>
        </is>
      </c>
      <c r="C26"/>
      <c r="D26" t="inlineStr">
        <is>
          <t>API</t>
        </is>
      </c>
      <c r="E26" t="inlineStr">
        <is>
          <t>Drug/API</t>
        </is>
      </c>
      <c r="F26" t="inlineStr">
        <is>
          <t>macrolide immunosuppressant</t>
        </is>
      </c>
      <c r="G26"/>
      <c r="H26">
        <v>445643</v>
      </c>
      <c r="I26"/>
      <c r="J26"/>
      <c r="K26"/>
      <c r="L26" t="inlineStr">
        <is>
          <t>macrolide immunosuppressant</t>
        </is>
      </c>
      <c r="M26" t="inlineStr">
        <is>
          <t>API-specific; route depends on approved product and toxicology.</t>
        </is>
      </c>
      <c r="N26" t="inlineStr">
        <is>
          <t>S001_PUBCHEM</t>
        </is>
      </c>
      <c r="O26" t="inlineStr">
        <is>
          <t>seed_curated</t>
        </is>
      </c>
      <c r="P26">
        <v>0.72</v>
      </c>
      <c r="Q26" t="inlineStr">
        <is>
          <t>Internal API constants seed; replace uncertain pH-dependent values with project-specific measurements.</t>
        </is>
      </c>
    </row>
    <row r="27">
      <c r="A27" t="inlineStr">
        <is>
          <t>API_SIROLIMUS</t>
        </is>
      </c>
      <c r="B27" t="inlineStr">
        <is>
          <t>Sirolimus</t>
        </is>
      </c>
      <c r="C27"/>
      <c r="D27" t="inlineStr">
        <is>
          <t>API</t>
        </is>
      </c>
      <c r="E27" t="inlineStr">
        <is>
          <t>Drug/API</t>
        </is>
      </c>
      <c r="F27" t="inlineStr">
        <is>
          <t>mTOR inhibitor macrolide</t>
        </is>
      </c>
      <c r="G27"/>
      <c r="H27">
        <v>5284616</v>
      </c>
      <c r="I27"/>
      <c r="J27"/>
      <c r="K27"/>
      <c r="L27" t="inlineStr">
        <is>
          <t>macrolide; amorphous/polymer stabilization candidate</t>
        </is>
      </c>
      <c r="M27" t="inlineStr">
        <is>
          <t>API-specific; route depends on approved product and toxicology.</t>
        </is>
      </c>
      <c r="N27" t="inlineStr">
        <is>
          <t>S001_PUBCHEM</t>
        </is>
      </c>
      <c r="O27" t="inlineStr">
        <is>
          <t>seed_curated</t>
        </is>
      </c>
      <c r="P27">
        <v>0.72</v>
      </c>
      <c r="Q27" t="inlineStr">
        <is>
          <t>Internal API constants seed; replace uncertain pH-dependent values with project-specific measurements.</t>
        </is>
      </c>
    </row>
    <row r="28">
      <c r="A28" t="inlineStr">
        <is>
          <t>API_ITRACONAZOLE</t>
        </is>
      </c>
      <c r="B28" t="inlineStr">
        <is>
          <t>Itraconazole</t>
        </is>
      </c>
      <c r="C28"/>
      <c r="D28" t="inlineStr">
        <is>
          <t>API</t>
        </is>
      </c>
      <c r="E28" t="inlineStr">
        <is>
          <t>Drug/API</t>
        </is>
      </c>
      <c r="F28" t="inlineStr">
        <is>
          <t>triazole antifungal</t>
        </is>
      </c>
      <c r="G28"/>
      <c r="H28">
        <v>55283</v>
      </c>
      <c r="I28"/>
      <c r="J28"/>
      <c r="K28"/>
      <c r="L28" t="inlineStr">
        <is>
          <t>highly lipophilic weak base</t>
        </is>
      </c>
      <c r="M28" t="inlineStr">
        <is>
          <t>API-specific; route depends on approved product and toxicology.</t>
        </is>
      </c>
      <c r="N28" t="inlineStr">
        <is>
          <t>S001_PUBCHEM</t>
        </is>
      </c>
      <c r="O28" t="inlineStr">
        <is>
          <t>seed_curated</t>
        </is>
      </c>
      <c r="P28">
        <v>0.72</v>
      </c>
      <c r="Q28" t="inlineStr">
        <is>
          <t>Internal API constants seed; replace uncertain pH-dependent values with project-specific measurements.</t>
        </is>
      </c>
    </row>
    <row r="29">
      <c r="A29" t="inlineStr">
        <is>
          <t>API_VORICONAZOLE</t>
        </is>
      </c>
      <c r="B29" t="inlineStr">
        <is>
          <t>Voriconazole</t>
        </is>
      </c>
      <c r="C29"/>
      <c r="D29" t="inlineStr">
        <is>
          <t>API</t>
        </is>
      </c>
      <c r="E29" t="inlineStr">
        <is>
          <t>Drug/API</t>
        </is>
      </c>
      <c r="F29" t="inlineStr">
        <is>
          <t>triazole antifungal</t>
        </is>
      </c>
      <c r="G29"/>
      <c r="H29">
        <v>71616</v>
      </c>
      <c r="I29"/>
      <c r="J29"/>
      <c r="K29"/>
      <c r="L29" t="inlineStr">
        <is>
          <t>weak base; oral/parenteral precedent</t>
        </is>
      </c>
      <c r="M29" t="inlineStr">
        <is>
          <t>API-specific; route depends on approved product and toxicology.</t>
        </is>
      </c>
      <c r="N29" t="inlineStr">
        <is>
          <t>S001_PUBCHEM</t>
        </is>
      </c>
      <c r="O29" t="inlineStr">
        <is>
          <t>seed_curated</t>
        </is>
      </c>
      <c r="P29">
        <v>0.72</v>
      </c>
      <c r="Q29" t="inlineStr">
        <is>
          <t>Internal API constants seed; replace uncertain pH-dependent values with project-specific measurements.</t>
        </is>
      </c>
    </row>
    <row r="30">
      <c r="A30" t="inlineStr">
        <is>
          <t>API_CELECOXIB</t>
        </is>
      </c>
      <c r="B30" t="inlineStr">
        <is>
          <t>Celecoxib</t>
        </is>
      </c>
      <c r="C30"/>
      <c r="D30" t="inlineStr">
        <is>
          <t>API</t>
        </is>
      </c>
      <c r="E30" t="inlineStr">
        <is>
          <t>Drug/API</t>
        </is>
      </c>
      <c r="F30" t="inlineStr">
        <is>
          <t>NSAID/COX-2 inhibitor</t>
        </is>
      </c>
      <c r="G30"/>
      <c r="H30">
        <v>2662</v>
      </c>
      <c r="I30"/>
      <c r="J30"/>
      <c r="K30"/>
      <c r="L30" t="inlineStr">
        <is>
          <t>weakly acidic sulfonamide; hydrophobic</t>
        </is>
      </c>
      <c r="M30" t="inlineStr">
        <is>
          <t>API-specific; route depends on approved product and toxicology.</t>
        </is>
      </c>
      <c r="N30" t="inlineStr">
        <is>
          <t>S001_PUBCHEM</t>
        </is>
      </c>
      <c r="O30" t="inlineStr">
        <is>
          <t>seed_curated</t>
        </is>
      </c>
      <c r="P30">
        <v>0.72</v>
      </c>
      <c r="Q30" t="inlineStr">
        <is>
          <t>Internal API constants seed; replace uncertain pH-dependent values with project-specific measurements.</t>
        </is>
      </c>
    </row>
    <row r="31">
      <c r="A31" t="inlineStr">
        <is>
          <t>API_NIFEDIPINE</t>
        </is>
      </c>
      <c r="B31" t="inlineStr">
        <is>
          <t>Nifedipine</t>
        </is>
      </c>
      <c r="C31"/>
      <c r="D31" t="inlineStr">
        <is>
          <t>API</t>
        </is>
      </c>
      <c r="E31" t="inlineStr">
        <is>
          <t>Drug/API</t>
        </is>
      </c>
      <c r="F31" t="inlineStr">
        <is>
          <t>calcium-channel blocker</t>
        </is>
      </c>
      <c r="G31"/>
      <c r="H31">
        <v>4485</v>
      </c>
      <c r="I31"/>
      <c r="J31"/>
      <c r="K31"/>
      <c r="L31" t="inlineStr">
        <is>
          <t>photolabile dihydropyridine</t>
        </is>
      </c>
      <c r="M31" t="inlineStr">
        <is>
          <t>API-specific; route depends on approved product and toxicology.</t>
        </is>
      </c>
      <c r="N31" t="inlineStr">
        <is>
          <t>S001_PUBCHEM</t>
        </is>
      </c>
      <c r="O31" t="inlineStr">
        <is>
          <t>seed_curated</t>
        </is>
      </c>
      <c r="P31">
        <v>0.72</v>
      </c>
      <c r="Q31" t="inlineStr">
        <is>
          <t>Internal API constants seed; replace uncertain pH-dependent values with project-specific measurements.</t>
        </is>
      </c>
    </row>
    <row r="32">
      <c r="A32" t="inlineStr">
        <is>
          <t>API_FELODIPINE</t>
        </is>
      </c>
      <c r="B32" t="inlineStr">
        <is>
          <t>Felodipine</t>
        </is>
      </c>
      <c r="C32"/>
      <c r="D32" t="inlineStr">
        <is>
          <t>API</t>
        </is>
      </c>
      <c r="E32" t="inlineStr">
        <is>
          <t>Drug/API</t>
        </is>
      </c>
      <c r="F32" t="inlineStr">
        <is>
          <t>calcium-channel blocker</t>
        </is>
      </c>
      <c r="G32"/>
      <c r="H32">
        <v>3333</v>
      </c>
      <c r="I32"/>
      <c r="J32"/>
      <c r="K32"/>
      <c r="L32" t="inlineStr">
        <is>
          <t>hydrophobic dihydropyridine</t>
        </is>
      </c>
      <c r="M32" t="inlineStr">
        <is>
          <t>API-specific; route depends on approved product and toxicology.</t>
        </is>
      </c>
      <c r="N32" t="inlineStr">
        <is>
          <t>S001_PUBCHEM</t>
        </is>
      </c>
      <c r="O32" t="inlineStr">
        <is>
          <t>seed_curated</t>
        </is>
      </c>
      <c r="P32">
        <v>0.72</v>
      </c>
      <c r="Q32" t="inlineStr">
        <is>
          <t>Internal API constants seed; replace uncertain pH-dependent values with project-specific measurements.</t>
        </is>
      </c>
    </row>
    <row r="33">
      <c r="A33" t="inlineStr">
        <is>
          <t>API_CARVEDILOL</t>
        </is>
      </c>
      <c r="B33" t="inlineStr">
        <is>
          <t>Carvedilol</t>
        </is>
      </c>
      <c r="C33"/>
      <c r="D33" t="inlineStr">
        <is>
          <t>API</t>
        </is>
      </c>
      <c r="E33" t="inlineStr">
        <is>
          <t>Drug/API</t>
        </is>
      </c>
      <c r="F33" t="inlineStr">
        <is>
          <t>beta-blocker</t>
        </is>
      </c>
      <c r="G33"/>
      <c r="H33">
        <v>2585</v>
      </c>
      <c r="I33"/>
      <c r="J33"/>
      <c r="K33"/>
      <c r="L33" t="inlineStr">
        <is>
          <t>basic amphiphile; ionization affects zeta/loading</t>
        </is>
      </c>
      <c r="M33" t="inlineStr">
        <is>
          <t>API-specific; route depends on approved product and toxicology.</t>
        </is>
      </c>
      <c r="N33" t="inlineStr">
        <is>
          <t>S001_PUBCHEM</t>
        </is>
      </c>
      <c r="O33" t="inlineStr">
        <is>
          <t>seed_curated</t>
        </is>
      </c>
      <c r="P33">
        <v>0.72</v>
      </c>
      <c r="Q33" t="inlineStr">
        <is>
          <t>Internal API constants seed; replace uncertain pH-dependent values with project-specific measurements.</t>
        </is>
      </c>
    </row>
    <row r="34">
      <c r="A34" t="inlineStr">
        <is>
          <t>API_ATORVASTATIN</t>
        </is>
      </c>
      <c r="B34" t="inlineStr">
        <is>
          <t>Atorvastatin</t>
        </is>
      </c>
      <c r="C34"/>
      <c r="D34" t="inlineStr">
        <is>
          <t>API</t>
        </is>
      </c>
      <c r="E34" t="inlineStr">
        <is>
          <t>Drug/API</t>
        </is>
      </c>
      <c r="F34" t="inlineStr">
        <is>
          <t>statin</t>
        </is>
      </c>
      <c r="G34"/>
      <c r="H34">
        <v>60823</v>
      </c>
      <c r="I34"/>
      <c r="J34"/>
      <c r="K34"/>
      <c r="L34" t="inlineStr">
        <is>
          <t>weak acid; salt form must be explicit</t>
        </is>
      </c>
      <c r="M34" t="inlineStr">
        <is>
          <t>API-specific; route depends on approved product and toxicology.</t>
        </is>
      </c>
      <c r="N34" t="inlineStr">
        <is>
          <t>S001_PUBCHEM</t>
        </is>
      </c>
      <c r="O34" t="inlineStr">
        <is>
          <t>seed_curated</t>
        </is>
      </c>
      <c r="P34">
        <v>0.72</v>
      </c>
      <c r="Q34" t="inlineStr">
        <is>
          <t>Internal API constants seed; replace uncertain pH-dependent values with project-specific measurements.</t>
        </is>
      </c>
    </row>
    <row r="35">
      <c r="A35" t="inlineStr">
        <is>
          <t>API_SIMVASTATIN</t>
        </is>
      </c>
      <c r="B35" t="inlineStr">
        <is>
          <t>Simvastatin</t>
        </is>
      </c>
      <c r="C35"/>
      <c r="D35" t="inlineStr">
        <is>
          <t>API</t>
        </is>
      </c>
      <c r="E35" t="inlineStr">
        <is>
          <t>Drug/API</t>
        </is>
      </c>
      <c r="F35" t="inlineStr">
        <is>
          <t>statin lactone</t>
        </is>
      </c>
      <c r="G35"/>
      <c r="H35">
        <v>54454</v>
      </c>
      <c r="I35"/>
      <c r="J35"/>
      <c r="K35"/>
      <c r="L35" t="inlineStr">
        <is>
          <t>neutral lactone prodrug; hydrophobic</t>
        </is>
      </c>
      <c r="M35" t="inlineStr">
        <is>
          <t>API-specific; route depends on approved product and toxicology.</t>
        </is>
      </c>
      <c r="N35" t="inlineStr">
        <is>
          <t>S001_PUBCHEM</t>
        </is>
      </c>
      <c r="O35" t="inlineStr">
        <is>
          <t>seed_curated</t>
        </is>
      </c>
      <c r="P35">
        <v>0.72</v>
      </c>
      <c r="Q35" t="inlineStr">
        <is>
          <t>Internal API constants seed; replace uncertain pH-dependent values with project-specific measurements.</t>
        </is>
      </c>
    </row>
    <row r="36">
      <c r="A36" t="inlineStr">
        <is>
          <t>API_FENOFIBRATE</t>
        </is>
      </c>
      <c r="B36" t="inlineStr">
        <is>
          <t>Fenofibrate</t>
        </is>
      </c>
      <c r="C36"/>
      <c r="D36" t="inlineStr">
        <is>
          <t>API</t>
        </is>
      </c>
      <c r="E36" t="inlineStr">
        <is>
          <t>Drug/API</t>
        </is>
      </c>
      <c r="F36" t="inlineStr">
        <is>
          <t>fibrate</t>
        </is>
      </c>
      <c r="G36"/>
      <c r="H36">
        <v>3339</v>
      </c>
      <c r="I36"/>
      <c r="J36"/>
      <c r="K36"/>
      <c r="L36" t="inlineStr">
        <is>
          <t>hydrophobic ester; lipid carrier model drug</t>
        </is>
      </c>
      <c r="M36" t="inlineStr">
        <is>
          <t>API-specific; route depends on approved product and toxicology.</t>
        </is>
      </c>
      <c r="N36" t="inlineStr">
        <is>
          <t>S001_PUBCHEM</t>
        </is>
      </c>
      <c r="O36" t="inlineStr">
        <is>
          <t>seed_curated</t>
        </is>
      </c>
      <c r="P36">
        <v>0.72</v>
      </c>
      <c r="Q36" t="inlineStr">
        <is>
          <t>Internal API constants seed; replace uncertain pH-dependent values with project-specific measurements.</t>
        </is>
      </c>
    </row>
    <row r="37">
      <c r="A37" t="inlineStr">
        <is>
          <t>PAY_SIRNA_DUPLEX_PLACEHOLDER</t>
        </is>
      </c>
      <c r="B37" t="inlineStr">
        <is>
          <t>siRNA duplex placeholder</t>
        </is>
      </c>
      <c r="C37"/>
      <c r="D37" t="inlineStr">
        <is>
          <t>API</t>
        </is>
      </c>
      <c r="E37" t="inlineStr">
        <is>
          <t>Payload placeholder</t>
        </is>
      </c>
      <c r="F37" t="inlineStr">
        <is>
          <t>nucleic-acid payload placeholder</t>
        </is>
      </c>
      <c r="G37"/>
      <c r="H37"/>
      <c r="I37"/>
      <c r="J37"/>
      <c r="K37"/>
      <c r="L37" t="inlineStr">
        <is>
          <t>research/design placeholder only</t>
        </is>
      </c>
      <c r="M37" t="inlineStr">
        <is>
          <t>Not an actual curated substance; replace with sequence-specific material row.</t>
        </is>
      </c>
      <c r="N37" t="inlineStr">
        <is>
          <t>S000_USER_SPEC</t>
        </is>
      </c>
      <c r="O37" t="inlineStr">
        <is>
          <t>placeholder</t>
        </is>
      </c>
      <c r="P37">
        <v>0.25</v>
      </c>
      <c r="Q37" t="inlineStr">
        <is>
          <t>Use sequence-specific MW, GC%, ionizable-lipid N/P ratio, and buffer pH.</t>
        </is>
      </c>
    </row>
    <row r="38">
      <c r="A38" t="inlineStr">
        <is>
          <t>PAY_MRNA_PAYLOAD_PLACEHOLDER</t>
        </is>
      </c>
      <c r="B38" t="inlineStr">
        <is>
          <t>mRNA payload placeholder</t>
        </is>
      </c>
      <c r="C38"/>
      <c r="D38" t="inlineStr">
        <is>
          <t>API</t>
        </is>
      </c>
      <c r="E38" t="inlineStr">
        <is>
          <t>Payload placeholder</t>
        </is>
      </c>
      <c r="F38" t="inlineStr">
        <is>
          <t>nucleic-acid payload placeholder</t>
        </is>
      </c>
      <c r="G38"/>
      <c r="H38"/>
      <c r="I38"/>
      <c r="J38"/>
      <c r="K38"/>
      <c r="L38" t="inlineStr">
        <is>
          <t>research/design placeholder only</t>
        </is>
      </c>
      <c r="M38" t="inlineStr">
        <is>
          <t>Not an actual curated substance; replace with sequence-specific material row.</t>
        </is>
      </c>
      <c r="N38" t="inlineStr">
        <is>
          <t>S000_USER_SPEC</t>
        </is>
      </c>
      <c r="O38" t="inlineStr">
        <is>
          <t>placeholder</t>
        </is>
      </c>
      <c r="P38">
        <v>0.25</v>
      </c>
      <c r="Q38" t="inlineStr">
        <is>
          <t>Use transcript length, cap/polyA/modification and buffer-specific hydrodynamic descriptors.</t>
        </is>
      </c>
    </row>
    <row r="39">
      <c r="A39" t="inlineStr">
        <is>
          <t>PAY_PEPTIDE_PAYLOAD_PLACEHOLDER</t>
        </is>
      </c>
      <c r="B39" t="inlineStr">
        <is>
          <t>Peptide payload placeholder</t>
        </is>
      </c>
      <c r="C39"/>
      <c r="D39" t="inlineStr">
        <is>
          <t>API</t>
        </is>
      </c>
      <c r="E39" t="inlineStr">
        <is>
          <t>Payload placeholder</t>
        </is>
      </c>
      <c r="F39" t="inlineStr">
        <is>
          <t>peptide payload placeholder</t>
        </is>
      </c>
      <c r="G39"/>
      <c r="H39"/>
      <c r="I39"/>
      <c r="J39"/>
      <c r="K39"/>
      <c r="L39" t="inlineStr">
        <is>
          <t>research/design placeholder only</t>
        </is>
      </c>
      <c r="M39" t="inlineStr">
        <is>
          <t>Not an actual curated substance; replace with sequence-specific material row.</t>
        </is>
      </c>
      <c r="N39" t="inlineStr">
        <is>
          <t>S000_USER_SPEC</t>
        </is>
      </c>
      <c r="O39" t="inlineStr">
        <is>
          <t>placeholder</t>
        </is>
      </c>
      <c r="P39">
        <v>0.25</v>
      </c>
      <c r="Q39" t="inlineStr">
        <is>
          <t>Use sequence-specific pI, net charge, instability motifs, and proteolysis risk.</t>
        </is>
      </c>
    </row>
    <row r="40">
      <c r="A40" t="inlineStr">
        <is>
          <t>SURF_SPAN_20</t>
        </is>
      </c>
      <c r="B40" t="inlineStr">
        <is>
          <t>Span 20</t>
        </is>
      </c>
      <c r="C40"/>
      <c r="D40" t="inlineStr">
        <is>
          <t>Surfactant</t>
        </is>
      </c>
      <c r="E40" t="inlineStr">
        <is>
          <t>Nonionic surfactant</t>
        </is>
      </c>
      <c r="F40" t="inlineStr">
        <is>
          <t>Span/sorbitan ester</t>
        </is>
      </c>
      <c r="G40"/>
      <c r="H40"/>
      <c r="I40"/>
      <c r="J40"/>
      <c r="K40"/>
      <c r="L40" t="inlineStr">
        <is>
          <t>oral/topical; selected grades may support parenteral/inhalation with toxicology</t>
        </is>
      </c>
      <c r="M40" t="inlineStr">
        <is>
          <t>Check IID/compendial grade and route-specific limits.</t>
        </is>
      </c>
      <c r="N40" t="inlineStr">
        <is>
          <t>S011_CRODA_SPAN_TWEEN</t>
        </is>
      </c>
      <c r="O40" t="inlineStr">
        <is>
          <t>seed_curated</t>
        </is>
      </c>
      <c r="P40">
        <v>0.68</v>
      </c>
      <c r="Q40"/>
    </row>
    <row r="41">
      <c r="A41" t="inlineStr">
        <is>
          <t>SURF_SPAN_40</t>
        </is>
      </c>
      <c r="B41" t="inlineStr">
        <is>
          <t>Span 40</t>
        </is>
      </c>
      <c r="C41"/>
      <c r="D41" t="inlineStr">
        <is>
          <t>Surfactant</t>
        </is>
      </c>
      <c r="E41" t="inlineStr">
        <is>
          <t>Nonionic surfactant</t>
        </is>
      </c>
      <c r="F41" t="inlineStr">
        <is>
          <t>Span/sorbitan ester</t>
        </is>
      </c>
      <c r="G41"/>
      <c r="H41"/>
      <c r="I41"/>
      <c r="J41"/>
      <c r="K41"/>
      <c r="L41" t="inlineStr">
        <is>
          <t>oral/topical; selected grades may support parenteral/inhalation with toxicology</t>
        </is>
      </c>
      <c r="M41" t="inlineStr">
        <is>
          <t>Check IID/compendial grade and route-specific limits.</t>
        </is>
      </c>
      <c r="N41" t="inlineStr">
        <is>
          <t>S011_CRODA_SPAN_TWEEN</t>
        </is>
      </c>
      <c r="O41" t="inlineStr">
        <is>
          <t>seed_curated</t>
        </is>
      </c>
      <c r="P41">
        <v>0.68</v>
      </c>
      <c r="Q41"/>
    </row>
    <row r="42">
      <c r="A42" t="inlineStr">
        <is>
          <t>SURF_SPAN_60</t>
        </is>
      </c>
      <c r="B42" t="inlineStr">
        <is>
          <t>Span 60</t>
        </is>
      </c>
      <c r="C42"/>
      <c r="D42" t="inlineStr">
        <is>
          <t>Surfactant</t>
        </is>
      </c>
      <c r="E42" t="inlineStr">
        <is>
          <t>Nonionic surfactant</t>
        </is>
      </c>
      <c r="F42" t="inlineStr">
        <is>
          <t>Span/sorbitan ester</t>
        </is>
      </c>
      <c r="G42"/>
      <c r="H42"/>
      <c r="I42"/>
      <c r="J42"/>
      <c r="K42"/>
      <c r="L42" t="inlineStr">
        <is>
          <t>oral/topical; selected grades may support parenteral/inhalation with toxicology</t>
        </is>
      </c>
      <c r="M42" t="inlineStr">
        <is>
          <t>Check IID/compendial grade and route-specific limits.</t>
        </is>
      </c>
      <c r="N42" t="inlineStr">
        <is>
          <t>S011_CRODA_SPAN_TWEEN</t>
        </is>
      </c>
      <c r="O42" t="inlineStr">
        <is>
          <t>seed_curated</t>
        </is>
      </c>
      <c r="P42">
        <v>0.68</v>
      </c>
      <c r="Q42"/>
    </row>
    <row r="43">
      <c r="A43" t="inlineStr">
        <is>
          <t>SURF_SPAN_65</t>
        </is>
      </c>
      <c r="B43" t="inlineStr">
        <is>
          <t>Span 65</t>
        </is>
      </c>
      <c r="C43"/>
      <c r="D43" t="inlineStr">
        <is>
          <t>Surfactant</t>
        </is>
      </c>
      <c r="E43" t="inlineStr">
        <is>
          <t>Nonionic surfactant</t>
        </is>
      </c>
      <c r="F43" t="inlineStr">
        <is>
          <t>Span/sorbitan ester</t>
        </is>
      </c>
      <c r="G43"/>
      <c r="H43"/>
      <c r="I43"/>
      <c r="J43"/>
      <c r="K43"/>
      <c r="L43" t="inlineStr">
        <is>
          <t>oral/topical; selected grades may support parenteral/inhalation with toxicology</t>
        </is>
      </c>
      <c r="M43" t="inlineStr">
        <is>
          <t>Check IID/compendial grade and route-specific limits.</t>
        </is>
      </c>
      <c r="N43" t="inlineStr">
        <is>
          <t>S011_CRODA_SPAN_TWEEN</t>
        </is>
      </c>
      <c r="O43" t="inlineStr">
        <is>
          <t>seed_curated</t>
        </is>
      </c>
      <c r="P43">
        <v>0.68</v>
      </c>
      <c r="Q43"/>
    </row>
    <row r="44">
      <c r="A44" t="inlineStr">
        <is>
          <t>SURF_SPAN_80</t>
        </is>
      </c>
      <c r="B44" t="inlineStr">
        <is>
          <t>Span 80</t>
        </is>
      </c>
      <c r="C44"/>
      <c r="D44" t="inlineStr">
        <is>
          <t>Surfactant</t>
        </is>
      </c>
      <c r="E44" t="inlineStr">
        <is>
          <t>Nonionic surfactant</t>
        </is>
      </c>
      <c r="F44" t="inlineStr">
        <is>
          <t>Span/sorbitan ester</t>
        </is>
      </c>
      <c r="G44"/>
      <c r="H44"/>
      <c r="I44"/>
      <c r="J44"/>
      <c r="K44"/>
      <c r="L44" t="inlineStr">
        <is>
          <t>oral/topical; selected grades may support parenteral/inhalation with toxicology</t>
        </is>
      </c>
      <c r="M44" t="inlineStr">
        <is>
          <t>Check IID/compendial grade and route-specific limits.</t>
        </is>
      </c>
      <c r="N44" t="inlineStr">
        <is>
          <t>S011_CRODA_SPAN_TWEEN</t>
        </is>
      </c>
      <c r="O44" t="inlineStr">
        <is>
          <t>seed_curated</t>
        </is>
      </c>
      <c r="P44">
        <v>0.68</v>
      </c>
      <c r="Q44"/>
    </row>
    <row r="45">
      <c r="A45" t="inlineStr">
        <is>
          <t>SURF_SPAN_85</t>
        </is>
      </c>
      <c r="B45" t="inlineStr">
        <is>
          <t>Span 85</t>
        </is>
      </c>
      <c r="C45"/>
      <c r="D45" t="inlineStr">
        <is>
          <t>Surfactant</t>
        </is>
      </c>
      <c r="E45" t="inlineStr">
        <is>
          <t>Nonionic surfactant</t>
        </is>
      </c>
      <c r="F45" t="inlineStr">
        <is>
          <t>Span/sorbitan ester</t>
        </is>
      </c>
      <c r="G45"/>
      <c r="H45"/>
      <c r="I45"/>
      <c r="J45"/>
      <c r="K45"/>
      <c r="L45" t="inlineStr">
        <is>
          <t>oral/topical; selected grades may support parenteral/inhalation with toxicology</t>
        </is>
      </c>
      <c r="M45" t="inlineStr">
        <is>
          <t>Check IID/compendial grade and route-specific limits.</t>
        </is>
      </c>
      <c r="N45" t="inlineStr">
        <is>
          <t>S011_CRODA_SPAN_TWEEN</t>
        </is>
      </c>
      <c r="O45" t="inlineStr">
        <is>
          <t>seed_curated</t>
        </is>
      </c>
      <c r="P45">
        <v>0.68</v>
      </c>
      <c r="Q45"/>
    </row>
    <row r="46">
      <c r="A46" t="inlineStr">
        <is>
          <t>SURF_TWEEN_20</t>
        </is>
      </c>
      <c r="B46" t="inlineStr">
        <is>
          <t>Tween 20</t>
        </is>
      </c>
      <c r="C46"/>
      <c r="D46" t="inlineStr">
        <is>
          <t>Surfactant</t>
        </is>
      </c>
      <c r="E46" t="inlineStr">
        <is>
          <t>Nonionic surfactant</t>
        </is>
      </c>
      <c r="F46" t="inlineStr">
        <is>
          <t>Tween/polysorbate</t>
        </is>
      </c>
      <c r="G46"/>
      <c r="H46"/>
      <c r="I46"/>
      <c r="J46"/>
      <c r="K46"/>
      <c r="L46" t="inlineStr">
        <is>
          <t>oral/topical; selected grades may support parenteral/inhalation with toxicology</t>
        </is>
      </c>
      <c r="M46" t="inlineStr">
        <is>
          <t>Check IID/compendial grade and route-specific limits.</t>
        </is>
      </c>
      <c r="N46" t="inlineStr">
        <is>
          <t>S011_CRODA_SPAN_TWEEN</t>
        </is>
      </c>
      <c r="O46" t="inlineStr">
        <is>
          <t>seed_curated</t>
        </is>
      </c>
      <c r="P46">
        <v>0.68</v>
      </c>
      <c r="Q46"/>
    </row>
    <row r="47">
      <c r="A47" t="inlineStr">
        <is>
          <t>SURF_TWEEN_21</t>
        </is>
      </c>
      <c r="B47" t="inlineStr">
        <is>
          <t>Tween 21</t>
        </is>
      </c>
      <c r="C47"/>
      <c r="D47" t="inlineStr">
        <is>
          <t>Surfactant</t>
        </is>
      </c>
      <c r="E47" t="inlineStr">
        <is>
          <t>Nonionic surfactant</t>
        </is>
      </c>
      <c r="F47" t="inlineStr">
        <is>
          <t>Tween/polysorbate</t>
        </is>
      </c>
      <c r="G47"/>
      <c r="H47"/>
      <c r="I47"/>
      <c r="J47"/>
      <c r="K47"/>
      <c r="L47" t="inlineStr">
        <is>
          <t>oral/topical; selected grades may support parenteral/inhalation with toxicology</t>
        </is>
      </c>
      <c r="M47" t="inlineStr">
        <is>
          <t>Check IID/compendial grade and route-specific limits.</t>
        </is>
      </c>
      <c r="N47" t="inlineStr">
        <is>
          <t>S011_CRODA_SPAN_TWEEN</t>
        </is>
      </c>
      <c r="O47" t="inlineStr">
        <is>
          <t>seed_curated</t>
        </is>
      </c>
      <c r="P47">
        <v>0.68</v>
      </c>
      <c r="Q47"/>
    </row>
    <row r="48">
      <c r="A48" t="inlineStr">
        <is>
          <t>SURF_TWEEN_40</t>
        </is>
      </c>
      <c r="B48" t="inlineStr">
        <is>
          <t>Tween 40</t>
        </is>
      </c>
      <c r="C48"/>
      <c r="D48" t="inlineStr">
        <is>
          <t>Surfactant</t>
        </is>
      </c>
      <c r="E48" t="inlineStr">
        <is>
          <t>Nonionic surfactant</t>
        </is>
      </c>
      <c r="F48" t="inlineStr">
        <is>
          <t>Tween/polysorbate</t>
        </is>
      </c>
      <c r="G48"/>
      <c r="H48"/>
      <c r="I48"/>
      <c r="J48"/>
      <c r="K48"/>
      <c r="L48" t="inlineStr">
        <is>
          <t>oral/topical; selected grades may support parenteral/inhalation with toxicology</t>
        </is>
      </c>
      <c r="M48" t="inlineStr">
        <is>
          <t>Check IID/compendial grade and route-specific limits.</t>
        </is>
      </c>
      <c r="N48" t="inlineStr">
        <is>
          <t>S011_CRODA_SPAN_TWEEN</t>
        </is>
      </c>
      <c r="O48" t="inlineStr">
        <is>
          <t>seed_curated</t>
        </is>
      </c>
      <c r="P48">
        <v>0.68</v>
      </c>
      <c r="Q48"/>
    </row>
    <row r="49">
      <c r="A49" t="inlineStr">
        <is>
          <t>SURF_TWEEN_60</t>
        </is>
      </c>
      <c r="B49" t="inlineStr">
        <is>
          <t>Tween 60</t>
        </is>
      </c>
      <c r="C49"/>
      <c r="D49" t="inlineStr">
        <is>
          <t>Surfactant</t>
        </is>
      </c>
      <c r="E49" t="inlineStr">
        <is>
          <t>Nonionic surfactant</t>
        </is>
      </c>
      <c r="F49" t="inlineStr">
        <is>
          <t>Tween/polysorbate</t>
        </is>
      </c>
      <c r="G49"/>
      <c r="H49"/>
      <c r="I49"/>
      <c r="J49"/>
      <c r="K49"/>
      <c r="L49" t="inlineStr">
        <is>
          <t>oral/topical; selected grades may support parenteral/inhalation with toxicology</t>
        </is>
      </c>
      <c r="M49" t="inlineStr">
        <is>
          <t>Check IID/compendial grade and route-specific limits.</t>
        </is>
      </c>
      <c r="N49" t="inlineStr">
        <is>
          <t>S011_CRODA_SPAN_TWEEN</t>
        </is>
      </c>
      <c r="O49" t="inlineStr">
        <is>
          <t>seed_curated</t>
        </is>
      </c>
      <c r="P49">
        <v>0.68</v>
      </c>
      <c r="Q49"/>
    </row>
    <row r="50">
      <c r="A50" t="inlineStr">
        <is>
          <t>SURF_TWEEN_61</t>
        </is>
      </c>
      <c r="B50" t="inlineStr">
        <is>
          <t>Tween 61</t>
        </is>
      </c>
      <c r="C50"/>
      <c r="D50" t="inlineStr">
        <is>
          <t>Surfactant</t>
        </is>
      </c>
      <c r="E50" t="inlineStr">
        <is>
          <t>Nonionic surfactant</t>
        </is>
      </c>
      <c r="F50" t="inlineStr">
        <is>
          <t>Tween/polysorbate</t>
        </is>
      </c>
      <c r="G50"/>
      <c r="H50"/>
      <c r="I50"/>
      <c r="J50"/>
      <c r="K50"/>
      <c r="L50" t="inlineStr">
        <is>
          <t>oral/topical; selected grades may support parenteral/inhalation with toxicology</t>
        </is>
      </c>
      <c r="M50" t="inlineStr">
        <is>
          <t>Check IID/compendial grade and route-specific limits.</t>
        </is>
      </c>
      <c r="N50" t="inlineStr">
        <is>
          <t>S011_CRODA_SPAN_TWEEN</t>
        </is>
      </c>
      <c r="O50" t="inlineStr">
        <is>
          <t>seed_curated</t>
        </is>
      </c>
      <c r="P50">
        <v>0.68</v>
      </c>
      <c r="Q50"/>
    </row>
    <row r="51">
      <c r="A51" t="inlineStr">
        <is>
          <t>SURF_TWEEN_65</t>
        </is>
      </c>
      <c r="B51" t="inlineStr">
        <is>
          <t>Tween 65</t>
        </is>
      </c>
      <c r="C51"/>
      <c r="D51" t="inlineStr">
        <is>
          <t>Surfactant</t>
        </is>
      </c>
      <c r="E51" t="inlineStr">
        <is>
          <t>Nonionic surfactant</t>
        </is>
      </c>
      <c r="F51" t="inlineStr">
        <is>
          <t>Tween/polysorbate</t>
        </is>
      </c>
      <c r="G51"/>
      <c r="H51"/>
      <c r="I51"/>
      <c r="J51"/>
      <c r="K51"/>
      <c r="L51" t="inlineStr">
        <is>
          <t>oral/topical; selected grades may support parenteral/inhalation with toxicology</t>
        </is>
      </c>
      <c r="M51" t="inlineStr">
        <is>
          <t>Check IID/compendial grade and route-specific limits.</t>
        </is>
      </c>
      <c r="N51" t="inlineStr">
        <is>
          <t>S011_CRODA_SPAN_TWEEN</t>
        </is>
      </c>
      <c r="O51" t="inlineStr">
        <is>
          <t>seed_curated</t>
        </is>
      </c>
      <c r="P51">
        <v>0.68</v>
      </c>
      <c r="Q51"/>
    </row>
    <row r="52">
      <c r="A52" t="inlineStr">
        <is>
          <t>SURF_TWEEN_80</t>
        </is>
      </c>
      <c r="B52" t="inlineStr">
        <is>
          <t>Tween 80</t>
        </is>
      </c>
      <c r="C52"/>
      <c r="D52" t="inlineStr">
        <is>
          <t>Surfactant</t>
        </is>
      </c>
      <c r="E52" t="inlineStr">
        <is>
          <t>Nonionic surfactant</t>
        </is>
      </c>
      <c r="F52" t="inlineStr">
        <is>
          <t>Tween/polysorbate</t>
        </is>
      </c>
      <c r="G52"/>
      <c r="H52"/>
      <c r="I52"/>
      <c r="J52"/>
      <c r="K52"/>
      <c r="L52" t="inlineStr">
        <is>
          <t>oral/topical; selected grades may support parenteral/inhalation with toxicology</t>
        </is>
      </c>
      <c r="M52" t="inlineStr">
        <is>
          <t>Check IID/compendial grade and route-specific limits.</t>
        </is>
      </c>
      <c r="N52" t="inlineStr">
        <is>
          <t>S011_CRODA_SPAN_TWEEN</t>
        </is>
      </c>
      <c r="O52" t="inlineStr">
        <is>
          <t>seed_curated</t>
        </is>
      </c>
      <c r="P52">
        <v>0.68</v>
      </c>
      <c r="Q52"/>
    </row>
    <row r="53">
      <c r="A53" t="inlineStr">
        <is>
          <t>SURF_TWEEN_81</t>
        </is>
      </c>
      <c r="B53" t="inlineStr">
        <is>
          <t>Tween 81</t>
        </is>
      </c>
      <c r="C53"/>
      <c r="D53" t="inlineStr">
        <is>
          <t>Surfactant</t>
        </is>
      </c>
      <c r="E53" t="inlineStr">
        <is>
          <t>Nonionic surfactant</t>
        </is>
      </c>
      <c r="F53" t="inlineStr">
        <is>
          <t>Tween/polysorbate</t>
        </is>
      </c>
      <c r="G53"/>
      <c r="H53"/>
      <c r="I53"/>
      <c r="J53"/>
      <c r="K53"/>
      <c r="L53" t="inlineStr">
        <is>
          <t>oral/topical; selected grades may support parenteral/inhalation with toxicology</t>
        </is>
      </c>
      <c r="M53" t="inlineStr">
        <is>
          <t>Check IID/compendial grade and route-specific limits.</t>
        </is>
      </c>
      <c r="N53" t="inlineStr">
        <is>
          <t>S011_CRODA_SPAN_TWEEN</t>
        </is>
      </c>
      <c r="O53" t="inlineStr">
        <is>
          <t>seed_curated</t>
        </is>
      </c>
      <c r="P53">
        <v>0.68</v>
      </c>
      <c r="Q53"/>
    </row>
    <row r="54">
      <c r="A54" t="inlineStr">
        <is>
          <t>SURF_TWEEN_85</t>
        </is>
      </c>
      <c r="B54" t="inlineStr">
        <is>
          <t>Tween 85</t>
        </is>
      </c>
      <c r="C54"/>
      <c r="D54" t="inlineStr">
        <is>
          <t>Surfactant</t>
        </is>
      </c>
      <c r="E54" t="inlineStr">
        <is>
          <t>Nonionic surfactant</t>
        </is>
      </c>
      <c r="F54" t="inlineStr">
        <is>
          <t>Tween/polysorbate</t>
        </is>
      </c>
      <c r="G54"/>
      <c r="H54"/>
      <c r="I54"/>
      <c r="J54"/>
      <c r="K54"/>
      <c r="L54" t="inlineStr">
        <is>
          <t>oral/topical; selected grades may support parenteral/inhalation with toxicology</t>
        </is>
      </c>
      <c r="M54" t="inlineStr">
        <is>
          <t>Check IID/compendial grade and route-specific limits.</t>
        </is>
      </c>
      <c r="N54" t="inlineStr">
        <is>
          <t>S011_CRODA_SPAN_TWEEN</t>
        </is>
      </c>
      <c r="O54" t="inlineStr">
        <is>
          <t>seed_curated</t>
        </is>
      </c>
      <c r="P54">
        <v>0.68</v>
      </c>
      <c r="Q54"/>
    </row>
    <row r="55">
      <c r="A55" t="inlineStr">
        <is>
          <t>SURF_BRIJ_30</t>
        </is>
      </c>
      <c r="B55" t="inlineStr">
        <is>
          <t>Brij 30</t>
        </is>
      </c>
      <c r="C55"/>
      <c r="D55" t="inlineStr">
        <is>
          <t>Surfactant</t>
        </is>
      </c>
      <c r="E55" t="inlineStr">
        <is>
          <t>Nonionic surfactant</t>
        </is>
      </c>
      <c r="F55" t="inlineStr">
        <is>
          <t>Brij/fatty alcohol ethoxylate</t>
        </is>
      </c>
      <c r="G55"/>
      <c r="H55"/>
      <c r="I55"/>
      <c r="J55"/>
      <c r="K55"/>
      <c r="L55" t="inlineStr">
        <is>
          <t>oral/topical; selected grades may support parenteral/inhalation with toxicology</t>
        </is>
      </c>
      <c r="M55" t="inlineStr">
        <is>
          <t>Check IID/compendial grade and route-specific limits.</t>
        </is>
      </c>
      <c r="N55" t="inlineStr">
        <is>
          <t>S007_EXCIPIENTS_HANDBOOK</t>
        </is>
      </c>
      <c r="O55" t="inlineStr">
        <is>
          <t>seed_curated</t>
        </is>
      </c>
      <c r="P55">
        <v>0.68</v>
      </c>
      <c r="Q55"/>
    </row>
    <row r="56">
      <c r="A56" t="inlineStr">
        <is>
          <t>SURF_BRIJ_35</t>
        </is>
      </c>
      <c r="B56" t="inlineStr">
        <is>
          <t>Brij 35</t>
        </is>
      </c>
      <c r="C56"/>
      <c r="D56" t="inlineStr">
        <is>
          <t>Surfactant</t>
        </is>
      </c>
      <c r="E56" t="inlineStr">
        <is>
          <t>Nonionic surfactant</t>
        </is>
      </c>
      <c r="F56" t="inlineStr">
        <is>
          <t>Brij/fatty alcohol ethoxylate</t>
        </is>
      </c>
      <c r="G56"/>
      <c r="H56"/>
      <c r="I56"/>
      <c r="J56"/>
      <c r="K56"/>
      <c r="L56" t="inlineStr">
        <is>
          <t>oral/topical; selected grades may support parenteral/inhalation with toxicology</t>
        </is>
      </c>
      <c r="M56" t="inlineStr">
        <is>
          <t>Check IID/compendial grade and route-specific limits.</t>
        </is>
      </c>
      <c r="N56" t="inlineStr">
        <is>
          <t>S007_EXCIPIENTS_HANDBOOK</t>
        </is>
      </c>
      <c r="O56" t="inlineStr">
        <is>
          <t>seed_curated</t>
        </is>
      </c>
      <c r="P56">
        <v>0.68</v>
      </c>
      <c r="Q56"/>
    </row>
    <row r="57">
      <c r="A57" t="inlineStr">
        <is>
          <t>SURF_BRIJ_52</t>
        </is>
      </c>
      <c r="B57" t="inlineStr">
        <is>
          <t>Brij 52</t>
        </is>
      </c>
      <c r="C57"/>
      <c r="D57" t="inlineStr">
        <is>
          <t>Surfactant</t>
        </is>
      </c>
      <c r="E57" t="inlineStr">
        <is>
          <t>Nonionic surfactant</t>
        </is>
      </c>
      <c r="F57" t="inlineStr">
        <is>
          <t>Brij/fatty alcohol ethoxylate</t>
        </is>
      </c>
      <c r="G57"/>
      <c r="H57"/>
      <c r="I57"/>
      <c r="J57"/>
      <c r="K57"/>
      <c r="L57" t="inlineStr">
        <is>
          <t>oral/topical; selected grades may support parenteral/inhalation with toxicology</t>
        </is>
      </c>
      <c r="M57" t="inlineStr">
        <is>
          <t>Check IID/compendial grade and route-specific limits.</t>
        </is>
      </c>
      <c r="N57" t="inlineStr">
        <is>
          <t>S007_EXCIPIENTS_HANDBOOK</t>
        </is>
      </c>
      <c r="O57" t="inlineStr">
        <is>
          <t>seed_curated</t>
        </is>
      </c>
      <c r="P57">
        <v>0.68</v>
      </c>
      <c r="Q57"/>
    </row>
    <row r="58">
      <c r="A58" t="inlineStr">
        <is>
          <t>SURF_BRIJ_56</t>
        </is>
      </c>
      <c r="B58" t="inlineStr">
        <is>
          <t>Brij 56</t>
        </is>
      </c>
      <c r="C58"/>
      <c r="D58" t="inlineStr">
        <is>
          <t>Surfactant</t>
        </is>
      </c>
      <c r="E58" t="inlineStr">
        <is>
          <t>Nonionic surfactant</t>
        </is>
      </c>
      <c r="F58" t="inlineStr">
        <is>
          <t>Brij/fatty alcohol ethoxylate</t>
        </is>
      </c>
      <c r="G58"/>
      <c r="H58"/>
      <c r="I58"/>
      <c r="J58"/>
      <c r="K58"/>
      <c r="L58" t="inlineStr">
        <is>
          <t>oral/topical; selected grades may support parenteral/inhalation with toxicology</t>
        </is>
      </c>
      <c r="M58" t="inlineStr">
        <is>
          <t>Check IID/compendial grade and route-specific limits.</t>
        </is>
      </c>
      <c r="N58" t="inlineStr">
        <is>
          <t>S007_EXCIPIENTS_HANDBOOK</t>
        </is>
      </c>
      <c r="O58" t="inlineStr">
        <is>
          <t>seed_curated</t>
        </is>
      </c>
      <c r="P58">
        <v>0.68</v>
      </c>
      <c r="Q58"/>
    </row>
    <row r="59">
      <c r="A59" t="inlineStr">
        <is>
          <t>SURF_BRIJ_58</t>
        </is>
      </c>
      <c r="B59" t="inlineStr">
        <is>
          <t>Brij 58</t>
        </is>
      </c>
      <c r="C59"/>
      <c r="D59" t="inlineStr">
        <is>
          <t>Surfactant</t>
        </is>
      </c>
      <c r="E59" t="inlineStr">
        <is>
          <t>Nonionic surfactant</t>
        </is>
      </c>
      <c r="F59" t="inlineStr">
        <is>
          <t>Brij/fatty alcohol ethoxylate</t>
        </is>
      </c>
      <c r="G59"/>
      <c r="H59"/>
      <c r="I59"/>
      <c r="J59"/>
      <c r="K59"/>
      <c r="L59" t="inlineStr">
        <is>
          <t>oral/topical; selected grades may support parenteral/inhalation with toxicology</t>
        </is>
      </c>
      <c r="M59" t="inlineStr">
        <is>
          <t>Check IID/compendial grade and route-specific limits.</t>
        </is>
      </c>
      <c r="N59" t="inlineStr">
        <is>
          <t>S007_EXCIPIENTS_HANDBOOK</t>
        </is>
      </c>
      <c r="O59" t="inlineStr">
        <is>
          <t>seed_curated</t>
        </is>
      </c>
      <c r="P59">
        <v>0.68</v>
      </c>
      <c r="Q59"/>
    </row>
    <row r="60">
      <c r="A60" t="inlineStr">
        <is>
          <t>SURF_BRIJ_72</t>
        </is>
      </c>
      <c r="B60" t="inlineStr">
        <is>
          <t>Brij 72</t>
        </is>
      </c>
      <c r="C60"/>
      <c r="D60" t="inlineStr">
        <is>
          <t>Surfactant</t>
        </is>
      </c>
      <c r="E60" t="inlineStr">
        <is>
          <t>Nonionic surfactant</t>
        </is>
      </c>
      <c r="F60" t="inlineStr">
        <is>
          <t>Brij/fatty alcohol ethoxylate</t>
        </is>
      </c>
      <c r="G60"/>
      <c r="H60"/>
      <c r="I60"/>
      <c r="J60"/>
      <c r="K60"/>
      <c r="L60" t="inlineStr">
        <is>
          <t>oral/topical; selected grades may support parenteral/inhalation with toxicology</t>
        </is>
      </c>
      <c r="M60" t="inlineStr">
        <is>
          <t>Check IID/compendial grade and route-specific limits.</t>
        </is>
      </c>
      <c r="N60" t="inlineStr">
        <is>
          <t>S007_EXCIPIENTS_HANDBOOK</t>
        </is>
      </c>
      <c r="O60" t="inlineStr">
        <is>
          <t>seed_curated</t>
        </is>
      </c>
      <c r="P60">
        <v>0.68</v>
      </c>
      <c r="Q60"/>
    </row>
    <row r="61">
      <c r="A61" t="inlineStr">
        <is>
          <t>SURF_BRIJ_76</t>
        </is>
      </c>
      <c r="B61" t="inlineStr">
        <is>
          <t>Brij 76</t>
        </is>
      </c>
      <c r="C61"/>
      <c r="D61" t="inlineStr">
        <is>
          <t>Surfactant</t>
        </is>
      </c>
      <c r="E61" t="inlineStr">
        <is>
          <t>Nonionic surfactant</t>
        </is>
      </c>
      <c r="F61" t="inlineStr">
        <is>
          <t>Brij/fatty alcohol ethoxylate</t>
        </is>
      </c>
      <c r="G61"/>
      <c r="H61"/>
      <c r="I61"/>
      <c r="J61"/>
      <c r="K61"/>
      <c r="L61" t="inlineStr">
        <is>
          <t>oral/topical; selected grades may support parenteral/inhalation with toxicology</t>
        </is>
      </c>
      <c r="M61" t="inlineStr">
        <is>
          <t>Check IID/compendial grade and route-specific limits.</t>
        </is>
      </c>
      <c r="N61" t="inlineStr">
        <is>
          <t>S007_EXCIPIENTS_HANDBOOK</t>
        </is>
      </c>
      <c r="O61" t="inlineStr">
        <is>
          <t>seed_curated</t>
        </is>
      </c>
      <c r="P61">
        <v>0.68</v>
      </c>
      <c r="Q61"/>
    </row>
    <row r="62">
      <c r="A62" t="inlineStr">
        <is>
          <t>SURF_BRIJ_78</t>
        </is>
      </c>
      <c r="B62" t="inlineStr">
        <is>
          <t>Brij 78</t>
        </is>
      </c>
      <c r="C62"/>
      <c r="D62" t="inlineStr">
        <is>
          <t>Surfactant</t>
        </is>
      </c>
      <c r="E62" t="inlineStr">
        <is>
          <t>Nonionic surfactant</t>
        </is>
      </c>
      <c r="F62" t="inlineStr">
        <is>
          <t>Brij/fatty alcohol ethoxylate</t>
        </is>
      </c>
      <c r="G62"/>
      <c r="H62"/>
      <c r="I62"/>
      <c r="J62"/>
      <c r="K62"/>
      <c r="L62" t="inlineStr">
        <is>
          <t>oral/topical; selected grades may support parenteral/inhalation with toxicology</t>
        </is>
      </c>
      <c r="M62" t="inlineStr">
        <is>
          <t>Check IID/compendial grade and route-specific limits.</t>
        </is>
      </c>
      <c r="N62" t="inlineStr">
        <is>
          <t>S007_EXCIPIENTS_HANDBOOK</t>
        </is>
      </c>
      <c r="O62" t="inlineStr">
        <is>
          <t>seed_curated</t>
        </is>
      </c>
      <c r="P62">
        <v>0.68</v>
      </c>
      <c r="Q62"/>
    </row>
    <row r="63">
      <c r="A63" t="inlineStr">
        <is>
          <t>SURF_BRIJ_92</t>
        </is>
      </c>
      <c r="B63" t="inlineStr">
        <is>
          <t>Brij 92</t>
        </is>
      </c>
      <c r="C63"/>
      <c r="D63" t="inlineStr">
        <is>
          <t>Surfactant</t>
        </is>
      </c>
      <c r="E63" t="inlineStr">
        <is>
          <t>Nonionic surfactant</t>
        </is>
      </c>
      <c r="F63" t="inlineStr">
        <is>
          <t>Brij/fatty alcohol ethoxylate</t>
        </is>
      </c>
      <c r="G63"/>
      <c r="H63"/>
      <c r="I63"/>
      <c r="J63"/>
      <c r="K63"/>
      <c r="L63" t="inlineStr">
        <is>
          <t>oral/topical; selected grades may support parenteral/inhalation with toxicology</t>
        </is>
      </c>
      <c r="M63" t="inlineStr">
        <is>
          <t>Check IID/compendial grade and route-specific limits.</t>
        </is>
      </c>
      <c r="N63" t="inlineStr">
        <is>
          <t>S007_EXCIPIENTS_HANDBOOK</t>
        </is>
      </c>
      <c r="O63" t="inlineStr">
        <is>
          <t>seed_curated</t>
        </is>
      </c>
      <c r="P63">
        <v>0.68</v>
      </c>
      <c r="Q63"/>
    </row>
    <row r="64">
      <c r="A64" t="inlineStr">
        <is>
          <t>SURF_BRIJ_96</t>
        </is>
      </c>
      <c r="B64" t="inlineStr">
        <is>
          <t>Brij 96</t>
        </is>
      </c>
      <c r="C64"/>
      <c r="D64" t="inlineStr">
        <is>
          <t>Surfactant</t>
        </is>
      </c>
      <c r="E64" t="inlineStr">
        <is>
          <t>Nonionic surfactant</t>
        </is>
      </c>
      <c r="F64" t="inlineStr">
        <is>
          <t>Brij/fatty alcohol ethoxylate</t>
        </is>
      </c>
      <c r="G64"/>
      <c r="H64"/>
      <c r="I64"/>
      <c r="J64"/>
      <c r="K64"/>
      <c r="L64" t="inlineStr">
        <is>
          <t>oral/topical; selected grades may support parenteral/inhalation with toxicology</t>
        </is>
      </c>
      <c r="M64" t="inlineStr">
        <is>
          <t>Check IID/compendial grade and route-specific limits.</t>
        </is>
      </c>
      <c r="N64" t="inlineStr">
        <is>
          <t>S007_EXCIPIENTS_HANDBOOK</t>
        </is>
      </c>
      <c r="O64" t="inlineStr">
        <is>
          <t>seed_curated</t>
        </is>
      </c>
      <c r="P64">
        <v>0.68</v>
      </c>
      <c r="Q64"/>
    </row>
    <row r="65">
      <c r="A65" t="inlineStr">
        <is>
          <t>SURF_BRIJ_98</t>
        </is>
      </c>
      <c r="B65" t="inlineStr">
        <is>
          <t>Brij 98</t>
        </is>
      </c>
      <c r="C65"/>
      <c r="D65" t="inlineStr">
        <is>
          <t>Surfactant</t>
        </is>
      </c>
      <c r="E65" t="inlineStr">
        <is>
          <t>Nonionic surfactant</t>
        </is>
      </c>
      <c r="F65" t="inlineStr">
        <is>
          <t>Brij/fatty alcohol ethoxylate</t>
        </is>
      </c>
      <c r="G65"/>
      <c r="H65"/>
      <c r="I65"/>
      <c r="J65"/>
      <c r="K65"/>
      <c r="L65" t="inlineStr">
        <is>
          <t>oral/topical; selected grades may support parenteral/inhalation with toxicology</t>
        </is>
      </c>
      <c r="M65" t="inlineStr">
        <is>
          <t>Check IID/compendial grade and route-specific limits.</t>
        </is>
      </c>
      <c r="N65" t="inlineStr">
        <is>
          <t>S007_EXCIPIENTS_HANDBOOK</t>
        </is>
      </c>
      <c r="O65" t="inlineStr">
        <is>
          <t>seed_curated</t>
        </is>
      </c>
      <c r="P65">
        <v>0.68</v>
      </c>
      <c r="Q65"/>
    </row>
    <row r="66">
      <c r="A66" t="inlineStr">
        <is>
          <t>SURF_MYRJ_45</t>
        </is>
      </c>
      <c r="B66" t="inlineStr">
        <is>
          <t>Myrj 45</t>
        </is>
      </c>
      <c r="C66"/>
      <c r="D66" t="inlineStr">
        <is>
          <t>Surfactant</t>
        </is>
      </c>
      <c r="E66" t="inlineStr">
        <is>
          <t>Nonionic surfactant</t>
        </is>
      </c>
      <c r="F66" t="inlineStr">
        <is>
          <t>Myrj/polyoxyl stearate</t>
        </is>
      </c>
      <c r="G66"/>
      <c r="H66"/>
      <c r="I66"/>
      <c r="J66"/>
      <c r="K66"/>
      <c r="L66" t="inlineStr">
        <is>
          <t>oral/topical; selected grades may support parenteral/inhalation with toxicology</t>
        </is>
      </c>
      <c r="M66" t="inlineStr">
        <is>
          <t>Check IID/compendial grade and route-specific limits.</t>
        </is>
      </c>
      <c r="N66" t="inlineStr">
        <is>
          <t>S007_EXCIPIENTS_HANDBOOK</t>
        </is>
      </c>
      <c r="O66" t="inlineStr">
        <is>
          <t>seed_curated</t>
        </is>
      </c>
      <c r="P66">
        <v>0.68</v>
      </c>
      <c r="Q66"/>
    </row>
    <row r="67">
      <c r="A67" t="inlineStr">
        <is>
          <t>SURF_MYRJ_49</t>
        </is>
      </c>
      <c r="B67" t="inlineStr">
        <is>
          <t>Myrj 49</t>
        </is>
      </c>
      <c r="C67"/>
      <c r="D67" t="inlineStr">
        <is>
          <t>Surfactant</t>
        </is>
      </c>
      <c r="E67" t="inlineStr">
        <is>
          <t>Nonionic surfactant</t>
        </is>
      </c>
      <c r="F67" t="inlineStr">
        <is>
          <t>Myrj/polyoxyl stearate</t>
        </is>
      </c>
      <c r="G67"/>
      <c r="H67"/>
      <c r="I67"/>
      <c r="J67"/>
      <c r="K67"/>
      <c r="L67" t="inlineStr">
        <is>
          <t>oral/topical; selected grades may support parenteral/inhalation with toxicology</t>
        </is>
      </c>
      <c r="M67" t="inlineStr">
        <is>
          <t>Check IID/compendial grade and route-specific limits.</t>
        </is>
      </c>
      <c r="N67" t="inlineStr">
        <is>
          <t>S007_EXCIPIENTS_HANDBOOK</t>
        </is>
      </c>
      <c r="O67" t="inlineStr">
        <is>
          <t>seed_curated</t>
        </is>
      </c>
      <c r="P67">
        <v>0.68</v>
      </c>
      <c r="Q67"/>
    </row>
    <row r="68">
      <c r="A68" t="inlineStr">
        <is>
          <t>SURF_MYRJ_52</t>
        </is>
      </c>
      <c r="B68" t="inlineStr">
        <is>
          <t>Myrj 52</t>
        </is>
      </c>
      <c r="C68"/>
      <c r="D68" t="inlineStr">
        <is>
          <t>Surfactant</t>
        </is>
      </c>
      <c r="E68" t="inlineStr">
        <is>
          <t>Nonionic surfactant</t>
        </is>
      </c>
      <c r="F68" t="inlineStr">
        <is>
          <t>Myrj/polyoxyl stearate</t>
        </is>
      </c>
      <c r="G68"/>
      <c r="H68"/>
      <c r="I68"/>
      <c r="J68"/>
      <c r="K68"/>
      <c r="L68" t="inlineStr">
        <is>
          <t>oral/topical; selected grades may support parenteral/inhalation with toxicology</t>
        </is>
      </c>
      <c r="M68" t="inlineStr">
        <is>
          <t>Check IID/compendial grade and route-specific limits.</t>
        </is>
      </c>
      <c r="N68" t="inlineStr">
        <is>
          <t>S007_EXCIPIENTS_HANDBOOK</t>
        </is>
      </c>
      <c r="O68" t="inlineStr">
        <is>
          <t>seed_curated</t>
        </is>
      </c>
      <c r="P68">
        <v>0.68</v>
      </c>
      <c r="Q68"/>
    </row>
    <row r="69">
      <c r="A69" t="inlineStr">
        <is>
          <t>SURF_MYRJ_53</t>
        </is>
      </c>
      <c r="B69" t="inlineStr">
        <is>
          <t>Myrj 53</t>
        </is>
      </c>
      <c r="C69"/>
      <c r="D69" t="inlineStr">
        <is>
          <t>Surfactant</t>
        </is>
      </c>
      <c r="E69" t="inlineStr">
        <is>
          <t>Nonionic surfactant</t>
        </is>
      </c>
      <c r="F69" t="inlineStr">
        <is>
          <t>Myrj/polyoxyl stearate</t>
        </is>
      </c>
      <c r="G69"/>
      <c r="H69"/>
      <c r="I69"/>
      <c r="J69"/>
      <c r="K69"/>
      <c r="L69" t="inlineStr">
        <is>
          <t>oral/topical; selected grades may support parenteral/inhalation with toxicology</t>
        </is>
      </c>
      <c r="M69" t="inlineStr">
        <is>
          <t>Check IID/compendial grade and route-specific limits.</t>
        </is>
      </c>
      <c r="N69" t="inlineStr">
        <is>
          <t>S007_EXCIPIENTS_HANDBOOK</t>
        </is>
      </c>
      <c r="O69" t="inlineStr">
        <is>
          <t>seed_curated</t>
        </is>
      </c>
      <c r="P69">
        <v>0.68</v>
      </c>
      <c r="Q69"/>
    </row>
    <row r="70">
      <c r="A70" t="inlineStr">
        <is>
          <t>SURF_MYRJ_59</t>
        </is>
      </c>
      <c r="B70" t="inlineStr">
        <is>
          <t>Myrj 59</t>
        </is>
      </c>
      <c r="C70"/>
      <c r="D70" t="inlineStr">
        <is>
          <t>Surfactant</t>
        </is>
      </c>
      <c r="E70" t="inlineStr">
        <is>
          <t>Nonionic surfactant</t>
        </is>
      </c>
      <c r="F70" t="inlineStr">
        <is>
          <t>Myrj/polyoxyl stearate</t>
        </is>
      </c>
      <c r="G70"/>
      <c r="H70"/>
      <c r="I70"/>
      <c r="J70"/>
      <c r="K70"/>
      <c r="L70" t="inlineStr">
        <is>
          <t>oral/topical; selected grades may support parenteral/inhalation with toxicology</t>
        </is>
      </c>
      <c r="M70" t="inlineStr">
        <is>
          <t>Check IID/compendial grade and route-specific limits.</t>
        </is>
      </c>
      <c r="N70" t="inlineStr">
        <is>
          <t>S007_EXCIPIENTS_HANDBOOK</t>
        </is>
      </c>
      <c r="O70" t="inlineStr">
        <is>
          <t>seed_curated</t>
        </is>
      </c>
      <c r="P70">
        <v>0.68</v>
      </c>
      <c r="Q70"/>
    </row>
    <row r="71">
      <c r="A71" t="inlineStr">
        <is>
          <t>SURF_POLOXAMER_124</t>
        </is>
      </c>
      <c r="B71" t="inlineStr">
        <is>
          <t>Poloxamer 124</t>
        </is>
      </c>
      <c r="C71"/>
      <c r="D71" t="inlineStr">
        <is>
          <t>Surfactant</t>
        </is>
      </c>
      <c r="E71" t="inlineStr">
        <is>
          <t>Nonionic surfactant</t>
        </is>
      </c>
      <c r="F71" t="inlineStr">
        <is>
          <t>poloxamer PEO-PPO-PEO</t>
        </is>
      </c>
      <c r="G71"/>
      <c r="H71"/>
      <c r="I71"/>
      <c r="J71"/>
      <c r="K71"/>
      <c r="L71" t="inlineStr">
        <is>
          <t>oral/topical; selected grades may support parenteral/inhalation with toxicology</t>
        </is>
      </c>
      <c r="M71" t="inlineStr">
        <is>
          <t>Check IID/compendial grade and route-specific limits.</t>
        </is>
      </c>
      <c r="N71" t="inlineStr">
        <is>
          <t>S010_BASF_KOLLIPHOR</t>
        </is>
      </c>
      <c r="O71" t="inlineStr">
        <is>
          <t>seed_curated</t>
        </is>
      </c>
      <c r="P71">
        <v>0.68</v>
      </c>
      <c r="Q71"/>
    </row>
    <row r="72">
      <c r="A72" t="inlineStr">
        <is>
          <t>SURF_POLOXAMER_188</t>
        </is>
      </c>
      <c r="B72" t="inlineStr">
        <is>
          <t>Poloxamer 188</t>
        </is>
      </c>
      <c r="C72"/>
      <c r="D72" t="inlineStr">
        <is>
          <t>Surfactant</t>
        </is>
      </c>
      <c r="E72" t="inlineStr">
        <is>
          <t>Nonionic surfactant</t>
        </is>
      </c>
      <c r="F72" t="inlineStr">
        <is>
          <t>poloxamer PEO-PPO-PEO</t>
        </is>
      </c>
      <c r="G72"/>
      <c r="H72"/>
      <c r="I72"/>
      <c r="J72"/>
      <c r="K72"/>
      <c r="L72" t="inlineStr">
        <is>
          <t>oral/topical; selected grades may support parenteral/inhalation with toxicology</t>
        </is>
      </c>
      <c r="M72" t="inlineStr">
        <is>
          <t>Check IID/compendial grade and route-specific limits.</t>
        </is>
      </c>
      <c r="N72" t="inlineStr">
        <is>
          <t>S010_BASF_KOLLIPHOR</t>
        </is>
      </c>
      <c r="O72" t="inlineStr">
        <is>
          <t>seed_curated</t>
        </is>
      </c>
      <c r="P72">
        <v>0.68</v>
      </c>
      <c r="Q72"/>
    </row>
    <row r="73">
      <c r="A73" t="inlineStr">
        <is>
          <t>SURF_POLOXAMER_237</t>
        </is>
      </c>
      <c r="B73" t="inlineStr">
        <is>
          <t>Poloxamer 237</t>
        </is>
      </c>
      <c r="C73"/>
      <c r="D73" t="inlineStr">
        <is>
          <t>Surfactant</t>
        </is>
      </c>
      <c r="E73" t="inlineStr">
        <is>
          <t>Nonionic surfactant</t>
        </is>
      </c>
      <c r="F73" t="inlineStr">
        <is>
          <t>poloxamer PEO-PPO-PEO</t>
        </is>
      </c>
      <c r="G73"/>
      <c r="H73"/>
      <c r="I73"/>
      <c r="J73"/>
      <c r="K73"/>
      <c r="L73" t="inlineStr">
        <is>
          <t>oral/topical; selected grades may support parenteral/inhalation with toxicology</t>
        </is>
      </c>
      <c r="M73" t="inlineStr">
        <is>
          <t>Check IID/compendial grade and route-specific limits.</t>
        </is>
      </c>
      <c r="N73" t="inlineStr">
        <is>
          <t>S010_BASF_KOLLIPHOR</t>
        </is>
      </c>
      <c r="O73" t="inlineStr">
        <is>
          <t>seed_curated</t>
        </is>
      </c>
      <c r="P73">
        <v>0.68</v>
      </c>
      <c r="Q73"/>
    </row>
    <row r="74">
      <c r="A74" t="inlineStr">
        <is>
          <t>SURF_POLOXAMER_338</t>
        </is>
      </c>
      <c r="B74" t="inlineStr">
        <is>
          <t>Poloxamer 338</t>
        </is>
      </c>
      <c r="C74"/>
      <c r="D74" t="inlineStr">
        <is>
          <t>Surfactant</t>
        </is>
      </c>
      <c r="E74" t="inlineStr">
        <is>
          <t>Nonionic surfactant</t>
        </is>
      </c>
      <c r="F74" t="inlineStr">
        <is>
          <t>poloxamer PEO-PPO-PEO</t>
        </is>
      </c>
      <c r="G74"/>
      <c r="H74"/>
      <c r="I74"/>
      <c r="J74"/>
      <c r="K74"/>
      <c r="L74" t="inlineStr">
        <is>
          <t>oral/topical; selected grades may support parenteral/inhalation with toxicology</t>
        </is>
      </c>
      <c r="M74" t="inlineStr">
        <is>
          <t>Check IID/compendial grade and route-specific limits.</t>
        </is>
      </c>
      <c r="N74" t="inlineStr">
        <is>
          <t>S010_BASF_KOLLIPHOR</t>
        </is>
      </c>
      <c r="O74" t="inlineStr">
        <is>
          <t>seed_curated</t>
        </is>
      </c>
      <c r="P74">
        <v>0.68</v>
      </c>
      <c r="Q74"/>
    </row>
    <row r="75">
      <c r="A75" t="inlineStr">
        <is>
          <t>SURF_POLOXAMER_407</t>
        </is>
      </c>
      <c r="B75" t="inlineStr">
        <is>
          <t>Poloxamer 407</t>
        </is>
      </c>
      <c r="C75"/>
      <c r="D75" t="inlineStr">
        <is>
          <t>Surfactant</t>
        </is>
      </c>
      <c r="E75" t="inlineStr">
        <is>
          <t>Nonionic surfactant</t>
        </is>
      </c>
      <c r="F75" t="inlineStr">
        <is>
          <t>poloxamer PEO-PPO-PEO</t>
        </is>
      </c>
      <c r="G75"/>
      <c r="H75"/>
      <c r="I75"/>
      <c r="J75"/>
      <c r="K75"/>
      <c r="L75" t="inlineStr">
        <is>
          <t>oral/topical; selected grades may support parenteral/inhalation with toxicology</t>
        </is>
      </c>
      <c r="M75" t="inlineStr">
        <is>
          <t>Check IID/compendial grade and route-specific limits.</t>
        </is>
      </c>
      <c r="N75" t="inlineStr">
        <is>
          <t>S010_BASF_KOLLIPHOR</t>
        </is>
      </c>
      <c r="O75" t="inlineStr">
        <is>
          <t>seed_curated</t>
        </is>
      </c>
      <c r="P75">
        <v>0.68</v>
      </c>
      <c r="Q75"/>
    </row>
    <row r="76">
      <c r="A76" t="inlineStr">
        <is>
          <t>SURF_POLOXAMER_P85</t>
        </is>
      </c>
      <c r="B76" t="inlineStr">
        <is>
          <t>Poloxamer P85</t>
        </is>
      </c>
      <c r="C76"/>
      <c r="D76" t="inlineStr">
        <is>
          <t>Surfactant</t>
        </is>
      </c>
      <c r="E76" t="inlineStr">
        <is>
          <t>Nonionic surfactant</t>
        </is>
      </c>
      <c r="F76" t="inlineStr">
        <is>
          <t>poloxamer PEO-PPO-PEO</t>
        </is>
      </c>
      <c r="G76"/>
      <c r="H76"/>
      <c r="I76"/>
      <c r="J76"/>
      <c r="K76"/>
      <c r="L76" t="inlineStr">
        <is>
          <t>oral/topical; selected grades may support parenteral/inhalation with toxicology</t>
        </is>
      </c>
      <c r="M76" t="inlineStr">
        <is>
          <t>Check IID/compendial grade and route-specific limits.</t>
        </is>
      </c>
      <c r="N76" t="inlineStr">
        <is>
          <t>S010_BASF_KOLLIPHOR</t>
        </is>
      </c>
      <c r="O76" t="inlineStr">
        <is>
          <t>seed_curated</t>
        </is>
      </c>
      <c r="P76">
        <v>0.68</v>
      </c>
      <c r="Q76"/>
    </row>
    <row r="77">
      <c r="A77" t="inlineStr">
        <is>
          <t>SURF_POLOXAMER_L64</t>
        </is>
      </c>
      <c r="B77" t="inlineStr">
        <is>
          <t>Poloxamer L64</t>
        </is>
      </c>
      <c r="C77"/>
      <c r="D77" t="inlineStr">
        <is>
          <t>Surfactant</t>
        </is>
      </c>
      <c r="E77" t="inlineStr">
        <is>
          <t>Nonionic surfactant</t>
        </is>
      </c>
      <c r="F77" t="inlineStr">
        <is>
          <t>poloxamer PEO-PPO-PEO</t>
        </is>
      </c>
      <c r="G77"/>
      <c r="H77"/>
      <c r="I77"/>
      <c r="J77"/>
      <c r="K77"/>
      <c r="L77" t="inlineStr">
        <is>
          <t>oral/topical; selected grades may support parenteral/inhalation with toxicology</t>
        </is>
      </c>
      <c r="M77" t="inlineStr">
        <is>
          <t>Check IID/compendial grade and route-specific limits.</t>
        </is>
      </c>
      <c r="N77" t="inlineStr">
        <is>
          <t>S010_BASF_KOLLIPHOR</t>
        </is>
      </c>
      <c r="O77" t="inlineStr">
        <is>
          <t>seed_curated</t>
        </is>
      </c>
      <c r="P77">
        <v>0.68</v>
      </c>
      <c r="Q77"/>
    </row>
    <row r="78">
      <c r="A78" t="inlineStr">
        <is>
          <t>SURF_KOLLIPHOR_P188</t>
        </is>
      </c>
      <c r="B78" t="inlineStr">
        <is>
          <t>Kolliphor P188</t>
        </is>
      </c>
      <c r="C78"/>
      <c r="D78" t="inlineStr">
        <is>
          <t>Surfactant</t>
        </is>
      </c>
      <c r="E78" t="inlineStr">
        <is>
          <t>Nonionic surfactant</t>
        </is>
      </c>
      <c r="F78" t="inlineStr">
        <is>
          <t>Kolliphor/poloxamer</t>
        </is>
      </c>
      <c r="G78"/>
      <c r="H78"/>
      <c r="I78"/>
      <c r="J78"/>
      <c r="K78"/>
      <c r="L78" t="inlineStr">
        <is>
          <t>oral/topical; selected grades may support parenteral/inhalation with toxicology</t>
        </is>
      </c>
      <c r="M78" t="inlineStr">
        <is>
          <t>Check IID/compendial grade and route-specific limits.</t>
        </is>
      </c>
      <c r="N78" t="inlineStr">
        <is>
          <t>S010_BASF_KOLLIPHOR</t>
        </is>
      </c>
      <c r="O78" t="inlineStr">
        <is>
          <t>seed_curated</t>
        </is>
      </c>
      <c r="P78">
        <v>0.68</v>
      </c>
      <c r="Q78"/>
    </row>
    <row r="79">
      <c r="A79" t="inlineStr">
        <is>
          <t>SURF_KOLLIPHOR_P407</t>
        </is>
      </c>
      <c r="B79" t="inlineStr">
        <is>
          <t>Kolliphor P407</t>
        </is>
      </c>
      <c r="C79"/>
      <c r="D79" t="inlineStr">
        <is>
          <t>Surfactant</t>
        </is>
      </c>
      <c r="E79" t="inlineStr">
        <is>
          <t>Nonionic surfactant</t>
        </is>
      </c>
      <c r="F79" t="inlineStr">
        <is>
          <t>Kolliphor/poloxamer</t>
        </is>
      </c>
      <c r="G79"/>
      <c r="H79"/>
      <c r="I79"/>
      <c r="J79"/>
      <c r="K79"/>
      <c r="L79" t="inlineStr">
        <is>
          <t>oral/topical; selected grades may support parenteral/inhalation with toxicology</t>
        </is>
      </c>
      <c r="M79" t="inlineStr">
        <is>
          <t>Check IID/compendial grade and route-specific limits.</t>
        </is>
      </c>
      <c r="N79" t="inlineStr">
        <is>
          <t>S010_BASF_KOLLIPHOR</t>
        </is>
      </c>
      <c r="O79" t="inlineStr">
        <is>
          <t>seed_curated</t>
        </is>
      </c>
      <c r="P79">
        <v>0.68</v>
      </c>
      <c r="Q79"/>
    </row>
    <row r="80">
      <c r="A80" t="inlineStr">
        <is>
          <t>SURF_KOLLIPHOR_HS15_SOLUTOL_HS15</t>
        </is>
      </c>
      <c r="B80" t="inlineStr">
        <is>
          <t>Kolliphor HS15 / Solutol HS15</t>
        </is>
      </c>
      <c r="C80"/>
      <c r="D80" t="inlineStr">
        <is>
          <t>Surfactant</t>
        </is>
      </c>
      <c r="E80" t="inlineStr">
        <is>
          <t>Nonionic surfactant</t>
        </is>
      </c>
      <c r="F80" t="inlineStr">
        <is>
          <t>Kolliphor/Cremophor</t>
        </is>
      </c>
      <c r="G80"/>
      <c r="H80"/>
      <c r="I80"/>
      <c r="J80"/>
      <c r="K80"/>
      <c r="L80" t="inlineStr">
        <is>
          <t>oral/topical; selected grades may support parenteral/inhalation with toxicology</t>
        </is>
      </c>
      <c r="M80" t="inlineStr">
        <is>
          <t>Check IID/compendial grade and route-specific limits.</t>
        </is>
      </c>
      <c r="N80" t="inlineStr">
        <is>
          <t>S010_BASF_KOLLIPHOR</t>
        </is>
      </c>
      <c r="O80" t="inlineStr">
        <is>
          <t>seed_curated</t>
        </is>
      </c>
      <c r="P80">
        <v>0.68</v>
      </c>
      <c r="Q80" t="inlineStr">
        <is>
          <t>macrogol 15 hydroxystearate; parenteral solubilizer precedent</t>
        </is>
      </c>
    </row>
    <row r="81">
      <c r="A81" t="inlineStr">
        <is>
          <t>SURF_KOLLIPHOR_EL_CREMOPHOR_EL</t>
        </is>
      </c>
      <c r="B81" t="inlineStr">
        <is>
          <t>Kolliphor EL / Cremophor EL</t>
        </is>
      </c>
      <c r="C81"/>
      <c r="D81" t="inlineStr">
        <is>
          <t>Surfactant</t>
        </is>
      </c>
      <c r="E81" t="inlineStr">
        <is>
          <t>Nonionic surfactant</t>
        </is>
      </c>
      <c r="F81" t="inlineStr">
        <is>
          <t>Kolliphor/Cremophor</t>
        </is>
      </c>
      <c r="G81"/>
      <c r="H81"/>
      <c r="I81"/>
      <c r="J81"/>
      <c r="K81"/>
      <c r="L81" t="inlineStr">
        <is>
          <t>oral/topical; selected grades may support parenteral/inhalation with toxicology</t>
        </is>
      </c>
      <c r="M81" t="inlineStr">
        <is>
          <t>Check IID/compendial grade and route-specific limits.</t>
        </is>
      </c>
      <c r="N81" t="inlineStr">
        <is>
          <t>S010_BASF_KOLLIPHOR</t>
        </is>
      </c>
      <c r="O81" t="inlineStr">
        <is>
          <t>seed_curated</t>
        </is>
      </c>
      <c r="P81">
        <v>0.68</v>
      </c>
      <c r="Q81" t="inlineStr">
        <is>
          <t>polyoxyl castor oil; hypersensitivity risk in parenteral taxane products</t>
        </is>
      </c>
    </row>
    <row r="82">
      <c r="A82" t="inlineStr">
        <is>
          <t>SURF_KOLLIPHOR_RH40_CREMOPHOR_RH40</t>
        </is>
      </c>
      <c r="B82" t="inlineStr">
        <is>
          <t>Kolliphor RH40 / Cremophor RH40</t>
        </is>
      </c>
      <c r="C82"/>
      <c r="D82" t="inlineStr">
        <is>
          <t>Surfactant</t>
        </is>
      </c>
      <c r="E82" t="inlineStr">
        <is>
          <t>Nonionic surfactant</t>
        </is>
      </c>
      <c r="F82" t="inlineStr">
        <is>
          <t>Kolliphor/Cremophor</t>
        </is>
      </c>
      <c r="G82"/>
      <c r="H82"/>
      <c r="I82"/>
      <c r="J82"/>
      <c r="K82"/>
      <c r="L82" t="inlineStr">
        <is>
          <t>oral/topical; selected grades may support parenteral/inhalation with toxicology</t>
        </is>
      </c>
      <c r="M82" t="inlineStr">
        <is>
          <t>Check IID/compendial grade and route-specific limits.</t>
        </is>
      </c>
      <c r="N82" t="inlineStr">
        <is>
          <t>S010_BASF_KOLLIPHOR</t>
        </is>
      </c>
      <c r="O82" t="inlineStr">
        <is>
          <t>seed_curated</t>
        </is>
      </c>
      <c r="P82">
        <v>0.68</v>
      </c>
      <c r="Q82" t="inlineStr">
        <is>
          <t>polyoxyl 40 hydrogenated castor oil</t>
        </is>
      </c>
    </row>
    <row r="83">
      <c r="A83" t="inlineStr">
        <is>
          <t>SURF_LABRASOL</t>
        </is>
      </c>
      <c r="B83" t="inlineStr">
        <is>
          <t>Labrasol</t>
        </is>
      </c>
      <c r="C83"/>
      <c r="D83" t="inlineStr">
        <is>
          <t>Surfactant</t>
        </is>
      </c>
      <c r="E83" t="inlineStr">
        <is>
          <t>Nonionic surfactant</t>
        </is>
      </c>
      <c r="F83" t="inlineStr">
        <is>
          <t>Gattefossé solubilizer</t>
        </is>
      </c>
      <c r="G83"/>
      <c r="H83"/>
      <c r="I83"/>
      <c r="J83"/>
      <c r="K83"/>
      <c r="L83" t="inlineStr">
        <is>
          <t>oral/topical; selected grades may support parenteral/inhalation with toxicology</t>
        </is>
      </c>
      <c r="M83" t="inlineStr">
        <is>
          <t>Check IID/compendial grade and route-specific limits.</t>
        </is>
      </c>
      <c r="N83" t="inlineStr">
        <is>
          <t>S009_GATTEFOSSE</t>
        </is>
      </c>
      <c r="O83" t="inlineStr">
        <is>
          <t>seed_curated</t>
        </is>
      </c>
      <c r="P83">
        <v>0.68</v>
      </c>
      <c r="Q83"/>
    </row>
    <row r="84">
      <c r="A84" t="inlineStr">
        <is>
          <t>SURF_TRANSCUTOL_P</t>
        </is>
      </c>
      <c r="B84" t="inlineStr">
        <is>
          <t>Transcutol P</t>
        </is>
      </c>
      <c r="C84"/>
      <c r="D84" t="inlineStr">
        <is>
          <t>Surfactant</t>
        </is>
      </c>
      <c r="E84" t="inlineStr">
        <is>
          <t>Nonionic surfactant</t>
        </is>
      </c>
      <c r="F84" t="inlineStr">
        <is>
          <t>cosolvent/solubilizer</t>
        </is>
      </c>
      <c r="G84"/>
      <c r="H84"/>
      <c r="I84"/>
      <c r="J84"/>
      <c r="K84"/>
      <c r="L84" t="inlineStr">
        <is>
          <t>oral/topical; selected grades may support parenteral/inhalation with toxicology</t>
        </is>
      </c>
      <c r="M84" t="inlineStr">
        <is>
          <t>Check IID/compendial grade and route-specific limits.</t>
        </is>
      </c>
      <c r="N84" t="inlineStr">
        <is>
          <t>S009_GATTEFOSSE</t>
        </is>
      </c>
      <c r="O84" t="inlineStr">
        <is>
          <t>seed_curated</t>
        </is>
      </c>
      <c r="P84">
        <v>0.68</v>
      </c>
      <c r="Q84"/>
    </row>
    <row r="85">
      <c r="A85" t="inlineStr">
        <is>
          <t>SURF_VITAMIN_E_TPGS</t>
        </is>
      </c>
      <c r="B85" t="inlineStr">
        <is>
          <t>Vitamin E TPGS</t>
        </is>
      </c>
      <c r="C85"/>
      <c r="D85" t="inlineStr">
        <is>
          <t>Surfactant</t>
        </is>
      </c>
      <c r="E85" t="inlineStr">
        <is>
          <t>Nonionic surfactant</t>
        </is>
      </c>
      <c r="F85" t="inlineStr">
        <is>
          <t>vitamin-E surfactant</t>
        </is>
      </c>
      <c r="G85"/>
      <c r="H85"/>
      <c r="I85"/>
      <c r="J85"/>
      <c r="K85"/>
      <c r="L85" t="inlineStr">
        <is>
          <t>oral/topical; selected grades may support parenteral/inhalation with toxicology</t>
        </is>
      </c>
      <c r="M85" t="inlineStr">
        <is>
          <t>Check IID/compendial grade and route-specific limits.</t>
        </is>
      </c>
      <c r="N85" t="inlineStr">
        <is>
          <t>S007_EXCIPIENTS_HANDBOOK</t>
        </is>
      </c>
      <c r="O85" t="inlineStr">
        <is>
          <t>seed_curated</t>
        </is>
      </c>
      <c r="P85">
        <v>0.68</v>
      </c>
      <c r="Q85"/>
    </row>
    <row r="86">
      <c r="A86" t="inlineStr">
        <is>
          <t>SURF_SLS_SODIUM_LAURYL_SULFATE</t>
        </is>
      </c>
      <c r="B86" t="inlineStr">
        <is>
          <t>SLS / sodium lauryl sulfate</t>
        </is>
      </c>
      <c r="C86"/>
      <c r="D86" t="inlineStr">
        <is>
          <t>Surfactant</t>
        </is>
      </c>
      <c r="E86" t="inlineStr">
        <is>
          <t>Ionic surfactant</t>
        </is>
      </c>
      <c r="F86" t="inlineStr">
        <is>
          <t>anionic surfactant</t>
        </is>
      </c>
      <c r="G86"/>
      <c r="H86"/>
      <c r="I86"/>
      <c r="J86"/>
      <c r="K86"/>
      <c r="L86" t="inlineStr">
        <is>
          <t>oral/topical; selected grades may support parenteral/inhalation with toxicology</t>
        </is>
      </c>
      <c r="M86" t="inlineStr">
        <is>
          <t>Check IID/compendial grade and route-specific limits.</t>
        </is>
      </c>
      <c r="N86" t="inlineStr">
        <is>
          <t>S007_EXCIPIENTS_HANDBOOK</t>
        </is>
      </c>
      <c r="O86" t="inlineStr">
        <is>
          <t>seed_curated</t>
        </is>
      </c>
      <c r="P86">
        <v>0.68</v>
      </c>
      <c r="Q86"/>
    </row>
    <row r="87">
      <c r="A87" t="inlineStr">
        <is>
          <t>SURF_CTAB</t>
        </is>
      </c>
      <c r="B87" t="inlineStr">
        <is>
          <t>CTAB</t>
        </is>
      </c>
      <c r="C87"/>
      <c r="D87" t="inlineStr">
        <is>
          <t>Surfactant</t>
        </is>
      </c>
      <c r="E87" t="inlineStr">
        <is>
          <t>Ionic surfactant</t>
        </is>
      </c>
      <c r="F87" t="inlineStr">
        <is>
          <t>cationic surfactant</t>
        </is>
      </c>
      <c r="G87"/>
      <c r="H87"/>
      <c r="I87"/>
      <c r="J87"/>
      <c r="K87"/>
      <c r="L87" t="inlineStr">
        <is>
          <t>oral/topical; selected grades may support parenteral/inhalation with toxicology</t>
        </is>
      </c>
      <c r="M87" t="inlineStr">
        <is>
          <t>Check IID/compendial grade and route-specific limits.</t>
        </is>
      </c>
      <c r="N87" t="inlineStr">
        <is>
          <t>S007_EXCIPIENTS_HANDBOOK</t>
        </is>
      </c>
      <c r="O87" t="inlineStr">
        <is>
          <t>seed_curated</t>
        </is>
      </c>
      <c r="P87">
        <v>0.68</v>
      </c>
      <c r="Q87"/>
    </row>
    <row r="88">
      <c r="A88" t="inlineStr">
        <is>
          <t>SURF_SUCROSE_MONOLAURATE</t>
        </is>
      </c>
      <c r="B88" t="inlineStr">
        <is>
          <t>Sucrose monolaurate</t>
        </is>
      </c>
      <c r="C88"/>
      <c r="D88" t="inlineStr">
        <is>
          <t>Surfactant</t>
        </is>
      </c>
      <c r="E88" t="inlineStr">
        <is>
          <t>Nonionic surfactant</t>
        </is>
      </c>
      <c r="F88" t="inlineStr">
        <is>
          <t>sucrose ester</t>
        </is>
      </c>
      <c r="G88"/>
      <c r="H88"/>
      <c r="I88"/>
      <c r="J88"/>
      <c r="K88"/>
      <c r="L88" t="inlineStr">
        <is>
          <t>oral/topical; selected grades may support parenteral/inhalation with toxicology</t>
        </is>
      </c>
      <c r="M88" t="inlineStr">
        <is>
          <t>Check IID/compendial grade and route-specific limits.</t>
        </is>
      </c>
      <c r="N88" t="inlineStr">
        <is>
          <t>S007_EXCIPIENTS_HANDBOOK</t>
        </is>
      </c>
      <c r="O88" t="inlineStr">
        <is>
          <t>seed_curated</t>
        </is>
      </c>
      <c r="P88">
        <v>0.68</v>
      </c>
      <c r="Q88"/>
    </row>
    <row r="89">
      <c r="A89" t="inlineStr">
        <is>
          <t>SURF_SUCROSE_MONOPALMITATE</t>
        </is>
      </c>
      <c r="B89" t="inlineStr">
        <is>
          <t>Sucrose monopalmitate</t>
        </is>
      </c>
      <c r="C89"/>
      <c r="D89" t="inlineStr">
        <is>
          <t>Surfactant</t>
        </is>
      </c>
      <c r="E89" t="inlineStr">
        <is>
          <t>Nonionic surfactant</t>
        </is>
      </c>
      <c r="F89" t="inlineStr">
        <is>
          <t>sucrose ester</t>
        </is>
      </c>
      <c r="G89"/>
      <c r="H89"/>
      <c r="I89"/>
      <c r="J89"/>
      <c r="K89"/>
      <c r="L89" t="inlineStr">
        <is>
          <t>oral/topical; selected grades may support parenteral/inhalation with toxicology</t>
        </is>
      </c>
      <c r="M89" t="inlineStr">
        <is>
          <t>Check IID/compendial grade and route-specific limits.</t>
        </is>
      </c>
      <c r="N89" t="inlineStr">
        <is>
          <t>S007_EXCIPIENTS_HANDBOOK</t>
        </is>
      </c>
      <c r="O89" t="inlineStr">
        <is>
          <t>seed_curated</t>
        </is>
      </c>
      <c r="P89">
        <v>0.68</v>
      </c>
      <c r="Q89"/>
    </row>
    <row r="90">
      <c r="A90" t="inlineStr">
        <is>
          <t>SURF_SUCROSE_MONOSTEARATE</t>
        </is>
      </c>
      <c r="B90" t="inlineStr">
        <is>
          <t>Sucrose monostearate</t>
        </is>
      </c>
      <c r="C90"/>
      <c r="D90" t="inlineStr">
        <is>
          <t>Surfactant</t>
        </is>
      </c>
      <c r="E90" t="inlineStr">
        <is>
          <t>Nonionic surfactant</t>
        </is>
      </c>
      <c r="F90" t="inlineStr">
        <is>
          <t>sucrose ester</t>
        </is>
      </c>
      <c r="G90"/>
      <c r="H90"/>
      <c r="I90"/>
      <c r="J90"/>
      <c r="K90"/>
      <c r="L90" t="inlineStr">
        <is>
          <t>oral/topical; selected grades may support parenteral/inhalation with toxicology</t>
        </is>
      </c>
      <c r="M90" t="inlineStr">
        <is>
          <t>Check IID/compendial grade and route-specific limits.</t>
        </is>
      </c>
      <c r="N90" t="inlineStr">
        <is>
          <t>S007_EXCIPIENTS_HANDBOOK</t>
        </is>
      </c>
      <c r="O90" t="inlineStr">
        <is>
          <t>seed_curated</t>
        </is>
      </c>
      <c r="P90">
        <v>0.68</v>
      </c>
      <c r="Q90"/>
    </row>
    <row r="91">
      <c r="A91" t="inlineStr">
        <is>
          <t>SURF_SUCROSE_MONOOLEATE</t>
        </is>
      </c>
      <c r="B91" t="inlineStr">
        <is>
          <t>Sucrose monooleate</t>
        </is>
      </c>
      <c r="C91"/>
      <c r="D91" t="inlineStr">
        <is>
          <t>Surfactant</t>
        </is>
      </c>
      <c r="E91" t="inlineStr">
        <is>
          <t>Nonionic surfactant</t>
        </is>
      </c>
      <c r="F91" t="inlineStr">
        <is>
          <t>sucrose ester</t>
        </is>
      </c>
      <c r="G91"/>
      <c r="H91"/>
      <c r="I91"/>
      <c r="J91"/>
      <c r="K91"/>
      <c r="L91" t="inlineStr">
        <is>
          <t>oral/topical; selected grades may support parenteral/inhalation with toxicology</t>
        </is>
      </c>
      <c r="M91" t="inlineStr">
        <is>
          <t>Check IID/compendial grade and route-specific limits.</t>
        </is>
      </c>
      <c r="N91" t="inlineStr">
        <is>
          <t>S007_EXCIPIENTS_HANDBOOK</t>
        </is>
      </c>
      <c r="O91" t="inlineStr">
        <is>
          <t>seed_curated</t>
        </is>
      </c>
      <c r="P91">
        <v>0.68</v>
      </c>
      <c r="Q91"/>
    </row>
    <row r="92">
      <c r="A92" t="inlineStr">
        <is>
          <t>SURF_OCTYL_GLUCOSIDE</t>
        </is>
      </c>
      <c r="B92" t="inlineStr">
        <is>
          <t>Octyl glucoside</t>
        </is>
      </c>
      <c r="C92"/>
      <c r="D92" t="inlineStr">
        <is>
          <t>Surfactant</t>
        </is>
      </c>
      <c r="E92" t="inlineStr">
        <is>
          <t>Nonionic surfactant</t>
        </is>
      </c>
      <c r="F92" t="inlineStr">
        <is>
          <t>alkyl glycoside</t>
        </is>
      </c>
      <c r="G92"/>
      <c r="H92"/>
      <c r="I92"/>
      <c r="J92"/>
      <c r="K92"/>
      <c r="L92" t="inlineStr">
        <is>
          <t>oral/topical; selected grades may support parenteral/inhalation with toxicology</t>
        </is>
      </c>
      <c r="M92" t="inlineStr">
        <is>
          <t>Check IID/compendial grade and route-specific limits.</t>
        </is>
      </c>
      <c r="N92" t="inlineStr">
        <is>
          <t>S007_EXCIPIENTS_HANDBOOK</t>
        </is>
      </c>
      <c r="O92" t="inlineStr">
        <is>
          <t>seed_curated</t>
        </is>
      </c>
      <c r="P92">
        <v>0.68</v>
      </c>
      <c r="Q92"/>
    </row>
    <row r="93">
      <c r="A93" t="inlineStr">
        <is>
          <t>SURF_DECYL_MALTOSIDE</t>
        </is>
      </c>
      <c r="B93" t="inlineStr">
        <is>
          <t>Decyl maltoside</t>
        </is>
      </c>
      <c r="C93"/>
      <c r="D93" t="inlineStr">
        <is>
          <t>Surfactant</t>
        </is>
      </c>
      <c r="E93" t="inlineStr">
        <is>
          <t>Nonionic surfactant</t>
        </is>
      </c>
      <c r="F93" t="inlineStr">
        <is>
          <t>alkyl glycoside</t>
        </is>
      </c>
      <c r="G93"/>
      <c r="H93"/>
      <c r="I93"/>
      <c r="J93"/>
      <c r="K93"/>
      <c r="L93" t="inlineStr">
        <is>
          <t>oral/topical; selected grades may support parenteral/inhalation with toxicology</t>
        </is>
      </c>
      <c r="M93" t="inlineStr">
        <is>
          <t>Check IID/compendial grade and route-specific limits.</t>
        </is>
      </c>
      <c r="N93" t="inlineStr">
        <is>
          <t>S007_EXCIPIENTS_HANDBOOK</t>
        </is>
      </c>
      <c r="O93" t="inlineStr">
        <is>
          <t>seed_curated</t>
        </is>
      </c>
      <c r="P93">
        <v>0.68</v>
      </c>
      <c r="Q93"/>
    </row>
    <row r="94">
      <c r="A94" t="inlineStr">
        <is>
          <t>SURF_LAURYL_MALTOSIDE</t>
        </is>
      </c>
      <c r="B94" t="inlineStr">
        <is>
          <t>Lauryl maltoside</t>
        </is>
      </c>
      <c r="C94"/>
      <c r="D94" t="inlineStr">
        <is>
          <t>Surfactant</t>
        </is>
      </c>
      <c r="E94" t="inlineStr">
        <is>
          <t>Nonionic surfactant</t>
        </is>
      </c>
      <c r="F94" t="inlineStr">
        <is>
          <t>alkyl glycoside</t>
        </is>
      </c>
      <c r="G94"/>
      <c r="H94"/>
      <c r="I94"/>
      <c r="J94"/>
      <c r="K94"/>
      <c r="L94" t="inlineStr">
        <is>
          <t>oral/topical; selected grades may support parenteral/inhalation with toxicology</t>
        </is>
      </c>
      <c r="M94" t="inlineStr">
        <is>
          <t>Check IID/compendial grade and route-specific limits.</t>
        </is>
      </c>
      <c r="N94" t="inlineStr">
        <is>
          <t>S007_EXCIPIENTS_HANDBOOK</t>
        </is>
      </c>
      <c r="O94" t="inlineStr">
        <is>
          <t>seed_curated</t>
        </is>
      </c>
      <c r="P94">
        <v>0.68</v>
      </c>
      <c r="Q94"/>
    </row>
    <row r="95">
      <c r="A95" t="inlineStr">
        <is>
          <t>LIP_LECITHIN</t>
        </is>
      </c>
      <c r="B95" t="inlineStr">
        <is>
          <t>Lecithin</t>
        </is>
      </c>
      <c r="C95" t="inlineStr">
        <is>
          <t>phosphatidylcholine-rich natural phospholipid mixture</t>
        </is>
      </c>
      <c r="D95" t="inlineStr">
        <is>
          <t>Lipid</t>
        </is>
      </c>
      <c r="E95" t="inlineStr">
        <is>
          <t>Phospholipid/membrane lipid</t>
        </is>
      </c>
      <c r="F95" t="inlineStr">
        <is>
          <t>natural/mixed phospholipid</t>
        </is>
      </c>
      <c r="G95"/>
      <c r="H95"/>
      <c r="I95"/>
      <c r="J95"/>
      <c r="K95"/>
      <c r="L95" t="inlineStr">
        <is>
          <t>liposome/LNP/nanocarrier; route-grade dependent</t>
        </is>
      </c>
      <c r="M95" t="inlineStr">
        <is>
          <t>Use GMP lipid grade and route-specific impurity/endotoxin specs.</t>
        </is>
      </c>
      <c r="N95" t="inlineStr">
        <is>
          <t>S003_AVANTI_PHASE</t>
        </is>
      </c>
      <c r="O95" t="inlineStr">
        <is>
          <t>seed_curated</t>
        </is>
      </c>
      <c r="P95">
        <v>0.72</v>
      </c>
      <c r="Q95" t="inlineStr">
        <is>
          <t>composition-grade dependent</t>
        </is>
      </c>
    </row>
    <row r="96">
      <c r="A96" t="inlineStr">
        <is>
          <t>LIP_EGG_PHOSPHATIDYLCHOLINE_EPC</t>
        </is>
      </c>
      <c r="B96" t="inlineStr">
        <is>
          <t>Egg phosphatidylcholine / EPC</t>
        </is>
      </c>
      <c r="C96" t="inlineStr">
        <is>
          <t>EPC</t>
        </is>
      </c>
      <c r="D96" t="inlineStr">
        <is>
          <t>Lipid</t>
        </is>
      </c>
      <c r="E96" t="inlineStr">
        <is>
          <t>Phospholipid/membrane lipid</t>
        </is>
      </c>
      <c r="F96" t="inlineStr">
        <is>
          <t>natural/mixed phospholipid</t>
        </is>
      </c>
      <c r="G96"/>
      <c r="H96"/>
      <c r="I96"/>
      <c r="J96"/>
      <c r="K96"/>
      <c r="L96" t="inlineStr">
        <is>
          <t>liposome/LNP/nanocarrier; route-grade dependent</t>
        </is>
      </c>
      <c r="M96" t="inlineStr">
        <is>
          <t>Use GMP lipid grade and route-specific impurity/endotoxin specs.</t>
        </is>
      </c>
      <c r="N96" t="inlineStr">
        <is>
          <t>S003_AVANTI_PHASE</t>
        </is>
      </c>
      <c r="O96" t="inlineStr">
        <is>
          <t>seed_curated</t>
        </is>
      </c>
      <c r="P96">
        <v>0.72</v>
      </c>
      <c r="Q96" t="inlineStr">
        <is>
          <t>mixed egg PC acyl distribution</t>
        </is>
      </c>
    </row>
    <row r="97">
      <c r="A97" t="inlineStr">
        <is>
          <t>LIP_SOY_PHOSPHATIDYLCHOLINE_SPC</t>
        </is>
      </c>
      <c r="B97" t="inlineStr">
        <is>
          <t>Soy phosphatidylcholine / SPC</t>
        </is>
      </c>
      <c r="C97" t="inlineStr">
        <is>
          <t>SPC</t>
        </is>
      </c>
      <c r="D97" t="inlineStr">
        <is>
          <t>Lipid</t>
        </is>
      </c>
      <c r="E97" t="inlineStr">
        <is>
          <t>Phospholipid/membrane lipid</t>
        </is>
      </c>
      <c r="F97" t="inlineStr">
        <is>
          <t>natural/mixed phospholipid</t>
        </is>
      </c>
      <c r="G97"/>
      <c r="H97"/>
      <c r="I97"/>
      <c r="J97"/>
      <c r="K97"/>
      <c r="L97" t="inlineStr">
        <is>
          <t>liposome/LNP/nanocarrier; route-grade dependent</t>
        </is>
      </c>
      <c r="M97" t="inlineStr">
        <is>
          <t>Use GMP lipid grade and route-specific impurity/endotoxin specs.</t>
        </is>
      </c>
      <c r="N97" t="inlineStr">
        <is>
          <t>S003_AVANTI_PHASE</t>
        </is>
      </c>
      <c r="O97" t="inlineStr">
        <is>
          <t>seed_curated</t>
        </is>
      </c>
      <c r="P97">
        <v>0.72</v>
      </c>
      <c r="Q97" t="inlineStr">
        <is>
          <t>mixed soy PC; unsaturated-rich</t>
        </is>
      </c>
    </row>
    <row r="98">
      <c r="A98" t="inlineStr">
        <is>
          <t>LIP_HYDROGENATED_SOY_PHOSPHATIDYLCHOLINE_HSPC</t>
        </is>
      </c>
      <c r="B98" t="inlineStr">
        <is>
          <t>Hydrogenated soy phosphatidylcholine / HSPC</t>
        </is>
      </c>
      <c r="C98" t="inlineStr">
        <is>
          <t>HSPC</t>
        </is>
      </c>
      <c r="D98" t="inlineStr">
        <is>
          <t>Lipid</t>
        </is>
      </c>
      <c r="E98" t="inlineStr">
        <is>
          <t>Phospholipid/membrane lipid</t>
        </is>
      </c>
      <c r="F98" t="inlineStr">
        <is>
          <t>natural/mixed phospholipid</t>
        </is>
      </c>
      <c r="G98"/>
      <c r="H98"/>
      <c r="I98"/>
      <c r="J98"/>
      <c r="K98"/>
      <c r="L98" t="inlineStr">
        <is>
          <t>liposome/LNP/nanocarrier; route-grade dependent</t>
        </is>
      </c>
      <c r="M98" t="inlineStr">
        <is>
          <t>Use GMP lipid grade and route-specific impurity/endotoxin specs.</t>
        </is>
      </c>
      <c r="N98" t="inlineStr">
        <is>
          <t>S003_AVANTI_PHASE</t>
        </is>
      </c>
      <c r="O98" t="inlineStr">
        <is>
          <t>seed_curated</t>
        </is>
      </c>
      <c r="P98">
        <v>0.72</v>
      </c>
      <c r="Q98" t="inlineStr">
        <is>
          <t>hydrogenated soy PC; saturated-rich high Tm</t>
        </is>
      </c>
    </row>
    <row r="99">
      <c r="A99" t="inlineStr">
        <is>
          <t>LIP_DLPC</t>
        </is>
      </c>
      <c r="B99" t="inlineStr">
        <is>
          <t>DLPC</t>
        </is>
      </c>
      <c r="C99"/>
      <c r="D99" t="inlineStr">
        <is>
          <t>Lipid</t>
        </is>
      </c>
      <c r="E99" t="inlineStr">
        <is>
          <t>Phospholipid/membrane lipid</t>
        </is>
      </c>
      <c r="F99" t="inlineStr">
        <is>
          <t>PC lipid</t>
        </is>
      </c>
      <c r="G99"/>
      <c r="H99"/>
      <c r="I99"/>
      <c r="J99"/>
      <c r="K99"/>
      <c r="L99" t="inlineStr">
        <is>
          <t>liposome/LNP/nanocarrier; route-grade dependent</t>
        </is>
      </c>
      <c r="M99" t="inlineStr">
        <is>
          <t>Use GMP lipid grade and route-specific impurity/endotoxin specs.</t>
        </is>
      </c>
      <c r="N99" t="inlineStr">
        <is>
          <t>S003_AVANTI_PHASE</t>
        </is>
      </c>
      <c r="O99" t="inlineStr">
        <is>
          <t>seed_curated</t>
        </is>
      </c>
      <c r="P99">
        <v>0.72</v>
      </c>
      <c r="Q99" t="inlineStr">
        <is>
          <t>Synthetic phosphatidylcholine.</t>
        </is>
      </c>
    </row>
    <row r="100">
      <c r="A100" t="inlineStr">
        <is>
          <t>LIP_DMPC</t>
        </is>
      </c>
      <c r="B100" t="inlineStr">
        <is>
          <t>DMPC</t>
        </is>
      </c>
      <c r="C100"/>
      <c r="D100" t="inlineStr">
        <is>
          <t>Lipid</t>
        </is>
      </c>
      <c r="E100" t="inlineStr">
        <is>
          <t>Phospholipid/membrane lipid</t>
        </is>
      </c>
      <c r="F100" t="inlineStr">
        <is>
          <t>PC lipid</t>
        </is>
      </c>
      <c r="G100"/>
      <c r="H100"/>
      <c r="I100"/>
      <c r="J100"/>
      <c r="K100"/>
      <c r="L100" t="inlineStr">
        <is>
          <t>liposome/LNP/nanocarrier; route-grade dependent</t>
        </is>
      </c>
      <c r="M100" t="inlineStr">
        <is>
          <t>Use GMP lipid grade and route-specific impurity/endotoxin specs.</t>
        </is>
      </c>
      <c r="N100" t="inlineStr">
        <is>
          <t>S003_AVANTI_PHASE</t>
        </is>
      </c>
      <c r="O100" t="inlineStr">
        <is>
          <t>seed_curated</t>
        </is>
      </c>
      <c r="P100">
        <v>0.72</v>
      </c>
      <c r="Q100" t="inlineStr">
        <is>
          <t>Synthetic phosphatidylcholine.</t>
        </is>
      </c>
    </row>
    <row r="101">
      <c r="A101" t="inlineStr">
        <is>
          <t>LIP_DPPC</t>
        </is>
      </c>
      <c r="B101" t="inlineStr">
        <is>
          <t>DPPC</t>
        </is>
      </c>
      <c r="C101"/>
      <c r="D101" t="inlineStr">
        <is>
          <t>Lipid</t>
        </is>
      </c>
      <c r="E101" t="inlineStr">
        <is>
          <t>Phospholipid/membrane lipid</t>
        </is>
      </c>
      <c r="F101" t="inlineStr">
        <is>
          <t>PC lipid</t>
        </is>
      </c>
      <c r="G101"/>
      <c r="H101"/>
      <c r="I101"/>
      <c r="J101"/>
      <c r="K101"/>
      <c r="L101" t="inlineStr">
        <is>
          <t>liposome/LNP/nanocarrier; route-grade dependent</t>
        </is>
      </c>
      <c r="M101" t="inlineStr">
        <is>
          <t>Use GMP lipid grade and route-specific impurity/endotoxin specs.</t>
        </is>
      </c>
      <c r="N101" t="inlineStr">
        <is>
          <t>S003_AVANTI_PHASE</t>
        </is>
      </c>
      <c r="O101" t="inlineStr">
        <is>
          <t>seed_curated</t>
        </is>
      </c>
      <c r="P101">
        <v>0.72</v>
      </c>
      <c r="Q101" t="inlineStr">
        <is>
          <t>Synthetic phosphatidylcholine.</t>
        </is>
      </c>
    </row>
    <row r="102">
      <c r="A102" t="inlineStr">
        <is>
          <t>LIP_DSPC</t>
        </is>
      </c>
      <c r="B102" t="inlineStr">
        <is>
          <t>DSPC</t>
        </is>
      </c>
      <c r="C102"/>
      <c r="D102" t="inlineStr">
        <is>
          <t>Lipid</t>
        </is>
      </c>
      <c r="E102" t="inlineStr">
        <is>
          <t>Phospholipid/membrane lipid</t>
        </is>
      </c>
      <c r="F102" t="inlineStr">
        <is>
          <t>PC lipid</t>
        </is>
      </c>
      <c r="G102"/>
      <c r="H102"/>
      <c r="I102"/>
      <c r="J102"/>
      <c r="K102"/>
      <c r="L102" t="inlineStr">
        <is>
          <t>liposome/LNP/nanocarrier; route-grade dependent</t>
        </is>
      </c>
      <c r="M102" t="inlineStr">
        <is>
          <t>Use GMP lipid grade and route-specific impurity/endotoxin specs.</t>
        </is>
      </c>
      <c r="N102" t="inlineStr">
        <is>
          <t>S003_AVANTI_PHASE</t>
        </is>
      </c>
      <c r="O102" t="inlineStr">
        <is>
          <t>seed_curated</t>
        </is>
      </c>
      <c r="P102">
        <v>0.72</v>
      </c>
      <c r="Q102" t="inlineStr">
        <is>
          <t>Synthetic phosphatidylcholine.</t>
        </is>
      </c>
    </row>
    <row r="103">
      <c r="A103" t="inlineStr">
        <is>
          <t>LIP_DOPC</t>
        </is>
      </c>
      <c r="B103" t="inlineStr">
        <is>
          <t>DOPC</t>
        </is>
      </c>
      <c r="C103"/>
      <c r="D103" t="inlineStr">
        <is>
          <t>Lipid</t>
        </is>
      </c>
      <c r="E103" t="inlineStr">
        <is>
          <t>Phospholipid/membrane lipid</t>
        </is>
      </c>
      <c r="F103" t="inlineStr">
        <is>
          <t>PC lipid</t>
        </is>
      </c>
      <c r="G103"/>
      <c r="H103"/>
      <c r="I103"/>
      <c r="J103"/>
      <c r="K103"/>
      <c r="L103" t="inlineStr">
        <is>
          <t>liposome/LNP/nanocarrier; route-grade dependent</t>
        </is>
      </c>
      <c r="M103" t="inlineStr">
        <is>
          <t>Use GMP lipid grade and route-specific impurity/endotoxin specs.</t>
        </is>
      </c>
      <c r="N103" t="inlineStr">
        <is>
          <t>S003_AVANTI_PHASE</t>
        </is>
      </c>
      <c r="O103" t="inlineStr">
        <is>
          <t>seed_curated</t>
        </is>
      </c>
      <c r="P103">
        <v>0.72</v>
      </c>
      <c r="Q103" t="inlineStr">
        <is>
          <t>Synthetic phosphatidylcholine.</t>
        </is>
      </c>
    </row>
    <row r="104">
      <c r="A104" t="inlineStr">
        <is>
          <t>LIP_POPC</t>
        </is>
      </c>
      <c r="B104" t="inlineStr">
        <is>
          <t>POPC</t>
        </is>
      </c>
      <c r="C104"/>
      <c r="D104" t="inlineStr">
        <is>
          <t>Lipid</t>
        </is>
      </c>
      <c r="E104" t="inlineStr">
        <is>
          <t>Phospholipid/membrane lipid</t>
        </is>
      </c>
      <c r="F104" t="inlineStr">
        <is>
          <t>PC lipid</t>
        </is>
      </c>
      <c r="G104"/>
      <c r="H104"/>
      <c r="I104"/>
      <c r="J104"/>
      <c r="K104"/>
      <c r="L104" t="inlineStr">
        <is>
          <t>liposome/LNP/nanocarrier; route-grade dependent</t>
        </is>
      </c>
      <c r="M104" t="inlineStr">
        <is>
          <t>Use GMP lipid grade and route-specific impurity/endotoxin specs.</t>
        </is>
      </c>
      <c r="N104" t="inlineStr">
        <is>
          <t>S003_AVANTI_PHASE</t>
        </is>
      </c>
      <c r="O104" t="inlineStr">
        <is>
          <t>seed_curated</t>
        </is>
      </c>
      <c r="P104">
        <v>0.72</v>
      </c>
      <c r="Q104" t="inlineStr">
        <is>
          <t>Synthetic phosphatidylcholine.</t>
        </is>
      </c>
    </row>
    <row r="105">
      <c r="A105" t="inlineStr">
        <is>
          <t>LIP_SOPC</t>
        </is>
      </c>
      <c r="B105" t="inlineStr">
        <is>
          <t>SOPC</t>
        </is>
      </c>
      <c r="C105"/>
      <c r="D105" t="inlineStr">
        <is>
          <t>Lipid</t>
        </is>
      </c>
      <c r="E105" t="inlineStr">
        <is>
          <t>Phospholipid/membrane lipid</t>
        </is>
      </c>
      <c r="F105" t="inlineStr">
        <is>
          <t>PC lipid</t>
        </is>
      </c>
      <c r="G105"/>
      <c r="H105"/>
      <c r="I105"/>
      <c r="J105"/>
      <c r="K105"/>
      <c r="L105" t="inlineStr">
        <is>
          <t>liposome/LNP/nanocarrier; route-grade dependent</t>
        </is>
      </c>
      <c r="M105" t="inlineStr">
        <is>
          <t>Use GMP lipid grade and route-specific impurity/endotoxin specs.</t>
        </is>
      </c>
      <c r="N105" t="inlineStr">
        <is>
          <t>S003_AVANTI_PHASE</t>
        </is>
      </c>
      <c r="O105" t="inlineStr">
        <is>
          <t>seed_curated</t>
        </is>
      </c>
      <c r="P105">
        <v>0.72</v>
      </c>
      <c r="Q105" t="inlineStr">
        <is>
          <t>Synthetic phosphatidylcholine.</t>
        </is>
      </c>
    </row>
    <row r="106">
      <c r="A106" t="inlineStr">
        <is>
          <t>LIP_DOPE</t>
        </is>
      </c>
      <c r="B106" t="inlineStr">
        <is>
          <t>DOPE</t>
        </is>
      </c>
      <c r="C106"/>
      <c r="D106" t="inlineStr">
        <is>
          <t>Lipid</t>
        </is>
      </c>
      <c r="E106" t="inlineStr">
        <is>
          <t>Phospholipid/membrane lipid</t>
        </is>
      </c>
      <c r="F106" t="inlineStr">
        <is>
          <t>PE lipid</t>
        </is>
      </c>
      <c r="G106"/>
      <c r="H106"/>
      <c r="I106"/>
      <c r="J106"/>
      <c r="K106"/>
      <c r="L106" t="inlineStr">
        <is>
          <t>liposome/LNP/nanocarrier; route-grade dependent</t>
        </is>
      </c>
      <c r="M106" t="inlineStr">
        <is>
          <t>Use GMP lipid grade and route-specific impurity/endotoxin specs.</t>
        </is>
      </c>
      <c r="N106" t="inlineStr">
        <is>
          <t>S003_AVANTI_PHASE</t>
        </is>
      </c>
      <c r="O106" t="inlineStr">
        <is>
          <t>seed_curated</t>
        </is>
      </c>
      <c r="P106">
        <v>0.72</v>
      </c>
      <c r="Q106" t="inlineStr">
        <is>
          <t>PE lipids can enhance fusogenic/non-lamellar propensity depending on pH and composition.</t>
        </is>
      </c>
    </row>
    <row r="107">
      <c r="A107" t="inlineStr">
        <is>
          <t>LIP_POPE</t>
        </is>
      </c>
      <c r="B107" t="inlineStr">
        <is>
          <t>POPE</t>
        </is>
      </c>
      <c r="C107"/>
      <c r="D107" t="inlineStr">
        <is>
          <t>Lipid</t>
        </is>
      </c>
      <c r="E107" t="inlineStr">
        <is>
          <t>Phospholipid/membrane lipid</t>
        </is>
      </c>
      <c r="F107" t="inlineStr">
        <is>
          <t>PE lipid</t>
        </is>
      </c>
      <c r="G107"/>
      <c r="H107"/>
      <c r="I107"/>
      <c r="J107"/>
      <c r="K107"/>
      <c r="L107" t="inlineStr">
        <is>
          <t>liposome/LNP/nanocarrier; route-grade dependent</t>
        </is>
      </c>
      <c r="M107" t="inlineStr">
        <is>
          <t>Use GMP lipid grade and route-specific impurity/endotoxin specs.</t>
        </is>
      </c>
      <c r="N107" t="inlineStr">
        <is>
          <t>S003_AVANTI_PHASE</t>
        </is>
      </c>
      <c r="O107" t="inlineStr">
        <is>
          <t>seed_curated</t>
        </is>
      </c>
      <c r="P107">
        <v>0.72</v>
      </c>
      <c r="Q107" t="inlineStr">
        <is>
          <t>PE lipids can enhance fusogenic/non-lamellar propensity depending on pH and composition.</t>
        </is>
      </c>
    </row>
    <row r="108">
      <c r="A108" t="inlineStr">
        <is>
          <t>LIP_DSPE</t>
        </is>
      </c>
      <c r="B108" t="inlineStr">
        <is>
          <t>DSPE</t>
        </is>
      </c>
      <c r="C108"/>
      <c r="D108" t="inlineStr">
        <is>
          <t>Lipid</t>
        </is>
      </c>
      <c r="E108" t="inlineStr">
        <is>
          <t>Phospholipid/membrane lipid</t>
        </is>
      </c>
      <c r="F108" t="inlineStr">
        <is>
          <t>PE lipid</t>
        </is>
      </c>
      <c r="G108"/>
      <c r="H108"/>
      <c r="I108"/>
      <c r="J108"/>
      <c r="K108"/>
      <c r="L108" t="inlineStr">
        <is>
          <t>liposome/LNP/nanocarrier; route-grade dependent</t>
        </is>
      </c>
      <c r="M108" t="inlineStr">
        <is>
          <t>Use GMP lipid grade and route-specific impurity/endotoxin specs.</t>
        </is>
      </c>
      <c r="N108" t="inlineStr">
        <is>
          <t>S003_AVANTI_PHASE</t>
        </is>
      </c>
      <c r="O108" t="inlineStr">
        <is>
          <t>seed_curated</t>
        </is>
      </c>
      <c r="P108">
        <v>0.72</v>
      </c>
      <c r="Q108" t="inlineStr">
        <is>
          <t>PE lipids can enhance fusogenic/non-lamellar propensity depending on pH and composition.</t>
        </is>
      </c>
    </row>
    <row r="109">
      <c r="A109" t="inlineStr">
        <is>
          <t>LIP_DPPE</t>
        </is>
      </c>
      <c r="B109" t="inlineStr">
        <is>
          <t>DPPE</t>
        </is>
      </c>
      <c r="C109"/>
      <c r="D109" t="inlineStr">
        <is>
          <t>Lipid</t>
        </is>
      </c>
      <c r="E109" t="inlineStr">
        <is>
          <t>Phospholipid/membrane lipid</t>
        </is>
      </c>
      <c r="F109" t="inlineStr">
        <is>
          <t>PE lipid</t>
        </is>
      </c>
      <c r="G109"/>
      <c r="H109"/>
      <c r="I109"/>
      <c r="J109"/>
      <c r="K109"/>
      <c r="L109" t="inlineStr">
        <is>
          <t>liposome/LNP/nanocarrier; route-grade dependent</t>
        </is>
      </c>
      <c r="M109" t="inlineStr">
        <is>
          <t>Use GMP lipid grade and route-specific impurity/endotoxin specs.</t>
        </is>
      </c>
      <c r="N109" t="inlineStr">
        <is>
          <t>S003_AVANTI_PHASE</t>
        </is>
      </c>
      <c r="O109" t="inlineStr">
        <is>
          <t>seed_curated</t>
        </is>
      </c>
      <c r="P109">
        <v>0.72</v>
      </c>
      <c r="Q109" t="inlineStr">
        <is>
          <t>PE lipids can enhance fusogenic/non-lamellar propensity depending on pH and composition.</t>
        </is>
      </c>
    </row>
    <row r="110">
      <c r="A110" t="inlineStr">
        <is>
          <t>LIP_DMPE</t>
        </is>
      </c>
      <c r="B110" t="inlineStr">
        <is>
          <t>DMPE</t>
        </is>
      </c>
      <c r="C110"/>
      <c r="D110" t="inlineStr">
        <is>
          <t>Lipid</t>
        </is>
      </c>
      <c r="E110" t="inlineStr">
        <is>
          <t>Phospholipid/membrane lipid</t>
        </is>
      </c>
      <c r="F110" t="inlineStr">
        <is>
          <t>PE lipid</t>
        </is>
      </c>
      <c r="G110"/>
      <c r="H110"/>
      <c r="I110"/>
      <c r="J110"/>
      <c r="K110"/>
      <c r="L110" t="inlineStr">
        <is>
          <t>liposome/LNP/nanocarrier; route-grade dependent</t>
        </is>
      </c>
      <c r="M110" t="inlineStr">
        <is>
          <t>Use GMP lipid grade and route-specific impurity/endotoxin specs.</t>
        </is>
      </c>
      <c r="N110" t="inlineStr">
        <is>
          <t>S003_AVANTI_PHASE</t>
        </is>
      </c>
      <c r="O110" t="inlineStr">
        <is>
          <t>seed_curated</t>
        </is>
      </c>
      <c r="P110">
        <v>0.72</v>
      </c>
      <c r="Q110" t="inlineStr">
        <is>
          <t>PE lipids can enhance fusogenic/non-lamellar propensity depending on pH and composition.</t>
        </is>
      </c>
    </row>
    <row r="111">
      <c r="A111" t="inlineStr">
        <is>
          <t>LIP_DPPG</t>
        </is>
      </c>
      <c r="B111" t="inlineStr">
        <is>
          <t>DPPG</t>
        </is>
      </c>
      <c r="C111"/>
      <c r="D111" t="inlineStr">
        <is>
          <t>Lipid</t>
        </is>
      </c>
      <c r="E111" t="inlineStr">
        <is>
          <t>Phospholipid/membrane lipid</t>
        </is>
      </c>
      <c r="F111" t="inlineStr">
        <is>
          <t>PG lipid</t>
        </is>
      </c>
      <c r="G111"/>
      <c r="H111"/>
      <c r="I111"/>
      <c r="J111"/>
      <c r="K111"/>
      <c r="L111" t="inlineStr">
        <is>
          <t>liposome/LNP/nanocarrier; route-grade dependent</t>
        </is>
      </c>
      <c r="M111" t="inlineStr">
        <is>
          <t>Use GMP lipid grade and route-specific impurity/endotoxin specs.</t>
        </is>
      </c>
      <c r="N111" t="inlineStr">
        <is>
          <t>S003_AVANTI_PHASE</t>
        </is>
      </c>
      <c r="O111" t="inlineStr">
        <is>
          <t>seed_curated</t>
        </is>
      </c>
      <c r="P111">
        <v>0.72</v>
      </c>
      <c r="Q111" t="inlineStr">
        <is>
          <t>Anionic phosphoglycerol charge inducer/stabilizer.</t>
        </is>
      </c>
    </row>
    <row r="112">
      <c r="A112" t="inlineStr">
        <is>
          <t>LIP_DOPG</t>
        </is>
      </c>
      <c r="B112" t="inlineStr">
        <is>
          <t>DOPG</t>
        </is>
      </c>
      <c r="C112"/>
      <c r="D112" t="inlineStr">
        <is>
          <t>Lipid</t>
        </is>
      </c>
      <c r="E112" t="inlineStr">
        <is>
          <t>Phospholipid/membrane lipid</t>
        </is>
      </c>
      <c r="F112" t="inlineStr">
        <is>
          <t>PG lipid</t>
        </is>
      </c>
      <c r="G112"/>
      <c r="H112"/>
      <c r="I112"/>
      <c r="J112"/>
      <c r="K112"/>
      <c r="L112" t="inlineStr">
        <is>
          <t>liposome/LNP/nanocarrier; route-grade dependent</t>
        </is>
      </c>
      <c r="M112" t="inlineStr">
        <is>
          <t>Use GMP lipid grade and route-specific impurity/endotoxin specs.</t>
        </is>
      </c>
      <c r="N112" t="inlineStr">
        <is>
          <t>S003_AVANTI_PHASE</t>
        </is>
      </c>
      <c r="O112" t="inlineStr">
        <is>
          <t>seed_curated</t>
        </is>
      </c>
      <c r="P112">
        <v>0.72</v>
      </c>
      <c r="Q112" t="inlineStr">
        <is>
          <t>Anionic phosphoglycerol charge inducer/stabilizer.</t>
        </is>
      </c>
    </row>
    <row r="113">
      <c r="A113" t="inlineStr">
        <is>
          <t>LIP_POPG</t>
        </is>
      </c>
      <c r="B113" t="inlineStr">
        <is>
          <t>POPG</t>
        </is>
      </c>
      <c r="C113"/>
      <c r="D113" t="inlineStr">
        <is>
          <t>Lipid</t>
        </is>
      </c>
      <c r="E113" t="inlineStr">
        <is>
          <t>Phospholipid/membrane lipid</t>
        </is>
      </c>
      <c r="F113" t="inlineStr">
        <is>
          <t>PG lipid</t>
        </is>
      </c>
      <c r="G113"/>
      <c r="H113"/>
      <c r="I113"/>
      <c r="J113"/>
      <c r="K113"/>
      <c r="L113" t="inlineStr">
        <is>
          <t>liposome/LNP/nanocarrier; route-grade dependent</t>
        </is>
      </c>
      <c r="M113" t="inlineStr">
        <is>
          <t>Use GMP lipid grade and route-specific impurity/endotoxin specs.</t>
        </is>
      </c>
      <c r="N113" t="inlineStr">
        <is>
          <t>S003_AVANTI_PHASE</t>
        </is>
      </c>
      <c r="O113" t="inlineStr">
        <is>
          <t>seed_curated</t>
        </is>
      </c>
      <c r="P113">
        <v>0.72</v>
      </c>
      <c r="Q113" t="inlineStr">
        <is>
          <t>Anionic phosphoglycerol charge inducer/stabilizer.</t>
        </is>
      </c>
    </row>
    <row r="114">
      <c r="A114" t="inlineStr">
        <is>
          <t>LIP_DSPG</t>
        </is>
      </c>
      <c r="B114" t="inlineStr">
        <is>
          <t>DSPG</t>
        </is>
      </c>
      <c r="C114"/>
      <c r="D114" t="inlineStr">
        <is>
          <t>Lipid</t>
        </is>
      </c>
      <c r="E114" t="inlineStr">
        <is>
          <t>Phospholipid/membrane lipid</t>
        </is>
      </c>
      <c r="F114" t="inlineStr">
        <is>
          <t>PG lipid</t>
        </is>
      </c>
      <c r="G114"/>
      <c r="H114"/>
      <c r="I114"/>
      <c r="J114"/>
      <c r="K114"/>
      <c r="L114" t="inlineStr">
        <is>
          <t>liposome/LNP/nanocarrier; route-grade dependent</t>
        </is>
      </c>
      <c r="M114" t="inlineStr">
        <is>
          <t>Use GMP lipid grade and route-specific impurity/endotoxin specs.</t>
        </is>
      </c>
      <c r="N114" t="inlineStr">
        <is>
          <t>S003_AVANTI_PHASE</t>
        </is>
      </c>
      <c r="O114" t="inlineStr">
        <is>
          <t>seed_curated</t>
        </is>
      </c>
      <c r="P114">
        <v>0.72</v>
      </c>
      <c r="Q114" t="inlineStr">
        <is>
          <t>Anionic phosphoglycerol charge inducer/stabilizer.</t>
        </is>
      </c>
    </row>
    <row r="115">
      <c r="A115" t="inlineStr">
        <is>
          <t>LIP_DOPS</t>
        </is>
      </c>
      <c r="B115" t="inlineStr">
        <is>
          <t>DOPS</t>
        </is>
      </c>
      <c r="C115"/>
      <c r="D115" t="inlineStr">
        <is>
          <t>Lipid</t>
        </is>
      </c>
      <c r="E115" t="inlineStr">
        <is>
          <t>Phospholipid/membrane lipid</t>
        </is>
      </c>
      <c r="F115" t="inlineStr">
        <is>
          <t>PS/PA lipid</t>
        </is>
      </c>
      <c r="G115"/>
      <c r="H115"/>
      <c r="I115"/>
      <c r="J115"/>
      <c r="K115"/>
      <c r="L115" t="inlineStr">
        <is>
          <t>liposome/LNP/nanocarrier; route-grade dependent</t>
        </is>
      </c>
      <c r="M115" t="inlineStr">
        <is>
          <t>Use GMP lipid grade and route-specific impurity/endotoxin specs.</t>
        </is>
      </c>
      <c r="N115" t="inlineStr">
        <is>
          <t>S003_AVANTI_PHASE</t>
        </is>
      </c>
      <c r="O115" t="inlineStr">
        <is>
          <t>seed_curated</t>
        </is>
      </c>
      <c r="P115">
        <v>0.72</v>
      </c>
      <c r="Q115" t="inlineStr">
        <is>
          <t>Anionic lipid; pH/counterion affects charge and phase behavior.</t>
        </is>
      </c>
    </row>
    <row r="116">
      <c r="A116" t="inlineStr">
        <is>
          <t>LIP_DPPS</t>
        </is>
      </c>
      <c r="B116" t="inlineStr">
        <is>
          <t>DPPS</t>
        </is>
      </c>
      <c r="C116"/>
      <c r="D116" t="inlineStr">
        <is>
          <t>Lipid</t>
        </is>
      </c>
      <c r="E116" t="inlineStr">
        <is>
          <t>Phospholipid/membrane lipid</t>
        </is>
      </c>
      <c r="F116" t="inlineStr">
        <is>
          <t>PS/PA lipid</t>
        </is>
      </c>
      <c r="G116"/>
      <c r="H116"/>
      <c r="I116"/>
      <c r="J116"/>
      <c r="K116"/>
      <c r="L116" t="inlineStr">
        <is>
          <t>liposome/LNP/nanocarrier; route-grade dependent</t>
        </is>
      </c>
      <c r="M116" t="inlineStr">
        <is>
          <t>Use GMP lipid grade and route-specific impurity/endotoxin specs.</t>
        </is>
      </c>
      <c r="N116" t="inlineStr">
        <is>
          <t>S003_AVANTI_PHASE</t>
        </is>
      </c>
      <c r="O116" t="inlineStr">
        <is>
          <t>seed_curated</t>
        </is>
      </c>
      <c r="P116">
        <v>0.72</v>
      </c>
      <c r="Q116" t="inlineStr">
        <is>
          <t>Anionic lipid; pH/counterion affects charge and phase behavior.</t>
        </is>
      </c>
    </row>
    <row r="117">
      <c r="A117" t="inlineStr">
        <is>
          <t>LIP_DOPA</t>
        </is>
      </c>
      <c r="B117" t="inlineStr">
        <is>
          <t>DOPA</t>
        </is>
      </c>
      <c r="C117"/>
      <c r="D117" t="inlineStr">
        <is>
          <t>Lipid</t>
        </is>
      </c>
      <c r="E117" t="inlineStr">
        <is>
          <t>Phospholipid/membrane lipid</t>
        </is>
      </c>
      <c r="F117" t="inlineStr">
        <is>
          <t>PS/PA lipid</t>
        </is>
      </c>
      <c r="G117"/>
      <c r="H117"/>
      <c r="I117"/>
      <c r="J117"/>
      <c r="K117"/>
      <c r="L117" t="inlineStr">
        <is>
          <t>liposome/LNP/nanocarrier; route-grade dependent</t>
        </is>
      </c>
      <c r="M117" t="inlineStr">
        <is>
          <t>Use GMP lipid grade and route-specific impurity/endotoxin specs.</t>
        </is>
      </c>
      <c r="N117" t="inlineStr">
        <is>
          <t>S003_AVANTI_PHASE</t>
        </is>
      </c>
      <c r="O117" t="inlineStr">
        <is>
          <t>seed_curated</t>
        </is>
      </c>
      <c r="P117">
        <v>0.72</v>
      </c>
      <c r="Q117" t="inlineStr">
        <is>
          <t>Anionic lipid; pH/counterion affects charge and phase behavior.</t>
        </is>
      </c>
    </row>
    <row r="118">
      <c r="A118" t="inlineStr">
        <is>
          <t>LIP_DPPA</t>
        </is>
      </c>
      <c r="B118" t="inlineStr">
        <is>
          <t>DPPA</t>
        </is>
      </c>
      <c r="C118"/>
      <c r="D118" t="inlineStr">
        <is>
          <t>Lipid</t>
        </is>
      </c>
      <c r="E118" t="inlineStr">
        <is>
          <t>Phospholipid/membrane lipid</t>
        </is>
      </c>
      <c r="F118" t="inlineStr">
        <is>
          <t>PS/PA lipid</t>
        </is>
      </c>
      <c r="G118"/>
      <c r="H118"/>
      <c r="I118"/>
      <c r="J118"/>
      <c r="K118"/>
      <c r="L118" t="inlineStr">
        <is>
          <t>liposome/LNP/nanocarrier; route-grade dependent</t>
        </is>
      </c>
      <c r="M118" t="inlineStr">
        <is>
          <t>Use GMP lipid grade and route-specific impurity/endotoxin specs.</t>
        </is>
      </c>
      <c r="N118" t="inlineStr">
        <is>
          <t>S003_AVANTI_PHASE</t>
        </is>
      </c>
      <c r="O118" t="inlineStr">
        <is>
          <t>seed_curated</t>
        </is>
      </c>
      <c r="P118">
        <v>0.72</v>
      </c>
      <c r="Q118" t="inlineStr">
        <is>
          <t>Anionic lipid; pH/counterion affects charge and phase behavior.</t>
        </is>
      </c>
    </row>
    <row r="119">
      <c r="A119" t="inlineStr">
        <is>
          <t>LIP_DSPE_PEG2000</t>
        </is>
      </c>
      <c r="B119" t="inlineStr">
        <is>
          <t>DSPE-PEG2000</t>
        </is>
      </c>
      <c r="C119"/>
      <c r="D119" t="inlineStr">
        <is>
          <t>Lipid</t>
        </is>
      </c>
      <c r="E119" t="inlineStr">
        <is>
          <t>Phospholipid/membrane lipid</t>
        </is>
      </c>
      <c r="F119" t="inlineStr">
        <is>
          <t>PEG-lipid</t>
        </is>
      </c>
      <c r="G119"/>
      <c r="H119"/>
      <c r="I119"/>
      <c r="J119"/>
      <c r="K119"/>
      <c r="L119" t="inlineStr">
        <is>
          <t>liposome/LNP/nanocarrier; route-grade dependent</t>
        </is>
      </c>
      <c r="M119" t="inlineStr">
        <is>
          <t>Use GMP lipid grade and route-specific impurity/endotoxin specs.</t>
        </is>
      </c>
      <c r="N119" t="inlineStr">
        <is>
          <t>S003_AVANTI_PHASE</t>
        </is>
      </c>
      <c r="O119" t="inlineStr">
        <is>
          <t>seed_curated</t>
        </is>
      </c>
      <c r="P119">
        <v>0.72</v>
      </c>
      <c r="Q119" t="inlineStr">
        <is>
          <t>PEG-lipid; controls steric stabilization and LNP desorption kinetics.</t>
        </is>
      </c>
    </row>
    <row r="120">
      <c r="A120" t="inlineStr">
        <is>
          <t>LIP_DSPE_PEG5000</t>
        </is>
      </c>
      <c r="B120" t="inlineStr">
        <is>
          <t>DSPE-PEG5000</t>
        </is>
      </c>
      <c r="C120"/>
      <c r="D120" t="inlineStr">
        <is>
          <t>Lipid</t>
        </is>
      </c>
      <c r="E120" t="inlineStr">
        <is>
          <t>Phospholipid/membrane lipid</t>
        </is>
      </c>
      <c r="F120" t="inlineStr">
        <is>
          <t>PEG-lipid</t>
        </is>
      </c>
      <c r="G120"/>
      <c r="H120"/>
      <c r="I120"/>
      <c r="J120"/>
      <c r="K120"/>
      <c r="L120" t="inlineStr">
        <is>
          <t>liposome/LNP/nanocarrier; route-grade dependent</t>
        </is>
      </c>
      <c r="M120" t="inlineStr">
        <is>
          <t>Use GMP lipid grade and route-specific impurity/endotoxin specs.</t>
        </is>
      </c>
      <c r="N120" t="inlineStr">
        <is>
          <t>S003_AVANTI_PHASE</t>
        </is>
      </c>
      <c r="O120" t="inlineStr">
        <is>
          <t>seed_curated</t>
        </is>
      </c>
      <c r="P120">
        <v>0.72</v>
      </c>
      <c r="Q120" t="inlineStr">
        <is>
          <t>PEG-lipid; controls steric stabilization and LNP desorption kinetics.</t>
        </is>
      </c>
    </row>
    <row r="121">
      <c r="A121" t="inlineStr">
        <is>
          <t>LIP_DMG_PEG2000</t>
        </is>
      </c>
      <c r="B121" t="inlineStr">
        <is>
          <t>DMG-PEG2000</t>
        </is>
      </c>
      <c r="C121"/>
      <c r="D121" t="inlineStr">
        <is>
          <t>Lipid</t>
        </is>
      </c>
      <c r="E121" t="inlineStr">
        <is>
          <t>Phospholipid/membrane lipid</t>
        </is>
      </c>
      <c r="F121" t="inlineStr">
        <is>
          <t>PEG-lipid</t>
        </is>
      </c>
      <c r="G121"/>
      <c r="H121"/>
      <c r="I121"/>
      <c r="J121"/>
      <c r="K121"/>
      <c r="L121" t="inlineStr">
        <is>
          <t>liposome/LNP/nanocarrier; route-grade dependent</t>
        </is>
      </c>
      <c r="M121" t="inlineStr">
        <is>
          <t>Use GMP lipid grade and route-specific impurity/endotoxin specs.</t>
        </is>
      </c>
      <c r="N121" t="inlineStr">
        <is>
          <t>S003_AVANTI_PHASE</t>
        </is>
      </c>
      <c r="O121" t="inlineStr">
        <is>
          <t>seed_curated</t>
        </is>
      </c>
      <c r="P121">
        <v>0.72</v>
      </c>
      <c r="Q121" t="inlineStr">
        <is>
          <t>PEG-lipid; controls steric stabilization and LNP desorption kinetics.</t>
        </is>
      </c>
    </row>
    <row r="122">
      <c r="A122" t="inlineStr">
        <is>
          <t>LIP_PEG_DMG</t>
        </is>
      </c>
      <c r="B122" t="inlineStr">
        <is>
          <t>PEG-DMG</t>
        </is>
      </c>
      <c r="C122"/>
      <c r="D122" t="inlineStr">
        <is>
          <t>Lipid</t>
        </is>
      </c>
      <c r="E122" t="inlineStr">
        <is>
          <t>Phospholipid/membrane lipid</t>
        </is>
      </c>
      <c r="F122" t="inlineStr">
        <is>
          <t>PEG-lipid</t>
        </is>
      </c>
      <c r="G122"/>
      <c r="H122"/>
      <c r="I122"/>
      <c r="J122"/>
      <c r="K122"/>
      <c r="L122" t="inlineStr">
        <is>
          <t>liposome/LNP/nanocarrier; route-grade dependent</t>
        </is>
      </c>
      <c r="M122" t="inlineStr">
        <is>
          <t>Use GMP lipid grade and route-specific impurity/endotoxin specs.</t>
        </is>
      </c>
      <c r="N122" t="inlineStr">
        <is>
          <t>S003_AVANTI_PHASE</t>
        </is>
      </c>
      <c r="O122" t="inlineStr">
        <is>
          <t>seed_curated</t>
        </is>
      </c>
      <c r="P122">
        <v>0.72</v>
      </c>
      <c r="Q122" t="inlineStr">
        <is>
          <t>PEG-lipid; controls steric stabilization and LNP desorption kinetics.</t>
        </is>
      </c>
    </row>
    <row r="123">
      <c r="A123" t="inlineStr">
        <is>
          <t>LIP_PEG_DSG</t>
        </is>
      </c>
      <c r="B123" t="inlineStr">
        <is>
          <t>PEG-DSG</t>
        </is>
      </c>
      <c r="C123"/>
      <c r="D123" t="inlineStr">
        <is>
          <t>Lipid</t>
        </is>
      </c>
      <c r="E123" t="inlineStr">
        <is>
          <t>Phospholipid/membrane lipid</t>
        </is>
      </c>
      <c r="F123" t="inlineStr">
        <is>
          <t>PEG-lipid</t>
        </is>
      </c>
      <c r="G123"/>
      <c r="H123"/>
      <c r="I123"/>
      <c r="J123"/>
      <c r="K123"/>
      <c r="L123" t="inlineStr">
        <is>
          <t>liposome/LNP/nanocarrier; route-grade dependent</t>
        </is>
      </c>
      <c r="M123" t="inlineStr">
        <is>
          <t>Use GMP lipid grade and route-specific impurity/endotoxin specs.</t>
        </is>
      </c>
      <c r="N123" t="inlineStr">
        <is>
          <t>S003_AVANTI_PHASE</t>
        </is>
      </c>
      <c r="O123" t="inlineStr">
        <is>
          <t>seed_curated</t>
        </is>
      </c>
      <c r="P123">
        <v>0.72</v>
      </c>
      <c r="Q123" t="inlineStr">
        <is>
          <t>PEG-lipid; controls steric stabilization and LNP desorption kinetics.</t>
        </is>
      </c>
    </row>
    <row r="124">
      <c r="A124" t="inlineStr">
        <is>
          <t>LIP_PEG_DPPE</t>
        </is>
      </c>
      <c r="B124" t="inlineStr">
        <is>
          <t>PEG-DPPE</t>
        </is>
      </c>
      <c r="C124"/>
      <c r="D124" t="inlineStr">
        <is>
          <t>Lipid</t>
        </is>
      </c>
      <c r="E124" t="inlineStr">
        <is>
          <t>Phospholipid/membrane lipid</t>
        </is>
      </c>
      <c r="F124" t="inlineStr">
        <is>
          <t>PEG-lipid</t>
        </is>
      </c>
      <c r="G124"/>
      <c r="H124"/>
      <c r="I124"/>
      <c r="J124"/>
      <c r="K124"/>
      <c r="L124" t="inlineStr">
        <is>
          <t>liposome/LNP/nanocarrier; route-grade dependent</t>
        </is>
      </c>
      <c r="M124" t="inlineStr">
        <is>
          <t>Use GMP lipid grade and route-specific impurity/endotoxin specs.</t>
        </is>
      </c>
      <c r="N124" t="inlineStr">
        <is>
          <t>S003_AVANTI_PHASE</t>
        </is>
      </c>
      <c r="O124" t="inlineStr">
        <is>
          <t>seed_curated</t>
        </is>
      </c>
      <c r="P124">
        <v>0.72</v>
      </c>
      <c r="Q124" t="inlineStr">
        <is>
          <t>PEG-lipid; controls steric stabilization and LNP desorption kinetics.</t>
        </is>
      </c>
    </row>
    <row r="125">
      <c r="A125" t="inlineStr">
        <is>
          <t>LIP_DOTAP</t>
        </is>
      </c>
      <c r="B125" t="inlineStr">
        <is>
          <t>DOTAP</t>
        </is>
      </c>
      <c r="C125"/>
      <c r="D125" t="inlineStr">
        <is>
          <t>Lipid</t>
        </is>
      </c>
      <c r="E125" t="inlineStr">
        <is>
          <t>Phospholipid/membrane lipid</t>
        </is>
      </c>
      <c r="F125" t="inlineStr">
        <is>
          <t>cationic lipid</t>
        </is>
      </c>
      <c r="G125"/>
      <c r="H125"/>
      <c r="I125"/>
      <c r="J125"/>
      <c r="K125"/>
      <c r="L125" t="inlineStr">
        <is>
          <t>liposome/LNP/nanocarrier; route-grade dependent</t>
        </is>
      </c>
      <c r="M125" t="inlineStr">
        <is>
          <t>Use GMP lipid grade and route-specific impurity/endotoxin specs.</t>
        </is>
      </c>
      <c r="N125" t="inlineStr">
        <is>
          <t>S003_AVANTI_PHASE</t>
        </is>
      </c>
      <c r="O125" t="inlineStr">
        <is>
          <t>seed_curated</t>
        </is>
      </c>
      <c r="P125">
        <v>0.72</v>
      </c>
      <c r="Q125" t="inlineStr">
        <is>
          <t>Permanent/strong cationic lipid; toxicity and hemolysis risk require strict screening.</t>
        </is>
      </c>
    </row>
    <row r="126">
      <c r="A126" t="inlineStr">
        <is>
          <t>LIP_DOTMA</t>
        </is>
      </c>
      <c r="B126" t="inlineStr">
        <is>
          <t>DOTMA</t>
        </is>
      </c>
      <c r="C126"/>
      <c r="D126" t="inlineStr">
        <is>
          <t>Lipid</t>
        </is>
      </c>
      <c r="E126" t="inlineStr">
        <is>
          <t>Phospholipid/membrane lipid</t>
        </is>
      </c>
      <c r="F126" t="inlineStr">
        <is>
          <t>cationic lipid</t>
        </is>
      </c>
      <c r="G126"/>
      <c r="H126"/>
      <c r="I126"/>
      <c r="J126"/>
      <c r="K126"/>
      <c r="L126" t="inlineStr">
        <is>
          <t>liposome/LNP/nanocarrier; route-grade dependent</t>
        </is>
      </c>
      <c r="M126" t="inlineStr">
        <is>
          <t>Use GMP lipid grade and route-specific impurity/endotoxin specs.</t>
        </is>
      </c>
      <c r="N126" t="inlineStr">
        <is>
          <t>S003_AVANTI_PHASE</t>
        </is>
      </c>
      <c r="O126" t="inlineStr">
        <is>
          <t>seed_curated</t>
        </is>
      </c>
      <c r="P126">
        <v>0.72</v>
      </c>
      <c r="Q126" t="inlineStr">
        <is>
          <t>Permanent/strong cationic lipid; toxicity and hemolysis risk require strict screening.</t>
        </is>
      </c>
    </row>
    <row r="127">
      <c r="A127" t="inlineStr">
        <is>
          <t>LIP_DDAB</t>
        </is>
      </c>
      <c r="B127" t="inlineStr">
        <is>
          <t>DDAB</t>
        </is>
      </c>
      <c r="C127"/>
      <c r="D127" t="inlineStr">
        <is>
          <t>Lipid</t>
        </is>
      </c>
      <c r="E127" t="inlineStr">
        <is>
          <t>Phospholipid/membrane lipid</t>
        </is>
      </c>
      <c r="F127" t="inlineStr">
        <is>
          <t>cationic lipid</t>
        </is>
      </c>
      <c r="G127"/>
      <c r="H127"/>
      <c r="I127"/>
      <c r="J127"/>
      <c r="K127"/>
      <c r="L127" t="inlineStr">
        <is>
          <t>liposome/LNP/nanocarrier; route-grade dependent</t>
        </is>
      </c>
      <c r="M127" t="inlineStr">
        <is>
          <t>Use GMP lipid grade and route-specific impurity/endotoxin specs.</t>
        </is>
      </c>
      <c r="N127" t="inlineStr">
        <is>
          <t>S003_AVANTI_PHASE</t>
        </is>
      </c>
      <c r="O127" t="inlineStr">
        <is>
          <t>seed_curated</t>
        </is>
      </c>
      <c r="P127">
        <v>0.72</v>
      </c>
      <c r="Q127" t="inlineStr">
        <is>
          <t>Permanent/strong cationic lipid; toxicity and hemolysis risk require strict screening.</t>
        </is>
      </c>
    </row>
    <row r="128">
      <c r="A128" t="inlineStr">
        <is>
          <t>LIP_DC_CHOL</t>
        </is>
      </c>
      <c r="B128" t="inlineStr">
        <is>
          <t>DC-Chol</t>
        </is>
      </c>
      <c r="C128"/>
      <c r="D128" t="inlineStr">
        <is>
          <t>Lipid</t>
        </is>
      </c>
      <c r="E128" t="inlineStr">
        <is>
          <t>Phospholipid/membrane lipid</t>
        </is>
      </c>
      <c r="F128" t="inlineStr">
        <is>
          <t>cationic lipid</t>
        </is>
      </c>
      <c r="G128"/>
      <c r="H128"/>
      <c r="I128"/>
      <c r="J128"/>
      <c r="K128"/>
      <c r="L128" t="inlineStr">
        <is>
          <t>liposome/LNP/nanocarrier; route-grade dependent</t>
        </is>
      </c>
      <c r="M128" t="inlineStr">
        <is>
          <t>Use GMP lipid grade and route-specific impurity/endotoxin specs.</t>
        </is>
      </c>
      <c r="N128" t="inlineStr">
        <is>
          <t>S003_AVANTI_PHASE</t>
        </is>
      </c>
      <c r="O128" t="inlineStr">
        <is>
          <t>seed_curated</t>
        </is>
      </c>
      <c r="P128">
        <v>0.72</v>
      </c>
      <c r="Q128" t="inlineStr">
        <is>
          <t>Permanent/strong cationic lipid; toxicity and hemolysis risk require strict screening.</t>
        </is>
      </c>
    </row>
    <row r="129">
      <c r="A129" t="inlineStr">
        <is>
          <t>LIP_DODAP</t>
        </is>
      </c>
      <c r="B129" t="inlineStr">
        <is>
          <t>DODAP</t>
        </is>
      </c>
      <c r="C129"/>
      <c r="D129" t="inlineStr">
        <is>
          <t>Lipid</t>
        </is>
      </c>
      <c r="E129" t="inlineStr">
        <is>
          <t>Phospholipid/membrane lipid</t>
        </is>
      </c>
      <c r="F129" t="inlineStr">
        <is>
          <t>ionizable lipid</t>
        </is>
      </c>
      <c r="G129"/>
      <c r="H129"/>
      <c r="I129"/>
      <c r="J129"/>
      <c r="K129"/>
      <c r="L129" t="inlineStr">
        <is>
          <t>liposome/LNP/nanocarrier; route-grade dependent</t>
        </is>
      </c>
      <c r="M129" t="inlineStr">
        <is>
          <t>Use GMP lipid grade and route-specific impurity/endotoxin specs.</t>
        </is>
      </c>
      <c r="N129" t="inlineStr">
        <is>
          <t>S003_AVANTI_PHASE</t>
        </is>
      </c>
      <c r="O129" t="inlineStr">
        <is>
          <t>seed_curated</t>
        </is>
      </c>
      <c r="P129">
        <v>0.72</v>
      </c>
      <c r="Q129" t="inlineStr">
        <is>
          <t>Apparent pKa formulation-dependent; critical for LNP potency/tolerability.</t>
        </is>
      </c>
    </row>
    <row r="130">
      <c r="A130" t="inlineStr">
        <is>
          <t>LIP_DLIN_MC3_DMA</t>
        </is>
      </c>
      <c r="B130" t="inlineStr">
        <is>
          <t>DLin-MC3-DMA</t>
        </is>
      </c>
      <c r="C130"/>
      <c r="D130" t="inlineStr">
        <is>
          <t>Lipid</t>
        </is>
      </c>
      <c r="E130" t="inlineStr">
        <is>
          <t>Phospholipid/membrane lipid</t>
        </is>
      </c>
      <c r="F130" t="inlineStr">
        <is>
          <t>ionizable lipid</t>
        </is>
      </c>
      <c r="G130"/>
      <c r="H130"/>
      <c r="I130"/>
      <c r="J130"/>
      <c r="K130"/>
      <c r="L130" t="inlineStr">
        <is>
          <t>liposome/LNP/nanocarrier; route-grade dependent</t>
        </is>
      </c>
      <c r="M130" t="inlineStr">
        <is>
          <t>Use GMP lipid grade and route-specific impurity/endotoxin specs.</t>
        </is>
      </c>
      <c r="N130" t="inlineStr">
        <is>
          <t>S003_AVANTI_PHASE</t>
        </is>
      </c>
      <c r="O130" t="inlineStr">
        <is>
          <t>seed_curated</t>
        </is>
      </c>
      <c r="P130">
        <v>0.72</v>
      </c>
      <c r="Q130" t="inlineStr">
        <is>
          <t>Apparent pKa formulation-dependent; critical for LNP potency/tolerability.</t>
        </is>
      </c>
    </row>
    <row r="131">
      <c r="A131" t="inlineStr">
        <is>
          <t>LIP_SM_102</t>
        </is>
      </c>
      <c r="B131" t="inlineStr">
        <is>
          <t>SM-102</t>
        </is>
      </c>
      <c r="C131"/>
      <c r="D131" t="inlineStr">
        <is>
          <t>Lipid</t>
        </is>
      </c>
      <c r="E131" t="inlineStr">
        <is>
          <t>Phospholipid/membrane lipid</t>
        </is>
      </c>
      <c r="F131" t="inlineStr">
        <is>
          <t>ionizable lipid</t>
        </is>
      </c>
      <c r="G131"/>
      <c r="H131"/>
      <c r="I131"/>
      <c r="J131"/>
      <c r="K131"/>
      <c r="L131" t="inlineStr">
        <is>
          <t>liposome/LNP/nanocarrier; route-grade dependent</t>
        </is>
      </c>
      <c r="M131" t="inlineStr">
        <is>
          <t>Use GMP lipid grade and route-specific impurity/endotoxin specs.</t>
        </is>
      </c>
      <c r="N131" t="inlineStr">
        <is>
          <t>S003_AVANTI_PHASE</t>
        </is>
      </c>
      <c r="O131" t="inlineStr">
        <is>
          <t>seed_curated</t>
        </is>
      </c>
      <c r="P131">
        <v>0.72</v>
      </c>
      <c r="Q131" t="inlineStr">
        <is>
          <t>Apparent pKa formulation-dependent; critical for LNP potency/tolerability.</t>
        </is>
      </c>
    </row>
    <row r="132">
      <c r="A132" t="inlineStr">
        <is>
          <t>LIP_ALC_0315</t>
        </is>
      </c>
      <c r="B132" t="inlineStr">
        <is>
          <t>ALC-0315</t>
        </is>
      </c>
      <c r="C132"/>
      <c r="D132" t="inlineStr">
        <is>
          <t>Lipid</t>
        </is>
      </c>
      <c r="E132" t="inlineStr">
        <is>
          <t>Phospholipid/membrane lipid</t>
        </is>
      </c>
      <c r="F132" t="inlineStr">
        <is>
          <t>ionizable lipid</t>
        </is>
      </c>
      <c r="G132"/>
      <c r="H132"/>
      <c r="I132"/>
      <c r="J132"/>
      <c r="K132"/>
      <c r="L132" t="inlineStr">
        <is>
          <t>liposome/LNP/nanocarrier; route-grade dependent</t>
        </is>
      </c>
      <c r="M132" t="inlineStr">
        <is>
          <t>Use GMP lipid grade and route-specific impurity/endotoxin specs.</t>
        </is>
      </c>
      <c r="N132" t="inlineStr">
        <is>
          <t>S003_AVANTI_PHASE</t>
        </is>
      </c>
      <c r="O132" t="inlineStr">
        <is>
          <t>seed_curated</t>
        </is>
      </c>
      <c r="P132">
        <v>0.72</v>
      </c>
      <c r="Q132" t="inlineStr">
        <is>
          <t>Apparent pKa formulation-dependent; critical for LNP potency/tolerability.</t>
        </is>
      </c>
    </row>
    <row r="133">
      <c r="A133" t="inlineStr">
        <is>
          <t>LIP_DLIN_KC2_DMA</t>
        </is>
      </c>
      <c r="B133" t="inlineStr">
        <is>
          <t>Dlin-KC2-DMA</t>
        </is>
      </c>
      <c r="C133"/>
      <c r="D133" t="inlineStr">
        <is>
          <t>Lipid</t>
        </is>
      </c>
      <c r="E133" t="inlineStr">
        <is>
          <t>Phospholipid/membrane lipid</t>
        </is>
      </c>
      <c r="F133" t="inlineStr">
        <is>
          <t>ionizable lipid</t>
        </is>
      </c>
      <c r="G133"/>
      <c r="H133"/>
      <c r="I133"/>
      <c r="J133"/>
      <c r="K133"/>
      <c r="L133" t="inlineStr">
        <is>
          <t>liposome/LNP/nanocarrier; route-grade dependent</t>
        </is>
      </c>
      <c r="M133" t="inlineStr">
        <is>
          <t>Use GMP lipid grade and route-specific impurity/endotoxin specs.</t>
        </is>
      </c>
      <c r="N133" t="inlineStr">
        <is>
          <t>S003_AVANTI_PHASE</t>
        </is>
      </c>
      <c r="O133" t="inlineStr">
        <is>
          <t>seed_curated</t>
        </is>
      </c>
      <c r="P133">
        <v>0.72</v>
      </c>
      <c r="Q133" t="inlineStr">
        <is>
          <t>Apparent pKa formulation-dependent; critical for LNP potency/tolerability.</t>
        </is>
      </c>
    </row>
    <row r="134">
      <c r="A134" t="inlineStr">
        <is>
          <t>LIP_DODMA</t>
        </is>
      </c>
      <c r="B134" t="inlineStr">
        <is>
          <t>DODMA</t>
        </is>
      </c>
      <c r="C134"/>
      <c r="D134" t="inlineStr">
        <is>
          <t>Lipid</t>
        </is>
      </c>
      <c r="E134" t="inlineStr">
        <is>
          <t>Phospholipid/membrane lipid</t>
        </is>
      </c>
      <c r="F134" t="inlineStr">
        <is>
          <t>ionizable lipid</t>
        </is>
      </c>
      <c r="G134"/>
      <c r="H134"/>
      <c r="I134"/>
      <c r="J134"/>
      <c r="K134"/>
      <c r="L134" t="inlineStr">
        <is>
          <t>liposome/LNP/nanocarrier; route-grade dependent</t>
        </is>
      </c>
      <c r="M134" t="inlineStr">
        <is>
          <t>Use GMP lipid grade and route-specific impurity/endotoxin specs.</t>
        </is>
      </c>
      <c r="N134" t="inlineStr">
        <is>
          <t>S003_AVANTI_PHASE</t>
        </is>
      </c>
      <c r="O134" t="inlineStr">
        <is>
          <t>seed_curated</t>
        </is>
      </c>
      <c r="P134">
        <v>0.72</v>
      </c>
      <c r="Q134" t="inlineStr">
        <is>
          <t>Apparent pKa formulation-dependent; critical for LNP potency/tolerability.</t>
        </is>
      </c>
    </row>
    <row r="135">
      <c r="A135" t="inlineStr">
        <is>
          <t>LIP_SPHINGOMYELIN</t>
        </is>
      </c>
      <c r="B135" t="inlineStr">
        <is>
          <t>Sphingomyelin</t>
        </is>
      </c>
      <c r="C135"/>
      <c r="D135" t="inlineStr">
        <is>
          <t>Lipid</t>
        </is>
      </c>
      <c r="E135" t="inlineStr">
        <is>
          <t>Phospholipid/membrane lipid</t>
        </is>
      </c>
      <c r="F135" t="inlineStr">
        <is>
          <t>sphingolipid</t>
        </is>
      </c>
      <c r="G135"/>
      <c r="H135"/>
      <c r="I135"/>
      <c r="J135"/>
      <c r="K135"/>
      <c r="L135" t="inlineStr">
        <is>
          <t>liposome/LNP/nanocarrier; route-grade dependent</t>
        </is>
      </c>
      <c r="M135" t="inlineStr">
        <is>
          <t>Use GMP lipid grade and route-specific impurity/endotoxin specs.</t>
        </is>
      </c>
      <c r="N135" t="inlineStr">
        <is>
          <t>S003_AVANTI_PHASE</t>
        </is>
      </c>
      <c r="O135" t="inlineStr">
        <is>
          <t>seed_curated</t>
        </is>
      </c>
      <c r="P135">
        <v>0.72</v>
      </c>
      <c r="Q135" t="inlineStr">
        <is>
          <t>Sphingolipid; grade/acyl distribution dependent.</t>
        </is>
      </c>
    </row>
    <row r="136">
      <c r="A136" t="inlineStr">
        <is>
          <t>LIP_CERAMIDE</t>
        </is>
      </c>
      <c r="B136" t="inlineStr">
        <is>
          <t>Ceramide</t>
        </is>
      </c>
      <c r="C136"/>
      <c r="D136" t="inlineStr">
        <is>
          <t>Lipid</t>
        </is>
      </c>
      <c r="E136" t="inlineStr">
        <is>
          <t>Phospholipid/membrane lipid</t>
        </is>
      </c>
      <c r="F136" t="inlineStr">
        <is>
          <t>sphingolipid</t>
        </is>
      </c>
      <c r="G136"/>
      <c r="H136"/>
      <c r="I136"/>
      <c r="J136"/>
      <c r="K136"/>
      <c r="L136" t="inlineStr">
        <is>
          <t>liposome/LNP/nanocarrier; route-grade dependent</t>
        </is>
      </c>
      <c r="M136" t="inlineStr">
        <is>
          <t>Use GMP lipid grade and route-specific impurity/endotoxin specs.</t>
        </is>
      </c>
      <c r="N136" t="inlineStr">
        <is>
          <t>S003_AVANTI_PHASE</t>
        </is>
      </c>
      <c r="O136" t="inlineStr">
        <is>
          <t>seed_curated</t>
        </is>
      </c>
      <c r="P136">
        <v>0.72</v>
      </c>
      <c r="Q136" t="inlineStr">
        <is>
          <t>Sphingolipid; grade/acyl distribution dependent.</t>
        </is>
      </c>
    </row>
    <row r="137">
      <c r="A137" t="inlineStr">
        <is>
          <t>LIP_GLUCOSYLCERAMIDE</t>
        </is>
      </c>
      <c r="B137" t="inlineStr">
        <is>
          <t>Glucosylceramide</t>
        </is>
      </c>
      <c r="C137"/>
      <c r="D137" t="inlineStr">
        <is>
          <t>Lipid</t>
        </is>
      </c>
      <c r="E137" t="inlineStr">
        <is>
          <t>Phospholipid/membrane lipid</t>
        </is>
      </c>
      <c r="F137" t="inlineStr">
        <is>
          <t>sphingolipid</t>
        </is>
      </c>
      <c r="G137"/>
      <c r="H137"/>
      <c r="I137"/>
      <c r="J137"/>
      <c r="K137"/>
      <c r="L137" t="inlineStr">
        <is>
          <t>liposome/LNP/nanocarrier; route-grade dependent</t>
        </is>
      </c>
      <c r="M137" t="inlineStr">
        <is>
          <t>Use GMP lipid grade and route-specific impurity/endotoxin specs.</t>
        </is>
      </c>
      <c r="N137" t="inlineStr">
        <is>
          <t>S003_AVANTI_PHASE</t>
        </is>
      </c>
      <c r="O137" t="inlineStr">
        <is>
          <t>seed_curated</t>
        </is>
      </c>
      <c r="P137">
        <v>0.72</v>
      </c>
      <c r="Q137" t="inlineStr">
        <is>
          <t>Sphingolipid; grade/acyl distribution dependent.</t>
        </is>
      </c>
    </row>
    <row r="138">
      <c r="A138" t="inlineStr">
        <is>
          <t>LIP_SAINT_LIPID_PLACEHOLDER</t>
        </is>
      </c>
      <c r="B138" t="inlineStr">
        <is>
          <t>SAINT lipid placeholder</t>
        </is>
      </c>
      <c r="C138"/>
      <c r="D138" t="inlineStr">
        <is>
          <t>Lipid</t>
        </is>
      </c>
      <c r="E138" t="inlineStr">
        <is>
          <t>Phospholipid/membrane lipid</t>
        </is>
      </c>
      <c r="F138" t="inlineStr">
        <is>
          <t>cationic lipid placeholder</t>
        </is>
      </c>
      <c r="G138"/>
      <c r="H138"/>
      <c r="I138"/>
      <c r="J138"/>
      <c r="K138"/>
      <c r="L138" t="inlineStr">
        <is>
          <t>liposome/LNP/nanocarrier; route-grade dependent</t>
        </is>
      </c>
      <c r="M138" t="inlineStr">
        <is>
          <t>Use GMP lipid grade and route-specific impurity/endotoxin specs.</t>
        </is>
      </c>
      <c r="N138" t="inlineStr">
        <is>
          <t>S000_USER_SPEC</t>
        </is>
      </c>
      <c r="O138" t="inlineStr">
        <is>
          <t>seed_curated</t>
        </is>
      </c>
      <c r="P138">
        <v>0.72</v>
      </c>
      <c r="Q138" t="inlineStr">
        <is>
          <t>Placeholder because SAINT family has multiple proprietary structures; add exact SAINT-2/SAINT-18 row before use.</t>
        </is>
      </c>
    </row>
    <row r="139">
      <c r="A139" t="inlineStr">
        <is>
          <t>STE_CHOLESTEROL</t>
        </is>
      </c>
      <c r="B139" t="inlineStr">
        <is>
          <t>Cholesterol</t>
        </is>
      </c>
      <c r="C139"/>
      <c r="D139" t="inlineStr">
        <is>
          <t>Sterol</t>
        </is>
      </c>
      <c r="E139" t="inlineStr">
        <is>
          <t>Sterol/sterol derivative</t>
        </is>
      </c>
      <c r="F139" t="inlineStr">
        <is>
          <t>cholesterol</t>
        </is>
      </c>
      <c r="G139"/>
      <c r="H139"/>
      <c r="I139"/>
      <c r="J139"/>
      <c r="K139"/>
      <c r="L139" t="inlineStr">
        <is>
          <t>liposomes, niosomes, SLN/NLC; oral/topical/parenteral grade-dependent</t>
        </is>
      </c>
      <c r="M139" t="inlineStr">
        <is>
          <t>Cholesterol has broad precedent; derivatives require route-specific assessment.</t>
        </is>
      </c>
      <c r="N139" t="inlineStr">
        <is>
          <t>S001_PUBCHEM</t>
        </is>
      </c>
      <c r="O139" t="inlineStr">
        <is>
          <t>seed_curated</t>
        </is>
      </c>
      <c r="P139">
        <v>0.72</v>
      </c>
      <c r="Q139" t="inlineStr">
        <is>
          <t>canonical membrane rigidifier</t>
        </is>
      </c>
    </row>
    <row r="140">
      <c r="A140" t="inlineStr">
        <is>
          <t>STE_CHOLESTERYL_HEMISUCCINATE</t>
        </is>
      </c>
      <c r="B140" t="inlineStr">
        <is>
          <t>Cholesteryl hemisuccinate</t>
        </is>
      </c>
      <c r="C140"/>
      <c r="D140" t="inlineStr">
        <is>
          <t>Sterol</t>
        </is>
      </c>
      <c r="E140" t="inlineStr">
        <is>
          <t>Sterol/sterol derivative</t>
        </is>
      </c>
      <c r="F140" t="inlineStr">
        <is>
          <t>anionic cholesterol ester</t>
        </is>
      </c>
      <c r="G140"/>
      <c r="H140"/>
      <c r="I140"/>
      <c r="J140"/>
      <c r="K140"/>
      <c r="L140" t="inlineStr">
        <is>
          <t>liposomes, niosomes, SLN/NLC; oral/topical/parenteral grade-dependent</t>
        </is>
      </c>
      <c r="M140" t="inlineStr">
        <is>
          <t>Cholesterol has broad precedent; derivatives require route-specific assessment.</t>
        </is>
      </c>
      <c r="N140" t="inlineStr">
        <is>
          <t>S001_PUBCHEM</t>
        </is>
      </c>
      <c r="O140" t="inlineStr">
        <is>
          <t>seed_curated</t>
        </is>
      </c>
      <c r="P140">
        <v>0.72</v>
      </c>
      <c r="Q140" t="inlineStr">
        <is>
          <t>pH-responsive/anionic sterol derivative</t>
        </is>
      </c>
    </row>
    <row r="141">
      <c r="A141" t="inlineStr">
        <is>
          <t>STE_ERGOSTEROL</t>
        </is>
      </c>
      <c r="B141" t="inlineStr">
        <is>
          <t>Ergosterol</t>
        </is>
      </c>
      <c r="C141"/>
      <c r="D141" t="inlineStr">
        <is>
          <t>Sterol</t>
        </is>
      </c>
      <c r="E141" t="inlineStr">
        <is>
          <t>Sterol/sterol derivative</t>
        </is>
      </c>
      <c r="F141" t="inlineStr">
        <is>
          <t>fungal sterol</t>
        </is>
      </c>
      <c r="G141"/>
      <c r="H141"/>
      <c r="I141"/>
      <c r="J141"/>
      <c r="K141"/>
      <c r="L141" t="inlineStr">
        <is>
          <t>liposomes, niosomes, SLN/NLC; oral/topical/parenteral grade-dependent</t>
        </is>
      </c>
      <c r="M141" t="inlineStr">
        <is>
          <t>Cholesterol has broad precedent; derivatives require route-specific assessment.</t>
        </is>
      </c>
      <c r="N141" t="inlineStr">
        <is>
          <t>S001_PUBCHEM</t>
        </is>
      </c>
      <c r="O141" t="inlineStr">
        <is>
          <t>seed_curated</t>
        </is>
      </c>
      <c r="P141">
        <v>0.72</v>
      </c>
      <c r="Q141" t="inlineStr">
        <is>
          <t>polyene-binding relevance</t>
        </is>
      </c>
    </row>
    <row r="142">
      <c r="A142" t="inlineStr">
        <is>
          <t>STE_BETA_SITOSTEROL</t>
        </is>
      </c>
      <c r="B142" t="inlineStr">
        <is>
          <t>Beta-sitosterol</t>
        </is>
      </c>
      <c r="C142"/>
      <c r="D142" t="inlineStr">
        <is>
          <t>Sterol</t>
        </is>
      </c>
      <c r="E142" t="inlineStr">
        <is>
          <t>Sterol/sterol derivative</t>
        </is>
      </c>
      <c r="F142" t="inlineStr">
        <is>
          <t>phytosterol</t>
        </is>
      </c>
      <c r="G142"/>
      <c r="H142"/>
      <c r="I142"/>
      <c r="J142"/>
      <c r="K142"/>
      <c r="L142" t="inlineStr">
        <is>
          <t>liposomes, niosomes, SLN/NLC; oral/topical/parenteral grade-dependent</t>
        </is>
      </c>
      <c r="M142" t="inlineStr">
        <is>
          <t>Cholesterol has broad precedent; derivatives require route-specific assessment.</t>
        </is>
      </c>
      <c r="N142" t="inlineStr">
        <is>
          <t>S001_PUBCHEM</t>
        </is>
      </c>
      <c r="O142" t="inlineStr">
        <is>
          <t>seed_curated</t>
        </is>
      </c>
      <c r="P142">
        <v>0.72</v>
      </c>
      <c r="Q142" t="inlineStr">
        <is>
          <t>phytosterol membrane-ordering candidate</t>
        </is>
      </c>
    </row>
    <row r="143">
      <c r="A143" t="inlineStr">
        <is>
          <t>STE_LANOSTEROL</t>
        </is>
      </c>
      <c r="B143" t="inlineStr">
        <is>
          <t>Lanosterol</t>
        </is>
      </c>
      <c r="C143"/>
      <c r="D143" t="inlineStr">
        <is>
          <t>Sterol</t>
        </is>
      </c>
      <c r="E143" t="inlineStr">
        <is>
          <t>Sterol/sterol derivative</t>
        </is>
      </c>
      <c r="F143" t="inlineStr">
        <is>
          <t>sterol precursor</t>
        </is>
      </c>
      <c r="G143"/>
      <c r="H143"/>
      <c r="I143"/>
      <c r="J143"/>
      <c r="K143"/>
      <c r="L143" t="inlineStr">
        <is>
          <t>liposomes, niosomes, SLN/NLC; oral/topical/parenteral grade-dependent</t>
        </is>
      </c>
      <c r="M143" t="inlineStr">
        <is>
          <t>Cholesterol has broad precedent; derivatives require route-specific assessment.</t>
        </is>
      </c>
      <c r="N143" t="inlineStr">
        <is>
          <t>S001_PUBCHEM</t>
        </is>
      </c>
      <c r="O143" t="inlineStr">
        <is>
          <t>seed_curated</t>
        </is>
      </c>
      <c r="P143">
        <v>0.72</v>
      </c>
      <c r="Q143" t="inlineStr">
        <is>
          <t>less common sterol derivative</t>
        </is>
      </c>
    </row>
    <row r="144">
      <c r="A144" t="inlineStr">
        <is>
          <t>BILE_SODIUM_CHOLATE</t>
        </is>
      </c>
      <c r="B144" t="inlineStr">
        <is>
          <t>Sodium cholate</t>
        </is>
      </c>
      <c r="C144"/>
      <c r="D144" t="inlineStr">
        <is>
          <t>Bile salt</t>
        </is>
      </c>
      <c r="E144" t="inlineStr">
        <is>
          <t>Bile salt/bilosome edge material</t>
        </is>
      </c>
      <c r="F144" t="inlineStr">
        <is>
          <t>bile salt</t>
        </is>
      </c>
      <c r="G144"/>
      <c r="H144"/>
      <c r="I144"/>
      <c r="J144"/>
      <c r="K144"/>
      <c r="L144" t="inlineStr">
        <is>
          <t>oral bilosomes/transfer-like vesicles; route-specific toxicity testing required</t>
        </is>
      </c>
      <c r="M144" t="inlineStr">
        <is>
          <t>Membrane-active; evaluate hemolysis/cytotoxicity.</t>
        </is>
      </c>
      <c r="N144" t="inlineStr">
        <is>
          <t>S007_EXCIPIENTS_HANDBOOK</t>
        </is>
      </c>
      <c r="O144" t="inlineStr">
        <is>
          <t>seed_curated</t>
        </is>
      </c>
      <c r="P144">
        <v>0.64</v>
      </c>
      <c r="Q144"/>
    </row>
    <row r="145">
      <c r="A145" t="inlineStr">
        <is>
          <t>BILE_SODIUM_DEOXYCHOLATE</t>
        </is>
      </c>
      <c r="B145" t="inlineStr">
        <is>
          <t>Sodium deoxycholate</t>
        </is>
      </c>
      <c r="C145"/>
      <c r="D145" t="inlineStr">
        <is>
          <t>Bile salt</t>
        </is>
      </c>
      <c r="E145" t="inlineStr">
        <is>
          <t>Bile salt/bilosome edge material</t>
        </is>
      </c>
      <c r="F145" t="inlineStr">
        <is>
          <t>bile salt</t>
        </is>
      </c>
      <c r="G145"/>
      <c r="H145"/>
      <c r="I145"/>
      <c r="J145"/>
      <c r="K145"/>
      <c r="L145" t="inlineStr">
        <is>
          <t>oral bilosomes/transfer-like vesicles; route-specific toxicity testing required</t>
        </is>
      </c>
      <c r="M145" t="inlineStr">
        <is>
          <t>Membrane-active; evaluate hemolysis/cytotoxicity.</t>
        </is>
      </c>
      <c r="N145" t="inlineStr">
        <is>
          <t>S007_EXCIPIENTS_HANDBOOK</t>
        </is>
      </c>
      <c r="O145" t="inlineStr">
        <is>
          <t>seed_curated</t>
        </is>
      </c>
      <c r="P145">
        <v>0.64</v>
      </c>
      <c r="Q145"/>
    </row>
    <row r="146">
      <c r="A146" t="inlineStr">
        <is>
          <t>BILE_SODIUM_TAUROCHOLATE</t>
        </is>
      </c>
      <c r="B146" t="inlineStr">
        <is>
          <t>Sodium taurocholate</t>
        </is>
      </c>
      <c r="C146"/>
      <c r="D146" t="inlineStr">
        <is>
          <t>Bile salt</t>
        </is>
      </c>
      <c r="E146" t="inlineStr">
        <is>
          <t>Bile salt/bilosome edge material</t>
        </is>
      </c>
      <c r="F146" t="inlineStr">
        <is>
          <t>bile salt</t>
        </is>
      </c>
      <c r="G146"/>
      <c r="H146"/>
      <c r="I146"/>
      <c r="J146"/>
      <c r="K146"/>
      <c r="L146" t="inlineStr">
        <is>
          <t>oral bilosomes/transfer-like vesicles; route-specific toxicity testing required</t>
        </is>
      </c>
      <c r="M146" t="inlineStr">
        <is>
          <t>Membrane-active; evaluate hemolysis/cytotoxicity.</t>
        </is>
      </c>
      <c r="N146" t="inlineStr">
        <is>
          <t>S007_EXCIPIENTS_HANDBOOK</t>
        </is>
      </c>
      <c r="O146" t="inlineStr">
        <is>
          <t>seed_curated</t>
        </is>
      </c>
      <c r="P146">
        <v>0.64</v>
      </c>
      <c r="Q146"/>
    </row>
    <row r="147">
      <c r="A147" t="inlineStr">
        <is>
          <t>BILE_SODIUM_GLYCOCHOLATE</t>
        </is>
      </c>
      <c r="B147" t="inlineStr">
        <is>
          <t>Sodium glycocholate</t>
        </is>
      </c>
      <c r="C147"/>
      <c r="D147" t="inlineStr">
        <is>
          <t>Bile salt</t>
        </is>
      </c>
      <c r="E147" t="inlineStr">
        <is>
          <t>Bile salt/bilosome edge material</t>
        </is>
      </c>
      <c r="F147" t="inlineStr">
        <is>
          <t>bile salt</t>
        </is>
      </c>
      <c r="G147"/>
      <c r="H147"/>
      <c r="I147"/>
      <c r="J147"/>
      <c r="K147"/>
      <c r="L147" t="inlineStr">
        <is>
          <t>oral bilosomes/transfer-like vesicles; route-specific toxicity testing required</t>
        </is>
      </c>
      <c r="M147" t="inlineStr">
        <is>
          <t>Membrane-active; evaluate hemolysis/cytotoxicity.</t>
        </is>
      </c>
      <c r="N147" t="inlineStr">
        <is>
          <t>S007_EXCIPIENTS_HANDBOOK</t>
        </is>
      </c>
      <c r="O147" t="inlineStr">
        <is>
          <t>seed_curated</t>
        </is>
      </c>
      <c r="P147">
        <v>0.64</v>
      </c>
      <c r="Q147"/>
    </row>
    <row r="148">
      <c r="A148" t="inlineStr">
        <is>
          <t>BILE_SODIUM_TAURODEOXYCHOLATE</t>
        </is>
      </c>
      <c r="B148" t="inlineStr">
        <is>
          <t>Sodium taurodeoxycholate</t>
        </is>
      </c>
      <c r="C148"/>
      <c r="D148" t="inlineStr">
        <is>
          <t>Bile salt</t>
        </is>
      </c>
      <c r="E148" t="inlineStr">
        <is>
          <t>Bile salt/bilosome edge material</t>
        </is>
      </c>
      <c r="F148" t="inlineStr">
        <is>
          <t>bile salt</t>
        </is>
      </c>
      <c r="G148"/>
      <c r="H148"/>
      <c r="I148"/>
      <c r="J148"/>
      <c r="K148"/>
      <c r="L148" t="inlineStr">
        <is>
          <t>oral bilosomes/transfer-like vesicles; route-specific toxicity testing required</t>
        </is>
      </c>
      <c r="M148" t="inlineStr">
        <is>
          <t>Membrane-active; evaluate hemolysis/cytotoxicity.</t>
        </is>
      </c>
      <c r="N148" t="inlineStr">
        <is>
          <t>S007_EXCIPIENTS_HANDBOOK</t>
        </is>
      </c>
      <c r="O148" t="inlineStr">
        <is>
          <t>seed_curated</t>
        </is>
      </c>
      <c r="P148">
        <v>0.64</v>
      </c>
      <c r="Q148"/>
    </row>
    <row r="149">
      <c r="A149" t="inlineStr">
        <is>
          <t>BILE_SODIUM_GLYCODEOXYCHOLATE</t>
        </is>
      </c>
      <c r="B149" t="inlineStr">
        <is>
          <t>Sodium glycodeoxycholate</t>
        </is>
      </c>
      <c r="C149"/>
      <c r="D149" t="inlineStr">
        <is>
          <t>Bile salt</t>
        </is>
      </c>
      <c r="E149" t="inlineStr">
        <is>
          <t>Bile salt/bilosome edge material</t>
        </is>
      </c>
      <c r="F149" t="inlineStr">
        <is>
          <t>bile salt</t>
        </is>
      </c>
      <c r="G149"/>
      <c r="H149"/>
      <c r="I149"/>
      <c r="J149"/>
      <c r="K149"/>
      <c r="L149" t="inlineStr">
        <is>
          <t>oral bilosomes/transfer-like vesicles; route-specific toxicity testing required</t>
        </is>
      </c>
      <c r="M149" t="inlineStr">
        <is>
          <t>Membrane-active; evaluate hemolysis/cytotoxicity.</t>
        </is>
      </c>
      <c r="N149" t="inlineStr">
        <is>
          <t>S007_EXCIPIENTS_HANDBOOK</t>
        </is>
      </c>
      <c r="O149" t="inlineStr">
        <is>
          <t>seed_curated</t>
        </is>
      </c>
      <c r="P149">
        <v>0.64</v>
      </c>
      <c r="Q149"/>
    </row>
    <row r="150">
      <c r="A150" t="inlineStr">
        <is>
          <t>BILE_SODIUM_TAUROCHENODEOXYCHOLATE</t>
        </is>
      </c>
      <c r="B150" t="inlineStr">
        <is>
          <t>Sodium taurochenodeoxycholate</t>
        </is>
      </c>
      <c r="C150"/>
      <c r="D150" t="inlineStr">
        <is>
          <t>Bile salt</t>
        </is>
      </c>
      <c r="E150" t="inlineStr">
        <is>
          <t>Bile salt/bilosome edge material</t>
        </is>
      </c>
      <c r="F150" t="inlineStr">
        <is>
          <t>bile salt</t>
        </is>
      </c>
      <c r="G150"/>
      <c r="H150"/>
      <c r="I150"/>
      <c r="J150"/>
      <c r="K150"/>
      <c r="L150" t="inlineStr">
        <is>
          <t>oral bilosomes/transfer-like vesicles; route-specific toxicity testing required</t>
        </is>
      </c>
      <c r="M150" t="inlineStr">
        <is>
          <t>Membrane-active; evaluate hemolysis/cytotoxicity.</t>
        </is>
      </c>
      <c r="N150" t="inlineStr">
        <is>
          <t>S007_EXCIPIENTS_HANDBOOK</t>
        </is>
      </c>
      <c r="O150" t="inlineStr">
        <is>
          <t>seed_curated</t>
        </is>
      </c>
      <c r="P150">
        <v>0.64</v>
      </c>
      <c r="Q150"/>
    </row>
    <row r="151">
      <c r="A151" t="inlineStr">
        <is>
          <t>BILE_SODIUM_CHENODEOXYCHOLATE</t>
        </is>
      </c>
      <c r="B151" t="inlineStr">
        <is>
          <t>Sodium chenodeoxycholate</t>
        </is>
      </c>
      <c r="C151"/>
      <c r="D151" t="inlineStr">
        <is>
          <t>Bile salt</t>
        </is>
      </c>
      <c r="E151" t="inlineStr">
        <is>
          <t>Bile salt/bilosome edge material</t>
        </is>
      </c>
      <c r="F151" t="inlineStr">
        <is>
          <t>bile salt</t>
        </is>
      </c>
      <c r="G151"/>
      <c r="H151"/>
      <c r="I151"/>
      <c r="J151"/>
      <c r="K151"/>
      <c r="L151" t="inlineStr">
        <is>
          <t>oral bilosomes/transfer-like vesicles; route-specific toxicity testing required</t>
        </is>
      </c>
      <c r="M151" t="inlineStr">
        <is>
          <t>Membrane-active; evaluate hemolysis/cytotoxicity.</t>
        </is>
      </c>
      <c r="N151" t="inlineStr">
        <is>
          <t>S007_EXCIPIENTS_HANDBOOK</t>
        </is>
      </c>
      <c r="O151" t="inlineStr">
        <is>
          <t>seed_curated</t>
        </is>
      </c>
      <c r="P151">
        <v>0.64</v>
      </c>
      <c r="Q151"/>
    </row>
    <row r="152">
      <c r="A152" t="inlineStr">
        <is>
          <t>OIL_STEARIC_ACID</t>
        </is>
      </c>
      <c r="B152" t="inlineStr">
        <is>
          <t>Stearic acid</t>
        </is>
      </c>
      <c r="C152"/>
      <c r="D152" t="inlineStr">
        <is>
          <t>Solid lipid/oil</t>
        </is>
      </c>
      <c r="E152" t="inlineStr">
        <is>
          <t>Solid lipid/oil/wax</t>
        </is>
      </c>
      <c r="F152" t="inlineStr">
        <is>
          <t>fatty acid</t>
        </is>
      </c>
      <c r="G152"/>
      <c r="H152"/>
      <c r="I152"/>
      <c r="J152"/>
      <c r="K152"/>
      <c r="L152" t="inlineStr">
        <is>
          <t>oral/topical/parenteral lipid excipient depending on grade</t>
        </is>
      </c>
      <c r="M152" t="inlineStr">
        <is>
          <t>Mixtures require grade-specific acid/saponification/peroxide values.</t>
        </is>
      </c>
      <c r="N152" t="inlineStr">
        <is>
          <t>S007_EXCIPIENTS_HANDBOOK</t>
        </is>
      </c>
      <c r="O152" t="inlineStr">
        <is>
          <t>seed_curated</t>
        </is>
      </c>
      <c r="P152">
        <v>0.6</v>
      </c>
      <c r="Q152"/>
    </row>
    <row r="153">
      <c r="A153" t="inlineStr">
        <is>
          <t>OIL_PALMITIC_ACID</t>
        </is>
      </c>
      <c r="B153" t="inlineStr">
        <is>
          <t>Palmitic acid</t>
        </is>
      </c>
      <c r="C153"/>
      <c r="D153" t="inlineStr">
        <is>
          <t>Solid lipid/oil</t>
        </is>
      </c>
      <c r="E153" t="inlineStr">
        <is>
          <t>Solid lipid/oil/wax</t>
        </is>
      </c>
      <c r="F153" t="inlineStr">
        <is>
          <t>fatty acid</t>
        </is>
      </c>
      <c r="G153"/>
      <c r="H153"/>
      <c r="I153"/>
      <c r="J153"/>
      <c r="K153"/>
      <c r="L153" t="inlineStr">
        <is>
          <t>oral/topical/parenteral lipid excipient depending on grade</t>
        </is>
      </c>
      <c r="M153" t="inlineStr">
        <is>
          <t>Mixtures require grade-specific acid/saponification/peroxide values.</t>
        </is>
      </c>
      <c r="N153" t="inlineStr">
        <is>
          <t>S007_EXCIPIENTS_HANDBOOK</t>
        </is>
      </c>
      <c r="O153" t="inlineStr">
        <is>
          <t>seed_curated</t>
        </is>
      </c>
      <c r="P153">
        <v>0.6</v>
      </c>
      <c r="Q153"/>
    </row>
    <row r="154">
      <c r="A154" t="inlineStr">
        <is>
          <t>OIL_OLEIC_ACID</t>
        </is>
      </c>
      <c r="B154" t="inlineStr">
        <is>
          <t>Oleic acid</t>
        </is>
      </c>
      <c r="C154"/>
      <c r="D154" t="inlineStr">
        <is>
          <t>Solid lipid/oil</t>
        </is>
      </c>
      <c r="E154" t="inlineStr">
        <is>
          <t>Solid lipid/oil/wax</t>
        </is>
      </c>
      <c r="F154" t="inlineStr">
        <is>
          <t>fatty acid/liquid lipid</t>
        </is>
      </c>
      <c r="G154"/>
      <c r="H154"/>
      <c r="I154"/>
      <c r="J154"/>
      <c r="K154"/>
      <c r="L154" t="inlineStr">
        <is>
          <t>oral/topical/parenteral lipid excipient depending on grade</t>
        </is>
      </c>
      <c r="M154" t="inlineStr">
        <is>
          <t>Mixtures require grade-specific acid/saponification/peroxide values.</t>
        </is>
      </c>
      <c r="N154" t="inlineStr">
        <is>
          <t>S007_EXCIPIENTS_HANDBOOK</t>
        </is>
      </c>
      <c r="O154" t="inlineStr">
        <is>
          <t>seed_curated</t>
        </is>
      </c>
      <c r="P154">
        <v>0.6</v>
      </c>
      <c r="Q154"/>
    </row>
    <row r="155">
      <c r="A155" t="inlineStr">
        <is>
          <t>OIL_MYRISTIC_ACID</t>
        </is>
      </c>
      <c r="B155" t="inlineStr">
        <is>
          <t>Myristic acid</t>
        </is>
      </c>
      <c r="C155"/>
      <c r="D155" t="inlineStr">
        <is>
          <t>Solid lipid/oil</t>
        </is>
      </c>
      <c r="E155" t="inlineStr">
        <is>
          <t>Solid lipid/oil/wax</t>
        </is>
      </c>
      <c r="F155" t="inlineStr">
        <is>
          <t>fatty acid</t>
        </is>
      </c>
      <c r="G155"/>
      <c r="H155"/>
      <c r="I155"/>
      <c r="J155"/>
      <c r="K155"/>
      <c r="L155" t="inlineStr">
        <is>
          <t>oral/topical/parenteral lipid excipient depending on grade</t>
        </is>
      </c>
      <c r="M155" t="inlineStr">
        <is>
          <t>Mixtures require grade-specific acid/saponification/peroxide values.</t>
        </is>
      </c>
      <c r="N155" t="inlineStr">
        <is>
          <t>S007_EXCIPIENTS_HANDBOOK</t>
        </is>
      </c>
      <c r="O155" t="inlineStr">
        <is>
          <t>seed_curated</t>
        </is>
      </c>
      <c r="P155">
        <v>0.6</v>
      </c>
      <c r="Q155"/>
    </row>
    <row r="156">
      <c r="A156" t="inlineStr">
        <is>
          <t>OIL_LAURIC_ACID</t>
        </is>
      </c>
      <c r="B156" t="inlineStr">
        <is>
          <t>Lauric acid</t>
        </is>
      </c>
      <c r="C156"/>
      <c r="D156" t="inlineStr">
        <is>
          <t>Solid lipid/oil</t>
        </is>
      </c>
      <c r="E156" t="inlineStr">
        <is>
          <t>Solid lipid/oil/wax</t>
        </is>
      </c>
      <c r="F156" t="inlineStr">
        <is>
          <t>fatty acid</t>
        </is>
      </c>
      <c r="G156"/>
      <c r="H156"/>
      <c r="I156"/>
      <c r="J156"/>
      <c r="K156"/>
      <c r="L156" t="inlineStr">
        <is>
          <t>oral/topical/parenteral lipid excipient depending on grade</t>
        </is>
      </c>
      <c r="M156" t="inlineStr">
        <is>
          <t>Mixtures require grade-specific acid/saponification/peroxide values.</t>
        </is>
      </c>
      <c r="N156" t="inlineStr">
        <is>
          <t>S007_EXCIPIENTS_HANDBOOK</t>
        </is>
      </c>
      <c r="O156" t="inlineStr">
        <is>
          <t>seed_curated</t>
        </is>
      </c>
      <c r="P156">
        <v>0.6</v>
      </c>
      <c r="Q156"/>
    </row>
    <row r="157">
      <c r="A157" t="inlineStr">
        <is>
          <t>OIL_CAPRIC_ACID</t>
        </is>
      </c>
      <c r="B157" t="inlineStr">
        <is>
          <t>Capric acid</t>
        </is>
      </c>
      <c r="C157"/>
      <c r="D157" t="inlineStr">
        <is>
          <t>Solid lipid/oil</t>
        </is>
      </c>
      <c r="E157" t="inlineStr">
        <is>
          <t>Solid lipid/oil/wax</t>
        </is>
      </c>
      <c r="F157" t="inlineStr">
        <is>
          <t>fatty acid</t>
        </is>
      </c>
      <c r="G157"/>
      <c r="H157"/>
      <c r="I157"/>
      <c r="J157"/>
      <c r="K157"/>
      <c r="L157" t="inlineStr">
        <is>
          <t>oral/topical/parenteral lipid excipient depending on grade</t>
        </is>
      </c>
      <c r="M157" t="inlineStr">
        <is>
          <t>Mixtures require grade-specific acid/saponification/peroxide values.</t>
        </is>
      </c>
      <c r="N157" t="inlineStr">
        <is>
          <t>S007_EXCIPIENTS_HANDBOOK</t>
        </is>
      </c>
      <c r="O157" t="inlineStr">
        <is>
          <t>seed_curated</t>
        </is>
      </c>
      <c r="P157">
        <v>0.6</v>
      </c>
      <c r="Q157"/>
    </row>
    <row r="158">
      <c r="A158" t="inlineStr">
        <is>
          <t>OIL_CAPRYLIC_ACID</t>
        </is>
      </c>
      <c r="B158" t="inlineStr">
        <is>
          <t>Caprylic acid</t>
        </is>
      </c>
      <c r="C158"/>
      <c r="D158" t="inlineStr">
        <is>
          <t>Solid lipid/oil</t>
        </is>
      </c>
      <c r="E158" t="inlineStr">
        <is>
          <t>Solid lipid/oil/wax</t>
        </is>
      </c>
      <c r="F158" t="inlineStr">
        <is>
          <t>fatty acid</t>
        </is>
      </c>
      <c r="G158"/>
      <c r="H158"/>
      <c r="I158"/>
      <c r="J158"/>
      <c r="K158"/>
      <c r="L158" t="inlineStr">
        <is>
          <t>oral/topical/parenteral lipid excipient depending on grade</t>
        </is>
      </c>
      <c r="M158" t="inlineStr">
        <is>
          <t>Mixtures require grade-specific acid/saponification/peroxide values.</t>
        </is>
      </c>
      <c r="N158" t="inlineStr">
        <is>
          <t>S007_EXCIPIENTS_HANDBOOK</t>
        </is>
      </c>
      <c r="O158" t="inlineStr">
        <is>
          <t>seed_curated</t>
        </is>
      </c>
      <c r="P158">
        <v>0.6</v>
      </c>
      <c r="Q158"/>
    </row>
    <row r="159">
      <c r="A159" t="inlineStr">
        <is>
          <t>OIL_GLYCERYL_MONOSTEARATE</t>
        </is>
      </c>
      <c r="B159" t="inlineStr">
        <is>
          <t>Glyceryl monostearate</t>
        </is>
      </c>
      <c r="C159"/>
      <c r="D159" t="inlineStr">
        <is>
          <t>Solid lipid/oil</t>
        </is>
      </c>
      <c r="E159" t="inlineStr">
        <is>
          <t>Solid lipid/oil/wax</t>
        </is>
      </c>
      <c r="F159" t="inlineStr">
        <is>
          <t>glyceride/solid lipid</t>
        </is>
      </c>
      <c r="G159"/>
      <c r="H159"/>
      <c r="I159"/>
      <c r="J159"/>
      <c r="K159"/>
      <c r="L159" t="inlineStr">
        <is>
          <t>oral/topical/parenteral lipid excipient depending on grade</t>
        </is>
      </c>
      <c r="M159" t="inlineStr">
        <is>
          <t>Mixtures require grade-specific acid/saponification/peroxide values.</t>
        </is>
      </c>
      <c r="N159" t="inlineStr">
        <is>
          <t>S007_EXCIPIENTS_HANDBOOK</t>
        </is>
      </c>
      <c r="O159" t="inlineStr">
        <is>
          <t>seed_curated</t>
        </is>
      </c>
      <c r="P159">
        <v>0.6</v>
      </c>
      <c r="Q159"/>
    </row>
    <row r="160">
      <c r="A160" t="inlineStr">
        <is>
          <t>OIL_GLYCERYL_BEHENATE_COMPRITOL_888_ATO</t>
        </is>
      </c>
      <c r="B160" t="inlineStr">
        <is>
          <t>Glyceryl behenate / Compritol 888 ATO</t>
        </is>
      </c>
      <c r="C160"/>
      <c r="D160" t="inlineStr">
        <is>
          <t>Solid lipid/oil</t>
        </is>
      </c>
      <c r="E160" t="inlineStr">
        <is>
          <t>Solid lipid/oil/wax</t>
        </is>
      </c>
      <c r="F160" t="inlineStr">
        <is>
          <t>glyceride/solid lipid</t>
        </is>
      </c>
      <c r="G160"/>
      <c r="H160"/>
      <c r="I160"/>
      <c r="J160"/>
      <c r="K160"/>
      <c r="L160" t="inlineStr">
        <is>
          <t>oral/topical/parenteral lipid excipient depending on grade</t>
        </is>
      </c>
      <c r="M160" t="inlineStr">
        <is>
          <t>Mixtures require grade-specific acid/saponification/peroxide values.</t>
        </is>
      </c>
      <c r="N160" t="inlineStr">
        <is>
          <t>S007_EXCIPIENTS_HANDBOOK</t>
        </is>
      </c>
      <c r="O160" t="inlineStr">
        <is>
          <t>seed_curated</t>
        </is>
      </c>
      <c r="P160">
        <v>0.6</v>
      </c>
      <c r="Q160"/>
    </row>
    <row r="161">
      <c r="A161" t="inlineStr">
        <is>
          <t>OIL_GLYCERYL_PALMITOSTEARATE_PRECIROL_ATO_5</t>
        </is>
      </c>
      <c r="B161" t="inlineStr">
        <is>
          <t>Glyceryl palmitostearate / Precirol ATO 5</t>
        </is>
      </c>
      <c r="C161"/>
      <c r="D161" t="inlineStr">
        <is>
          <t>Solid lipid/oil</t>
        </is>
      </c>
      <c r="E161" t="inlineStr">
        <is>
          <t>Solid lipid/oil/wax</t>
        </is>
      </c>
      <c r="F161" t="inlineStr">
        <is>
          <t>glyceride/solid lipid</t>
        </is>
      </c>
      <c r="G161"/>
      <c r="H161"/>
      <c r="I161"/>
      <c r="J161"/>
      <c r="K161"/>
      <c r="L161" t="inlineStr">
        <is>
          <t>oral/topical/parenteral lipid excipient depending on grade</t>
        </is>
      </c>
      <c r="M161" t="inlineStr">
        <is>
          <t>Mixtures require grade-specific acid/saponification/peroxide values.</t>
        </is>
      </c>
      <c r="N161" t="inlineStr">
        <is>
          <t>S007_EXCIPIENTS_HANDBOOK</t>
        </is>
      </c>
      <c r="O161" t="inlineStr">
        <is>
          <t>seed_curated</t>
        </is>
      </c>
      <c r="P161">
        <v>0.6</v>
      </c>
      <c r="Q161"/>
    </row>
    <row r="162">
      <c r="A162" t="inlineStr">
        <is>
          <t>OIL_TRIMYRISTIN_DYNASAN_114</t>
        </is>
      </c>
      <c r="B162" t="inlineStr">
        <is>
          <t>Trimyristin / Dynasan 114</t>
        </is>
      </c>
      <c r="C162"/>
      <c r="D162" t="inlineStr">
        <is>
          <t>Solid lipid/oil</t>
        </is>
      </c>
      <c r="E162" t="inlineStr">
        <is>
          <t>Solid lipid/oil/wax</t>
        </is>
      </c>
      <c r="F162" t="inlineStr">
        <is>
          <t>triglyceride/solid lipid</t>
        </is>
      </c>
      <c r="G162"/>
      <c r="H162"/>
      <c r="I162"/>
      <c r="J162"/>
      <c r="K162"/>
      <c r="L162" t="inlineStr">
        <is>
          <t>oral/topical/parenteral lipid excipient depending on grade</t>
        </is>
      </c>
      <c r="M162" t="inlineStr">
        <is>
          <t>Mixtures require grade-specific acid/saponification/peroxide values.</t>
        </is>
      </c>
      <c r="N162" t="inlineStr">
        <is>
          <t>S007_EXCIPIENTS_HANDBOOK</t>
        </is>
      </c>
      <c r="O162" t="inlineStr">
        <is>
          <t>seed_curated</t>
        </is>
      </c>
      <c r="P162">
        <v>0.6</v>
      </c>
      <c r="Q162"/>
    </row>
    <row r="163">
      <c r="A163" t="inlineStr">
        <is>
          <t>OIL_TRIPALMITIN_DYNASAN_116</t>
        </is>
      </c>
      <c r="B163" t="inlineStr">
        <is>
          <t>Tripalmitin / Dynasan 116</t>
        </is>
      </c>
      <c r="C163"/>
      <c r="D163" t="inlineStr">
        <is>
          <t>Solid lipid/oil</t>
        </is>
      </c>
      <c r="E163" t="inlineStr">
        <is>
          <t>Solid lipid/oil/wax</t>
        </is>
      </c>
      <c r="F163" t="inlineStr">
        <is>
          <t>triglyceride/solid lipid</t>
        </is>
      </c>
      <c r="G163"/>
      <c r="H163"/>
      <c r="I163"/>
      <c r="J163"/>
      <c r="K163"/>
      <c r="L163" t="inlineStr">
        <is>
          <t>oral/topical/parenteral lipid excipient depending on grade</t>
        </is>
      </c>
      <c r="M163" t="inlineStr">
        <is>
          <t>Mixtures require grade-specific acid/saponification/peroxide values.</t>
        </is>
      </c>
      <c r="N163" t="inlineStr">
        <is>
          <t>S007_EXCIPIENTS_HANDBOOK</t>
        </is>
      </c>
      <c r="O163" t="inlineStr">
        <is>
          <t>seed_curated</t>
        </is>
      </c>
      <c r="P163">
        <v>0.6</v>
      </c>
      <c r="Q163"/>
    </row>
    <row r="164">
      <c r="A164" t="inlineStr">
        <is>
          <t>OIL_TRISTEARIN_DYNASAN_118</t>
        </is>
      </c>
      <c r="B164" t="inlineStr">
        <is>
          <t>Tristearin / Dynasan 118</t>
        </is>
      </c>
      <c r="C164"/>
      <c r="D164" t="inlineStr">
        <is>
          <t>Solid lipid/oil</t>
        </is>
      </c>
      <c r="E164" t="inlineStr">
        <is>
          <t>Solid lipid/oil/wax</t>
        </is>
      </c>
      <c r="F164" t="inlineStr">
        <is>
          <t>triglyceride/solid lipid</t>
        </is>
      </c>
      <c r="G164"/>
      <c r="H164"/>
      <c r="I164"/>
      <c r="J164"/>
      <c r="K164"/>
      <c r="L164" t="inlineStr">
        <is>
          <t>oral/topical/parenteral lipid excipient depending on grade</t>
        </is>
      </c>
      <c r="M164" t="inlineStr">
        <is>
          <t>Mixtures require grade-specific acid/saponification/peroxide values.</t>
        </is>
      </c>
      <c r="N164" t="inlineStr">
        <is>
          <t>S007_EXCIPIENTS_HANDBOOK</t>
        </is>
      </c>
      <c r="O164" t="inlineStr">
        <is>
          <t>seed_curated</t>
        </is>
      </c>
      <c r="P164">
        <v>0.6</v>
      </c>
      <c r="Q164"/>
    </row>
    <row r="165">
      <c r="A165" t="inlineStr">
        <is>
          <t>OIL_CETYL_PALMITATE</t>
        </is>
      </c>
      <c r="B165" t="inlineStr">
        <is>
          <t>Cetyl palmitate</t>
        </is>
      </c>
      <c r="C165"/>
      <c r="D165" t="inlineStr">
        <is>
          <t>Solid lipid/oil</t>
        </is>
      </c>
      <c r="E165" t="inlineStr">
        <is>
          <t>Solid lipid/oil/wax</t>
        </is>
      </c>
      <c r="F165" t="inlineStr">
        <is>
          <t>wax ester</t>
        </is>
      </c>
      <c r="G165"/>
      <c r="H165"/>
      <c r="I165"/>
      <c r="J165"/>
      <c r="K165"/>
      <c r="L165" t="inlineStr">
        <is>
          <t>oral/topical/parenteral lipid excipient depending on grade</t>
        </is>
      </c>
      <c r="M165" t="inlineStr">
        <is>
          <t>Mixtures require grade-specific acid/saponification/peroxide values.</t>
        </is>
      </c>
      <c r="N165" t="inlineStr">
        <is>
          <t>S007_EXCIPIENTS_HANDBOOK</t>
        </is>
      </c>
      <c r="O165" t="inlineStr">
        <is>
          <t>seed_curated</t>
        </is>
      </c>
      <c r="P165">
        <v>0.6</v>
      </c>
      <c r="Q165"/>
    </row>
    <row r="166">
      <c r="A166" t="inlineStr">
        <is>
          <t>OIL_WITEPSOL_H15</t>
        </is>
      </c>
      <c r="B166" t="inlineStr">
        <is>
          <t>Witepsol H15</t>
        </is>
      </c>
      <c r="C166"/>
      <c r="D166" t="inlineStr">
        <is>
          <t>Solid lipid/oil</t>
        </is>
      </c>
      <c r="E166" t="inlineStr">
        <is>
          <t>Solid lipid/oil/wax</t>
        </is>
      </c>
      <c r="F166" t="inlineStr">
        <is>
          <t>hard fat suppository base</t>
        </is>
      </c>
      <c r="G166"/>
      <c r="H166"/>
      <c r="I166"/>
      <c r="J166"/>
      <c r="K166"/>
      <c r="L166" t="inlineStr">
        <is>
          <t>oral/topical/parenteral lipid excipient depending on grade</t>
        </is>
      </c>
      <c r="M166" t="inlineStr">
        <is>
          <t>Mixtures require grade-specific acid/saponification/peroxide values.</t>
        </is>
      </c>
      <c r="N166" t="inlineStr">
        <is>
          <t>S007_EXCIPIENTS_HANDBOOK</t>
        </is>
      </c>
      <c r="O166" t="inlineStr">
        <is>
          <t>seed_curated</t>
        </is>
      </c>
      <c r="P166">
        <v>0.6</v>
      </c>
      <c r="Q166"/>
    </row>
    <row r="167">
      <c r="A167" t="inlineStr">
        <is>
          <t>OIL_WITEPSOL_W35</t>
        </is>
      </c>
      <c r="B167" t="inlineStr">
        <is>
          <t>Witepsol W35</t>
        </is>
      </c>
      <c r="C167"/>
      <c r="D167" t="inlineStr">
        <is>
          <t>Solid lipid/oil</t>
        </is>
      </c>
      <c r="E167" t="inlineStr">
        <is>
          <t>Solid lipid/oil/wax</t>
        </is>
      </c>
      <c r="F167" t="inlineStr">
        <is>
          <t>hard fat suppository base</t>
        </is>
      </c>
      <c r="G167"/>
      <c r="H167"/>
      <c r="I167"/>
      <c r="J167"/>
      <c r="K167"/>
      <c r="L167" t="inlineStr">
        <is>
          <t>oral/topical/parenteral lipid excipient depending on grade</t>
        </is>
      </c>
      <c r="M167" t="inlineStr">
        <is>
          <t>Mixtures require grade-specific acid/saponification/peroxide values.</t>
        </is>
      </c>
      <c r="N167" t="inlineStr">
        <is>
          <t>S007_EXCIPIENTS_HANDBOOK</t>
        </is>
      </c>
      <c r="O167" t="inlineStr">
        <is>
          <t>seed_curated</t>
        </is>
      </c>
      <c r="P167">
        <v>0.6</v>
      </c>
      <c r="Q167"/>
    </row>
    <row r="168">
      <c r="A168" t="inlineStr">
        <is>
          <t>OIL_GELUCIRE_44_14</t>
        </is>
      </c>
      <c r="B168" t="inlineStr">
        <is>
          <t>Gelucire 44/14</t>
        </is>
      </c>
      <c r="C168"/>
      <c r="D168" t="inlineStr">
        <is>
          <t>Solid lipid/oil</t>
        </is>
      </c>
      <c r="E168" t="inlineStr">
        <is>
          <t>Solid lipid/oil/wax</t>
        </is>
      </c>
      <c r="F168" t="inlineStr">
        <is>
          <t>PEG glyceride</t>
        </is>
      </c>
      <c r="G168"/>
      <c r="H168"/>
      <c r="I168"/>
      <c r="J168"/>
      <c r="K168"/>
      <c r="L168" t="inlineStr">
        <is>
          <t>oral/topical/parenteral lipid excipient depending on grade</t>
        </is>
      </c>
      <c r="M168" t="inlineStr">
        <is>
          <t>Mixtures require grade-specific acid/saponification/peroxide values.</t>
        </is>
      </c>
      <c r="N168" t="inlineStr">
        <is>
          <t>S009_GATTEFOSSE</t>
        </is>
      </c>
      <c r="O168" t="inlineStr">
        <is>
          <t>seed_curated</t>
        </is>
      </c>
      <c r="P168">
        <v>0.6</v>
      </c>
      <c r="Q168"/>
    </row>
    <row r="169">
      <c r="A169" t="inlineStr">
        <is>
          <t>OIL_GELUCIRE_50_13</t>
        </is>
      </c>
      <c r="B169" t="inlineStr">
        <is>
          <t>Gelucire 50/13</t>
        </is>
      </c>
      <c r="C169"/>
      <c r="D169" t="inlineStr">
        <is>
          <t>Solid lipid/oil</t>
        </is>
      </c>
      <c r="E169" t="inlineStr">
        <is>
          <t>Solid lipid/oil/wax</t>
        </is>
      </c>
      <c r="F169" t="inlineStr">
        <is>
          <t>PEG glyceride</t>
        </is>
      </c>
      <c r="G169"/>
      <c r="H169"/>
      <c r="I169"/>
      <c r="J169"/>
      <c r="K169"/>
      <c r="L169" t="inlineStr">
        <is>
          <t>oral/topical/parenteral lipid excipient depending on grade</t>
        </is>
      </c>
      <c r="M169" t="inlineStr">
        <is>
          <t>Mixtures require grade-specific acid/saponification/peroxide values.</t>
        </is>
      </c>
      <c r="N169" t="inlineStr">
        <is>
          <t>S009_GATTEFOSSE</t>
        </is>
      </c>
      <c r="O169" t="inlineStr">
        <is>
          <t>seed_curated</t>
        </is>
      </c>
      <c r="P169">
        <v>0.6</v>
      </c>
      <c r="Q169"/>
    </row>
    <row r="170">
      <c r="A170" t="inlineStr">
        <is>
          <t>OIL_GELUCIRE_43_01</t>
        </is>
      </c>
      <c r="B170" t="inlineStr">
        <is>
          <t>Gelucire 43/01</t>
        </is>
      </c>
      <c r="C170"/>
      <c r="D170" t="inlineStr">
        <is>
          <t>Solid lipid/oil</t>
        </is>
      </c>
      <c r="E170" t="inlineStr">
        <is>
          <t>Solid lipid/oil/wax</t>
        </is>
      </c>
      <c r="F170" t="inlineStr">
        <is>
          <t>glyceride</t>
        </is>
      </c>
      <c r="G170"/>
      <c r="H170"/>
      <c r="I170"/>
      <c r="J170"/>
      <c r="K170"/>
      <c r="L170" t="inlineStr">
        <is>
          <t>oral/topical/parenteral lipid excipient depending on grade</t>
        </is>
      </c>
      <c r="M170" t="inlineStr">
        <is>
          <t>Mixtures require grade-specific acid/saponification/peroxide values.</t>
        </is>
      </c>
      <c r="N170" t="inlineStr">
        <is>
          <t>S009_GATTEFOSSE</t>
        </is>
      </c>
      <c r="O170" t="inlineStr">
        <is>
          <t>seed_curated</t>
        </is>
      </c>
      <c r="P170">
        <v>0.6</v>
      </c>
      <c r="Q170"/>
    </row>
    <row r="171">
      <c r="A171" t="inlineStr">
        <is>
          <t>OIL_ETHYL_OLEATE</t>
        </is>
      </c>
      <c r="B171" t="inlineStr">
        <is>
          <t>Ethyl oleate</t>
        </is>
      </c>
      <c r="C171"/>
      <c r="D171" t="inlineStr">
        <is>
          <t>Solid lipid/oil</t>
        </is>
      </c>
      <c r="E171" t="inlineStr">
        <is>
          <t>Solid lipid/oil/wax</t>
        </is>
      </c>
      <c r="F171" t="inlineStr">
        <is>
          <t>liquid lipid/oil</t>
        </is>
      </c>
      <c r="G171"/>
      <c r="H171"/>
      <c r="I171"/>
      <c r="J171"/>
      <c r="K171"/>
      <c r="L171" t="inlineStr">
        <is>
          <t>oral/topical/parenteral lipid excipient depending on grade</t>
        </is>
      </c>
      <c r="M171" t="inlineStr">
        <is>
          <t>Mixtures require grade-specific acid/saponification/peroxide values.</t>
        </is>
      </c>
      <c r="N171" t="inlineStr">
        <is>
          <t>S007_EXCIPIENTS_HANDBOOK</t>
        </is>
      </c>
      <c r="O171" t="inlineStr">
        <is>
          <t>seed_curated</t>
        </is>
      </c>
      <c r="P171">
        <v>0.6</v>
      </c>
      <c r="Q171"/>
    </row>
    <row r="172">
      <c r="A172" t="inlineStr">
        <is>
          <t>OIL_MEDIUM_CHAIN_TRIGLYCERIDES</t>
        </is>
      </c>
      <c r="B172" t="inlineStr">
        <is>
          <t>Medium-chain triglycerides</t>
        </is>
      </c>
      <c r="C172"/>
      <c r="D172" t="inlineStr">
        <is>
          <t>Solid lipid/oil</t>
        </is>
      </c>
      <c r="E172" t="inlineStr">
        <is>
          <t>Solid lipid/oil/wax</t>
        </is>
      </c>
      <c r="F172" t="inlineStr">
        <is>
          <t>oil/liquid lipid</t>
        </is>
      </c>
      <c r="G172"/>
      <c r="H172"/>
      <c r="I172"/>
      <c r="J172"/>
      <c r="K172"/>
      <c r="L172" t="inlineStr">
        <is>
          <t>oral/topical/parenteral lipid excipient depending on grade</t>
        </is>
      </c>
      <c r="M172" t="inlineStr">
        <is>
          <t>Mixtures require grade-specific acid/saponification/peroxide values.</t>
        </is>
      </c>
      <c r="N172" t="inlineStr">
        <is>
          <t>S007_EXCIPIENTS_HANDBOOK</t>
        </is>
      </c>
      <c r="O172" t="inlineStr">
        <is>
          <t>seed_curated</t>
        </is>
      </c>
      <c r="P172">
        <v>0.6</v>
      </c>
      <c r="Q172"/>
    </row>
    <row r="173">
      <c r="A173" t="inlineStr">
        <is>
          <t>OIL_MIGLYOL_812</t>
        </is>
      </c>
      <c r="B173" t="inlineStr">
        <is>
          <t>Miglyol 812</t>
        </is>
      </c>
      <c r="C173"/>
      <c r="D173" t="inlineStr">
        <is>
          <t>Solid lipid/oil</t>
        </is>
      </c>
      <c r="E173" t="inlineStr">
        <is>
          <t>Solid lipid/oil/wax</t>
        </is>
      </c>
      <c r="F173" t="inlineStr">
        <is>
          <t>oil/liquid lipid</t>
        </is>
      </c>
      <c r="G173"/>
      <c r="H173"/>
      <c r="I173"/>
      <c r="J173"/>
      <c r="K173"/>
      <c r="L173" t="inlineStr">
        <is>
          <t>oral/topical/parenteral lipid excipient depending on grade</t>
        </is>
      </c>
      <c r="M173" t="inlineStr">
        <is>
          <t>Mixtures require grade-specific acid/saponification/peroxide values.</t>
        </is>
      </c>
      <c r="N173" t="inlineStr">
        <is>
          <t>S007_EXCIPIENTS_HANDBOOK</t>
        </is>
      </c>
      <c r="O173" t="inlineStr">
        <is>
          <t>seed_curated</t>
        </is>
      </c>
      <c r="P173">
        <v>0.6</v>
      </c>
      <c r="Q173"/>
    </row>
    <row r="174">
      <c r="A174" t="inlineStr">
        <is>
          <t>OIL_MIGLYOL_840</t>
        </is>
      </c>
      <c r="B174" t="inlineStr">
        <is>
          <t>Miglyol 840</t>
        </is>
      </c>
      <c r="C174"/>
      <c r="D174" t="inlineStr">
        <is>
          <t>Solid lipid/oil</t>
        </is>
      </c>
      <c r="E174" t="inlineStr">
        <is>
          <t>Solid lipid/oil/wax</t>
        </is>
      </c>
      <c r="F174" t="inlineStr">
        <is>
          <t>oil/liquid lipid</t>
        </is>
      </c>
      <c r="G174"/>
      <c r="H174"/>
      <c r="I174"/>
      <c r="J174"/>
      <c r="K174"/>
      <c r="L174" t="inlineStr">
        <is>
          <t>oral/topical/parenteral lipid excipient depending on grade</t>
        </is>
      </c>
      <c r="M174" t="inlineStr">
        <is>
          <t>Mixtures require grade-specific acid/saponification/peroxide values.</t>
        </is>
      </c>
      <c r="N174" t="inlineStr">
        <is>
          <t>S007_EXCIPIENTS_HANDBOOK</t>
        </is>
      </c>
      <c r="O174" t="inlineStr">
        <is>
          <t>seed_curated</t>
        </is>
      </c>
      <c r="P174">
        <v>0.6</v>
      </c>
      <c r="Q174"/>
    </row>
    <row r="175">
      <c r="A175" t="inlineStr">
        <is>
          <t>OIL_LABRAFAC_PG</t>
        </is>
      </c>
      <c r="B175" t="inlineStr">
        <is>
          <t>Labrafac PG</t>
        </is>
      </c>
      <c r="C175"/>
      <c r="D175" t="inlineStr">
        <is>
          <t>Solid lipid/oil</t>
        </is>
      </c>
      <c r="E175" t="inlineStr">
        <is>
          <t>Solid lipid/oil/wax</t>
        </is>
      </c>
      <c r="F175" t="inlineStr">
        <is>
          <t>oil/liquid lipid</t>
        </is>
      </c>
      <c r="G175"/>
      <c r="H175"/>
      <c r="I175"/>
      <c r="J175"/>
      <c r="K175"/>
      <c r="L175" t="inlineStr">
        <is>
          <t>oral/topical/parenteral lipid excipient depending on grade</t>
        </is>
      </c>
      <c r="M175" t="inlineStr">
        <is>
          <t>Mixtures require grade-specific acid/saponification/peroxide values.</t>
        </is>
      </c>
      <c r="N175" t="inlineStr">
        <is>
          <t>S009_GATTEFOSSE</t>
        </is>
      </c>
      <c r="O175" t="inlineStr">
        <is>
          <t>seed_curated</t>
        </is>
      </c>
      <c r="P175">
        <v>0.6</v>
      </c>
      <c r="Q175"/>
    </row>
    <row r="176">
      <c r="A176" t="inlineStr">
        <is>
          <t>OIL_CAPRYOL_90</t>
        </is>
      </c>
      <c r="B176" t="inlineStr">
        <is>
          <t>Capryol 90</t>
        </is>
      </c>
      <c r="C176"/>
      <c r="D176" t="inlineStr">
        <is>
          <t>Solid lipid/oil</t>
        </is>
      </c>
      <c r="E176" t="inlineStr">
        <is>
          <t>Solid lipid/oil/wax</t>
        </is>
      </c>
      <c r="F176" t="inlineStr">
        <is>
          <t>oil/liquid lipid</t>
        </is>
      </c>
      <c r="G176"/>
      <c r="H176"/>
      <c r="I176"/>
      <c r="J176"/>
      <c r="K176"/>
      <c r="L176" t="inlineStr">
        <is>
          <t>oral/topical/parenteral lipid excipient depending on grade</t>
        </is>
      </c>
      <c r="M176" t="inlineStr">
        <is>
          <t>Mixtures require grade-specific acid/saponification/peroxide values.</t>
        </is>
      </c>
      <c r="N176" t="inlineStr">
        <is>
          <t>S009_GATTEFOSSE</t>
        </is>
      </c>
      <c r="O176" t="inlineStr">
        <is>
          <t>seed_curated</t>
        </is>
      </c>
      <c r="P176">
        <v>0.6</v>
      </c>
      <c r="Q176"/>
    </row>
    <row r="177">
      <c r="A177" t="inlineStr">
        <is>
          <t>OIL_MAISINE_CC</t>
        </is>
      </c>
      <c r="B177" t="inlineStr">
        <is>
          <t>Maisine CC</t>
        </is>
      </c>
      <c r="C177"/>
      <c r="D177" t="inlineStr">
        <is>
          <t>Solid lipid/oil</t>
        </is>
      </c>
      <c r="E177" t="inlineStr">
        <is>
          <t>Solid lipid/oil/wax</t>
        </is>
      </c>
      <c r="F177" t="inlineStr">
        <is>
          <t>oil/liquid lipid</t>
        </is>
      </c>
      <c r="G177"/>
      <c r="H177"/>
      <c r="I177"/>
      <c r="J177"/>
      <c r="K177"/>
      <c r="L177" t="inlineStr">
        <is>
          <t>oral/topical/parenteral lipid excipient depending on grade</t>
        </is>
      </c>
      <c r="M177" t="inlineStr">
        <is>
          <t>Mixtures require grade-specific acid/saponification/peroxide values.</t>
        </is>
      </c>
      <c r="N177" t="inlineStr">
        <is>
          <t>S009_GATTEFOSSE</t>
        </is>
      </c>
      <c r="O177" t="inlineStr">
        <is>
          <t>seed_curated</t>
        </is>
      </c>
      <c r="P177">
        <v>0.6</v>
      </c>
      <c r="Q177"/>
    </row>
    <row r="178">
      <c r="A178" t="inlineStr">
        <is>
          <t>OIL_PECEOL</t>
        </is>
      </c>
      <c r="B178" t="inlineStr">
        <is>
          <t>Peceol</t>
        </is>
      </c>
      <c r="C178"/>
      <c r="D178" t="inlineStr">
        <is>
          <t>Solid lipid/oil</t>
        </is>
      </c>
      <c r="E178" t="inlineStr">
        <is>
          <t>Solid lipid/oil/wax</t>
        </is>
      </c>
      <c r="F178" t="inlineStr">
        <is>
          <t>oil/liquid lipid</t>
        </is>
      </c>
      <c r="G178"/>
      <c r="H178"/>
      <c r="I178"/>
      <c r="J178"/>
      <c r="K178"/>
      <c r="L178" t="inlineStr">
        <is>
          <t>oral/topical/parenteral lipid excipient depending on grade</t>
        </is>
      </c>
      <c r="M178" t="inlineStr">
        <is>
          <t>Mixtures require grade-specific acid/saponification/peroxide values.</t>
        </is>
      </c>
      <c r="N178" t="inlineStr">
        <is>
          <t>S009_GATTEFOSSE</t>
        </is>
      </c>
      <c r="O178" t="inlineStr">
        <is>
          <t>seed_curated</t>
        </is>
      </c>
      <c r="P178">
        <v>0.6</v>
      </c>
      <c r="Q178"/>
    </row>
    <row r="179">
      <c r="A179" t="inlineStr">
        <is>
          <t>OIL_LABRAFIL_M1944CS</t>
        </is>
      </c>
      <c r="B179" t="inlineStr">
        <is>
          <t>Labrafil M1944CS</t>
        </is>
      </c>
      <c r="C179"/>
      <c r="D179" t="inlineStr">
        <is>
          <t>Solid lipid/oil</t>
        </is>
      </c>
      <c r="E179" t="inlineStr">
        <is>
          <t>Solid lipid/oil/wax</t>
        </is>
      </c>
      <c r="F179" t="inlineStr">
        <is>
          <t>oil/liquid lipid</t>
        </is>
      </c>
      <c r="G179"/>
      <c r="H179"/>
      <c r="I179"/>
      <c r="J179"/>
      <c r="K179"/>
      <c r="L179" t="inlineStr">
        <is>
          <t>oral/topical/parenteral lipid excipient depending on grade</t>
        </is>
      </c>
      <c r="M179" t="inlineStr">
        <is>
          <t>Mixtures require grade-specific acid/saponification/peroxide values.</t>
        </is>
      </c>
      <c r="N179" t="inlineStr">
        <is>
          <t>S009_GATTEFOSSE</t>
        </is>
      </c>
      <c r="O179" t="inlineStr">
        <is>
          <t>seed_curated</t>
        </is>
      </c>
      <c r="P179">
        <v>0.6</v>
      </c>
      <c r="Q179"/>
    </row>
    <row r="180">
      <c r="A180" t="inlineStr">
        <is>
          <t>OIL_LABRAFIL_M2125CS</t>
        </is>
      </c>
      <c r="B180" t="inlineStr">
        <is>
          <t>Labrafil M2125CS</t>
        </is>
      </c>
      <c r="C180"/>
      <c r="D180" t="inlineStr">
        <is>
          <t>Solid lipid/oil</t>
        </is>
      </c>
      <c r="E180" t="inlineStr">
        <is>
          <t>Solid lipid/oil/wax</t>
        </is>
      </c>
      <c r="F180" t="inlineStr">
        <is>
          <t>oil/liquid lipid</t>
        </is>
      </c>
      <c r="G180"/>
      <c r="H180"/>
      <c r="I180"/>
      <c r="J180"/>
      <c r="K180"/>
      <c r="L180" t="inlineStr">
        <is>
          <t>oral/topical/parenteral lipid excipient depending on grade</t>
        </is>
      </c>
      <c r="M180" t="inlineStr">
        <is>
          <t>Mixtures require grade-specific acid/saponification/peroxide values.</t>
        </is>
      </c>
      <c r="N180" t="inlineStr">
        <is>
          <t>S009_GATTEFOSSE</t>
        </is>
      </c>
      <c r="O180" t="inlineStr">
        <is>
          <t>seed_curated</t>
        </is>
      </c>
      <c r="P180">
        <v>0.6</v>
      </c>
      <c r="Q180"/>
    </row>
    <row r="181">
      <c r="A181" t="inlineStr">
        <is>
          <t>OIL_ISOPROPYL_MYRISTATE</t>
        </is>
      </c>
      <c r="B181" t="inlineStr">
        <is>
          <t>Isopropyl myristate</t>
        </is>
      </c>
      <c r="C181"/>
      <c r="D181" t="inlineStr">
        <is>
          <t>Solid lipid/oil</t>
        </is>
      </c>
      <c r="E181" t="inlineStr">
        <is>
          <t>Solid lipid/oil/wax</t>
        </is>
      </c>
      <c r="F181" t="inlineStr">
        <is>
          <t>oil/liquid lipid</t>
        </is>
      </c>
      <c r="G181"/>
      <c r="H181"/>
      <c r="I181"/>
      <c r="J181"/>
      <c r="K181"/>
      <c r="L181" t="inlineStr">
        <is>
          <t>oral/topical/parenteral lipid excipient depending on grade</t>
        </is>
      </c>
      <c r="M181" t="inlineStr">
        <is>
          <t>Mixtures require grade-specific acid/saponification/peroxide values.</t>
        </is>
      </c>
      <c r="N181" t="inlineStr">
        <is>
          <t>S007_EXCIPIENTS_HANDBOOK</t>
        </is>
      </c>
      <c r="O181" t="inlineStr">
        <is>
          <t>seed_curated</t>
        </is>
      </c>
      <c r="P181">
        <v>0.6</v>
      </c>
      <c r="Q181"/>
    </row>
    <row r="182">
      <c r="A182" t="inlineStr">
        <is>
          <t>OIL_CASTOR_OIL</t>
        </is>
      </c>
      <c r="B182" t="inlineStr">
        <is>
          <t>Castor oil</t>
        </is>
      </c>
      <c r="C182"/>
      <c r="D182" t="inlineStr">
        <is>
          <t>Solid lipid/oil</t>
        </is>
      </c>
      <c r="E182" t="inlineStr">
        <is>
          <t>Solid lipid/oil/wax</t>
        </is>
      </c>
      <c r="F182" t="inlineStr">
        <is>
          <t>fixed oil</t>
        </is>
      </c>
      <c r="G182"/>
      <c r="H182"/>
      <c r="I182"/>
      <c r="J182"/>
      <c r="K182"/>
      <c r="L182" t="inlineStr">
        <is>
          <t>oral/topical/parenteral lipid excipient depending on grade</t>
        </is>
      </c>
      <c r="M182" t="inlineStr">
        <is>
          <t>Mixtures require grade-specific acid/saponification/peroxide values.</t>
        </is>
      </c>
      <c r="N182" t="inlineStr">
        <is>
          <t>S007_EXCIPIENTS_HANDBOOK</t>
        </is>
      </c>
      <c r="O182" t="inlineStr">
        <is>
          <t>seed_curated</t>
        </is>
      </c>
      <c r="P182">
        <v>0.6</v>
      </c>
      <c r="Q182"/>
    </row>
    <row r="183">
      <c r="A183" t="inlineStr">
        <is>
          <t>OIL_SOYBEAN_OIL</t>
        </is>
      </c>
      <c r="B183" t="inlineStr">
        <is>
          <t>Soybean oil</t>
        </is>
      </c>
      <c r="C183"/>
      <c r="D183" t="inlineStr">
        <is>
          <t>Solid lipid/oil</t>
        </is>
      </c>
      <c r="E183" t="inlineStr">
        <is>
          <t>Solid lipid/oil/wax</t>
        </is>
      </c>
      <c r="F183" t="inlineStr">
        <is>
          <t>fixed oil</t>
        </is>
      </c>
      <c r="G183"/>
      <c r="H183"/>
      <c r="I183"/>
      <c r="J183"/>
      <c r="K183"/>
      <c r="L183" t="inlineStr">
        <is>
          <t>oral/topical/parenteral lipid excipient depending on grade</t>
        </is>
      </c>
      <c r="M183" t="inlineStr">
        <is>
          <t>Mixtures require grade-specific acid/saponification/peroxide values.</t>
        </is>
      </c>
      <c r="N183" t="inlineStr">
        <is>
          <t>S007_EXCIPIENTS_HANDBOOK</t>
        </is>
      </c>
      <c r="O183" t="inlineStr">
        <is>
          <t>seed_curated</t>
        </is>
      </c>
      <c r="P183">
        <v>0.6</v>
      </c>
      <c r="Q183"/>
    </row>
    <row r="184">
      <c r="A184" t="inlineStr">
        <is>
          <t>OIL_SESAME_OIL</t>
        </is>
      </c>
      <c r="B184" t="inlineStr">
        <is>
          <t>Sesame oil</t>
        </is>
      </c>
      <c r="C184"/>
      <c r="D184" t="inlineStr">
        <is>
          <t>Solid lipid/oil</t>
        </is>
      </c>
      <c r="E184" t="inlineStr">
        <is>
          <t>Solid lipid/oil/wax</t>
        </is>
      </c>
      <c r="F184" t="inlineStr">
        <is>
          <t>fixed oil</t>
        </is>
      </c>
      <c r="G184"/>
      <c r="H184"/>
      <c r="I184"/>
      <c r="J184"/>
      <c r="K184"/>
      <c r="L184" t="inlineStr">
        <is>
          <t>oral/topical/parenteral lipid excipient depending on grade</t>
        </is>
      </c>
      <c r="M184" t="inlineStr">
        <is>
          <t>Mixtures require grade-specific acid/saponification/peroxide values.</t>
        </is>
      </c>
      <c r="N184" t="inlineStr">
        <is>
          <t>S007_EXCIPIENTS_HANDBOOK</t>
        </is>
      </c>
      <c r="O184" t="inlineStr">
        <is>
          <t>seed_curated</t>
        </is>
      </c>
      <c r="P184">
        <v>0.6</v>
      </c>
      <c r="Q184"/>
    </row>
    <row r="185">
      <c r="A185" t="inlineStr">
        <is>
          <t>OIL_CORN_OIL</t>
        </is>
      </c>
      <c r="B185" t="inlineStr">
        <is>
          <t>Corn oil</t>
        </is>
      </c>
      <c r="C185"/>
      <c r="D185" t="inlineStr">
        <is>
          <t>Solid lipid/oil</t>
        </is>
      </c>
      <c r="E185" t="inlineStr">
        <is>
          <t>Solid lipid/oil/wax</t>
        </is>
      </c>
      <c r="F185" t="inlineStr">
        <is>
          <t>fixed oil</t>
        </is>
      </c>
      <c r="G185"/>
      <c r="H185"/>
      <c r="I185"/>
      <c r="J185"/>
      <c r="K185"/>
      <c r="L185" t="inlineStr">
        <is>
          <t>oral/topical/parenteral lipid excipient depending on grade</t>
        </is>
      </c>
      <c r="M185" t="inlineStr">
        <is>
          <t>Mixtures require grade-specific acid/saponification/peroxide values.</t>
        </is>
      </c>
      <c r="N185" t="inlineStr">
        <is>
          <t>S007_EXCIPIENTS_HANDBOOK</t>
        </is>
      </c>
      <c r="O185" t="inlineStr">
        <is>
          <t>seed_curated</t>
        </is>
      </c>
      <c r="P185">
        <v>0.6</v>
      </c>
      <c r="Q185"/>
    </row>
    <row r="186">
      <c r="A186" t="inlineStr">
        <is>
          <t>OIL_OLIVE_OIL</t>
        </is>
      </c>
      <c r="B186" t="inlineStr">
        <is>
          <t>Olive oil</t>
        </is>
      </c>
      <c r="C186"/>
      <c r="D186" t="inlineStr">
        <is>
          <t>Solid lipid/oil</t>
        </is>
      </c>
      <c r="E186" t="inlineStr">
        <is>
          <t>Solid lipid/oil/wax</t>
        </is>
      </c>
      <c r="F186" t="inlineStr">
        <is>
          <t>fixed oil</t>
        </is>
      </c>
      <c r="G186"/>
      <c r="H186"/>
      <c r="I186"/>
      <c r="J186"/>
      <c r="K186"/>
      <c r="L186" t="inlineStr">
        <is>
          <t>oral/topical/parenteral lipid excipient depending on grade</t>
        </is>
      </c>
      <c r="M186" t="inlineStr">
        <is>
          <t>Mixtures require grade-specific acid/saponification/peroxide values.</t>
        </is>
      </c>
      <c r="N186" t="inlineStr">
        <is>
          <t>S007_EXCIPIENTS_HANDBOOK</t>
        </is>
      </c>
      <c r="O186" t="inlineStr">
        <is>
          <t>seed_curated</t>
        </is>
      </c>
      <c r="P186">
        <v>0.6</v>
      </c>
      <c r="Q186"/>
    </row>
    <row r="187">
      <c r="A187" t="inlineStr">
        <is>
          <t>SOLV_WATER</t>
        </is>
      </c>
      <c r="B187" t="inlineStr">
        <is>
          <t>Water</t>
        </is>
      </c>
      <c r="C187"/>
      <c r="D187" t="inlineStr">
        <is>
          <t>Solvent</t>
        </is>
      </c>
      <c r="E187" t="inlineStr">
        <is>
          <t>Solvent/co-solvent</t>
        </is>
      </c>
      <c r="F187" t="inlineStr">
        <is>
          <t>organic/aqueous solvent</t>
        </is>
      </c>
      <c r="G187"/>
      <c r="H187"/>
      <c r="I187"/>
      <c r="J187"/>
      <c r="K187"/>
      <c r="L187" t="inlineStr">
        <is>
          <t>manufacturing/process solvent; residual limits apply</t>
        </is>
      </c>
      <c r="M187" t="inlineStr">
        <is>
          <t>Use ICH Q3C class/PDE and route-specific residual testing.</t>
        </is>
      </c>
      <c r="N187" t="inlineStr">
        <is>
          <t>S005_ICH_Q3C_R9</t>
        </is>
      </c>
      <c r="O187" t="inlineStr">
        <is>
          <t>seed_curated</t>
        </is>
      </c>
      <c r="P187">
        <v>0.78</v>
      </c>
      <c r="Q187"/>
    </row>
    <row r="188">
      <c r="A188" t="inlineStr">
        <is>
          <t>SOLV_ETHANOL</t>
        </is>
      </c>
      <c r="B188" t="inlineStr">
        <is>
          <t>Ethanol</t>
        </is>
      </c>
      <c r="C188"/>
      <c r="D188" t="inlineStr">
        <is>
          <t>Solvent</t>
        </is>
      </c>
      <c r="E188" t="inlineStr">
        <is>
          <t>Solvent/co-solvent</t>
        </is>
      </c>
      <c r="F188" t="inlineStr">
        <is>
          <t>organic/aqueous solvent</t>
        </is>
      </c>
      <c r="G188"/>
      <c r="H188"/>
      <c r="I188"/>
      <c r="J188"/>
      <c r="K188"/>
      <c r="L188" t="inlineStr">
        <is>
          <t>manufacturing/process solvent; residual limits apply</t>
        </is>
      </c>
      <c r="M188" t="inlineStr">
        <is>
          <t>Use ICH Q3C class/PDE and route-specific residual testing.</t>
        </is>
      </c>
      <c r="N188" t="inlineStr">
        <is>
          <t>S005_ICH_Q3C_R9</t>
        </is>
      </c>
      <c r="O188" t="inlineStr">
        <is>
          <t>seed_curated</t>
        </is>
      </c>
      <c r="P188">
        <v>0.78</v>
      </c>
      <c r="Q188"/>
    </row>
    <row r="189">
      <c r="A189" t="inlineStr">
        <is>
          <t>SOLV_METHANOL</t>
        </is>
      </c>
      <c r="B189" t="inlineStr">
        <is>
          <t>Methanol</t>
        </is>
      </c>
      <c r="C189"/>
      <c r="D189" t="inlineStr">
        <is>
          <t>Solvent</t>
        </is>
      </c>
      <c r="E189" t="inlineStr">
        <is>
          <t>Solvent/co-solvent</t>
        </is>
      </c>
      <c r="F189" t="inlineStr">
        <is>
          <t>organic/aqueous solvent</t>
        </is>
      </c>
      <c r="G189"/>
      <c r="H189"/>
      <c r="I189"/>
      <c r="J189"/>
      <c r="K189"/>
      <c r="L189" t="inlineStr">
        <is>
          <t>manufacturing/process solvent; residual limits apply</t>
        </is>
      </c>
      <c r="M189" t="inlineStr">
        <is>
          <t>Use ICH Q3C class/PDE and route-specific residual testing.</t>
        </is>
      </c>
      <c r="N189" t="inlineStr">
        <is>
          <t>S005_ICH_Q3C_R9</t>
        </is>
      </c>
      <c r="O189" t="inlineStr">
        <is>
          <t>seed_curated</t>
        </is>
      </c>
      <c r="P189">
        <v>0.78</v>
      </c>
      <c r="Q189"/>
    </row>
    <row r="190">
      <c r="A190" t="inlineStr">
        <is>
          <t>SOLV_ACETONE</t>
        </is>
      </c>
      <c r="B190" t="inlineStr">
        <is>
          <t>Acetone</t>
        </is>
      </c>
      <c r="C190"/>
      <c r="D190" t="inlineStr">
        <is>
          <t>Solvent</t>
        </is>
      </c>
      <c r="E190" t="inlineStr">
        <is>
          <t>Solvent/co-solvent</t>
        </is>
      </c>
      <c r="F190" t="inlineStr">
        <is>
          <t>organic/aqueous solvent</t>
        </is>
      </c>
      <c r="G190"/>
      <c r="H190"/>
      <c r="I190"/>
      <c r="J190"/>
      <c r="K190"/>
      <c r="L190" t="inlineStr">
        <is>
          <t>manufacturing/process solvent; residual limits apply</t>
        </is>
      </c>
      <c r="M190" t="inlineStr">
        <is>
          <t>Use ICH Q3C class/PDE and route-specific residual testing.</t>
        </is>
      </c>
      <c r="N190" t="inlineStr">
        <is>
          <t>S005_ICH_Q3C_R9</t>
        </is>
      </c>
      <c r="O190" t="inlineStr">
        <is>
          <t>seed_curated</t>
        </is>
      </c>
      <c r="P190">
        <v>0.78</v>
      </c>
      <c r="Q190"/>
    </row>
    <row r="191">
      <c r="A191" t="inlineStr">
        <is>
          <t>SOLV_ETHYL_ACETATE</t>
        </is>
      </c>
      <c r="B191" t="inlineStr">
        <is>
          <t>Ethyl acetate</t>
        </is>
      </c>
      <c r="C191"/>
      <c r="D191" t="inlineStr">
        <is>
          <t>Solvent</t>
        </is>
      </c>
      <c r="E191" t="inlineStr">
        <is>
          <t>Solvent/co-solvent</t>
        </is>
      </c>
      <c r="F191" t="inlineStr">
        <is>
          <t>organic/aqueous solvent</t>
        </is>
      </c>
      <c r="G191"/>
      <c r="H191"/>
      <c r="I191"/>
      <c r="J191"/>
      <c r="K191"/>
      <c r="L191" t="inlineStr">
        <is>
          <t>manufacturing/process solvent; residual limits apply</t>
        </is>
      </c>
      <c r="M191" t="inlineStr">
        <is>
          <t>Use ICH Q3C class/PDE and route-specific residual testing.</t>
        </is>
      </c>
      <c r="N191" t="inlineStr">
        <is>
          <t>S005_ICH_Q3C_R9</t>
        </is>
      </c>
      <c r="O191" t="inlineStr">
        <is>
          <t>seed_curated</t>
        </is>
      </c>
      <c r="P191">
        <v>0.78</v>
      </c>
      <c r="Q191"/>
    </row>
    <row r="192">
      <c r="A192" t="inlineStr">
        <is>
          <t>SOLV_CHLOROFORM</t>
        </is>
      </c>
      <c r="B192" t="inlineStr">
        <is>
          <t>Chloroform</t>
        </is>
      </c>
      <c r="C192"/>
      <c r="D192" t="inlineStr">
        <is>
          <t>Solvent</t>
        </is>
      </c>
      <c r="E192" t="inlineStr">
        <is>
          <t>Solvent/co-solvent</t>
        </is>
      </c>
      <c r="F192" t="inlineStr">
        <is>
          <t>organic/aqueous solvent</t>
        </is>
      </c>
      <c r="G192"/>
      <c r="H192"/>
      <c r="I192"/>
      <c r="J192"/>
      <c r="K192"/>
      <c r="L192" t="inlineStr">
        <is>
          <t>manufacturing/process solvent; residual limits apply</t>
        </is>
      </c>
      <c r="M192" t="inlineStr">
        <is>
          <t>Use ICH Q3C class/PDE and route-specific residual testing.</t>
        </is>
      </c>
      <c r="N192" t="inlineStr">
        <is>
          <t>S005_ICH_Q3C_R9</t>
        </is>
      </c>
      <c r="O192" t="inlineStr">
        <is>
          <t>seed_curated</t>
        </is>
      </c>
      <c r="P192">
        <v>0.78</v>
      </c>
      <c r="Q192"/>
    </row>
    <row r="193">
      <c r="A193" t="inlineStr">
        <is>
          <t>SOLV_DICHLOROMETHANE</t>
        </is>
      </c>
      <c r="B193" t="inlineStr">
        <is>
          <t>Dichloromethane</t>
        </is>
      </c>
      <c r="C193"/>
      <c r="D193" t="inlineStr">
        <is>
          <t>Solvent</t>
        </is>
      </c>
      <c r="E193" t="inlineStr">
        <is>
          <t>Solvent/co-solvent</t>
        </is>
      </c>
      <c r="F193" t="inlineStr">
        <is>
          <t>organic/aqueous solvent</t>
        </is>
      </c>
      <c r="G193"/>
      <c r="H193"/>
      <c r="I193"/>
      <c r="J193"/>
      <c r="K193"/>
      <c r="L193" t="inlineStr">
        <is>
          <t>manufacturing/process solvent; residual limits apply</t>
        </is>
      </c>
      <c r="M193" t="inlineStr">
        <is>
          <t>Use ICH Q3C class/PDE and route-specific residual testing.</t>
        </is>
      </c>
      <c r="N193" t="inlineStr">
        <is>
          <t>S005_ICH_Q3C_R9</t>
        </is>
      </c>
      <c r="O193" t="inlineStr">
        <is>
          <t>seed_curated</t>
        </is>
      </c>
      <c r="P193">
        <v>0.78</v>
      </c>
      <c r="Q193"/>
    </row>
    <row r="194">
      <c r="A194" t="inlineStr">
        <is>
          <t>SOLV_DMSO</t>
        </is>
      </c>
      <c r="B194" t="inlineStr">
        <is>
          <t>DMSO</t>
        </is>
      </c>
      <c r="C194"/>
      <c r="D194" t="inlineStr">
        <is>
          <t>Solvent</t>
        </is>
      </c>
      <c r="E194" t="inlineStr">
        <is>
          <t>Solvent/co-solvent</t>
        </is>
      </c>
      <c r="F194" t="inlineStr">
        <is>
          <t>organic/aqueous solvent</t>
        </is>
      </c>
      <c r="G194"/>
      <c r="H194"/>
      <c r="I194"/>
      <c r="J194"/>
      <c r="K194"/>
      <c r="L194" t="inlineStr">
        <is>
          <t>manufacturing/process solvent; residual limits apply</t>
        </is>
      </c>
      <c r="M194" t="inlineStr">
        <is>
          <t>Use ICH Q3C class/PDE and route-specific residual testing.</t>
        </is>
      </c>
      <c r="N194" t="inlineStr">
        <is>
          <t>S005_ICH_Q3C_R9</t>
        </is>
      </c>
      <c r="O194" t="inlineStr">
        <is>
          <t>seed_curated</t>
        </is>
      </c>
      <c r="P194">
        <v>0.78</v>
      </c>
      <c r="Q194"/>
    </row>
    <row r="195">
      <c r="A195" t="inlineStr">
        <is>
          <t>SOLV_ACETONITRILE</t>
        </is>
      </c>
      <c r="B195" t="inlineStr">
        <is>
          <t>Acetonitrile</t>
        </is>
      </c>
      <c r="C195"/>
      <c r="D195" t="inlineStr">
        <is>
          <t>Solvent</t>
        </is>
      </c>
      <c r="E195" t="inlineStr">
        <is>
          <t>Solvent/co-solvent</t>
        </is>
      </c>
      <c r="F195" t="inlineStr">
        <is>
          <t>organic/aqueous solvent</t>
        </is>
      </c>
      <c r="G195"/>
      <c r="H195"/>
      <c r="I195"/>
      <c r="J195"/>
      <c r="K195"/>
      <c r="L195" t="inlineStr">
        <is>
          <t>manufacturing/process solvent; residual limits apply</t>
        </is>
      </c>
      <c r="M195" t="inlineStr">
        <is>
          <t>Use ICH Q3C class/PDE and route-specific residual testing.</t>
        </is>
      </c>
      <c r="N195" t="inlineStr">
        <is>
          <t>S005_ICH_Q3C_R9</t>
        </is>
      </c>
      <c r="O195" t="inlineStr">
        <is>
          <t>seed_curated</t>
        </is>
      </c>
      <c r="P195">
        <v>0.78</v>
      </c>
      <c r="Q195"/>
    </row>
    <row r="196">
      <c r="A196" t="inlineStr">
        <is>
          <t>SOLV_ISOPROPANOL</t>
        </is>
      </c>
      <c r="B196" t="inlineStr">
        <is>
          <t>Isopropanol</t>
        </is>
      </c>
      <c r="C196"/>
      <c r="D196" t="inlineStr">
        <is>
          <t>Solvent</t>
        </is>
      </c>
      <c r="E196" t="inlineStr">
        <is>
          <t>Solvent/co-solvent</t>
        </is>
      </c>
      <c r="F196" t="inlineStr">
        <is>
          <t>organic/aqueous solvent</t>
        </is>
      </c>
      <c r="G196"/>
      <c r="H196"/>
      <c r="I196"/>
      <c r="J196"/>
      <c r="K196"/>
      <c r="L196" t="inlineStr">
        <is>
          <t>manufacturing/process solvent; residual limits apply</t>
        </is>
      </c>
      <c r="M196" t="inlineStr">
        <is>
          <t>Use ICH Q3C class/PDE and route-specific residual testing.</t>
        </is>
      </c>
      <c r="N196" t="inlineStr">
        <is>
          <t>S005_ICH_Q3C_R9</t>
        </is>
      </c>
      <c r="O196" t="inlineStr">
        <is>
          <t>seed_curated</t>
        </is>
      </c>
      <c r="P196">
        <v>0.78</v>
      </c>
      <c r="Q196"/>
    </row>
    <row r="197">
      <c r="A197" t="inlineStr">
        <is>
          <t>SOLV_PROPYLENE_GLYCOL</t>
        </is>
      </c>
      <c r="B197" t="inlineStr">
        <is>
          <t>Propylene glycol</t>
        </is>
      </c>
      <c r="C197"/>
      <c r="D197" t="inlineStr">
        <is>
          <t>Solvent</t>
        </is>
      </c>
      <c r="E197" t="inlineStr">
        <is>
          <t>Solvent/co-solvent</t>
        </is>
      </c>
      <c r="F197" t="inlineStr">
        <is>
          <t>organic/aqueous solvent</t>
        </is>
      </c>
      <c r="G197"/>
      <c r="H197"/>
      <c r="I197"/>
      <c r="J197"/>
      <c r="K197"/>
      <c r="L197" t="inlineStr">
        <is>
          <t>manufacturing/process solvent; residual limits apply</t>
        </is>
      </c>
      <c r="M197" t="inlineStr">
        <is>
          <t>Use ICH Q3C class/PDE and route-specific residual testing.</t>
        </is>
      </c>
      <c r="N197" t="inlineStr">
        <is>
          <t>S005_ICH_Q3C_R9</t>
        </is>
      </c>
      <c r="O197" t="inlineStr">
        <is>
          <t>seed_curated</t>
        </is>
      </c>
      <c r="P197">
        <v>0.78</v>
      </c>
      <c r="Q197"/>
    </row>
    <row r="198">
      <c r="A198" t="inlineStr">
        <is>
          <t>SOLV_PEG_400</t>
        </is>
      </c>
      <c r="B198" t="inlineStr">
        <is>
          <t>PEG 400</t>
        </is>
      </c>
      <c r="C198"/>
      <c r="D198" t="inlineStr">
        <is>
          <t>Solvent</t>
        </is>
      </c>
      <c r="E198" t="inlineStr">
        <is>
          <t>Solvent/co-solvent</t>
        </is>
      </c>
      <c r="F198" t="inlineStr">
        <is>
          <t>organic/aqueous solvent</t>
        </is>
      </c>
      <c r="G198"/>
      <c r="H198"/>
      <c r="I198"/>
      <c r="J198"/>
      <c r="K198"/>
      <c r="L198" t="inlineStr">
        <is>
          <t>manufacturing/process solvent; residual limits apply</t>
        </is>
      </c>
      <c r="M198" t="inlineStr">
        <is>
          <t>Use ICH Q3C class/PDE and route-specific residual testing.</t>
        </is>
      </c>
      <c r="N198" t="inlineStr">
        <is>
          <t>S005_ICH_Q3C_R9</t>
        </is>
      </c>
      <c r="O198" t="inlineStr">
        <is>
          <t>seed_curated</t>
        </is>
      </c>
      <c r="P198">
        <v>0.78</v>
      </c>
      <c r="Q198"/>
    </row>
    <row r="199">
      <c r="A199" t="inlineStr">
        <is>
          <t>SOLV_GLYCEROL</t>
        </is>
      </c>
      <c r="B199" t="inlineStr">
        <is>
          <t>Glycerol</t>
        </is>
      </c>
      <c r="C199"/>
      <c r="D199" t="inlineStr">
        <is>
          <t>Solvent</t>
        </is>
      </c>
      <c r="E199" t="inlineStr">
        <is>
          <t>Solvent/co-solvent</t>
        </is>
      </c>
      <c r="F199" t="inlineStr">
        <is>
          <t>organic/aqueous solvent</t>
        </is>
      </c>
      <c r="G199"/>
      <c r="H199"/>
      <c r="I199"/>
      <c r="J199"/>
      <c r="K199"/>
      <c r="L199" t="inlineStr">
        <is>
          <t>manufacturing/process solvent; residual limits apply</t>
        </is>
      </c>
      <c r="M199" t="inlineStr">
        <is>
          <t>Use ICH Q3C class/PDE and route-specific residual testing.</t>
        </is>
      </c>
      <c r="N199" t="inlineStr">
        <is>
          <t>S005_ICH_Q3C_R9</t>
        </is>
      </c>
      <c r="O199" t="inlineStr">
        <is>
          <t>seed_curated</t>
        </is>
      </c>
      <c r="P199">
        <v>0.78</v>
      </c>
      <c r="Q199"/>
    </row>
    <row r="200">
      <c r="A200" t="inlineStr">
        <is>
          <t>SOLV_TRANSCUTOL_P</t>
        </is>
      </c>
      <c r="B200" t="inlineStr">
        <is>
          <t>Transcutol P</t>
        </is>
      </c>
      <c r="C200"/>
      <c r="D200" t="inlineStr">
        <is>
          <t>Solvent</t>
        </is>
      </c>
      <c r="E200" t="inlineStr">
        <is>
          <t>Solvent/co-solvent</t>
        </is>
      </c>
      <c r="F200" t="inlineStr">
        <is>
          <t>organic/aqueous solvent</t>
        </is>
      </c>
      <c r="G200"/>
      <c r="H200"/>
      <c r="I200"/>
      <c r="J200"/>
      <c r="K200"/>
      <c r="L200" t="inlineStr">
        <is>
          <t>manufacturing/process solvent; residual limits apply</t>
        </is>
      </c>
      <c r="M200" t="inlineStr">
        <is>
          <t>Use ICH Q3C class/PDE and route-specific residual testing.</t>
        </is>
      </c>
      <c r="N200" t="inlineStr">
        <is>
          <t>S005_ICH_Q3C_R9</t>
        </is>
      </c>
      <c r="O200" t="inlineStr">
        <is>
          <t>seed_curated</t>
        </is>
      </c>
      <c r="P200">
        <v>0.78</v>
      </c>
      <c r="Q200"/>
    </row>
    <row r="201">
      <c r="A201" t="inlineStr">
        <is>
          <t>SOLV_DIMETHYLACETAMIDE</t>
        </is>
      </c>
      <c r="B201" t="inlineStr">
        <is>
          <t>Dimethylacetamide</t>
        </is>
      </c>
      <c r="C201"/>
      <c r="D201" t="inlineStr">
        <is>
          <t>Solvent</t>
        </is>
      </c>
      <c r="E201" t="inlineStr">
        <is>
          <t>Solvent/co-solvent</t>
        </is>
      </c>
      <c r="F201" t="inlineStr">
        <is>
          <t>organic/aqueous solvent</t>
        </is>
      </c>
      <c r="G201"/>
      <c r="H201"/>
      <c r="I201"/>
      <c r="J201"/>
      <c r="K201"/>
      <c r="L201" t="inlineStr">
        <is>
          <t>manufacturing/process solvent; residual limits apply</t>
        </is>
      </c>
      <c r="M201" t="inlineStr">
        <is>
          <t>Use ICH Q3C class/PDE and route-specific residual testing.</t>
        </is>
      </c>
      <c r="N201" t="inlineStr">
        <is>
          <t>S005_ICH_Q3C_R9</t>
        </is>
      </c>
      <c r="O201" t="inlineStr">
        <is>
          <t>seed_curated</t>
        </is>
      </c>
      <c r="P201">
        <v>0.78</v>
      </c>
      <c r="Q201"/>
    </row>
    <row r="202">
      <c r="A202" t="inlineStr">
        <is>
          <t>SOLV_N_METHYL_2_PYRROLIDONE</t>
        </is>
      </c>
      <c r="B202" t="inlineStr">
        <is>
          <t>N-methyl-2-pyrrolidone</t>
        </is>
      </c>
      <c r="C202"/>
      <c r="D202" t="inlineStr">
        <is>
          <t>Solvent</t>
        </is>
      </c>
      <c r="E202" t="inlineStr">
        <is>
          <t>Solvent/co-solvent</t>
        </is>
      </c>
      <c r="F202" t="inlineStr">
        <is>
          <t>organic/aqueous solvent</t>
        </is>
      </c>
      <c r="G202"/>
      <c r="H202"/>
      <c r="I202"/>
      <c r="J202"/>
      <c r="K202"/>
      <c r="L202" t="inlineStr">
        <is>
          <t>manufacturing/process solvent; residual limits apply</t>
        </is>
      </c>
      <c r="M202" t="inlineStr">
        <is>
          <t>Use ICH Q3C class/PDE and route-specific residual testing.</t>
        </is>
      </c>
      <c r="N202" t="inlineStr">
        <is>
          <t>S005_ICH_Q3C_R9</t>
        </is>
      </c>
      <c r="O202" t="inlineStr">
        <is>
          <t>seed_curated</t>
        </is>
      </c>
      <c r="P202">
        <v>0.78</v>
      </c>
      <c r="Q202"/>
    </row>
    <row r="203">
      <c r="A203" t="inlineStr">
        <is>
          <t>SOLV_TERT_BUTANOL</t>
        </is>
      </c>
      <c r="B203" t="inlineStr">
        <is>
          <t>Tert-butanol</t>
        </is>
      </c>
      <c r="C203"/>
      <c r="D203" t="inlineStr">
        <is>
          <t>Solvent</t>
        </is>
      </c>
      <c r="E203" t="inlineStr">
        <is>
          <t>Solvent/co-solvent</t>
        </is>
      </c>
      <c r="F203" t="inlineStr">
        <is>
          <t>organic/aqueous solvent</t>
        </is>
      </c>
      <c r="G203"/>
      <c r="H203"/>
      <c r="I203"/>
      <c r="J203"/>
      <c r="K203"/>
      <c r="L203" t="inlineStr">
        <is>
          <t>manufacturing/process solvent; residual limits apply</t>
        </is>
      </c>
      <c r="M203" t="inlineStr">
        <is>
          <t>Use ICH Q3C class/PDE and route-specific residual testing.</t>
        </is>
      </c>
      <c r="N203" t="inlineStr">
        <is>
          <t>S005_ICH_Q3C_R9</t>
        </is>
      </c>
      <c r="O203" t="inlineStr">
        <is>
          <t>seed_curated</t>
        </is>
      </c>
      <c r="P203">
        <v>0.78</v>
      </c>
      <c r="Q203"/>
    </row>
    <row r="204">
      <c r="A204" t="inlineStr">
        <is>
          <t>SOLV_DIETHYL_ETHER</t>
        </is>
      </c>
      <c r="B204" t="inlineStr">
        <is>
          <t>Diethyl ether</t>
        </is>
      </c>
      <c r="C204"/>
      <c r="D204" t="inlineStr">
        <is>
          <t>Solvent</t>
        </is>
      </c>
      <c r="E204" t="inlineStr">
        <is>
          <t>Solvent/co-solvent</t>
        </is>
      </c>
      <c r="F204" t="inlineStr">
        <is>
          <t>organic/aqueous solvent</t>
        </is>
      </c>
      <c r="G204"/>
      <c r="H204"/>
      <c r="I204"/>
      <c r="J204"/>
      <c r="K204"/>
      <c r="L204" t="inlineStr">
        <is>
          <t>manufacturing/process solvent; residual limits apply</t>
        </is>
      </c>
      <c r="M204" t="inlineStr">
        <is>
          <t>Use ICH Q3C class/PDE and route-specific residual testing.</t>
        </is>
      </c>
      <c r="N204" t="inlineStr">
        <is>
          <t>S005_ICH_Q3C_R9</t>
        </is>
      </c>
      <c r="O204" t="inlineStr">
        <is>
          <t>seed_curated</t>
        </is>
      </c>
      <c r="P204">
        <v>0.78</v>
      </c>
      <c r="Q204"/>
    </row>
    <row r="205">
      <c r="A205" t="inlineStr">
        <is>
          <t>CAR_MALTODEXTRIN</t>
        </is>
      </c>
      <c r="B205" t="inlineStr">
        <is>
          <t>Maltodextrin</t>
        </is>
      </c>
      <c r="C205"/>
      <c r="D205" t="inlineStr">
        <is>
          <t>Carrier</t>
        </is>
      </c>
      <c r="E205" t="inlineStr">
        <is>
          <t>Dry carrier/cryoprotectant</t>
        </is>
      </c>
      <c r="F205" t="inlineStr">
        <is>
          <t>saccharide carrier</t>
        </is>
      </c>
      <c r="G205"/>
      <c r="H205"/>
      <c r="I205"/>
      <c r="J205"/>
      <c r="K205"/>
      <c r="L205" t="inlineStr">
        <is>
          <t>oral, pulmonary, lyophilized, proniosome/proliposome carrier as grade allows</t>
        </is>
      </c>
      <c r="M205" t="inlineStr">
        <is>
          <t>Grade-specific particle size, microbial/endotoxin and moisture specs required.</t>
        </is>
      </c>
      <c r="N205" t="inlineStr">
        <is>
          <t>S007_EXCIPIENTS_HANDBOOK</t>
        </is>
      </c>
      <c r="O205" t="inlineStr">
        <is>
          <t>seed_curated</t>
        </is>
      </c>
      <c r="P205">
        <v>0.58</v>
      </c>
      <c r="Q205" t="inlineStr">
        <is>
          <t>DE controls Tg and hygroscopicity</t>
        </is>
      </c>
    </row>
    <row r="206">
      <c r="A206" t="inlineStr">
        <is>
          <t>CAR_MANNITOL</t>
        </is>
      </c>
      <c r="B206" t="inlineStr">
        <is>
          <t>Mannitol</t>
        </is>
      </c>
      <c r="C206"/>
      <c r="D206" t="inlineStr">
        <is>
          <t>Carrier</t>
        </is>
      </c>
      <c r="E206" t="inlineStr">
        <is>
          <t>Dry carrier/cryoprotectant</t>
        </is>
      </c>
      <c r="F206" t="inlineStr">
        <is>
          <t>crystalline sugar alcohol</t>
        </is>
      </c>
      <c r="G206"/>
      <c r="H206"/>
      <c r="I206"/>
      <c r="J206"/>
      <c r="K206"/>
      <c r="L206" t="inlineStr">
        <is>
          <t>oral, pulmonary, lyophilized, proniosome/proliposome carrier as grade allows</t>
        </is>
      </c>
      <c r="M206" t="inlineStr">
        <is>
          <t>Grade-specific particle size, microbial/endotoxin and moisture specs required.</t>
        </is>
      </c>
      <c r="N206" t="inlineStr">
        <is>
          <t>S007_EXCIPIENTS_HANDBOOK</t>
        </is>
      </c>
      <c r="O206" t="inlineStr">
        <is>
          <t>seed_curated</t>
        </is>
      </c>
      <c r="P206">
        <v>0.58</v>
      </c>
      <c r="Q206" t="inlineStr">
        <is>
          <t>common inhalation/lyophilization bulking carrier</t>
        </is>
      </c>
    </row>
    <row r="207">
      <c r="A207" t="inlineStr">
        <is>
          <t>CAR_TREHALOSE</t>
        </is>
      </c>
      <c r="B207" t="inlineStr">
        <is>
          <t>Trehalose</t>
        </is>
      </c>
      <c r="C207"/>
      <c r="D207" t="inlineStr">
        <is>
          <t>Carrier</t>
        </is>
      </c>
      <c r="E207" t="inlineStr">
        <is>
          <t>Dry carrier/cryoprotectant</t>
        </is>
      </c>
      <c r="F207" t="inlineStr">
        <is>
          <t>disaccharide cryoprotectant</t>
        </is>
      </c>
      <c r="G207"/>
      <c r="H207"/>
      <c r="I207"/>
      <c r="J207"/>
      <c r="K207"/>
      <c r="L207" t="inlineStr">
        <is>
          <t>oral, pulmonary, lyophilized, proniosome/proliposome carrier as grade allows</t>
        </is>
      </c>
      <c r="M207" t="inlineStr">
        <is>
          <t>Grade-specific particle size, microbial/endotoxin and moisture specs required.</t>
        </is>
      </c>
      <c r="N207" t="inlineStr">
        <is>
          <t>S007_EXCIPIENTS_HANDBOOK</t>
        </is>
      </c>
      <c r="O207" t="inlineStr">
        <is>
          <t>seed_curated</t>
        </is>
      </c>
      <c r="P207">
        <v>0.58</v>
      </c>
      <c r="Q207" t="inlineStr">
        <is>
          <t>excellent liposome/LNP cryoprotectant</t>
        </is>
      </c>
    </row>
    <row r="208">
      <c r="A208" t="inlineStr">
        <is>
          <t>CAR_SUCROSE</t>
        </is>
      </c>
      <c r="B208" t="inlineStr">
        <is>
          <t>Sucrose</t>
        </is>
      </c>
      <c r="C208"/>
      <c r="D208" t="inlineStr">
        <is>
          <t>Carrier</t>
        </is>
      </c>
      <c r="E208" t="inlineStr">
        <is>
          <t>Dry carrier/cryoprotectant</t>
        </is>
      </c>
      <c r="F208" t="inlineStr">
        <is>
          <t>disaccharide cryoprotectant</t>
        </is>
      </c>
      <c r="G208"/>
      <c r="H208"/>
      <c r="I208"/>
      <c r="J208"/>
      <c r="K208"/>
      <c r="L208" t="inlineStr">
        <is>
          <t>oral, pulmonary, lyophilized, proniosome/proliposome carrier as grade allows</t>
        </is>
      </c>
      <c r="M208" t="inlineStr">
        <is>
          <t>Grade-specific particle size, microbial/endotoxin and moisture specs required.</t>
        </is>
      </c>
      <c r="N208" t="inlineStr">
        <is>
          <t>S007_EXCIPIENTS_HANDBOOK</t>
        </is>
      </c>
      <c r="O208" t="inlineStr">
        <is>
          <t>seed_curated</t>
        </is>
      </c>
      <c r="P208">
        <v>0.58</v>
      </c>
      <c r="Q208" t="inlineStr">
        <is>
          <t>excellent cryoprotectant; hygroscopicity consideration</t>
        </is>
      </c>
    </row>
    <row r="209">
      <c r="A209" t="inlineStr">
        <is>
          <t>CAR_LACTOSE</t>
        </is>
      </c>
      <c r="B209" t="inlineStr">
        <is>
          <t>Lactose</t>
        </is>
      </c>
      <c r="C209"/>
      <c r="D209" t="inlineStr">
        <is>
          <t>Carrier</t>
        </is>
      </c>
      <c r="E209" t="inlineStr">
        <is>
          <t>Dry carrier/cryoprotectant</t>
        </is>
      </c>
      <c r="F209" t="inlineStr">
        <is>
          <t>disaccharide carrier</t>
        </is>
      </c>
      <c r="G209"/>
      <c r="H209"/>
      <c r="I209"/>
      <c r="J209"/>
      <c r="K209"/>
      <c r="L209" t="inlineStr">
        <is>
          <t>oral, pulmonary, lyophilized, proniosome/proliposome carrier as grade allows</t>
        </is>
      </c>
      <c r="M209" t="inlineStr">
        <is>
          <t>Grade-specific particle size, microbial/endotoxin and moisture specs required.</t>
        </is>
      </c>
      <c r="N209" t="inlineStr">
        <is>
          <t>S007_EXCIPIENTS_HANDBOOK</t>
        </is>
      </c>
      <c r="O209" t="inlineStr">
        <is>
          <t>seed_curated</t>
        </is>
      </c>
      <c r="P209">
        <v>0.58</v>
      </c>
      <c r="Q209" t="inlineStr">
        <is>
          <t>inhalation carrier; reducing sugar compatibility risk</t>
        </is>
      </c>
    </row>
    <row r="210">
      <c r="A210" t="inlineStr">
        <is>
          <t>CAR_GLUCOSE</t>
        </is>
      </c>
      <c r="B210" t="inlineStr">
        <is>
          <t>Glucose</t>
        </is>
      </c>
      <c r="C210"/>
      <c r="D210" t="inlineStr">
        <is>
          <t>Carrier</t>
        </is>
      </c>
      <c r="E210" t="inlineStr">
        <is>
          <t>Dry carrier/cryoprotectant</t>
        </is>
      </c>
      <c r="F210" t="inlineStr">
        <is>
          <t>monosaccharide</t>
        </is>
      </c>
      <c r="G210"/>
      <c r="H210"/>
      <c r="I210"/>
      <c r="J210"/>
      <c r="K210"/>
      <c r="L210" t="inlineStr">
        <is>
          <t>oral, pulmonary, lyophilized, proniosome/proliposome carrier as grade allows</t>
        </is>
      </c>
      <c r="M210" t="inlineStr">
        <is>
          <t>Grade-specific particle size, microbial/endotoxin and moisture specs required.</t>
        </is>
      </c>
      <c r="N210" t="inlineStr">
        <is>
          <t>S007_EXCIPIENTS_HANDBOOK</t>
        </is>
      </c>
      <c r="O210" t="inlineStr">
        <is>
          <t>seed_curated</t>
        </is>
      </c>
      <c r="P210">
        <v>0.58</v>
      </c>
      <c r="Q210" t="inlineStr">
        <is>
          <t>reducing sugar; Maillard risk</t>
        </is>
      </c>
    </row>
    <row r="211">
      <c r="A211" t="inlineStr">
        <is>
          <t>CAR_SORBITOL</t>
        </is>
      </c>
      <c r="B211" t="inlineStr">
        <is>
          <t>Sorbitol</t>
        </is>
      </c>
      <c r="C211"/>
      <c r="D211" t="inlineStr">
        <is>
          <t>Carrier</t>
        </is>
      </c>
      <c r="E211" t="inlineStr">
        <is>
          <t>Dry carrier/cryoprotectant</t>
        </is>
      </c>
      <c r="F211" t="inlineStr">
        <is>
          <t>sugar alcohol</t>
        </is>
      </c>
      <c r="G211"/>
      <c r="H211"/>
      <c r="I211"/>
      <c r="J211"/>
      <c r="K211"/>
      <c r="L211" t="inlineStr">
        <is>
          <t>oral, pulmonary, lyophilized, proniosome/proliposome carrier as grade allows</t>
        </is>
      </c>
      <c r="M211" t="inlineStr">
        <is>
          <t>Grade-specific particle size, microbial/endotoxin and moisture specs required.</t>
        </is>
      </c>
      <c r="N211" t="inlineStr">
        <is>
          <t>S007_EXCIPIENTS_HANDBOOK</t>
        </is>
      </c>
      <c r="O211" t="inlineStr">
        <is>
          <t>seed_curated</t>
        </is>
      </c>
      <c r="P211">
        <v>0.58</v>
      </c>
      <c r="Q211" t="inlineStr">
        <is>
          <t>plasticizer/hygroscopic</t>
        </is>
      </c>
    </row>
    <row r="212">
      <c r="A212" t="inlineStr">
        <is>
          <t>CAR_XYLITOL</t>
        </is>
      </c>
      <c r="B212" t="inlineStr">
        <is>
          <t>Xylitol</t>
        </is>
      </c>
      <c r="C212"/>
      <c r="D212" t="inlineStr">
        <is>
          <t>Carrier</t>
        </is>
      </c>
      <c r="E212" t="inlineStr">
        <is>
          <t>Dry carrier/cryoprotectant</t>
        </is>
      </c>
      <c r="F212" t="inlineStr">
        <is>
          <t>sugar alcohol</t>
        </is>
      </c>
      <c r="G212"/>
      <c r="H212"/>
      <c r="I212"/>
      <c r="J212"/>
      <c r="K212"/>
      <c r="L212" t="inlineStr">
        <is>
          <t>oral, pulmonary, lyophilized, proniosome/proliposome carrier as grade allows</t>
        </is>
      </c>
      <c r="M212" t="inlineStr">
        <is>
          <t>Grade-specific particle size, microbial/endotoxin and moisture specs required.</t>
        </is>
      </c>
      <c r="N212" t="inlineStr">
        <is>
          <t>S007_EXCIPIENTS_HANDBOOK</t>
        </is>
      </c>
      <c r="O212" t="inlineStr">
        <is>
          <t>seed_curated</t>
        </is>
      </c>
      <c r="P212">
        <v>0.58</v>
      </c>
      <c r="Q212" t="inlineStr">
        <is>
          <t>sugar alcohol carrier</t>
        </is>
      </c>
    </row>
    <row r="213">
      <c r="A213" t="inlineStr">
        <is>
          <t>CAR_CYCLODEXTRIN</t>
        </is>
      </c>
      <c r="B213" t="inlineStr">
        <is>
          <t>Cyclodextrin</t>
        </is>
      </c>
      <c r="C213"/>
      <c r="D213" t="inlineStr">
        <is>
          <t>Carrier</t>
        </is>
      </c>
      <c r="E213" t="inlineStr">
        <is>
          <t>Dry carrier/cryoprotectant</t>
        </is>
      </c>
      <c r="F213" t="inlineStr">
        <is>
          <t>cyclodextrin family</t>
        </is>
      </c>
      <c r="G213"/>
      <c r="H213"/>
      <c r="I213"/>
      <c r="J213"/>
      <c r="K213"/>
      <c r="L213" t="inlineStr">
        <is>
          <t>oral, pulmonary, lyophilized, proniosome/proliposome carrier as grade allows</t>
        </is>
      </c>
      <c r="M213" t="inlineStr">
        <is>
          <t>Grade-specific particle size, microbial/endotoxin and moisture specs required.</t>
        </is>
      </c>
      <c r="N213" t="inlineStr">
        <is>
          <t>S007_EXCIPIENTS_HANDBOOK</t>
        </is>
      </c>
      <c r="O213" t="inlineStr">
        <is>
          <t>seed_curated</t>
        </is>
      </c>
      <c r="P213">
        <v>0.58</v>
      </c>
      <c r="Q213" t="inlineStr">
        <is>
          <t>placeholder for exact cyclodextrin</t>
        </is>
      </c>
    </row>
    <row r="214">
      <c r="A214" t="inlineStr">
        <is>
          <t>CAR_BETA_CYCLODEXTRIN</t>
        </is>
      </c>
      <c r="B214" t="inlineStr">
        <is>
          <t>Beta-cyclodextrin</t>
        </is>
      </c>
      <c r="C214"/>
      <c r="D214" t="inlineStr">
        <is>
          <t>Carrier</t>
        </is>
      </c>
      <c r="E214" t="inlineStr">
        <is>
          <t>Dry carrier/cryoprotectant</t>
        </is>
      </c>
      <c r="F214" t="inlineStr">
        <is>
          <t>cyclodextrin</t>
        </is>
      </c>
      <c r="G214"/>
      <c r="H214"/>
      <c r="I214"/>
      <c r="J214"/>
      <c r="K214"/>
      <c r="L214" t="inlineStr">
        <is>
          <t>oral, pulmonary, lyophilized, proniosome/proliposome carrier as grade allows</t>
        </is>
      </c>
      <c r="M214" t="inlineStr">
        <is>
          <t>Grade-specific particle size, microbial/endotoxin and moisture specs required.</t>
        </is>
      </c>
      <c r="N214" t="inlineStr">
        <is>
          <t>S007_EXCIPIENTS_HANDBOOK</t>
        </is>
      </c>
      <c r="O214" t="inlineStr">
        <is>
          <t>seed_curated</t>
        </is>
      </c>
      <c r="P214">
        <v>0.58</v>
      </c>
      <c r="Q214" t="inlineStr">
        <is>
          <t>renal/parenteral caution compared with HPBCD/SBEBCD</t>
        </is>
      </c>
    </row>
    <row r="215">
      <c r="A215" t="inlineStr">
        <is>
          <t>CAR_HYDROXYPROPYL_BETA_CYCLODEXTRIN</t>
        </is>
      </c>
      <c r="B215" t="inlineStr">
        <is>
          <t>Hydroxypropyl-beta-cyclodextrin</t>
        </is>
      </c>
      <c r="C215"/>
      <c r="D215" t="inlineStr">
        <is>
          <t>Carrier</t>
        </is>
      </c>
      <c r="E215" t="inlineStr">
        <is>
          <t>Dry carrier/cryoprotectant</t>
        </is>
      </c>
      <c r="F215" t="inlineStr">
        <is>
          <t>modified cyclodextrin</t>
        </is>
      </c>
      <c r="G215"/>
      <c r="H215"/>
      <c r="I215"/>
      <c r="J215"/>
      <c r="K215"/>
      <c r="L215" t="inlineStr">
        <is>
          <t>oral, pulmonary, lyophilized, proniosome/proliposome carrier as grade allows</t>
        </is>
      </c>
      <c r="M215" t="inlineStr">
        <is>
          <t>Grade-specific particle size, microbial/endotoxin and moisture specs required.</t>
        </is>
      </c>
      <c r="N215" t="inlineStr">
        <is>
          <t>S007_EXCIPIENTS_HANDBOOK</t>
        </is>
      </c>
      <c r="O215" t="inlineStr">
        <is>
          <t>seed_curated</t>
        </is>
      </c>
      <c r="P215">
        <v>0.58</v>
      </c>
      <c r="Q215" t="inlineStr">
        <is>
          <t>DS and substitution pattern critical</t>
        </is>
      </c>
    </row>
    <row r="216">
      <c r="A216" t="inlineStr">
        <is>
          <t>CAR_SULFOBUTYLETHER_BETA_CYCLODEXTRIN</t>
        </is>
      </c>
      <c r="B216" t="inlineStr">
        <is>
          <t>Sulfobutylether-beta-cyclodextrin</t>
        </is>
      </c>
      <c r="C216"/>
      <c r="D216" t="inlineStr">
        <is>
          <t>Carrier</t>
        </is>
      </c>
      <c r="E216" t="inlineStr">
        <is>
          <t>Dry carrier/cryoprotectant</t>
        </is>
      </c>
      <c r="F216" t="inlineStr">
        <is>
          <t>anionic modified cyclodextrin</t>
        </is>
      </c>
      <c r="G216"/>
      <c r="H216"/>
      <c r="I216"/>
      <c r="J216"/>
      <c r="K216"/>
      <c r="L216" t="inlineStr">
        <is>
          <t>oral, pulmonary, lyophilized, proniosome/proliposome carrier as grade allows</t>
        </is>
      </c>
      <c r="M216" t="inlineStr">
        <is>
          <t>Grade-specific particle size, microbial/endotoxin and moisture specs required.</t>
        </is>
      </c>
      <c r="N216" t="inlineStr">
        <is>
          <t>S007_EXCIPIENTS_HANDBOOK</t>
        </is>
      </c>
      <c r="O216" t="inlineStr">
        <is>
          <t>seed_curated</t>
        </is>
      </c>
      <c r="P216">
        <v>0.58</v>
      </c>
      <c r="Q216" t="inlineStr">
        <is>
          <t>anionic; renal dose and route-specific limits</t>
        </is>
      </c>
    </row>
    <row r="217">
      <c r="A217" t="inlineStr">
        <is>
          <t>CAR_MICROCRYSTALLINE_CELLULOSE</t>
        </is>
      </c>
      <c r="B217" t="inlineStr">
        <is>
          <t>Microcrystalline cellulose</t>
        </is>
      </c>
      <c r="C217"/>
      <c r="D217" t="inlineStr">
        <is>
          <t>Carrier</t>
        </is>
      </c>
      <c r="E217" t="inlineStr">
        <is>
          <t>Dry carrier/cryoprotectant</t>
        </is>
      </c>
      <c r="F217" t="inlineStr">
        <is>
          <t>insoluble carrier</t>
        </is>
      </c>
      <c r="G217"/>
      <c r="H217"/>
      <c r="I217"/>
      <c r="J217"/>
      <c r="K217"/>
      <c r="L217" t="inlineStr">
        <is>
          <t>oral, pulmonary, lyophilized, proniosome/proliposome carrier as grade allows</t>
        </is>
      </c>
      <c r="M217" t="inlineStr">
        <is>
          <t>Grade-specific particle size, microbial/endotoxin and moisture specs required.</t>
        </is>
      </c>
      <c r="N217" t="inlineStr">
        <is>
          <t>S007_EXCIPIENTS_HANDBOOK</t>
        </is>
      </c>
      <c r="O217" t="inlineStr">
        <is>
          <t>seed_curated</t>
        </is>
      </c>
      <c r="P217">
        <v>0.58</v>
      </c>
      <c r="Q217" t="inlineStr">
        <is>
          <t>good solid carrier; not soluble</t>
        </is>
      </c>
    </row>
    <row r="218">
      <c r="A218" t="inlineStr">
        <is>
          <t>CAR_AEROSIL_COLLOIDAL_SILICON_DIOXIDE</t>
        </is>
      </c>
      <c r="B218" t="inlineStr">
        <is>
          <t>Aerosil / colloidal silicon dioxide</t>
        </is>
      </c>
      <c r="C218"/>
      <c r="D218" t="inlineStr">
        <is>
          <t>Carrier</t>
        </is>
      </c>
      <c r="E218" t="inlineStr">
        <is>
          <t>Dry carrier/cryoprotectant</t>
        </is>
      </c>
      <c r="F218" t="inlineStr">
        <is>
          <t>porous adsorbent</t>
        </is>
      </c>
      <c r="G218"/>
      <c r="H218"/>
      <c r="I218"/>
      <c r="J218"/>
      <c r="K218"/>
      <c r="L218" t="inlineStr">
        <is>
          <t>oral, pulmonary, lyophilized, proniosome/proliposome carrier as grade allows</t>
        </is>
      </c>
      <c r="M218" t="inlineStr">
        <is>
          <t>Grade-specific particle size, microbial/endotoxin and moisture specs required.</t>
        </is>
      </c>
      <c r="N218" t="inlineStr">
        <is>
          <t>S007_EXCIPIENTS_HANDBOOK</t>
        </is>
      </c>
      <c r="O218" t="inlineStr">
        <is>
          <t>seed_curated</t>
        </is>
      </c>
      <c r="P218">
        <v>0.58</v>
      </c>
      <c r="Q218" t="inlineStr">
        <is>
          <t>high surface area adsorbent; inhalation safety caution</t>
        </is>
      </c>
    </row>
    <row r="219">
      <c r="A219" t="inlineStr">
        <is>
          <t>CAR_CALCIUM_CARBONATE</t>
        </is>
      </c>
      <c r="B219" t="inlineStr">
        <is>
          <t>Calcium carbonate</t>
        </is>
      </c>
      <c r="C219"/>
      <c r="D219" t="inlineStr">
        <is>
          <t>Carrier</t>
        </is>
      </c>
      <c r="E219" t="inlineStr">
        <is>
          <t>Dry carrier/cryoprotectant</t>
        </is>
      </c>
      <c r="F219" t="inlineStr">
        <is>
          <t>inorganic carrier</t>
        </is>
      </c>
      <c r="G219"/>
      <c r="H219"/>
      <c r="I219"/>
      <c r="J219"/>
      <c r="K219"/>
      <c r="L219" t="inlineStr">
        <is>
          <t>oral, pulmonary, lyophilized, proniosome/proliposome carrier as grade allows</t>
        </is>
      </c>
      <c r="M219" t="inlineStr">
        <is>
          <t>Grade-specific particle size, microbial/endotoxin and moisture specs required.</t>
        </is>
      </c>
      <c r="N219" t="inlineStr">
        <is>
          <t>S007_EXCIPIENTS_HANDBOOK</t>
        </is>
      </c>
      <c r="O219" t="inlineStr">
        <is>
          <t>seed_curated</t>
        </is>
      </c>
      <c r="P219">
        <v>0.58</v>
      </c>
      <c r="Q219" t="inlineStr">
        <is>
          <t>alkaline; can interact with acids</t>
        </is>
      </c>
    </row>
    <row r="220">
      <c r="A220" t="inlineStr">
        <is>
          <t>CAR_PREGELATINIZED_STARCH</t>
        </is>
      </c>
      <c r="B220" t="inlineStr">
        <is>
          <t>Pregelatinized starch</t>
        </is>
      </c>
      <c r="C220"/>
      <c r="D220" t="inlineStr">
        <is>
          <t>Carrier</t>
        </is>
      </c>
      <c r="E220" t="inlineStr">
        <is>
          <t>Dry carrier/cryoprotectant</t>
        </is>
      </c>
      <c r="F220" t="inlineStr">
        <is>
          <t>starch derivative</t>
        </is>
      </c>
      <c r="G220"/>
      <c r="H220"/>
      <c r="I220"/>
      <c r="J220"/>
      <c r="K220"/>
      <c r="L220" t="inlineStr">
        <is>
          <t>oral, pulmonary, lyophilized, proniosome/proliposome carrier as grade allows</t>
        </is>
      </c>
      <c r="M220" t="inlineStr">
        <is>
          <t>Grade-specific particle size, microbial/endotoxin and moisture specs required.</t>
        </is>
      </c>
      <c r="N220" t="inlineStr">
        <is>
          <t>S007_EXCIPIENTS_HANDBOOK</t>
        </is>
      </c>
      <c r="O220" t="inlineStr">
        <is>
          <t>seed_curated</t>
        </is>
      </c>
      <c r="P220">
        <v>0.58</v>
      </c>
      <c r="Q220" t="inlineStr">
        <is>
          <t>swelling carrier/disintegrant</t>
        </is>
      </c>
    </row>
    <row r="221">
      <c r="A221" t="inlineStr">
        <is>
          <t>CAR_L_LEUCINE</t>
        </is>
      </c>
      <c r="B221" t="inlineStr">
        <is>
          <t>L-leucine</t>
        </is>
      </c>
      <c r="C221"/>
      <c r="D221" t="inlineStr">
        <is>
          <t>Carrier</t>
        </is>
      </c>
      <c r="E221" t="inlineStr">
        <is>
          <t>Dry carrier/cryoprotectant</t>
        </is>
      </c>
      <c r="F221" t="inlineStr">
        <is>
          <t>amino acid / inhalation dispersibility enhancer</t>
        </is>
      </c>
      <c r="G221"/>
      <c r="H221"/>
      <c r="I221"/>
      <c r="J221"/>
      <c r="K221"/>
      <c r="L221" t="inlineStr">
        <is>
          <t>oral, pulmonary, lyophilized, proniosome/proliposome carrier as grade allows</t>
        </is>
      </c>
      <c r="M221" t="inlineStr">
        <is>
          <t>Grade-specific particle size, microbial/endotoxin and moisture specs required.</t>
        </is>
      </c>
      <c r="N221" t="inlineStr">
        <is>
          <t>S007_EXCIPIENTS_HANDBOOK</t>
        </is>
      </c>
      <c r="O221" t="inlineStr">
        <is>
          <t>seed_curated</t>
        </is>
      </c>
      <c r="P221">
        <v>0.58</v>
      </c>
      <c r="Q221" t="inlineStr">
        <is>
          <t>surface-active amino acid for inhalation powders</t>
        </is>
      </c>
    </row>
    <row r="222">
      <c r="A222" t="inlineStr">
        <is>
          <t>CAR_LEUCINE_FOR_INHALATION_POWDERS</t>
        </is>
      </c>
      <c r="B222" t="inlineStr">
        <is>
          <t>Leucine for inhalation powders</t>
        </is>
      </c>
      <c r="C222"/>
      <c r="D222" t="inlineStr">
        <is>
          <t>Carrier</t>
        </is>
      </c>
      <c r="E222" t="inlineStr">
        <is>
          <t>Dry carrier/cryoprotectant</t>
        </is>
      </c>
      <c r="F222" t="inlineStr">
        <is>
          <t>amino acid / inhalation dispersibility enhancer</t>
        </is>
      </c>
      <c r="G222"/>
      <c r="H222"/>
      <c r="I222"/>
      <c r="J222"/>
      <c r="K222"/>
      <c r="L222" t="inlineStr">
        <is>
          <t>oral, pulmonary, lyophilized, proniosome/proliposome carrier as grade allows</t>
        </is>
      </c>
      <c r="M222" t="inlineStr">
        <is>
          <t>Grade-specific particle size, microbial/endotoxin and moisture specs required.</t>
        </is>
      </c>
      <c r="N222" t="inlineStr">
        <is>
          <t>S007_EXCIPIENTS_HANDBOOK</t>
        </is>
      </c>
      <c r="O222" t="inlineStr">
        <is>
          <t>seed_curated</t>
        </is>
      </c>
      <c r="P222">
        <v>0.58</v>
      </c>
      <c r="Q222" t="inlineStr">
        <is>
          <t>duplicate functional grade of L-leucine</t>
        </is>
      </c>
    </row>
    <row r="223">
      <c r="A223" t="inlineStr">
        <is>
          <t>CAR_GLYCINE</t>
        </is>
      </c>
      <c r="B223" t="inlineStr">
        <is>
          <t>Glycine</t>
        </is>
      </c>
      <c r="C223"/>
      <c r="D223" t="inlineStr">
        <is>
          <t>Carrier</t>
        </is>
      </c>
      <c r="E223" t="inlineStr">
        <is>
          <t>Dry carrier/cryoprotectant</t>
        </is>
      </c>
      <c r="F223" t="inlineStr">
        <is>
          <t>amino acid</t>
        </is>
      </c>
      <c r="G223"/>
      <c r="H223"/>
      <c r="I223"/>
      <c r="J223"/>
      <c r="K223"/>
      <c r="L223" t="inlineStr">
        <is>
          <t>oral, pulmonary, lyophilized, proniosome/proliposome carrier as grade allows</t>
        </is>
      </c>
      <c r="M223" t="inlineStr">
        <is>
          <t>Grade-specific particle size, microbial/endotoxin and moisture specs required.</t>
        </is>
      </c>
      <c r="N223" t="inlineStr">
        <is>
          <t>S007_EXCIPIENTS_HANDBOOK</t>
        </is>
      </c>
      <c r="O223" t="inlineStr">
        <is>
          <t>seed_curated</t>
        </is>
      </c>
      <c r="P223">
        <v>0.58</v>
      </c>
      <c r="Q223" t="inlineStr">
        <is>
          <t>buffer/bulking carrier</t>
        </is>
      </c>
    </row>
    <row r="224">
      <c r="A224" t="inlineStr">
        <is>
          <t>CAR_ALBUMIN</t>
        </is>
      </c>
      <c r="B224" t="inlineStr">
        <is>
          <t>Albumin</t>
        </is>
      </c>
      <c r="C224"/>
      <c r="D224" t="inlineStr">
        <is>
          <t>Carrier</t>
        </is>
      </c>
      <c r="E224" t="inlineStr">
        <is>
          <t>Dry carrier/cryoprotectant</t>
        </is>
      </c>
      <c r="F224" t="inlineStr">
        <is>
          <t>protein carrier</t>
        </is>
      </c>
      <c r="G224"/>
      <c r="H224"/>
      <c r="I224"/>
      <c r="J224"/>
      <c r="K224"/>
      <c r="L224" t="inlineStr">
        <is>
          <t>oral, pulmonary, lyophilized, proniosome/proliposome carrier as grade allows</t>
        </is>
      </c>
      <c r="M224" t="inlineStr">
        <is>
          <t>Grade-specific particle size, microbial/endotoxin and moisture specs required.</t>
        </is>
      </c>
      <c r="N224" t="inlineStr">
        <is>
          <t>S007_EXCIPIENTS_HANDBOOK</t>
        </is>
      </c>
      <c r="O224" t="inlineStr">
        <is>
          <t>seed_curated</t>
        </is>
      </c>
      <c r="P224">
        <v>0.58</v>
      </c>
      <c r="Q224" t="inlineStr">
        <is>
          <t>biological material; immunogenicity/source control</t>
        </is>
      </c>
    </row>
    <row r="225">
      <c r="A225" t="inlineStr">
        <is>
          <t>CHG_DICETYL_PHOSPHATE</t>
        </is>
      </c>
      <c r="B225" t="inlineStr">
        <is>
          <t>Dicetyl phosphate</t>
        </is>
      </c>
      <c r="C225"/>
      <c r="D225" t="inlineStr">
        <is>
          <t>Charge inducer</t>
        </is>
      </c>
      <c r="E225" t="inlineStr">
        <is>
          <t>Charge inducer/ionic modifier</t>
        </is>
      </c>
      <c r="F225" t="inlineStr">
        <is>
          <t>ionic amphiphile</t>
        </is>
      </c>
      <c r="G225"/>
      <c r="H225"/>
      <c r="I225"/>
      <c r="J225"/>
      <c r="K225"/>
      <c r="L225" t="inlineStr">
        <is>
          <t>vesicle charge modifier; usually low mol% screening</t>
        </is>
      </c>
      <c r="M225" t="inlineStr">
        <is>
          <t>Cationic agents often cytotoxic; route-specific safety essential.</t>
        </is>
      </c>
      <c r="N225" t="inlineStr">
        <is>
          <t>S001_PUBCHEM</t>
        </is>
      </c>
      <c r="O225" t="inlineStr">
        <is>
          <t>seed_curated</t>
        </is>
      </c>
      <c r="P225">
        <v>0.58</v>
      </c>
      <c r="Q225" t="inlineStr">
        <is>
          <t>Add exact grade/salt form before use.</t>
        </is>
      </c>
    </row>
    <row r="226">
      <c r="A226" t="inlineStr">
        <is>
          <t>CHG_STEARYLAMINE</t>
        </is>
      </c>
      <c r="B226" t="inlineStr">
        <is>
          <t>Stearylamine</t>
        </is>
      </c>
      <c r="C226"/>
      <c r="D226" t="inlineStr">
        <is>
          <t>Charge inducer</t>
        </is>
      </c>
      <c r="E226" t="inlineStr">
        <is>
          <t>Charge inducer/ionic modifier</t>
        </is>
      </c>
      <c r="F226" t="inlineStr">
        <is>
          <t>ionic amphiphile</t>
        </is>
      </c>
      <c r="G226"/>
      <c r="H226"/>
      <c r="I226"/>
      <c r="J226"/>
      <c r="K226"/>
      <c r="L226" t="inlineStr">
        <is>
          <t>vesicle charge modifier; usually low mol% screening</t>
        </is>
      </c>
      <c r="M226" t="inlineStr">
        <is>
          <t>Cationic agents often cytotoxic; route-specific safety essential.</t>
        </is>
      </c>
      <c r="N226" t="inlineStr">
        <is>
          <t>S001_PUBCHEM</t>
        </is>
      </c>
      <c r="O226" t="inlineStr">
        <is>
          <t>seed_curated</t>
        </is>
      </c>
      <c r="P226">
        <v>0.58</v>
      </c>
      <c r="Q226" t="inlineStr">
        <is>
          <t>Add exact grade/salt form before use.</t>
        </is>
      </c>
    </row>
    <row r="227">
      <c r="A227" t="inlineStr">
        <is>
          <t>CHG_SODIUM_STEARATE</t>
        </is>
      </c>
      <c r="B227" t="inlineStr">
        <is>
          <t>Sodium stearate</t>
        </is>
      </c>
      <c r="C227"/>
      <c r="D227" t="inlineStr">
        <is>
          <t>Charge inducer</t>
        </is>
      </c>
      <c r="E227" t="inlineStr">
        <is>
          <t>Charge inducer/ionic modifier</t>
        </is>
      </c>
      <c r="F227" t="inlineStr">
        <is>
          <t>ionic amphiphile</t>
        </is>
      </c>
      <c r="G227"/>
      <c r="H227"/>
      <c r="I227"/>
      <c r="J227"/>
      <c r="K227"/>
      <c r="L227" t="inlineStr">
        <is>
          <t>vesicle charge modifier; usually low mol% screening</t>
        </is>
      </c>
      <c r="M227" t="inlineStr">
        <is>
          <t>Cationic agents often cytotoxic; route-specific safety essential.</t>
        </is>
      </c>
      <c r="N227" t="inlineStr">
        <is>
          <t>S001_PUBCHEM</t>
        </is>
      </c>
      <c r="O227" t="inlineStr">
        <is>
          <t>seed_curated</t>
        </is>
      </c>
      <c r="P227">
        <v>0.58</v>
      </c>
      <c r="Q227" t="inlineStr">
        <is>
          <t>Add exact grade/salt form before use.</t>
        </is>
      </c>
    </row>
    <row r="228">
      <c r="A228" t="inlineStr">
        <is>
          <t>CHG_SODIUM_OLEATE</t>
        </is>
      </c>
      <c r="B228" t="inlineStr">
        <is>
          <t>Sodium oleate</t>
        </is>
      </c>
      <c r="C228"/>
      <c r="D228" t="inlineStr">
        <is>
          <t>Charge inducer</t>
        </is>
      </c>
      <c r="E228" t="inlineStr">
        <is>
          <t>Charge inducer/ionic modifier</t>
        </is>
      </c>
      <c r="F228" t="inlineStr">
        <is>
          <t>ionic amphiphile</t>
        </is>
      </c>
      <c r="G228"/>
      <c r="H228"/>
      <c r="I228"/>
      <c r="J228"/>
      <c r="K228"/>
      <c r="L228" t="inlineStr">
        <is>
          <t>vesicle charge modifier; usually low mol% screening</t>
        </is>
      </c>
      <c r="M228" t="inlineStr">
        <is>
          <t>Cationic agents often cytotoxic; route-specific safety essential.</t>
        </is>
      </c>
      <c r="N228" t="inlineStr">
        <is>
          <t>S001_PUBCHEM</t>
        </is>
      </c>
      <c r="O228" t="inlineStr">
        <is>
          <t>seed_curated</t>
        </is>
      </c>
      <c r="P228">
        <v>0.58</v>
      </c>
      <c r="Q228" t="inlineStr">
        <is>
          <t>Add exact grade/salt form before use.</t>
        </is>
      </c>
    </row>
    <row r="229">
      <c r="A229" t="inlineStr">
        <is>
          <t>POL_PLGA_50_50</t>
        </is>
      </c>
      <c r="B229" t="inlineStr">
        <is>
          <t>PLGA 50:50</t>
        </is>
      </c>
      <c r="C229"/>
      <c r="D229" t="inlineStr">
        <is>
          <t>Polymer</t>
        </is>
      </c>
      <c r="E229" t="inlineStr">
        <is>
          <t>Polymer</t>
        </is>
      </c>
      <c r="F229" t="inlineStr">
        <is>
          <t>biodegradable polyester</t>
        </is>
      </c>
      <c r="G229"/>
      <c r="H229"/>
      <c r="I229"/>
      <c r="J229"/>
      <c r="K229"/>
      <c r="L229" t="inlineStr">
        <is>
          <t>polymeric nanoparticles, hybrid coating, stabilizer, mucoadhesive systems</t>
        </is>
      </c>
      <c r="M229" t="inlineStr">
        <is>
          <t>Use pharmacopeial/GMP grade where available; polymer MW and residuals are critical.</t>
        </is>
      </c>
      <c r="N229" t="inlineStr">
        <is>
          <t>S007_EXCIPIENTS_HANDBOOK</t>
        </is>
      </c>
      <c r="O229" t="inlineStr">
        <is>
          <t>seed_curated</t>
        </is>
      </c>
      <c r="P229">
        <v>0.55</v>
      </c>
      <c r="Q229" t="inlineStr">
        <is>
          <t>lactide:glycolide 50:50</t>
        </is>
      </c>
    </row>
    <row r="230">
      <c r="A230" t="inlineStr">
        <is>
          <t>POL_PLGA_65_35</t>
        </is>
      </c>
      <c r="B230" t="inlineStr">
        <is>
          <t>PLGA 65:35</t>
        </is>
      </c>
      <c r="C230"/>
      <c r="D230" t="inlineStr">
        <is>
          <t>Polymer</t>
        </is>
      </c>
      <c r="E230" t="inlineStr">
        <is>
          <t>Polymer</t>
        </is>
      </c>
      <c r="F230" t="inlineStr">
        <is>
          <t>biodegradable polyester</t>
        </is>
      </c>
      <c r="G230"/>
      <c r="H230"/>
      <c r="I230"/>
      <c r="J230"/>
      <c r="K230"/>
      <c r="L230" t="inlineStr">
        <is>
          <t>polymeric nanoparticles, hybrid coating, stabilizer, mucoadhesive systems</t>
        </is>
      </c>
      <c r="M230" t="inlineStr">
        <is>
          <t>Use pharmacopeial/GMP grade where available; polymer MW and residuals are critical.</t>
        </is>
      </c>
      <c r="N230" t="inlineStr">
        <is>
          <t>S007_EXCIPIENTS_HANDBOOK</t>
        </is>
      </c>
      <c r="O230" t="inlineStr">
        <is>
          <t>seed_curated</t>
        </is>
      </c>
      <c r="P230">
        <v>0.55</v>
      </c>
      <c r="Q230" t="inlineStr">
        <is>
          <t>lactide:glycolide 65:35</t>
        </is>
      </c>
    </row>
    <row r="231">
      <c r="A231" t="inlineStr">
        <is>
          <t>POL_PLGA_75_25</t>
        </is>
      </c>
      <c r="B231" t="inlineStr">
        <is>
          <t>PLGA 75:25</t>
        </is>
      </c>
      <c r="C231"/>
      <c r="D231" t="inlineStr">
        <is>
          <t>Polymer</t>
        </is>
      </c>
      <c r="E231" t="inlineStr">
        <is>
          <t>Polymer</t>
        </is>
      </c>
      <c r="F231" t="inlineStr">
        <is>
          <t>biodegradable polyester</t>
        </is>
      </c>
      <c r="G231"/>
      <c r="H231"/>
      <c r="I231"/>
      <c r="J231"/>
      <c r="K231"/>
      <c r="L231" t="inlineStr">
        <is>
          <t>polymeric nanoparticles, hybrid coating, stabilizer, mucoadhesive systems</t>
        </is>
      </c>
      <c r="M231" t="inlineStr">
        <is>
          <t>Use pharmacopeial/GMP grade where available; polymer MW and residuals are critical.</t>
        </is>
      </c>
      <c r="N231" t="inlineStr">
        <is>
          <t>S007_EXCIPIENTS_HANDBOOK</t>
        </is>
      </c>
      <c r="O231" t="inlineStr">
        <is>
          <t>seed_curated</t>
        </is>
      </c>
      <c r="P231">
        <v>0.55</v>
      </c>
      <c r="Q231" t="inlineStr">
        <is>
          <t>lactide:glycolide 75:25</t>
        </is>
      </c>
    </row>
    <row r="232">
      <c r="A232" t="inlineStr">
        <is>
          <t>POL_PLA</t>
        </is>
      </c>
      <c r="B232" t="inlineStr">
        <is>
          <t>PLA</t>
        </is>
      </c>
      <c r="C232"/>
      <c r="D232" t="inlineStr">
        <is>
          <t>Polymer</t>
        </is>
      </c>
      <c r="E232" t="inlineStr">
        <is>
          <t>Polymer</t>
        </is>
      </c>
      <c r="F232" t="inlineStr">
        <is>
          <t>biodegradable polyester</t>
        </is>
      </c>
      <c r="G232"/>
      <c r="H232"/>
      <c r="I232"/>
      <c r="J232"/>
      <c r="K232"/>
      <c r="L232" t="inlineStr">
        <is>
          <t>polymeric nanoparticles, hybrid coating, stabilizer, mucoadhesive systems</t>
        </is>
      </c>
      <c r="M232" t="inlineStr">
        <is>
          <t>Use pharmacopeial/GMP grade where available; polymer MW and residuals are critical.</t>
        </is>
      </c>
      <c r="N232" t="inlineStr">
        <is>
          <t>S007_EXCIPIENTS_HANDBOOK</t>
        </is>
      </c>
      <c r="O232" t="inlineStr">
        <is>
          <t>seed_curated</t>
        </is>
      </c>
      <c r="P232">
        <v>0.55</v>
      </c>
      <c r="Q232" t="inlineStr">
        <is>
          <t>poly(lactic acid)</t>
        </is>
      </c>
    </row>
    <row r="233">
      <c r="A233" t="inlineStr">
        <is>
          <t>POL_PCL</t>
        </is>
      </c>
      <c r="B233" t="inlineStr">
        <is>
          <t>PCL</t>
        </is>
      </c>
      <c r="C233"/>
      <c r="D233" t="inlineStr">
        <is>
          <t>Polymer</t>
        </is>
      </c>
      <c r="E233" t="inlineStr">
        <is>
          <t>Polymer</t>
        </is>
      </c>
      <c r="F233" t="inlineStr">
        <is>
          <t>biodegradable polyester</t>
        </is>
      </c>
      <c r="G233"/>
      <c r="H233"/>
      <c r="I233"/>
      <c r="J233"/>
      <c r="K233"/>
      <c r="L233" t="inlineStr">
        <is>
          <t>polymeric nanoparticles, hybrid coating, stabilizer, mucoadhesive systems</t>
        </is>
      </c>
      <c r="M233" t="inlineStr">
        <is>
          <t>Use pharmacopeial/GMP grade where available; polymer MW and residuals are critical.</t>
        </is>
      </c>
      <c r="N233" t="inlineStr">
        <is>
          <t>S007_EXCIPIENTS_HANDBOOK</t>
        </is>
      </c>
      <c r="O233" t="inlineStr">
        <is>
          <t>seed_curated</t>
        </is>
      </c>
      <c r="P233">
        <v>0.55</v>
      </c>
      <c r="Q233" t="inlineStr">
        <is>
          <t>polycaprolactone</t>
        </is>
      </c>
    </row>
    <row r="234">
      <c r="A234" t="inlineStr">
        <is>
          <t>POL_PGA</t>
        </is>
      </c>
      <c r="B234" t="inlineStr">
        <is>
          <t>PGA</t>
        </is>
      </c>
      <c r="C234"/>
      <c r="D234" t="inlineStr">
        <is>
          <t>Polymer</t>
        </is>
      </c>
      <c r="E234" t="inlineStr">
        <is>
          <t>Polymer</t>
        </is>
      </c>
      <c r="F234" t="inlineStr">
        <is>
          <t>biodegradable polyester</t>
        </is>
      </c>
      <c r="G234"/>
      <c r="H234"/>
      <c r="I234"/>
      <c r="J234"/>
      <c r="K234"/>
      <c r="L234" t="inlineStr">
        <is>
          <t>polymeric nanoparticles, hybrid coating, stabilizer, mucoadhesive systems</t>
        </is>
      </c>
      <c r="M234" t="inlineStr">
        <is>
          <t>Use pharmacopeial/GMP grade where available; polymer MW and residuals are critical.</t>
        </is>
      </c>
      <c r="N234" t="inlineStr">
        <is>
          <t>S007_EXCIPIENTS_HANDBOOK</t>
        </is>
      </c>
      <c r="O234" t="inlineStr">
        <is>
          <t>seed_curated</t>
        </is>
      </c>
      <c r="P234">
        <v>0.55</v>
      </c>
      <c r="Q234" t="inlineStr">
        <is>
          <t>polyglycolide</t>
        </is>
      </c>
    </row>
    <row r="235">
      <c r="A235" t="inlineStr">
        <is>
          <t>POL_PEG_1000</t>
        </is>
      </c>
      <c r="B235" t="inlineStr">
        <is>
          <t>PEG 1000</t>
        </is>
      </c>
      <c r="C235"/>
      <c r="D235" t="inlineStr">
        <is>
          <t>Polymer</t>
        </is>
      </c>
      <c r="E235" t="inlineStr">
        <is>
          <t>Polymer</t>
        </is>
      </c>
      <c r="F235" t="inlineStr">
        <is>
          <t>hydrophilic polymer</t>
        </is>
      </c>
      <c r="G235"/>
      <c r="H235"/>
      <c r="I235"/>
      <c r="J235"/>
      <c r="K235"/>
      <c r="L235" t="inlineStr">
        <is>
          <t>polymeric nanoparticles, hybrid coating, stabilizer, mucoadhesive systems</t>
        </is>
      </c>
      <c r="M235" t="inlineStr">
        <is>
          <t>Use pharmacopeial/GMP grade where available; polymer MW and residuals are critical.</t>
        </is>
      </c>
      <c r="N235" t="inlineStr">
        <is>
          <t>S007_EXCIPIENTS_HANDBOOK</t>
        </is>
      </c>
      <c r="O235" t="inlineStr">
        <is>
          <t>seed_curated</t>
        </is>
      </c>
      <c r="P235">
        <v>0.55</v>
      </c>
      <c r="Q235" t="inlineStr">
        <is>
          <t>PEG grade</t>
        </is>
      </c>
    </row>
    <row r="236">
      <c r="A236" t="inlineStr">
        <is>
          <t>POL_PEG_2000</t>
        </is>
      </c>
      <c r="B236" t="inlineStr">
        <is>
          <t>PEG 2000</t>
        </is>
      </c>
      <c r="C236"/>
      <c r="D236" t="inlineStr">
        <is>
          <t>Polymer</t>
        </is>
      </c>
      <c r="E236" t="inlineStr">
        <is>
          <t>Polymer</t>
        </is>
      </c>
      <c r="F236" t="inlineStr">
        <is>
          <t>hydrophilic polymer</t>
        </is>
      </c>
      <c r="G236"/>
      <c r="H236"/>
      <c r="I236"/>
      <c r="J236"/>
      <c r="K236"/>
      <c r="L236" t="inlineStr">
        <is>
          <t>polymeric nanoparticles, hybrid coating, stabilizer, mucoadhesive systems</t>
        </is>
      </c>
      <c r="M236" t="inlineStr">
        <is>
          <t>Use pharmacopeial/GMP grade where available; polymer MW and residuals are critical.</t>
        </is>
      </c>
      <c r="N236" t="inlineStr">
        <is>
          <t>S007_EXCIPIENTS_HANDBOOK</t>
        </is>
      </c>
      <c r="O236" t="inlineStr">
        <is>
          <t>seed_curated</t>
        </is>
      </c>
      <c r="P236">
        <v>0.55</v>
      </c>
      <c r="Q236" t="inlineStr">
        <is>
          <t>PEG grade</t>
        </is>
      </c>
    </row>
    <row r="237">
      <c r="A237" t="inlineStr">
        <is>
          <t>POL_PEG_5000</t>
        </is>
      </c>
      <c r="B237" t="inlineStr">
        <is>
          <t>PEG 5000</t>
        </is>
      </c>
      <c r="C237"/>
      <c r="D237" t="inlineStr">
        <is>
          <t>Polymer</t>
        </is>
      </c>
      <c r="E237" t="inlineStr">
        <is>
          <t>Polymer</t>
        </is>
      </c>
      <c r="F237" t="inlineStr">
        <is>
          <t>hydrophilic polymer</t>
        </is>
      </c>
      <c r="G237"/>
      <c r="H237"/>
      <c r="I237"/>
      <c r="J237"/>
      <c r="K237"/>
      <c r="L237" t="inlineStr">
        <is>
          <t>polymeric nanoparticles, hybrid coating, stabilizer, mucoadhesive systems</t>
        </is>
      </c>
      <c r="M237" t="inlineStr">
        <is>
          <t>Use pharmacopeial/GMP grade where available; polymer MW and residuals are critical.</t>
        </is>
      </c>
      <c r="N237" t="inlineStr">
        <is>
          <t>S007_EXCIPIENTS_HANDBOOK</t>
        </is>
      </c>
      <c r="O237" t="inlineStr">
        <is>
          <t>seed_curated</t>
        </is>
      </c>
      <c r="P237">
        <v>0.55</v>
      </c>
      <c r="Q237" t="inlineStr">
        <is>
          <t>PEG grade</t>
        </is>
      </c>
    </row>
    <row r="238">
      <c r="A238" t="inlineStr">
        <is>
          <t>POL_PEG_10000</t>
        </is>
      </c>
      <c r="B238" t="inlineStr">
        <is>
          <t>PEG 10000</t>
        </is>
      </c>
      <c r="C238"/>
      <c r="D238" t="inlineStr">
        <is>
          <t>Polymer</t>
        </is>
      </c>
      <c r="E238" t="inlineStr">
        <is>
          <t>Polymer</t>
        </is>
      </c>
      <c r="F238" t="inlineStr">
        <is>
          <t>hydrophilic polymer</t>
        </is>
      </c>
      <c r="G238"/>
      <c r="H238"/>
      <c r="I238"/>
      <c r="J238"/>
      <c r="K238"/>
      <c r="L238" t="inlineStr">
        <is>
          <t>polymeric nanoparticles, hybrid coating, stabilizer, mucoadhesive systems</t>
        </is>
      </c>
      <c r="M238" t="inlineStr">
        <is>
          <t>Use pharmacopeial/GMP grade where available; polymer MW and residuals are critical.</t>
        </is>
      </c>
      <c r="N238" t="inlineStr">
        <is>
          <t>S007_EXCIPIENTS_HANDBOOK</t>
        </is>
      </c>
      <c r="O238" t="inlineStr">
        <is>
          <t>seed_curated</t>
        </is>
      </c>
      <c r="P238">
        <v>0.55</v>
      </c>
      <c r="Q238" t="inlineStr">
        <is>
          <t>PEG grade</t>
        </is>
      </c>
    </row>
    <row r="239">
      <c r="A239" t="inlineStr">
        <is>
          <t>POL_PVA</t>
        </is>
      </c>
      <c r="B239" t="inlineStr">
        <is>
          <t>PVA</t>
        </is>
      </c>
      <c r="C239"/>
      <c r="D239" t="inlineStr">
        <is>
          <t>Polymer</t>
        </is>
      </c>
      <c r="E239" t="inlineStr">
        <is>
          <t>Polymer</t>
        </is>
      </c>
      <c r="F239" t="inlineStr">
        <is>
          <t>hydrophilic polymer</t>
        </is>
      </c>
      <c r="G239"/>
      <c r="H239"/>
      <c r="I239"/>
      <c r="J239"/>
      <c r="K239"/>
      <c r="L239" t="inlineStr">
        <is>
          <t>polymeric nanoparticles, hybrid coating, stabilizer, mucoadhesive systems</t>
        </is>
      </c>
      <c r="M239" t="inlineStr">
        <is>
          <t>Use pharmacopeial/GMP grade where available; polymer MW and residuals are critical.</t>
        </is>
      </c>
      <c r="N239" t="inlineStr">
        <is>
          <t>S007_EXCIPIENTS_HANDBOOK</t>
        </is>
      </c>
      <c r="O239" t="inlineStr">
        <is>
          <t>seed_curated</t>
        </is>
      </c>
      <c r="P239">
        <v>0.55</v>
      </c>
      <c r="Q239" t="inlineStr">
        <is>
          <t>degree of hydrolysis critical</t>
        </is>
      </c>
    </row>
    <row r="240">
      <c r="A240" t="inlineStr">
        <is>
          <t>POL_PVP_K30</t>
        </is>
      </c>
      <c r="B240" t="inlineStr">
        <is>
          <t>PVP K30</t>
        </is>
      </c>
      <c r="C240"/>
      <c r="D240" t="inlineStr">
        <is>
          <t>Polymer</t>
        </is>
      </c>
      <c r="E240" t="inlineStr">
        <is>
          <t>Polymer</t>
        </is>
      </c>
      <c r="F240" t="inlineStr">
        <is>
          <t>hydrophilic polymer</t>
        </is>
      </c>
      <c r="G240"/>
      <c r="H240"/>
      <c r="I240"/>
      <c r="J240"/>
      <c r="K240"/>
      <c r="L240" t="inlineStr">
        <is>
          <t>polymeric nanoparticles, hybrid coating, stabilizer, mucoadhesive systems</t>
        </is>
      </c>
      <c r="M240" t="inlineStr">
        <is>
          <t>Use pharmacopeial/GMP grade where available; polymer MW and residuals are critical.</t>
        </is>
      </c>
      <c r="N240" t="inlineStr">
        <is>
          <t>S007_EXCIPIENTS_HANDBOOK</t>
        </is>
      </c>
      <c r="O240" t="inlineStr">
        <is>
          <t>seed_curated</t>
        </is>
      </c>
      <c r="P240">
        <v>0.55</v>
      </c>
      <c r="Q240" t="inlineStr">
        <is>
          <t>K value grade-dependent</t>
        </is>
      </c>
    </row>
    <row r="241">
      <c r="A241" t="inlineStr">
        <is>
          <t>POL_PVP_K90</t>
        </is>
      </c>
      <c r="B241" t="inlineStr">
        <is>
          <t>PVP K90</t>
        </is>
      </c>
      <c r="C241"/>
      <c r="D241" t="inlineStr">
        <is>
          <t>Polymer</t>
        </is>
      </c>
      <c r="E241" t="inlineStr">
        <is>
          <t>Polymer</t>
        </is>
      </c>
      <c r="F241" t="inlineStr">
        <is>
          <t>hydrophilic polymer</t>
        </is>
      </c>
      <c r="G241"/>
      <c r="H241"/>
      <c r="I241"/>
      <c r="J241"/>
      <c r="K241"/>
      <c r="L241" t="inlineStr">
        <is>
          <t>polymeric nanoparticles, hybrid coating, stabilizer, mucoadhesive systems</t>
        </is>
      </c>
      <c r="M241" t="inlineStr">
        <is>
          <t>Use pharmacopeial/GMP grade where available; polymer MW and residuals are critical.</t>
        </is>
      </c>
      <c r="N241" t="inlineStr">
        <is>
          <t>S007_EXCIPIENTS_HANDBOOK</t>
        </is>
      </c>
      <c r="O241" t="inlineStr">
        <is>
          <t>seed_curated</t>
        </is>
      </c>
      <c r="P241">
        <v>0.55</v>
      </c>
      <c r="Q241" t="inlineStr">
        <is>
          <t>K value grade-dependent</t>
        </is>
      </c>
    </row>
    <row r="242">
      <c r="A242" t="inlineStr">
        <is>
          <t>POL_HPMC</t>
        </is>
      </c>
      <c r="B242" t="inlineStr">
        <is>
          <t>HPMC</t>
        </is>
      </c>
      <c r="C242"/>
      <c r="D242" t="inlineStr">
        <is>
          <t>Polymer</t>
        </is>
      </c>
      <c r="E242" t="inlineStr">
        <is>
          <t>Polymer</t>
        </is>
      </c>
      <c r="F242" t="inlineStr">
        <is>
          <t>cellulose ether</t>
        </is>
      </c>
      <c r="G242"/>
      <c r="H242"/>
      <c r="I242"/>
      <c r="J242"/>
      <c r="K242"/>
      <c r="L242" t="inlineStr">
        <is>
          <t>polymeric nanoparticles, hybrid coating, stabilizer, mucoadhesive systems</t>
        </is>
      </c>
      <c r="M242" t="inlineStr">
        <is>
          <t>Use pharmacopeial/GMP grade where available; polymer MW and residuals are critical.</t>
        </is>
      </c>
      <c r="N242" t="inlineStr">
        <is>
          <t>S007_EXCIPIENTS_HANDBOOK</t>
        </is>
      </c>
      <c r="O242" t="inlineStr">
        <is>
          <t>seed_curated</t>
        </is>
      </c>
      <c r="P242">
        <v>0.55</v>
      </c>
      <c r="Q242" t="inlineStr">
        <is>
          <t>substitution/viscosity grade critical</t>
        </is>
      </c>
    </row>
    <row r="243">
      <c r="A243" t="inlineStr">
        <is>
          <t>POL_HPC</t>
        </is>
      </c>
      <c r="B243" t="inlineStr">
        <is>
          <t>HPC</t>
        </is>
      </c>
      <c r="C243"/>
      <c r="D243" t="inlineStr">
        <is>
          <t>Polymer</t>
        </is>
      </c>
      <c r="E243" t="inlineStr">
        <is>
          <t>Polymer</t>
        </is>
      </c>
      <c r="F243" t="inlineStr">
        <is>
          <t>cellulose ether</t>
        </is>
      </c>
      <c r="G243"/>
      <c r="H243"/>
      <c r="I243"/>
      <c r="J243"/>
      <c r="K243"/>
      <c r="L243" t="inlineStr">
        <is>
          <t>polymeric nanoparticles, hybrid coating, stabilizer, mucoadhesive systems</t>
        </is>
      </c>
      <c r="M243" t="inlineStr">
        <is>
          <t>Use pharmacopeial/GMP grade where available; polymer MW and residuals are critical.</t>
        </is>
      </c>
      <c r="N243" t="inlineStr">
        <is>
          <t>S007_EXCIPIENTS_HANDBOOK</t>
        </is>
      </c>
      <c r="O243" t="inlineStr">
        <is>
          <t>seed_curated</t>
        </is>
      </c>
      <c r="P243">
        <v>0.55</v>
      </c>
      <c r="Q243"/>
    </row>
    <row r="244">
      <c r="A244" t="inlineStr">
        <is>
          <t>POL_CMC</t>
        </is>
      </c>
      <c r="B244" t="inlineStr">
        <is>
          <t>CMC</t>
        </is>
      </c>
      <c r="C244"/>
      <c r="D244" t="inlineStr">
        <is>
          <t>Polymer</t>
        </is>
      </c>
      <c r="E244" t="inlineStr">
        <is>
          <t>Polymer</t>
        </is>
      </c>
      <c r="F244" t="inlineStr">
        <is>
          <t>cellulose derivative</t>
        </is>
      </c>
      <c r="G244"/>
      <c r="H244"/>
      <c r="I244"/>
      <c r="J244"/>
      <c r="K244"/>
      <c r="L244" t="inlineStr">
        <is>
          <t>polymeric nanoparticles, hybrid coating, stabilizer, mucoadhesive systems</t>
        </is>
      </c>
      <c r="M244" t="inlineStr">
        <is>
          <t>Use pharmacopeial/GMP grade where available; polymer MW and residuals are critical.</t>
        </is>
      </c>
      <c r="N244" t="inlineStr">
        <is>
          <t>S007_EXCIPIENTS_HANDBOOK</t>
        </is>
      </c>
      <c r="O244" t="inlineStr">
        <is>
          <t>seed_curated</t>
        </is>
      </c>
      <c r="P244">
        <v>0.55</v>
      </c>
      <c r="Q244"/>
    </row>
    <row r="245">
      <c r="A245" t="inlineStr">
        <is>
          <t>POL_SODIUM_CMC</t>
        </is>
      </c>
      <c r="B245" t="inlineStr">
        <is>
          <t>Sodium CMC</t>
        </is>
      </c>
      <c r="C245"/>
      <c r="D245" t="inlineStr">
        <is>
          <t>Polymer</t>
        </is>
      </c>
      <c r="E245" t="inlineStr">
        <is>
          <t>Polymer</t>
        </is>
      </c>
      <c r="F245" t="inlineStr">
        <is>
          <t>cellulose derivative</t>
        </is>
      </c>
      <c r="G245"/>
      <c r="H245"/>
      <c r="I245"/>
      <c r="J245"/>
      <c r="K245"/>
      <c r="L245" t="inlineStr">
        <is>
          <t>polymeric nanoparticles, hybrid coating, stabilizer, mucoadhesive systems</t>
        </is>
      </c>
      <c r="M245" t="inlineStr">
        <is>
          <t>Use pharmacopeial/GMP grade where available; polymer MW and residuals are critical.</t>
        </is>
      </c>
      <c r="N245" t="inlineStr">
        <is>
          <t>S007_EXCIPIENTS_HANDBOOK</t>
        </is>
      </c>
      <c r="O245" t="inlineStr">
        <is>
          <t>seed_curated</t>
        </is>
      </c>
      <c r="P245">
        <v>0.55</v>
      </c>
      <c r="Q245"/>
    </row>
    <row r="246">
      <c r="A246" t="inlineStr">
        <is>
          <t>POL_CHITOSAN_LOW_MW</t>
        </is>
      </c>
      <c r="B246" t="inlineStr">
        <is>
          <t>Chitosan low MW</t>
        </is>
      </c>
      <c r="C246"/>
      <c r="D246" t="inlineStr">
        <is>
          <t>Polymer</t>
        </is>
      </c>
      <c r="E246" t="inlineStr">
        <is>
          <t>Polymer</t>
        </is>
      </c>
      <c r="F246" t="inlineStr">
        <is>
          <t>cationic mucoadhesive polysaccharide</t>
        </is>
      </c>
      <c r="G246"/>
      <c r="H246"/>
      <c r="I246"/>
      <c r="J246"/>
      <c r="K246"/>
      <c r="L246" t="inlineStr">
        <is>
          <t>polymeric nanoparticles, hybrid coating, stabilizer, mucoadhesive systems</t>
        </is>
      </c>
      <c r="M246" t="inlineStr">
        <is>
          <t>Use pharmacopeial/GMP grade where available; polymer MW and residuals are critical.</t>
        </is>
      </c>
      <c r="N246" t="inlineStr">
        <is>
          <t>S007_EXCIPIENTS_HANDBOOK</t>
        </is>
      </c>
      <c r="O246" t="inlineStr">
        <is>
          <t>seed_curated</t>
        </is>
      </c>
      <c r="P246">
        <v>0.55</v>
      </c>
      <c r="Q246" t="inlineStr">
        <is>
          <t>MW/DD critical</t>
        </is>
      </c>
    </row>
    <row r="247">
      <c r="A247" t="inlineStr">
        <is>
          <t>POL_CHITOSAN_MEDIUM_MW</t>
        </is>
      </c>
      <c r="B247" t="inlineStr">
        <is>
          <t>Chitosan medium MW</t>
        </is>
      </c>
      <c r="C247"/>
      <c r="D247" t="inlineStr">
        <is>
          <t>Polymer</t>
        </is>
      </c>
      <c r="E247" t="inlineStr">
        <is>
          <t>Polymer</t>
        </is>
      </c>
      <c r="F247" t="inlineStr">
        <is>
          <t>cationic mucoadhesive polysaccharide</t>
        </is>
      </c>
      <c r="G247"/>
      <c r="H247"/>
      <c r="I247"/>
      <c r="J247"/>
      <c r="K247"/>
      <c r="L247" t="inlineStr">
        <is>
          <t>polymeric nanoparticles, hybrid coating, stabilizer, mucoadhesive systems</t>
        </is>
      </c>
      <c r="M247" t="inlineStr">
        <is>
          <t>Use pharmacopeial/GMP grade where available; polymer MW and residuals are critical.</t>
        </is>
      </c>
      <c r="N247" t="inlineStr">
        <is>
          <t>S007_EXCIPIENTS_HANDBOOK</t>
        </is>
      </c>
      <c r="O247" t="inlineStr">
        <is>
          <t>seed_curated</t>
        </is>
      </c>
      <c r="P247">
        <v>0.55</v>
      </c>
      <c r="Q247" t="inlineStr">
        <is>
          <t>MW/DD critical</t>
        </is>
      </c>
    </row>
    <row r="248">
      <c r="A248" t="inlineStr">
        <is>
          <t>POL_CHITOSAN_HIGH_MW</t>
        </is>
      </c>
      <c r="B248" t="inlineStr">
        <is>
          <t>Chitosan high MW</t>
        </is>
      </c>
      <c r="C248"/>
      <c r="D248" t="inlineStr">
        <is>
          <t>Polymer</t>
        </is>
      </c>
      <c r="E248" t="inlineStr">
        <is>
          <t>Polymer</t>
        </is>
      </c>
      <c r="F248" t="inlineStr">
        <is>
          <t>cationic mucoadhesive polysaccharide</t>
        </is>
      </c>
      <c r="G248"/>
      <c r="H248"/>
      <c r="I248"/>
      <c r="J248"/>
      <c r="K248"/>
      <c r="L248" t="inlineStr">
        <is>
          <t>polymeric nanoparticles, hybrid coating, stabilizer, mucoadhesive systems</t>
        </is>
      </c>
      <c r="M248" t="inlineStr">
        <is>
          <t>Use pharmacopeial/GMP grade where available; polymer MW and residuals are critical.</t>
        </is>
      </c>
      <c r="N248" t="inlineStr">
        <is>
          <t>S007_EXCIPIENTS_HANDBOOK</t>
        </is>
      </c>
      <c r="O248" t="inlineStr">
        <is>
          <t>seed_curated</t>
        </is>
      </c>
      <c r="P248">
        <v>0.55</v>
      </c>
      <c r="Q248" t="inlineStr">
        <is>
          <t>MW/DD critical</t>
        </is>
      </c>
    </row>
    <row r="249">
      <c r="A249" t="inlineStr">
        <is>
          <t>POL_TRIMETHYL_CHITOSAN</t>
        </is>
      </c>
      <c r="B249" t="inlineStr">
        <is>
          <t>Trimethyl chitosan</t>
        </is>
      </c>
      <c r="C249"/>
      <c r="D249" t="inlineStr">
        <is>
          <t>Polymer</t>
        </is>
      </c>
      <c r="E249" t="inlineStr">
        <is>
          <t>Polymer</t>
        </is>
      </c>
      <c r="F249" t="inlineStr">
        <is>
          <t>cationic mucoadhesive polysaccharide</t>
        </is>
      </c>
      <c r="G249"/>
      <c r="H249"/>
      <c r="I249"/>
      <c r="J249"/>
      <c r="K249"/>
      <c r="L249" t="inlineStr">
        <is>
          <t>polymeric nanoparticles, hybrid coating, stabilizer, mucoadhesive systems</t>
        </is>
      </c>
      <c r="M249" t="inlineStr">
        <is>
          <t>Use pharmacopeial/GMP grade where available; polymer MW and residuals are critical.</t>
        </is>
      </c>
      <c r="N249" t="inlineStr">
        <is>
          <t>S007_EXCIPIENTS_HANDBOOK</t>
        </is>
      </c>
      <c r="O249" t="inlineStr">
        <is>
          <t>seed_curated</t>
        </is>
      </c>
      <c r="P249">
        <v>0.55</v>
      </c>
      <c r="Q249" t="inlineStr">
        <is>
          <t>quaternized chitosan</t>
        </is>
      </c>
    </row>
    <row r="250">
      <c r="A250" t="inlineStr">
        <is>
          <t>POL_PEI_LOW_MW</t>
        </is>
      </c>
      <c r="B250" t="inlineStr">
        <is>
          <t>PEI low MW</t>
        </is>
      </c>
      <c r="C250"/>
      <c r="D250" t="inlineStr">
        <is>
          <t>Polymer</t>
        </is>
      </c>
      <c r="E250" t="inlineStr">
        <is>
          <t>Polymer</t>
        </is>
      </c>
      <c r="F250" t="inlineStr">
        <is>
          <t>cationic polymer</t>
        </is>
      </c>
      <c r="G250"/>
      <c r="H250"/>
      <c r="I250"/>
      <c r="J250"/>
      <c r="K250"/>
      <c r="L250" t="inlineStr">
        <is>
          <t>polymeric nanoparticles, hybrid coating, stabilizer, mucoadhesive systems</t>
        </is>
      </c>
      <c r="M250" t="inlineStr">
        <is>
          <t>Use pharmacopeial/GMP grade where available; polymer MW and residuals are critical.</t>
        </is>
      </c>
      <c r="N250" t="inlineStr">
        <is>
          <t>S007_EXCIPIENTS_HANDBOOK</t>
        </is>
      </c>
      <c r="O250" t="inlineStr">
        <is>
          <t>seed_curated</t>
        </is>
      </c>
      <c r="P250">
        <v>0.55</v>
      </c>
      <c r="Q250" t="inlineStr">
        <is>
          <t>polyethylenimine</t>
        </is>
      </c>
    </row>
    <row r="251">
      <c r="A251" t="inlineStr">
        <is>
          <t>POL_PEI_HIGH_MW</t>
        </is>
      </c>
      <c r="B251" t="inlineStr">
        <is>
          <t>PEI high MW</t>
        </is>
      </c>
      <c r="C251"/>
      <c r="D251" t="inlineStr">
        <is>
          <t>Polymer</t>
        </is>
      </c>
      <c r="E251" t="inlineStr">
        <is>
          <t>Polymer</t>
        </is>
      </c>
      <c r="F251" t="inlineStr">
        <is>
          <t>cationic polymer</t>
        </is>
      </c>
      <c r="G251"/>
      <c r="H251"/>
      <c r="I251"/>
      <c r="J251"/>
      <c r="K251"/>
      <c r="L251" t="inlineStr">
        <is>
          <t>polymeric nanoparticles, hybrid coating, stabilizer, mucoadhesive systems</t>
        </is>
      </c>
      <c r="M251" t="inlineStr">
        <is>
          <t>Use pharmacopeial/GMP grade where available; polymer MW and residuals are critical.</t>
        </is>
      </c>
      <c r="N251" t="inlineStr">
        <is>
          <t>S007_EXCIPIENTS_HANDBOOK</t>
        </is>
      </c>
      <c r="O251" t="inlineStr">
        <is>
          <t>seed_curated</t>
        </is>
      </c>
      <c r="P251">
        <v>0.55</v>
      </c>
      <c r="Q251" t="inlineStr">
        <is>
          <t>polyethylenimine</t>
        </is>
      </c>
    </row>
    <row r="252">
      <c r="A252" t="inlineStr">
        <is>
          <t>POL_HYALURONIC_ACID</t>
        </is>
      </c>
      <c r="B252" t="inlineStr">
        <is>
          <t>Hyaluronic acid</t>
        </is>
      </c>
      <c r="C252"/>
      <c r="D252" t="inlineStr">
        <is>
          <t>Polymer</t>
        </is>
      </c>
      <c r="E252" t="inlineStr">
        <is>
          <t>Polymer</t>
        </is>
      </c>
      <c r="F252" t="inlineStr">
        <is>
          <t>anionic biopolymer</t>
        </is>
      </c>
      <c r="G252"/>
      <c r="H252"/>
      <c r="I252"/>
      <c r="J252"/>
      <c r="K252"/>
      <c r="L252" t="inlineStr">
        <is>
          <t>polymeric nanoparticles, hybrid coating, stabilizer, mucoadhesive systems</t>
        </is>
      </c>
      <c r="M252" t="inlineStr">
        <is>
          <t>Use pharmacopeial/GMP grade where available; polymer MW and residuals are critical.</t>
        </is>
      </c>
      <c r="N252" t="inlineStr">
        <is>
          <t>S007_EXCIPIENTS_HANDBOOK</t>
        </is>
      </c>
      <c r="O252" t="inlineStr">
        <is>
          <t>seed_curated</t>
        </is>
      </c>
      <c r="P252">
        <v>0.55</v>
      </c>
      <c r="Q252"/>
    </row>
    <row r="253">
      <c r="A253" t="inlineStr">
        <is>
          <t>POL_SODIUM_ALGINATE</t>
        </is>
      </c>
      <c r="B253" t="inlineStr">
        <is>
          <t>Sodium alginate</t>
        </is>
      </c>
      <c r="C253"/>
      <c r="D253" t="inlineStr">
        <is>
          <t>Polymer</t>
        </is>
      </c>
      <c r="E253" t="inlineStr">
        <is>
          <t>Polymer</t>
        </is>
      </c>
      <c r="F253" t="inlineStr">
        <is>
          <t>anionic biopolymer</t>
        </is>
      </c>
      <c r="G253"/>
      <c r="H253"/>
      <c r="I253"/>
      <c r="J253"/>
      <c r="K253"/>
      <c r="L253" t="inlineStr">
        <is>
          <t>polymeric nanoparticles, hybrid coating, stabilizer, mucoadhesive systems</t>
        </is>
      </c>
      <c r="M253" t="inlineStr">
        <is>
          <t>Use pharmacopeial/GMP grade where available; polymer MW and residuals are critical.</t>
        </is>
      </c>
      <c r="N253" t="inlineStr">
        <is>
          <t>S007_EXCIPIENTS_HANDBOOK</t>
        </is>
      </c>
      <c r="O253" t="inlineStr">
        <is>
          <t>seed_curated</t>
        </is>
      </c>
      <c r="P253">
        <v>0.55</v>
      </c>
      <c r="Q253"/>
    </row>
    <row r="254">
      <c r="A254" t="inlineStr">
        <is>
          <t>POL_DEXTRAN</t>
        </is>
      </c>
      <c r="B254" t="inlineStr">
        <is>
          <t>Dextran</t>
        </is>
      </c>
      <c r="C254"/>
      <c r="D254" t="inlineStr">
        <is>
          <t>Polymer</t>
        </is>
      </c>
      <c r="E254" t="inlineStr">
        <is>
          <t>Polymer</t>
        </is>
      </c>
      <c r="F254" t="inlineStr">
        <is>
          <t>neutral biopolymer</t>
        </is>
      </c>
      <c r="G254"/>
      <c r="H254"/>
      <c r="I254"/>
      <c r="J254"/>
      <c r="K254"/>
      <c r="L254" t="inlineStr">
        <is>
          <t>polymeric nanoparticles, hybrid coating, stabilizer, mucoadhesive systems</t>
        </is>
      </c>
      <c r="M254" t="inlineStr">
        <is>
          <t>Use pharmacopeial/GMP grade where available; polymer MW and residuals are critical.</t>
        </is>
      </c>
      <c r="N254" t="inlineStr">
        <is>
          <t>S007_EXCIPIENTS_HANDBOOK</t>
        </is>
      </c>
      <c r="O254" t="inlineStr">
        <is>
          <t>seed_curated</t>
        </is>
      </c>
      <c r="P254">
        <v>0.55</v>
      </c>
      <c r="Q254"/>
    </row>
    <row r="255">
      <c r="A255" t="inlineStr">
        <is>
          <t>POL_HEPARIN</t>
        </is>
      </c>
      <c r="B255" t="inlineStr">
        <is>
          <t>Heparin</t>
        </is>
      </c>
      <c r="C255"/>
      <c r="D255" t="inlineStr">
        <is>
          <t>Polymer</t>
        </is>
      </c>
      <c r="E255" t="inlineStr">
        <is>
          <t>Polymer</t>
        </is>
      </c>
      <c r="F255" t="inlineStr">
        <is>
          <t>anionic biopolymer</t>
        </is>
      </c>
      <c r="G255"/>
      <c r="H255"/>
      <c r="I255"/>
      <c r="J255"/>
      <c r="K255"/>
      <c r="L255" t="inlineStr">
        <is>
          <t>polymeric nanoparticles, hybrid coating, stabilizer, mucoadhesive systems</t>
        </is>
      </c>
      <c r="M255" t="inlineStr">
        <is>
          <t>Use pharmacopeial/GMP grade where available; polymer MW and residuals are critical.</t>
        </is>
      </c>
      <c r="N255" t="inlineStr">
        <is>
          <t>S007_EXCIPIENTS_HANDBOOK</t>
        </is>
      </c>
      <c r="O255" t="inlineStr">
        <is>
          <t>seed_curated</t>
        </is>
      </c>
      <c r="P255">
        <v>0.55</v>
      </c>
      <c r="Q255"/>
    </row>
    <row r="256">
      <c r="A256" t="inlineStr">
        <is>
          <t>POL_PECTIN</t>
        </is>
      </c>
      <c r="B256" t="inlineStr">
        <is>
          <t>Pectin</t>
        </is>
      </c>
      <c r="C256"/>
      <c r="D256" t="inlineStr">
        <is>
          <t>Polymer</t>
        </is>
      </c>
      <c r="E256" t="inlineStr">
        <is>
          <t>Polymer</t>
        </is>
      </c>
      <c r="F256" t="inlineStr">
        <is>
          <t>anionic biopolymer</t>
        </is>
      </c>
      <c r="G256"/>
      <c r="H256"/>
      <c r="I256"/>
      <c r="J256"/>
      <c r="K256"/>
      <c r="L256" t="inlineStr">
        <is>
          <t>polymeric nanoparticles, hybrid coating, stabilizer, mucoadhesive systems</t>
        </is>
      </c>
      <c r="M256" t="inlineStr">
        <is>
          <t>Use pharmacopeial/GMP grade where available; polymer MW and residuals are critical.</t>
        </is>
      </c>
      <c r="N256" t="inlineStr">
        <is>
          <t>S007_EXCIPIENTS_HANDBOOK</t>
        </is>
      </c>
      <c r="O256" t="inlineStr">
        <is>
          <t>seed_curated</t>
        </is>
      </c>
      <c r="P256">
        <v>0.55</v>
      </c>
      <c r="Q256"/>
    </row>
    <row r="257">
      <c r="A257" t="inlineStr">
        <is>
          <t>POL_EUDRAGIT_RS</t>
        </is>
      </c>
      <c r="B257" t="inlineStr">
        <is>
          <t>Eudragit RS</t>
        </is>
      </c>
      <c r="C257"/>
      <c r="D257" t="inlineStr">
        <is>
          <t>Polymer</t>
        </is>
      </c>
      <c r="E257" t="inlineStr">
        <is>
          <t>Polymer</t>
        </is>
      </c>
      <c r="F257" t="inlineStr">
        <is>
          <t>acrylate copolymer</t>
        </is>
      </c>
      <c r="G257"/>
      <c r="H257"/>
      <c r="I257"/>
      <c r="J257"/>
      <c r="K257"/>
      <c r="L257" t="inlineStr">
        <is>
          <t>polymeric nanoparticles, hybrid coating, stabilizer, mucoadhesive systems</t>
        </is>
      </c>
      <c r="M257" t="inlineStr">
        <is>
          <t>Use pharmacopeial/GMP grade where available; polymer MW and residuals are critical.</t>
        </is>
      </c>
      <c r="N257" t="inlineStr">
        <is>
          <t>S007_EXCIPIENTS_HANDBOOK</t>
        </is>
      </c>
      <c r="O257" t="inlineStr">
        <is>
          <t>seed_curated</t>
        </is>
      </c>
      <c r="P257">
        <v>0.55</v>
      </c>
      <c r="Q257" t="inlineStr">
        <is>
          <t>permeable sustained-release</t>
        </is>
      </c>
    </row>
    <row r="258">
      <c r="A258" t="inlineStr">
        <is>
          <t>POL_EUDRAGIT_RL</t>
        </is>
      </c>
      <c r="B258" t="inlineStr">
        <is>
          <t>Eudragit RL</t>
        </is>
      </c>
      <c r="C258"/>
      <c r="D258" t="inlineStr">
        <is>
          <t>Polymer</t>
        </is>
      </c>
      <c r="E258" t="inlineStr">
        <is>
          <t>Polymer</t>
        </is>
      </c>
      <c r="F258" t="inlineStr">
        <is>
          <t>acrylate copolymer</t>
        </is>
      </c>
      <c r="G258"/>
      <c r="H258"/>
      <c r="I258"/>
      <c r="J258"/>
      <c r="K258"/>
      <c r="L258" t="inlineStr">
        <is>
          <t>polymeric nanoparticles, hybrid coating, stabilizer, mucoadhesive systems</t>
        </is>
      </c>
      <c r="M258" t="inlineStr">
        <is>
          <t>Use pharmacopeial/GMP grade where available; polymer MW and residuals are critical.</t>
        </is>
      </c>
      <c r="N258" t="inlineStr">
        <is>
          <t>S007_EXCIPIENTS_HANDBOOK</t>
        </is>
      </c>
      <c r="O258" t="inlineStr">
        <is>
          <t>seed_curated</t>
        </is>
      </c>
      <c r="P258">
        <v>0.55</v>
      </c>
      <c r="Q258" t="inlineStr">
        <is>
          <t>more permeable than RS</t>
        </is>
      </c>
    </row>
    <row r="259">
      <c r="A259" t="inlineStr">
        <is>
          <t>POL_EUDRAGIT_L100</t>
        </is>
      </c>
      <c r="B259" t="inlineStr">
        <is>
          <t>Eudragit L100</t>
        </is>
      </c>
      <c r="C259"/>
      <c r="D259" t="inlineStr">
        <is>
          <t>Polymer</t>
        </is>
      </c>
      <c r="E259" t="inlineStr">
        <is>
          <t>Polymer</t>
        </is>
      </c>
      <c r="F259" t="inlineStr">
        <is>
          <t>anionic acrylate copolymer</t>
        </is>
      </c>
      <c r="G259"/>
      <c r="H259"/>
      <c r="I259"/>
      <c r="J259"/>
      <c r="K259"/>
      <c r="L259" t="inlineStr">
        <is>
          <t>polymeric nanoparticles, hybrid coating, stabilizer, mucoadhesive systems</t>
        </is>
      </c>
      <c r="M259" t="inlineStr">
        <is>
          <t>Use pharmacopeial/GMP grade where available; polymer MW and residuals are critical.</t>
        </is>
      </c>
      <c r="N259" t="inlineStr">
        <is>
          <t>S007_EXCIPIENTS_HANDBOOK</t>
        </is>
      </c>
      <c r="O259" t="inlineStr">
        <is>
          <t>seed_curated</t>
        </is>
      </c>
      <c r="P259">
        <v>0.55</v>
      </c>
      <c r="Q259" t="inlineStr">
        <is>
          <t>enteric polymer</t>
        </is>
      </c>
    </row>
    <row r="260">
      <c r="A260" t="inlineStr">
        <is>
          <t>POL_EUDRAGIT_S100</t>
        </is>
      </c>
      <c r="B260" t="inlineStr">
        <is>
          <t>Eudragit S100</t>
        </is>
      </c>
      <c r="C260"/>
      <c r="D260" t="inlineStr">
        <is>
          <t>Polymer</t>
        </is>
      </c>
      <c r="E260" t="inlineStr">
        <is>
          <t>Polymer</t>
        </is>
      </c>
      <c r="F260" t="inlineStr">
        <is>
          <t>anionic acrylate copolymer</t>
        </is>
      </c>
      <c r="G260"/>
      <c r="H260"/>
      <c r="I260"/>
      <c r="J260"/>
      <c r="K260"/>
      <c r="L260" t="inlineStr">
        <is>
          <t>polymeric nanoparticles, hybrid coating, stabilizer, mucoadhesive systems</t>
        </is>
      </c>
      <c r="M260" t="inlineStr">
        <is>
          <t>Use pharmacopeial/GMP grade where available; polymer MW and residuals are critical.</t>
        </is>
      </c>
      <c r="N260" t="inlineStr">
        <is>
          <t>S007_EXCIPIENTS_HANDBOOK</t>
        </is>
      </c>
      <c r="O260" t="inlineStr">
        <is>
          <t>seed_curated</t>
        </is>
      </c>
      <c r="P260">
        <v>0.55</v>
      </c>
      <c r="Q260" t="inlineStr">
        <is>
          <t>colon-targeting enteric polymer</t>
        </is>
      </c>
    </row>
    <row r="261">
      <c r="A261" t="inlineStr">
        <is>
          <t>POL_EUDRAGIT_E_PO</t>
        </is>
      </c>
      <c r="B261" t="inlineStr">
        <is>
          <t>Eudragit E PO</t>
        </is>
      </c>
      <c r="C261"/>
      <c r="D261" t="inlineStr">
        <is>
          <t>Polymer</t>
        </is>
      </c>
      <c r="E261" t="inlineStr">
        <is>
          <t>Polymer</t>
        </is>
      </c>
      <c r="F261" t="inlineStr">
        <is>
          <t>cationic acrylate copolymer</t>
        </is>
      </c>
      <c r="G261"/>
      <c r="H261"/>
      <c r="I261"/>
      <c r="J261"/>
      <c r="K261"/>
      <c r="L261" t="inlineStr">
        <is>
          <t>polymeric nanoparticles, hybrid coating, stabilizer, mucoadhesive systems</t>
        </is>
      </c>
      <c r="M261" t="inlineStr">
        <is>
          <t>Use pharmacopeial/GMP grade where available; polymer MW and residuals are critical.</t>
        </is>
      </c>
      <c r="N261" t="inlineStr">
        <is>
          <t>S007_EXCIPIENTS_HANDBOOK</t>
        </is>
      </c>
      <c r="O261" t="inlineStr">
        <is>
          <t>seed_curated</t>
        </is>
      </c>
      <c r="P261">
        <v>0.55</v>
      </c>
      <c r="Q261" t="inlineStr">
        <is>
          <t>soluble below pH ~5</t>
        </is>
      </c>
    </row>
    <row r="262">
      <c r="A262" t="inlineStr">
        <is>
          <t>POL_GELATIN</t>
        </is>
      </c>
      <c r="B262" t="inlineStr">
        <is>
          <t>Gelatin</t>
        </is>
      </c>
      <c r="C262"/>
      <c r="D262" t="inlineStr">
        <is>
          <t>Polymer</t>
        </is>
      </c>
      <c r="E262" t="inlineStr">
        <is>
          <t>Polymer</t>
        </is>
      </c>
      <c r="F262" t="inlineStr">
        <is>
          <t>protein/natural polymer</t>
        </is>
      </c>
      <c r="G262"/>
      <c r="H262"/>
      <c r="I262"/>
      <c r="J262"/>
      <c r="K262"/>
      <c r="L262" t="inlineStr">
        <is>
          <t>polymeric nanoparticles, hybrid coating, stabilizer, mucoadhesive systems</t>
        </is>
      </c>
      <c r="M262" t="inlineStr">
        <is>
          <t>Use pharmacopeial/GMP grade where available; polymer MW and residuals are critical.</t>
        </is>
      </c>
      <c r="N262" t="inlineStr">
        <is>
          <t>S007_EXCIPIENTS_HANDBOOK</t>
        </is>
      </c>
      <c r="O262" t="inlineStr">
        <is>
          <t>seed_curated</t>
        </is>
      </c>
      <c r="P262">
        <v>0.55</v>
      </c>
      <c r="Q262"/>
    </row>
    <row r="263">
      <c r="A263" t="inlineStr">
        <is>
          <t>POL_ALBUMIN_POLYMER_GRADE</t>
        </is>
      </c>
      <c r="B263" t="inlineStr">
        <is>
          <t>Albumin polymer grade</t>
        </is>
      </c>
      <c r="C263"/>
      <c r="D263" t="inlineStr">
        <is>
          <t>Polymer</t>
        </is>
      </c>
      <c r="E263" t="inlineStr">
        <is>
          <t>Polymer</t>
        </is>
      </c>
      <c r="F263" t="inlineStr">
        <is>
          <t>protein/natural polymer</t>
        </is>
      </c>
      <c r="G263"/>
      <c r="H263"/>
      <c r="I263"/>
      <c r="J263"/>
      <c r="K263"/>
      <c r="L263" t="inlineStr">
        <is>
          <t>polymeric nanoparticles, hybrid coating, stabilizer, mucoadhesive systems</t>
        </is>
      </c>
      <c r="M263" t="inlineStr">
        <is>
          <t>Use pharmacopeial/GMP grade where available; polymer MW and residuals are critical.</t>
        </is>
      </c>
      <c r="N263" t="inlineStr">
        <is>
          <t>S007_EXCIPIENTS_HANDBOOK</t>
        </is>
      </c>
      <c r="O263" t="inlineStr">
        <is>
          <t>seed_curated</t>
        </is>
      </c>
      <c r="P263">
        <v>0.55</v>
      </c>
      <c r="Q263"/>
    </row>
    <row r="264">
      <c r="A264" t="inlineStr">
        <is>
          <t>POL_CASEIN</t>
        </is>
      </c>
      <c r="B264" t="inlineStr">
        <is>
          <t>Casein</t>
        </is>
      </c>
      <c r="C264"/>
      <c r="D264" t="inlineStr">
        <is>
          <t>Polymer</t>
        </is>
      </c>
      <c r="E264" t="inlineStr">
        <is>
          <t>Polymer</t>
        </is>
      </c>
      <c r="F264" t="inlineStr">
        <is>
          <t>protein/natural polymer</t>
        </is>
      </c>
      <c r="G264"/>
      <c r="H264"/>
      <c r="I264"/>
      <c r="J264"/>
      <c r="K264"/>
      <c r="L264" t="inlineStr">
        <is>
          <t>polymeric nanoparticles, hybrid coating, stabilizer, mucoadhesive systems</t>
        </is>
      </c>
      <c r="M264" t="inlineStr">
        <is>
          <t>Use pharmacopeial/GMP grade where available; polymer MW and residuals are critical.</t>
        </is>
      </c>
      <c r="N264" t="inlineStr">
        <is>
          <t>S007_EXCIPIENTS_HANDBOOK</t>
        </is>
      </c>
      <c r="O264" t="inlineStr">
        <is>
          <t>seed_curated</t>
        </is>
      </c>
      <c r="P264">
        <v>0.55</v>
      </c>
      <c r="Q264"/>
    </row>
    <row r="265">
      <c r="A265" t="inlineStr">
        <is>
          <t>POL_ZEIN</t>
        </is>
      </c>
      <c r="B265" t="inlineStr">
        <is>
          <t>Zein</t>
        </is>
      </c>
      <c r="C265"/>
      <c r="D265" t="inlineStr">
        <is>
          <t>Polymer</t>
        </is>
      </c>
      <c r="E265" t="inlineStr">
        <is>
          <t>Polymer</t>
        </is>
      </c>
      <c r="F265" t="inlineStr">
        <is>
          <t>protein/natural polymer</t>
        </is>
      </c>
      <c r="G265"/>
      <c r="H265"/>
      <c r="I265"/>
      <c r="J265"/>
      <c r="K265"/>
      <c r="L265" t="inlineStr">
        <is>
          <t>polymeric nanoparticles, hybrid coating, stabilizer, mucoadhesive systems</t>
        </is>
      </c>
      <c r="M265" t="inlineStr">
        <is>
          <t>Use pharmacopeial/GMP grade where available; polymer MW and residuals are critical.</t>
        </is>
      </c>
      <c r="N265" t="inlineStr">
        <is>
          <t>S007_EXCIPIENTS_HANDBOOK</t>
        </is>
      </c>
      <c r="O265" t="inlineStr">
        <is>
          <t>seed_curated</t>
        </is>
      </c>
      <c r="P265">
        <v>0.55</v>
      </c>
      <c r="Q265"/>
    </row>
    <row r="266">
      <c r="A266" t="inlineStr">
        <is>
          <t>POL_PEG_400_POLYMER_GRADE</t>
        </is>
      </c>
      <c r="B266" t="inlineStr">
        <is>
          <t>PEG 400 polymer grade</t>
        </is>
      </c>
      <c r="C266"/>
      <c r="D266" t="inlineStr">
        <is>
          <t>Polymer</t>
        </is>
      </c>
      <c r="E266" t="inlineStr">
        <is>
          <t>Polymer</t>
        </is>
      </c>
      <c r="F266" t="inlineStr">
        <is>
          <t>hydrophilic polymer / co-solvent</t>
        </is>
      </c>
      <c r="G266"/>
      <c r="H266"/>
      <c r="I266"/>
      <c r="J266"/>
      <c r="K266"/>
      <c r="L266" t="inlineStr">
        <is>
          <t>polymeric nanoparticles, hybrid coating, stabilizer, mucoadhesive systems</t>
        </is>
      </c>
      <c r="M266" t="inlineStr">
        <is>
          <t>Use pharmacopeial/GMP grade where available; polymer MW and residuals are critical.</t>
        </is>
      </c>
      <c r="N266" t="inlineStr">
        <is>
          <t>S007_EXCIPIENTS_HANDBOOK</t>
        </is>
      </c>
      <c r="O266" t="inlineStr">
        <is>
          <t>seed_curated</t>
        </is>
      </c>
      <c r="P266">
        <v>0.55</v>
      </c>
      <c r="Q266" t="inlineStr">
        <is>
          <t>distinct polymer-role row; same chemistry as PEG 400 solvent material</t>
        </is>
      </c>
    </row>
  </sheetData>
  <autoFilter ref="A1:Q26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280"/>
  <sheetViews>
    <sheetView workbookViewId="0">
      <pane ySplit="1" topLeftCell="A2" activePane="bottomLeft" state="frozen"/>
    </sheetView>
  </sheetViews>
  <cols>
    <col min="1" max="1" width="22" customWidth="1"/>
    <col min="2" max="2" width="32" customWidth="1"/>
    <col min="3" max="3" width="20" customWidth="1"/>
    <col min="4" max="4" width="12" customWidth="1"/>
    <col min="7" max="7" width="28" customWidth="1"/>
    <col min="8" max="8" width="24" customWidth="1"/>
    <col min="9" max="9" width="18" customWidth="1"/>
    <col min="11" max="11" width="50" customWidth="1"/>
  </cols>
  <sheetData>
    <row r="1">
      <c r="A1" t="inlineStr" s="1">
        <is>
          <t>material_id</t>
        </is>
      </c>
      <c r="B1" t="inlineStr" s="1">
        <is>
          <t>property_name</t>
        </is>
      </c>
      <c r="C1" t="inlineStr" s="1">
        <is>
          <t>value</t>
        </is>
      </c>
      <c r="D1" t="inlineStr" s="1">
        <is>
          <t>unit</t>
        </is>
      </c>
      <c r="E1" t="inlineStr" s="1">
        <is>
          <t>temperature_C</t>
        </is>
      </c>
      <c r="F1" t="inlineStr" s="1">
        <is>
          <t>pH</t>
        </is>
      </c>
      <c r="G1" t="inlineStr" s="1">
        <is>
          <t>method</t>
        </is>
      </c>
      <c r="H1" t="inlineStr" s="1">
        <is>
          <t>source_id</t>
        </is>
      </c>
      <c r="I1" t="inlineStr" s="1">
        <is>
          <t>data_quality</t>
        </is>
      </c>
      <c r="J1" t="inlineStr" s="1">
        <is>
          <t>confidence_score</t>
        </is>
      </c>
      <c r="K1" t="inlineStr" s="1">
        <is>
          <t>notes</t>
        </is>
      </c>
    </row>
    <row r="2">
      <c r="A2" t="inlineStr">
        <is>
          <t>API_DEXAMETHASONE</t>
        </is>
      </c>
      <c r="B2" t="inlineStr">
        <is>
          <t>molecular_weight_g_mol</t>
        </is>
      </c>
      <c r="C2">
        <v>392.46</v>
      </c>
      <c r="D2" t="inlineStr">
        <is>
          <t>g/mol</t>
        </is>
      </c>
      <c r="E2"/>
      <c r="F2"/>
      <c r="G2" t="inlineStr">
        <is>
          <t>PubChem/handbook curation</t>
        </is>
      </c>
      <c r="H2" t="inlineStr">
        <is>
          <t>S001_PUBCHEM</t>
        </is>
      </c>
      <c r="I2" t="inlineStr">
        <is>
          <t>database-derived</t>
        </is>
      </c>
      <c r="J2">
        <v>0.88</v>
      </c>
      <c r="K2"/>
    </row>
    <row r="3">
      <c r="A3" t="inlineStr">
        <is>
          <t>API_DEXAMETHASONE</t>
        </is>
      </c>
      <c r="B3" t="inlineStr">
        <is>
          <t>molecular_formula</t>
        </is>
      </c>
      <c r="C3" t="inlineStr">
        <is>
          <t>C22H29FO5</t>
        </is>
      </c>
      <c r="D3"/>
      <c r="E3"/>
      <c r="F3"/>
      <c r="G3" t="inlineStr">
        <is>
          <t>PubChem/handbook curation</t>
        </is>
      </c>
      <c r="H3" t="inlineStr">
        <is>
          <t>S001_PUBCHEM</t>
        </is>
      </c>
      <c r="I3" t="inlineStr">
        <is>
          <t>database-derived</t>
        </is>
      </c>
      <c r="J3">
        <v>0.85</v>
      </c>
      <c r="K3"/>
    </row>
    <row r="4">
      <c r="A4" t="inlineStr">
        <is>
          <t>API_DEXAMETHASONE</t>
        </is>
      </c>
      <c r="B4" t="inlineStr">
        <is>
          <t>LogP</t>
        </is>
      </c>
      <c r="C4">
        <v>1.83</v>
      </c>
      <c r="D4"/>
      <c r="E4"/>
      <c r="F4"/>
      <c r="G4" t="inlineStr">
        <is>
          <t>computed/curated XLogP or literature consensus</t>
        </is>
      </c>
      <c r="H4" t="inlineStr">
        <is>
          <t>S001_PUBCHEM</t>
        </is>
      </c>
      <c r="I4" t="inlineStr">
        <is>
          <t>database-derived</t>
        </is>
      </c>
      <c r="J4">
        <v>0.72</v>
      </c>
      <c r="K4" t="inlineStr">
        <is>
          <t>Approximate; salt/tautomer state may alter.</t>
        </is>
      </c>
    </row>
    <row r="5">
      <c r="A5" t="inlineStr">
        <is>
          <t>API_DEXAMETHASONE</t>
        </is>
      </c>
      <c r="B5" t="inlineStr">
        <is>
          <t>formal_charge</t>
        </is>
      </c>
      <c r="C5">
        <v>0</v>
      </c>
      <c r="D5" t="inlineStr">
        <is>
          <t>e</t>
        </is>
      </c>
      <c r="E5"/>
      <c r="F5"/>
      <c r="G5" t="inlineStr">
        <is>
          <t>canonical neutral parent/salt-free structure</t>
        </is>
      </c>
      <c r="H5" t="inlineStr">
        <is>
          <t>S001_PUBCHEM</t>
        </is>
      </c>
      <c r="I5" t="inlineStr">
        <is>
          <t>database-derived</t>
        </is>
      </c>
      <c r="J5">
        <v>0.82</v>
      </c>
      <c r="K5" t="inlineStr">
        <is>
          <t>Use salt-specific material row for ionic salts.</t>
        </is>
      </c>
    </row>
    <row r="6">
      <c r="A6" t="inlineStr">
        <is>
          <t>API_DEXAMETHASONE</t>
        </is>
      </c>
      <c r="B6" t="inlineStr">
        <is>
          <t>water_solubility_mg_ml</t>
        </is>
      </c>
      <c r="C6">
        <v>0.1</v>
      </c>
      <c r="D6" t="inlineStr">
        <is>
          <t>mg/mL</t>
        </is>
      </c>
      <c r="E6"/>
      <c r="F6"/>
      <c r="G6" t="inlineStr">
        <is>
          <t>literature/aqueous solubility range approximated</t>
        </is>
      </c>
      <c r="H6" t="inlineStr">
        <is>
          <t>S001_PUBCHEM</t>
        </is>
      </c>
      <c r="I6" t="inlineStr">
        <is>
          <t>estimated</t>
        </is>
      </c>
      <c r="J6">
        <v>0.45</v>
      </c>
      <c r="K6" t="inlineStr">
        <is>
          <t>Highly pH- and salt-form-dependent.</t>
        </is>
      </c>
    </row>
    <row r="7">
      <c r="A7" t="inlineStr">
        <is>
          <t>API_DEXAMETHASONE</t>
        </is>
      </c>
      <c r="B7" t="inlineStr">
        <is>
          <t>melting_point_C</t>
        </is>
      </c>
      <c r="C7">
        <v>262</v>
      </c>
      <c r="D7" t="inlineStr">
        <is>
          <t>°C</t>
        </is>
      </c>
      <c r="E7"/>
      <c r="F7"/>
      <c r="G7" t="inlineStr">
        <is>
          <t>literature/supplier melting range</t>
        </is>
      </c>
      <c r="H7" t="inlineStr">
        <is>
          <t>S001_PUBCHEM</t>
        </is>
      </c>
      <c r="I7" t="inlineStr">
        <is>
          <t>handbook</t>
        </is>
      </c>
      <c r="J7">
        <v>0.65</v>
      </c>
      <c r="K7" t="inlineStr">
        <is>
          <t>Use polymorph-specific data when available.</t>
        </is>
      </c>
    </row>
    <row r="8">
      <c r="A8" t="inlineStr">
        <is>
          <t>API_DEXAMETHASONE</t>
        </is>
      </c>
      <c r="B8" t="inlineStr">
        <is>
          <t>TPSA</t>
        </is>
      </c>
      <c r="C8">
        <v>94.8</v>
      </c>
      <c r="D8" t="inlineStr">
        <is>
          <t>Å²</t>
        </is>
      </c>
      <c r="E8"/>
      <c r="F8"/>
      <c r="G8" t="inlineStr">
        <is>
          <t>computed descriptor</t>
        </is>
      </c>
      <c r="H8" t="inlineStr">
        <is>
          <t>S001_PUBCHEM</t>
        </is>
      </c>
      <c r="I8" t="inlineStr">
        <is>
          <t>database-derived</t>
        </is>
      </c>
      <c r="J8">
        <v>0.82</v>
      </c>
      <c r="K8"/>
    </row>
    <row r="9">
      <c r="A9" t="inlineStr">
        <is>
          <t>API_DEXAMETHASONE</t>
        </is>
      </c>
      <c r="B9" t="inlineStr">
        <is>
          <t>HBD</t>
        </is>
      </c>
      <c r="C9">
        <v>3</v>
      </c>
      <c r="D9" t="inlineStr">
        <is>
          <t>count</t>
        </is>
      </c>
      <c r="E9"/>
      <c r="F9"/>
      <c r="G9" t="inlineStr">
        <is>
          <t>computed descriptor</t>
        </is>
      </c>
      <c r="H9" t="inlineStr">
        <is>
          <t>S001_PUBCHEM</t>
        </is>
      </c>
      <c r="I9" t="inlineStr">
        <is>
          <t>database-derived</t>
        </is>
      </c>
      <c r="J9">
        <v>0.82</v>
      </c>
      <c r="K9"/>
    </row>
    <row r="10">
      <c r="A10" t="inlineStr">
        <is>
          <t>API_DEXAMETHASONE</t>
        </is>
      </c>
      <c r="B10" t="inlineStr">
        <is>
          <t>HBA</t>
        </is>
      </c>
      <c r="C10">
        <v>6</v>
      </c>
      <c r="D10" t="inlineStr">
        <is>
          <t>count</t>
        </is>
      </c>
      <c r="E10"/>
      <c r="F10"/>
      <c r="G10" t="inlineStr">
        <is>
          <t>computed descriptor</t>
        </is>
      </c>
      <c r="H10" t="inlineStr">
        <is>
          <t>S001_PUBCHEM</t>
        </is>
      </c>
      <c r="I10" t="inlineStr">
        <is>
          <t>database-derived</t>
        </is>
      </c>
      <c r="J10">
        <v>0.82</v>
      </c>
      <c r="K10"/>
    </row>
    <row r="11">
      <c r="A11" t="inlineStr">
        <is>
          <t>API_DEXAMETHASONE</t>
        </is>
      </c>
      <c r="B11" t="inlineStr">
        <is>
          <t>rotatable_bonds</t>
        </is>
      </c>
      <c r="C11">
        <v>2</v>
      </c>
      <c r="D11" t="inlineStr">
        <is>
          <t>count</t>
        </is>
      </c>
      <c r="E11"/>
      <c r="F11"/>
      <c r="G11" t="inlineStr">
        <is>
          <t>computed descriptor</t>
        </is>
      </c>
      <c r="H11" t="inlineStr">
        <is>
          <t>S001_PUBCHEM</t>
        </is>
      </c>
      <c r="I11" t="inlineStr">
        <is>
          <t>database-derived</t>
        </is>
      </c>
      <c r="J11">
        <v>0.82</v>
      </c>
      <c r="K11"/>
    </row>
    <row r="12">
      <c r="A12" t="inlineStr">
        <is>
          <t>API_DEXAMETHASONE</t>
        </is>
      </c>
      <c r="B12" t="inlineStr">
        <is>
          <t>aromatic_rings</t>
        </is>
      </c>
      <c r="C12">
        <v>1</v>
      </c>
      <c r="D12" t="inlineStr">
        <is>
          <t>count</t>
        </is>
      </c>
      <c r="E12"/>
      <c r="F12"/>
      <c r="G12" t="inlineStr">
        <is>
          <t>manual structural count</t>
        </is>
      </c>
      <c r="H12" t="inlineStr">
        <is>
          <t>S001_PUBCHEM</t>
        </is>
      </c>
      <c r="I12" t="inlineStr">
        <is>
          <t>estimated</t>
        </is>
      </c>
      <c r="J12">
        <v>0.6</v>
      </c>
      <c r="K12"/>
    </row>
    <row r="13">
      <c r="A13" t="inlineStr">
        <is>
          <t>API_DEXAMETHASONE</t>
        </is>
      </c>
      <c r="B13" t="inlineStr">
        <is>
          <t>BCS_class</t>
        </is>
      </c>
      <c r="C13" t="inlineStr">
        <is>
          <t>II</t>
        </is>
      </c>
      <c r="D13"/>
      <c r="E13"/>
      <c r="F13"/>
      <c r="G13" t="inlineStr">
        <is>
          <t>literature consensus/placeholder</t>
        </is>
      </c>
      <c r="H13" t="inlineStr">
        <is>
          <t>S007_EXCIPIENTS_HANDBOOK</t>
        </is>
      </c>
      <c r="I13" t="inlineStr">
        <is>
          <t>estimated</t>
        </is>
      </c>
      <c r="J13">
        <v>0.4</v>
      </c>
      <c r="K13" t="inlineStr">
        <is>
          <t>Must be curated from API-specific biopharmaceutics sources.</t>
        </is>
      </c>
    </row>
    <row r="14">
      <c r="A14" t="inlineStr">
        <is>
          <t>API_DEXAMETHASONE</t>
        </is>
      </c>
      <c r="B14" t="inlineStr">
        <is>
          <t>therapeutic_class</t>
        </is>
      </c>
      <c r="C14" t="inlineStr">
        <is>
          <t>corticosteroid</t>
        </is>
      </c>
      <c r="D14"/>
      <c r="E14"/>
      <c r="F14"/>
      <c r="G14" t="inlineStr">
        <is>
          <t>manual therapeutic annotation</t>
        </is>
      </c>
      <c r="H14" t="inlineStr">
        <is>
          <t>S001_PUBCHEM</t>
        </is>
      </c>
      <c r="I14" t="inlineStr">
        <is>
          <t>database-derived</t>
        </is>
      </c>
      <c r="J14">
        <v>0.75</v>
      </c>
      <c r="K14"/>
    </row>
    <row r="15">
      <c r="A15" t="inlineStr">
        <is>
          <t>API_DEXAMETHASONE</t>
        </is>
      </c>
      <c r="B15" t="inlineStr">
        <is>
          <t>payload_type</t>
        </is>
      </c>
      <c r="C15" t="inlineStr">
        <is>
          <t>small_molecule_API</t>
        </is>
      </c>
      <c r="D15"/>
      <c r="E15"/>
      <c r="F15"/>
      <c r="G15" t="inlineStr">
        <is>
          <t>payload taxonomy</t>
        </is>
      </c>
      <c r="H15" t="inlineStr">
        <is>
          <t>S000_USER_SPEC</t>
        </is>
      </c>
      <c r="I15" t="inlineStr">
        <is>
          <t>curated</t>
        </is>
      </c>
      <c r="J15">
        <v>0.8</v>
      </c>
      <c r="K15"/>
    </row>
    <row r="16">
      <c r="A16" t="inlineStr">
        <is>
          <t>API_DEXAMETHASONE</t>
        </is>
      </c>
      <c r="B16" t="inlineStr">
        <is>
          <t>route_notes</t>
        </is>
      </c>
      <c r="C16" t="inlineStr">
        <is>
          <t>neutral corticosteroid; pulmonary/topical/oral nanocarrier payload</t>
        </is>
      </c>
      <c r="D16"/>
      <c r="E16"/>
      <c r="F16"/>
      <c r="G16" t="inlineStr">
        <is>
          <t>formulation-relevance annotation</t>
        </is>
      </c>
      <c r="H16" t="inlineStr">
        <is>
          <t>S014_AULTON</t>
        </is>
      </c>
      <c r="I16" t="inlineStr">
        <is>
          <t>curated</t>
        </is>
      </c>
      <c r="J16">
        <v>0.7</v>
      </c>
      <c r="K16"/>
    </row>
    <row r="17">
      <c r="A17" t="inlineStr">
        <is>
          <t>API_DEXAMETHASONE</t>
        </is>
      </c>
      <c r="B17" t="inlineStr">
        <is>
          <t>Hansen_delta_D</t>
        </is>
      </c>
      <c r="C17">
        <v>18.0</v>
      </c>
      <c r="D17" t="inlineStr">
        <is>
          <t>MPa^0.5</t>
        </is>
      </c>
      <c r="E17"/>
      <c r="F17"/>
      <c r="G17" t="inlineStr">
        <is>
          <t>heuristic group-contribution/nearest-neighbour</t>
        </is>
      </c>
      <c r="H17" t="inlineStr">
        <is>
          <t>S013_EST_HSP_HEURISTIC</t>
        </is>
      </c>
      <c r="I17" t="inlineStr">
        <is>
          <t>estimated</t>
        </is>
      </c>
      <c r="J17">
        <v>0.43</v>
      </c>
      <c r="K17" t="inlineStr">
        <is>
          <t>Provisional HSP for screening; replace with experimental/literature value before model lock.</t>
        </is>
      </c>
    </row>
    <row r="18">
      <c r="A18" t="inlineStr">
        <is>
          <t>API_DEXAMETHASONE</t>
        </is>
      </c>
      <c r="B18" t="inlineStr">
        <is>
          <t>Hansen_delta_P</t>
        </is>
      </c>
      <c r="C18">
        <v>10.5</v>
      </c>
      <c r="D18" t="inlineStr">
        <is>
          <t>MPa^0.5</t>
        </is>
      </c>
      <c r="E18"/>
      <c r="F18"/>
      <c r="G18" t="inlineStr">
        <is>
          <t>heuristic group-contribution/nearest-neighbour</t>
        </is>
      </c>
      <c r="H18" t="inlineStr">
        <is>
          <t>S013_EST_HSP_HEURISTIC</t>
        </is>
      </c>
      <c r="I18" t="inlineStr">
        <is>
          <t>estimated</t>
        </is>
      </c>
      <c r="J18">
        <v>0.43</v>
      </c>
      <c r="K18" t="inlineStr">
        <is>
          <t>Provisional HSP for screening; replace with experimental/literature value before model lock.</t>
        </is>
      </c>
    </row>
    <row r="19">
      <c r="A19" t="inlineStr">
        <is>
          <t>API_DEXAMETHASONE</t>
        </is>
      </c>
      <c r="B19" t="inlineStr">
        <is>
          <t>Hansen_delta_H</t>
        </is>
      </c>
      <c r="C19">
        <v>13.0</v>
      </c>
      <c r="D19" t="inlineStr">
        <is>
          <t>MPa^0.5</t>
        </is>
      </c>
      <c r="E19"/>
      <c r="F19"/>
      <c r="G19" t="inlineStr">
        <is>
          <t>heuristic group-contribution/nearest-neighbour</t>
        </is>
      </c>
      <c r="H19" t="inlineStr">
        <is>
          <t>S013_EST_HSP_HEURISTIC</t>
        </is>
      </c>
      <c r="I19" t="inlineStr">
        <is>
          <t>estimated</t>
        </is>
      </c>
      <c r="J19">
        <v>0.43</v>
      </c>
      <c r="K19" t="inlineStr">
        <is>
          <t>Provisional HSP for screening; replace with experimental/literature value before model lock.</t>
        </is>
      </c>
    </row>
    <row r="20">
      <c r="A20" t="inlineStr">
        <is>
          <t>API_DEXAMETHASONE</t>
        </is>
      </c>
      <c r="B20" t="inlineStr">
        <is>
          <t>Hildebrand_delta_T</t>
        </is>
      </c>
      <c r="C20">
        <v>24.56</v>
      </c>
      <c r="D20" t="inlineStr">
        <is>
          <t>MPa^0.5</t>
        </is>
      </c>
      <c r="E20"/>
      <c r="F20"/>
      <c r="G20" t="inlineStr">
        <is>
          <t>sqrt(deltaD^2+deltaP^2+deltaH^2)</t>
        </is>
      </c>
      <c r="H20" t="inlineStr">
        <is>
          <t>S012_CALCULATED</t>
        </is>
      </c>
      <c r="I20" t="inlineStr">
        <is>
          <t>calculated</t>
        </is>
      </c>
      <c r="J20">
        <v>0.48</v>
      </c>
      <c r="K20" t="inlineStr">
        <is>
          <t>Derived from stored Hansen components.</t>
        </is>
      </c>
    </row>
    <row r="21">
      <c r="A21" t="inlineStr">
        <is>
          <t>API_DEXAMETHASONE</t>
        </is>
      </c>
      <c r="B21" t="inlineStr">
        <is>
          <t>HSP_radius_R0</t>
        </is>
      </c>
      <c r="C21">
        <v>9.0</v>
      </c>
      <c r="D21" t="inlineStr">
        <is>
          <t>MPa^0.5</t>
        </is>
      </c>
      <c r="E21"/>
      <c r="F21"/>
      <c r="G21" t="inlineStr">
        <is>
          <t>literature/heuristic solubility sphere</t>
        </is>
      </c>
      <c r="H21" t="inlineStr">
        <is>
          <t>S013_EST_HSP_HEURISTIC</t>
        </is>
      </c>
      <c r="I21" t="inlineStr">
        <is>
          <t>estimated</t>
        </is>
      </c>
      <c r="J21">
        <v>0.43</v>
      </c>
      <c r="K21" t="inlineStr">
        <is>
          <t>Screening radius only unless experimentally determined.</t>
        </is>
      </c>
    </row>
    <row r="22">
      <c r="A22" t="inlineStr">
        <is>
          <t>API_DEXAMETHASONE</t>
        </is>
      </c>
      <c r="B22" t="inlineStr">
        <is>
          <t>molar_volume_cm3_mol</t>
        </is>
      </c>
      <c r="C22">
        <v>313.97</v>
      </c>
      <c r="D22" t="inlineStr">
        <is>
          <t>cm3/mol</t>
        </is>
      </c>
      <c r="E22"/>
      <c r="F22"/>
      <c r="G22" t="inlineStr">
        <is>
          <t>MW/density estimate</t>
        </is>
      </c>
      <c r="H22" t="inlineStr">
        <is>
          <t>S012_CALCULATED</t>
        </is>
      </c>
      <c r="I22" t="inlineStr">
        <is>
          <t>estimated</t>
        </is>
      </c>
      <c r="J22">
        <v>0.45</v>
      </c>
      <c r="K22" t="inlineStr">
        <is>
          <t>Estimated from MW/density; replace with measured molar volume or density-specific grade data.</t>
        </is>
      </c>
    </row>
    <row r="23">
      <c r="A23" t="inlineStr">
        <is>
          <t>API_BUDESONIDE</t>
        </is>
      </c>
      <c r="B23" t="inlineStr">
        <is>
          <t>molecular_weight_g_mol</t>
        </is>
      </c>
      <c r="C23">
        <v>430.54</v>
      </c>
      <c r="D23" t="inlineStr">
        <is>
          <t>g/mol</t>
        </is>
      </c>
      <c r="E23"/>
      <c r="F23"/>
      <c r="G23" t="inlineStr">
        <is>
          <t>PubChem/handbook curation</t>
        </is>
      </c>
      <c r="H23" t="inlineStr">
        <is>
          <t>S001_PUBCHEM</t>
        </is>
      </c>
      <c r="I23" t="inlineStr">
        <is>
          <t>database-derived</t>
        </is>
      </c>
      <c r="J23">
        <v>0.88</v>
      </c>
      <c r="K23"/>
    </row>
    <row r="24">
      <c r="A24" t="inlineStr">
        <is>
          <t>API_BUDESONIDE</t>
        </is>
      </c>
      <c r="B24" t="inlineStr">
        <is>
          <t>molecular_formula</t>
        </is>
      </c>
      <c r="C24" t="inlineStr">
        <is>
          <t>C25H34O6</t>
        </is>
      </c>
      <c r="D24"/>
      <c r="E24"/>
      <c r="F24"/>
      <c r="G24" t="inlineStr">
        <is>
          <t>PubChem/handbook curation</t>
        </is>
      </c>
      <c r="H24" t="inlineStr">
        <is>
          <t>S001_PUBCHEM</t>
        </is>
      </c>
      <c r="I24" t="inlineStr">
        <is>
          <t>database-derived</t>
        </is>
      </c>
      <c r="J24">
        <v>0.85</v>
      </c>
      <c r="K24"/>
    </row>
    <row r="25">
      <c r="A25" t="inlineStr">
        <is>
          <t>API_BUDESONIDE</t>
        </is>
      </c>
      <c r="B25" t="inlineStr">
        <is>
          <t>LogP</t>
        </is>
      </c>
      <c r="C25">
        <v>2.3</v>
      </c>
      <c r="D25"/>
      <c r="E25"/>
      <c r="F25"/>
      <c r="G25" t="inlineStr">
        <is>
          <t>computed/curated XLogP or literature consensus</t>
        </is>
      </c>
      <c r="H25" t="inlineStr">
        <is>
          <t>S001_PUBCHEM</t>
        </is>
      </c>
      <c r="I25" t="inlineStr">
        <is>
          <t>database-derived</t>
        </is>
      </c>
      <c r="J25">
        <v>0.72</v>
      </c>
      <c r="K25" t="inlineStr">
        <is>
          <t>Approximate; salt/tautomer state may alter.</t>
        </is>
      </c>
    </row>
    <row r="26">
      <c r="A26" t="inlineStr">
        <is>
          <t>API_BUDESONIDE</t>
        </is>
      </c>
      <c r="B26" t="inlineStr">
        <is>
          <t>formal_charge</t>
        </is>
      </c>
      <c r="C26">
        <v>0</v>
      </c>
      <c r="D26" t="inlineStr">
        <is>
          <t>e</t>
        </is>
      </c>
      <c r="E26"/>
      <c r="F26"/>
      <c r="G26" t="inlineStr">
        <is>
          <t>canonical neutral parent/salt-free structure</t>
        </is>
      </c>
      <c r="H26" t="inlineStr">
        <is>
          <t>S001_PUBCHEM</t>
        </is>
      </c>
      <c r="I26" t="inlineStr">
        <is>
          <t>database-derived</t>
        </is>
      </c>
      <c r="J26">
        <v>0.82</v>
      </c>
      <c r="K26" t="inlineStr">
        <is>
          <t>Use salt-specific material row for ionic salts.</t>
        </is>
      </c>
    </row>
    <row r="27">
      <c r="A27" t="inlineStr">
        <is>
          <t>API_BUDESONIDE</t>
        </is>
      </c>
      <c r="B27" t="inlineStr">
        <is>
          <t>water_solubility_mg_ml</t>
        </is>
      </c>
      <c r="C27">
        <v>0.014</v>
      </c>
      <c r="D27" t="inlineStr">
        <is>
          <t>mg/mL</t>
        </is>
      </c>
      <c r="E27"/>
      <c r="F27"/>
      <c r="G27" t="inlineStr">
        <is>
          <t>literature/aqueous solubility range approximated</t>
        </is>
      </c>
      <c r="H27" t="inlineStr">
        <is>
          <t>S001_PUBCHEM</t>
        </is>
      </c>
      <c r="I27" t="inlineStr">
        <is>
          <t>estimated</t>
        </is>
      </c>
      <c r="J27">
        <v>0.45</v>
      </c>
      <c r="K27" t="inlineStr">
        <is>
          <t>Highly pH- and salt-form-dependent.</t>
        </is>
      </c>
    </row>
    <row r="28">
      <c r="A28" t="inlineStr">
        <is>
          <t>API_BUDESONIDE</t>
        </is>
      </c>
      <c r="B28" t="inlineStr">
        <is>
          <t>melting_point_C</t>
        </is>
      </c>
      <c r="C28">
        <v>224</v>
      </c>
      <c r="D28" t="inlineStr">
        <is>
          <t>°C</t>
        </is>
      </c>
      <c r="E28"/>
      <c r="F28"/>
      <c r="G28" t="inlineStr">
        <is>
          <t>literature/supplier melting range</t>
        </is>
      </c>
      <c r="H28" t="inlineStr">
        <is>
          <t>S001_PUBCHEM</t>
        </is>
      </c>
      <c r="I28" t="inlineStr">
        <is>
          <t>handbook</t>
        </is>
      </c>
      <c r="J28">
        <v>0.65</v>
      </c>
      <c r="K28" t="inlineStr">
        <is>
          <t>Use polymorph-specific data when available.</t>
        </is>
      </c>
    </row>
    <row r="29">
      <c r="A29" t="inlineStr">
        <is>
          <t>API_BUDESONIDE</t>
        </is>
      </c>
      <c r="B29" t="inlineStr">
        <is>
          <t>TPSA</t>
        </is>
      </c>
      <c r="C29">
        <v>93.1</v>
      </c>
      <c r="D29" t="inlineStr">
        <is>
          <t>Å²</t>
        </is>
      </c>
      <c r="E29"/>
      <c r="F29"/>
      <c r="G29" t="inlineStr">
        <is>
          <t>computed descriptor</t>
        </is>
      </c>
      <c r="H29" t="inlineStr">
        <is>
          <t>S001_PUBCHEM</t>
        </is>
      </c>
      <c r="I29" t="inlineStr">
        <is>
          <t>database-derived</t>
        </is>
      </c>
      <c r="J29">
        <v>0.82</v>
      </c>
      <c r="K29"/>
    </row>
    <row r="30">
      <c r="A30" t="inlineStr">
        <is>
          <t>API_BUDESONIDE</t>
        </is>
      </c>
      <c r="B30" t="inlineStr">
        <is>
          <t>HBD</t>
        </is>
      </c>
      <c r="C30">
        <v>2</v>
      </c>
      <c r="D30" t="inlineStr">
        <is>
          <t>count</t>
        </is>
      </c>
      <c r="E30"/>
      <c r="F30"/>
      <c r="G30" t="inlineStr">
        <is>
          <t>computed descriptor</t>
        </is>
      </c>
      <c r="H30" t="inlineStr">
        <is>
          <t>S001_PUBCHEM</t>
        </is>
      </c>
      <c r="I30" t="inlineStr">
        <is>
          <t>database-derived</t>
        </is>
      </c>
      <c r="J30">
        <v>0.82</v>
      </c>
      <c r="K30"/>
    </row>
    <row r="31">
      <c r="A31" t="inlineStr">
        <is>
          <t>API_BUDESONIDE</t>
        </is>
      </c>
      <c r="B31" t="inlineStr">
        <is>
          <t>HBA</t>
        </is>
      </c>
      <c r="C31">
        <v>6</v>
      </c>
      <c r="D31" t="inlineStr">
        <is>
          <t>count</t>
        </is>
      </c>
      <c r="E31"/>
      <c r="F31"/>
      <c r="G31" t="inlineStr">
        <is>
          <t>computed descriptor</t>
        </is>
      </c>
      <c r="H31" t="inlineStr">
        <is>
          <t>S001_PUBCHEM</t>
        </is>
      </c>
      <c r="I31" t="inlineStr">
        <is>
          <t>database-derived</t>
        </is>
      </c>
      <c r="J31">
        <v>0.82</v>
      </c>
      <c r="K31"/>
    </row>
    <row r="32">
      <c r="A32" t="inlineStr">
        <is>
          <t>API_BUDESONIDE</t>
        </is>
      </c>
      <c r="B32" t="inlineStr">
        <is>
          <t>rotatable_bonds</t>
        </is>
      </c>
      <c r="C32">
        <v>7</v>
      </c>
      <c r="D32" t="inlineStr">
        <is>
          <t>count</t>
        </is>
      </c>
      <c r="E32"/>
      <c r="F32"/>
      <c r="G32" t="inlineStr">
        <is>
          <t>computed descriptor</t>
        </is>
      </c>
      <c r="H32" t="inlineStr">
        <is>
          <t>S001_PUBCHEM</t>
        </is>
      </c>
      <c r="I32" t="inlineStr">
        <is>
          <t>database-derived</t>
        </is>
      </c>
      <c r="J32">
        <v>0.82</v>
      </c>
      <c r="K32"/>
    </row>
    <row r="33">
      <c r="A33" t="inlineStr">
        <is>
          <t>API_BUDESONIDE</t>
        </is>
      </c>
      <c r="B33" t="inlineStr">
        <is>
          <t>aromatic_rings</t>
        </is>
      </c>
      <c r="C33">
        <v>0</v>
      </c>
      <c r="D33" t="inlineStr">
        <is>
          <t>count</t>
        </is>
      </c>
      <c r="E33"/>
      <c r="F33"/>
      <c r="G33" t="inlineStr">
        <is>
          <t>manual structural count</t>
        </is>
      </c>
      <c r="H33" t="inlineStr">
        <is>
          <t>S001_PUBCHEM</t>
        </is>
      </c>
      <c r="I33" t="inlineStr">
        <is>
          <t>estimated</t>
        </is>
      </c>
      <c r="J33">
        <v>0.6</v>
      </c>
      <c r="K33"/>
    </row>
    <row r="34">
      <c r="A34" t="inlineStr">
        <is>
          <t>API_BUDESONIDE</t>
        </is>
      </c>
      <c r="B34" t="inlineStr">
        <is>
          <t>BCS_class</t>
        </is>
      </c>
      <c r="C34" t="inlineStr">
        <is>
          <t>II</t>
        </is>
      </c>
      <c r="D34"/>
      <c r="E34"/>
      <c r="F34"/>
      <c r="G34" t="inlineStr">
        <is>
          <t>literature consensus/placeholder</t>
        </is>
      </c>
      <c r="H34" t="inlineStr">
        <is>
          <t>S007_EXCIPIENTS_HANDBOOK</t>
        </is>
      </c>
      <c r="I34" t="inlineStr">
        <is>
          <t>estimated</t>
        </is>
      </c>
      <c r="J34">
        <v>0.4</v>
      </c>
      <c r="K34" t="inlineStr">
        <is>
          <t>Must be curated from API-specific biopharmaceutics sources.</t>
        </is>
      </c>
    </row>
    <row r="35">
      <c r="A35" t="inlineStr">
        <is>
          <t>API_BUDESONIDE</t>
        </is>
      </c>
      <c r="B35" t="inlineStr">
        <is>
          <t>therapeutic_class</t>
        </is>
      </c>
      <c r="C35" t="inlineStr">
        <is>
          <t>corticosteroid</t>
        </is>
      </c>
      <c r="D35"/>
      <c r="E35"/>
      <c r="F35"/>
      <c r="G35" t="inlineStr">
        <is>
          <t>manual therapeutic annotation</t>
        </is>
      </c>
      <c r="H35" t="inlineStr">
        <is>
          <t>S001_PUBCHEM</t>
        </is>
      </c>
      <c r="I35" t="inlineStr">
        <is>
          <t>database-derived</t>
        </is>
      </c>
      <c r="J35">
        <v>0.75</v>
      </c>
      <c r="K35"/>
    </row>
    <row r="36">
      <c r="A36" t="inlineStr">
        <is>
          <t>API_BUDESONIDE</t>
        </is>
      </c>
      <c r="B36" t="inlineStr">
        <is>
          <t>payload_type</t>
        </is>
      </c>
      <c r="C36" t="inlineStr">
        <is>
          <t>small_molecule_API</t>
        </is>
      </c>
      <c r="D36"/>
      <c r="E36"/>
      <c r="F36"/>
      <c r="G36" t="inlineStr">
        <is>
          <t>payload taxonomy</t>
        </is>
      </c>
      <c r="H36" t="inlineStr">
        <is>
          <t>S000_USER_SPEC</t>
        </is>
      </c>
      <c r="I36" t="inlineStr">
        <is>
          <t>curated</t>
        </is>
      </c>
      <c r="J36">
        <v>0.8</v>
      </c>
      <c r="K36"/>
    </row>
    <row r="37">
      <c r="A37" t="inlineStr">
        <is>
          <t>API_BUDESONIDE</t>
        </is>
      </c>
      <c r="B37" t="inlineStr">
        <is>
          <t>route_notes</t>
        </is>
      </c>
      <c r="C37" t="inlineStr">
        <is>
          <t>neutral corticosteroid; pulmonary delivery candidate</t>
        </is>
      </c>
      <c r="D37"/>
      <c r="E37"/>
      <c r="F37"/>
      <c r="G37" t="inlineStr">
        <is>
          <t>formulation-relevance annotation</t>
        </is>
      </c>
      <c r="H37" t="inlineStr">
        <is>
          <t>S014_AULTON</t>
        </is>
      </c>
      <c r="I37" t="inlineStr">
        <is>
          <t>curated</t>
        </is>
      </c>
      <c r="J37">
        <v>0.7</v>
      </c>
      <c r="K37"/>
    </row>
    <row r="38">
      <c r="A38" t="inlineStr">
        <is>
          <t>API_BUDESONIDE</t>
        </is>
      </c>
      <c r="B38" t="inlineStr">
        <is>
          <t>Hansen_delta_D</t>
        </is>
      </c>
      <c r="C38">
        <v>18.0</v>
      </c>
      <c r="D38" t="inlineStr">
        <is>
          <t>MPa^0.5</t>
        </is>
      </c>
      <c r="E38"/>
      <c r="F38"/>
      <c r="G38" t="inlineStr">
        <is>
          <t>heuristic group-contribution/nearest-neighbour</t>
        </is>
      </c>
      <c r="H38" t="inlineStr">
        <is>
          <t>S013_EST_HSP_HEURISTIC</t>
        </is>
      </c>
      <c r="I38" t="inlineStr">
        <is>
          <t>estimated</t>
        </is>
      </c>
      <c r="J38">
        <v>0.43</v>
      </c>
      <c r="K38" t="inlineStr">
        <is>
          <t>Provisional HSP for screening; replace with experimental/literature value before model lock.</t>
        </is>
      </c>
    </row>
    <row r="39">
      <c r="A39" t="inlineStr">
        <is>
          <t>API_BUDESONIDE</t>
        </is>
      </c>
      <c r="B39" t="inlineStr">
        <is>
          <t>Hansen_delta_P</t>
        </is>
      </c>
      <c r="C39">
        <v>10.5</v>
      </c>
      <c r="D39" t="inlineStr">
        <is>
          <t>MPa^0.5</t>
        </is>
      </c>
      <c r="E39"/>
      <c r="F39"/>
      <c r="G39" t="inlineStr">
        <is>
          <t>heuristic group-contribution/nearest-neighbour</t>
        </is>
      </c>
      <c r="H39" t="inlineStr">
        <is>
          <t>S013_EST_HSP_HEURISTIC</t>
        </is>
      </c>
      <c r="I39" t="inlineStr">
        <is>
          <t>estimated</t>
        </is>
      </c>
      <c r="J39">
        <v>0.43</v>
      </c>
      <c r="K39" t="inlineStr">
        <is>
          <t>Provisional HSP for screening; replace with experimental/literature value before model lock.</t>
        </is>
      </c>
    </row>
    <row r="40">
      <c r="A40" t="inlineStr">
        <is>
          <t>API_BUDESONIDE</t>
        </is>
      </c>
      <c r="B40" t="inlineStr">
        <is>
          <t>Hansen_delta_H</t>
        </is>
      </c>
      <c r="C40">
        <v>13.0</v>
      </c>
      <c r="D40" t="inlineStr">
        <is>
          <t>MPa^0.5</t>
        </is>
      </c>
      <c r="E40"/>
      <c r="F40"/>
      <c r="G40" t="inlineStr">
        <is>
          <t>heuristic group-contribution/nearest-neighbour</t>
        </is>
      </c>
      <c r="H40" t="inlineStr">
        <is>
          <t>S013_EST_HSP_HEURISTIC</t>
        </is>
      </c>
      <c r="I40" t="inlineStr">
        <is>
          <t>estimated</t>
        </is>
      </c>
      <c r="J40">
        <v>0.43</v>
      </c>
      <c r="K40" t="inlineStr">
        <is>
          <t>Provisional HSP for screening; replace with experimental/literature value before model lock.</t>
        </is>
      </c>
    </row>
    <row r="41">
      <c r="A41" t="inlineStr">
        <is>
          <t>API_BUDESONIDE</t>
        </is>
      </c>
      <c r="B41" t="inlineStr">
        <is>
          <t>Hildebrand_delta_T</t>
        </is>
      </c>
      <c r="C41">
        <v>24.56</v>
      </c>
      <c r="D41" t="inlineStr">
        <is>
          <t>MPa^0.5</t>
        </is>
      </c>
      <c r="E41"/>
      <c r="F41"/>
      <c r="G41" t="inlineStr">
        <is>
          <t>sqrt(deltaD^2+deltaP^2+deltaH^2)</t>
        </is>
      </c>
      <c r="H41" t="inlineStr">
        <is>
          <t>S012_CALCULATED</t>
        </is>
      </c>
      <c r="I41" t="inlineStr">
        <is>
          <t>calculated</t>
        </is>
      </c>
      <c r="J41">
        <v>0.48</v>
      </c>
      <c r="K41" t="inlineStr">
        <is>
          <t>Derived from stored Hansen components.</t>
        </is>
      </c>
    </row>
    <row r="42">
      <c r="A42" t="inlineStr">
        <is>
          <t>API_BUDESONIDE</t>
        </is>
      </c>
      <c r="B42" t="inlineStr">
        <is>
          <t>HSP_radius_R0</t>
        </is>
      </c>
      <c r="C42">
        <v>9.0</v>
      </c>
      <c r="D42" t="inlineStr">
        <is>
          <t>MPa^0.5</t>
        </is>
      </c>
      <c r="E42"/>
      <c r="F42"/>
      <c r="G42" t="inlineStr">
        <is>
          <t>literature/heuristic solubility sphere</t>
        </is>
      </c>
      <c r="H42" t="inlineStr">
        <is>
          <t>S013_EST_HSP_HEURISTIC</t>
        </is>
      </c>
      <c r="I42" t="inlineStr">
        <is>
          <t>estimated</t>
        </is>
      </c>
      <c r="J42">
        <v>0.43</v>
      </c>
      <c r="K42" t="inlineStr">
        <is>
          <t>Screening radius only unless experimentally determined.</t>
        </is>
      </c>
    </row>
    <row r="43">
      <c r="A43" t="inlineStr">
        <is>
          <t>API_BUDESONIDE</t>
        </is>
      </c>
      <c r="B43" t="inlineStr">
        <is>
          <t>molar_volume_cm3_mol</t>
        </is>
      </c>
      <c r="C43">
        <v>344.43</v>
      </c>
      <c r="D43" t="inlineStr">
        <is>
          <t>cm3/mol</t>
        </is>
      </c>
      <c r="E43"/>
      <c r="F43"/>
      <c r="G43" t="inlineStr">
        <is>
          <t>MW/density estimate</t>
        </is>
      </c>
      <c r="H43" t="inlineStr">
        <is>
          <t>S012_CALCULATED</t>
        </is>
      </c>
      <c r="I43" t="inlineStr">
        <is>
          <t>estimated</t>
        </is>
      </c>
      <c r="J43">
        <v>0.45</v>
      </c>
      <c r="K43" t="inlineStr">
        <is>
          <t>Estimated from MW/density; replace with measured molar volume or density-specific grade data.</t>
        </is>
      </c>
    </row>
    <row r="44">
      <c r="A44" t="inlineStr">
        <is>
          <t>API_FLUTICASONE_PROPIONATE</t>
        </is>
      </c>
      <c r="B44" t="inlineStr">
        <is>
          <t>molecular_weight_g_mol</t>
        </is>
      </c>
      <c r="C44">
        <v>500.57</v>
      </c>
      <c r="D44" t="inlineStr">
        <is>
          <t>g/mol</t>
        </is>
      </c>
      <c r="E44"/>
      <c r="F44"/>
      <c r="G44" t="inlineStr">
        <is>
          <t>PubChem/handbook curation</t>
        </is>
      </c>
      <c r="H44" t="inlineStr">
        <is>
          <t>S001_PUBCHEM</t>
        </is>
      </c>
      <c r="I44" t="inlineStr">
        <is>
          <t>database-derived</t>
        </is>
      </c>
      <c r="J44">
        <v>0.88</v>
      </c>
      <c r="K44"/>
    </row>
    <row r="45">
      <c r="A45" t="inlineStr">
        <is>
          <t>API_FLUTICASONE_PROPIONATE</t>
        </is>
      </c>
      <c r="B45" t="inlineStr">
        <is>
          <t>molecular_formula</t>
        </is>
      </c>
      <c r="C45" t="inlineStr">
        <is>
          <t>C25H31F3O5S</t>
        </is>
      </c>
      <c r="D45"/>
      <c r="E45"/>
      <c r="F45"/>
      <c r="G45" t="inlineStr">
        <is>
          <t>PubChem/handbook curation</t>
        </is>
      </c>
      <c r="H45" t="inlineStr">
        <is>
          <t>S001_PUBCHEM</t>
        </is>
      </c>
      <c r="I45" t="inlineStr">
        <is>
          <t>database-derived</t>
        </is>
      </c>
      <c r="J45">
        <v>0.85</v>
      </c>
      <c r="K45"/>
    </row>
    <row r="46">
      <c r="A46" t="inlineStr">
        <is>
          <t>API_FLUTICASONE_PROPIONATE</t>
        </is>
      </c>
      <c r="B46" t="inlineStr">
        <is>
          <t>LogP</t>
        </is>
      </c>
      <c r="C46">
        <v>3.7</v>
      </c>
      <c r="D46"/>
      <c r="E46"/>
      <c r="F46"/>
      <c r="G46" t="inlineStr">
        <is>
          <t>computed/curated XLogP or literature consensus</t>
        </is>
      </c>
      <c r="H46" t="inlineStr">
        <is>
          <t>S001_PUBCHEM</t>
        </is>
      </c>
      <c r="I46" t="inlineStr">
        <is>
          <t>database-derived</t>
        </is>
      </c>
      <c r="J46">
        <v>0.72</v>
      </c>
      <c r="K46" t="inlineStr">
        <is>
          <t>Approximate; salt/tautomer state may alter.</t>
        </is>
      </c>
    </row>
    <row r="47">
      <c r="A47" t="inlineStr">
        <is>
          <t>API_FLUTICASONE_PROPIONATE</t>
        </is>
      </c>
      <c r="B47" t="inlineStr">
        <is>
          <t>formal_charge</t>
        </is>
      </c>
      <c r="C47">
        <v>0</v>
      </c>
      <c r="D47" t="inlineStr">
        <is>
          <t>e</t>
        </is>
      </c>
      <c r="E47"/>
      <c r="F47"/>
      <c r="G47" t="inlineStr">
        <is>
          <t>canonical neutral parent/salt-free structure</t>
        </is>
      </c>
      <c r="H47" t="inlineStr">
        <is>
          <t>S001_PUBCHEM</t>
        </is>
      </c>
      <c r="I47" t="inlineStr">
        <is>
          <t>database-derived</t>
        </is>
      </c>
      <c r="J47">
        <v>0.82</v>
      </c>
      <c r="K47" t="inlineStr">
        <is>
          <t>Use salt-specific material row for ionic salts.</t>
        </is>
      </c>
    </row>
    <row r="48">
      <c r="A48" t="inlineStr">
        <is>
          <t>API_FLUTICASONE_PROPIONATE</t>
        </is>
      </c>
      <c r="B48" t="inlineStr">
        <is>
          <t>water_solubility_mg_ml</t>
        </is>
      </c>
      <c r="C48">
        <v>0.00014</v>
      </c>
      <c r="D48" t="inlineStr">
        <is>
          <t>mg/mL</t>
        </is>
      </c>
      <c r="E48"/>
      <c r="F48"/>
      <c r="G48" t="inlineStr">
        <is>
          <t>literature/aqueous solubility range approximated</t>
        </is>
      </c>
      <c r="H48" t="inlineStr">
        <is>
          <t>S001_PUBCHEM</t>
        </is>
      </c>
      <c r="I48" t="inlineStr">
        <is>
          <t>estimated</t>
        </is>
      </c>
      <c r="J48">
        <v>0.45</v>
      </c>
      <c r="K48" t="inlineStr">
        <is>
          <t>Highly pH- and salt-form-dependent.</t>
        </is>
      </c>
    </row>
    <row r="49">
      <c r="A49" t="inlineStr">
        <is>
          <t>API_FLUTICASONE_PROPIONATE</t>
        </is>
      </c>
      <c r="B49" t="inlineStr">
        <is>
          <t>melting_point_C</t>
        </is>
      </c>
      <c r="C49">
        <v>273</v>
      </c>
      <c r="D49" t="inlineStr">
        <is>
          <t>°C</t>
        </is>
      </c>
      <c r="E49"/>
      <c r="F49"/>
      <c r="G49" t="inlineStr">
        <is>
          <t>literature/supplier melting range</t>
        </is>
      </c>
      <c r="H49" t="inlineStr">
        <is>
          <t>S001_PUBCHEM</t>
        </is>
      </c>
      <c r="I49" t="inlineStr">
        <is>
          <t>handbook</t>
        </is>
      </c>
      <c r="J49">
        <v>0.65</v>
      </c>
      <c r="K49" t="inlineStr">
        <is>
          <t>Use polymorph-specific data when available.</t>
        </is>
      </c>
    </row>
    <row r="50">
      <c r="A50" t="inlineStr">
        <is>
          <t>API_FLUTICASONE_PROPIONATE</t>
        </is>
      </c>
      <c r="B50" t="inlineStr">
        <is>
          <t>TPSA</t>
        </is>
      </c>
      <c r="C50">
        <v>94.8</v>
      </c>
      <c r="D50" t="inlineStr">
        <is>
          <t>Å²</t>
        </is>
      </c>
      <c r="E50"/>
      <c r="F50"/>
      <c r="G50" t="inlineStr">
        <is>
          <t>computed descriptor</t>
        </is>
      </c>
      <c r="H50" t="inlineStr">
        <is>
          <t>S001_PUBCHEM</t>
        </is>
      </c>
      <c r="I50" t="inlineStr">
        <is>
          <t>database-derived</t>
        </is>
      </c>
      <c r="J50">
        <v>0.82</v>
      </c>
      <c r="K50"/>
    </row>
    <row r="51">
      <c r="A51" t="inlineStr">
        <is>
          <t>API_FLUTICASONE_PROPIONATE</t>
        </is>
      </c>
      <c r="B51" t="inlineStr">
        <is>
          <t>HBD</t>
        </is>
      </c>
      <c r="C51">
        <v>1</v>
      </c>
      <c r="D51" t="inlineStr">
        <is>
          <t>count</t>
        </is>
      </c>
      <c r="E51"/>
      <c r="F51"/>
      <c r="G51" t="inlineStr">
        <is>
          <t>computed descriptor</t>
        </is>
      </c>
      <c r="H51" t="inlineStr">
        <is>
          <t>S001_PUBCHEM</t>
        </is>
      </c>
      <c r="I51" t="inlineStr">
        <is>
          <t>database-derived</t>
        </is>
      </c>
      <c r="J51">
        <v>0.82</v>
      </c>
      <c r="K51"/>
    </row>
    <row r="52">
      <c r="A52" t="inlineStr">
        <is>
          <t>API_FLUTICASONE_PROPIONATE</t>
        </is>
      </c>
      <c r="B52" t="inlineStr">
        <is>
          <t>HBA</t>
        </is>
      </c>
      <c r="C52">
        <v>7</v>
      </c>
      <c r="D52" t="inlineStr">
        <is>
          <t>count</t>
        </is>
      </c>
      <c r="E52"/>
      <c r="F52"/>
      <c r="G52" t="inlineStr">
        <is>
          <t>computed descriptor</t>
        </is>
      </c>
      <c r="H52" t="inlineStr">
        <is>
          <t>S001_PUBCHEM</t>
        </is>
      </c>
      <c r="I52" t="inlineStr">
        <is>
          <t>database-derived</t>
        </is>
      </c>
      <c r="J52">
        <v>0.82</v>
      </c>
      <c r="K52"/>
    </row>
    <row r="53">
      <c r="A53" t="inlineStr">
        <is>
          <t>API_FLUTICASONE_PROPIONATE</t>
        </is>
      </c>
      <c r="B53" t="inlineStr">
        <is>
          <t>rotatable_bonds</t>
        </is>
      </c>
      <c r="C53">
        <v>8</v>
      </c>
      <c r="D53" t="inlineStr">
        <is>
          <t>count</t>
        </is>
      </c>
      <c r="E53"/>
      <c r="F53"/>
      <c r="G53" t="inlineStr">
        <is>
          <t>computed descriptor</t>
        </is>
      </c>
      <c r="H53" t="inlineStr">
        <is>
          <t>S001_PUBCHEM</t>
        </is>
      </c>
      <c r="I53" t="inlineStr">
        <is>
          <t>database-derived</t>
        </is>
      </c>
      <c r="J53">
        <v>0.82</v>
      </c>
      <c r="K53"/>
    </row>
    <row r="54">
      <c r="A54" t="inlineStr">
        <is>
          <t>API_FLUTICASONE_PROPIONATE</t>
        </is>
      </c>
      <c r="B54" t="inlineStr">
        <is>
          <t>aromatic_rings</t>
        </is>
      </c>
      <c r="C54">
        <v>1</v>
      </c>
      <c r="D54" t="inlineStr">
        <is>
          <t>count</t>
        </is>
      </c>
      <c r="E54"/>
      <c r="F54"/>
      <c r="G54" t="inlineStr">
        <is>
          <t>manual structural count</t>
        </is>
      </c>
      <c r="H54" t="inlineStr">
        <is>
          <t>S001_PUBCHEM</t>
        </is>
      </c>
      <c r="I54" t="inlineStr">
        <is>
          <t>estimated</t>
        </is>
      </c>
      <c r="J54">
        <v>0.6</v>
      </c>
      <c r="K54"/>
    </row>
    <row r="55">
      <c r="A55" t="inlineStr">
        <is>
          <t>API_FLUTICASONE_PROPIONATE</t>
        </is>
      </c>
      <c r="B55" t="inlineStr">
        <is>
          <t>BCS_class</t>
        </is>
      </c>
      <c r="C55" t="inlineStr">
        <is>
          <t>II</t>
        </is>
      </c>
      <c r="D55"/>
      <c r="E55"/>
      <c r="F55"/>
      <c r="G55" t="inlineStr">
        <is>
          <t>literature consensus/placeholder</t>
        </is>
      </c>
      <c r="H55" t="inlineStr">
        <is>
          <t>S007_EXCIPIENTS_HANDBOOK</t>
        </is>
      </c>
      <c r="I55" t="inlineStr">
        <is>
          <t>estimated</t>
        </is>
      </c>
      <c r="J55">
        <v>0.4</v>
      </c>
      <c r="K55" t="inlineStr">
        <is>
          <t>Must be curated from API-specific biopharmaceutics sources.</t>
        </is>
      </c>
    </row>
    <row r="56">
      <c r="A56" t="inlineStr">
        <is>
          <t>API_FLUTICASONE_PROPIONATE</t>
        </is>
      </c>
      <c r="B56" t="inlineStr">
        <is>
          <t>therapeutic_class</t>
        </is>
      </c>
      <c r="C56" t="inlineStr">
        <is>
          <t>corticosteroid</t>
        </is>
      </c>
      <c r="D56"/>
      <c r="E56"/>
      <c r="F56"/>
      <c r="G56" t="inlineStr">
        <is>
          <t>manual therapeutic annotation</t>
        </is>
      </c>
      <c r="H56" t="inlineStr">
        <is>
          <t>S001_PUBCHEM</t>
        </is>
      </c>
      <c r="I56" t="inlineStr">
        <is>
          <t>database-derived</t>
        </is>
      </c>
      <c r="J56">
        <v>0.75</v>
      </c>
      <c r="K56"/>
    </row>
    <row r="57">
      <c r="A57" t="inlineStr">
        <is>
          <t>API_FLUTICASONE_PROPIONATE</t>
        </is>
      </c>
      <c r="B57" t="inlineStr">
        <is>
          <t>payload_type</t>
        </is>
      </c>
      <c r="C57" t="inlineStr">
        <is>
          <t>small_molecule_API</t>
        </is>
      </c>
      <c r="D57"/>
      <c r="E57"/>
      <c r="F57"/>
      <c r="G57" t="inlineStr">
        <is>
          <t>payload taxonomy</t>
        </is>
      </c>
      <c r="H57" t="inlineStr">
        <is>
          <t>S000_USER_SPEC</t>
        </is>
      </c>
      <c r="I57" t="inlineStr">
        <is>
          <t>curated</t>
        </is>
      </c>
      <c r="J57">
        <v>0.8</v>
      </c>
      <c r="K57"/>
    </row>
    <row r="58">
      <c r="A58" t="inlineStr">
        <is>
          <t>API_FLUTICASONE_PROPIONATE</t>
        </is>
      </c>
      <c r="B58" t="inlineStr">
        <is>
          <t>route_notes</t>
        </is>
      </c>
      <c r="C58" t="inlineStr">
        <is>
          <t>highly lipophilic inhaled corticosteroid</t>
        </is>
      </c>
      <c r="D58"/>
      <c r="E58"/>
      <c r="F58"/>
      <c r="G58" t="inlineStr">
        <is>
          <t>formulation-relevance annotation</t>
        </is>
      </c>
      <c r="H58" t="inlineStr">
        <is>
          <t>S014_AULTON</t>
        </is>
      </c>
      <c r="I58" t="inlineStr">
        <is>
          <t>curated</t>
        </is>
      </c>
      <c r="J58">
        <v>0.7</v>
      </c>
      <c r="K58"/>
    </row>
    <row r="59">
      <c r="A59" t="inlineStr">
        <is>
          <t>API_FLUTICASONE_PROPIONATE</t>
        </is>
      </c>
      <c r="B59" t="inlineStr">
        <is>
          <t>Hansen_delta_D</t>
        </is>
      </c>
      <c r="C59">
        <v>18.2</v>
      </c>
      <c r="D59" t="inlineStr">
        <is>
          <t>MPa^0.5</t>
        </is>
      </c>
      <c r="E59"/>
      <c r="F59"/>
      <c r="G59" t="inlineStr">
        <is>
          <t>heuristic group-contribution/nearest-neighbour</t>
        </is>
      </c>
      <c r="H59" t="inlineStr">
        <is>
          <t>S013_EST_HSP_HEURISTIC</t>
        </is>
      </c>
      <c r="I59" t="inlineStr">
        <is>
          <t>estimated</t>
        </is>
      </c>
      <c r="J59">
        <v>0.43</v>
      </c>
      <c r="K59" t="inlineStr">
        <is>
          <t>Provisional HSP for screening; replace with experimental/literature value before model lock.</t>
        </is>
      </c>
    </row>
    <row r="60">
      <c r="A60" t="inlineStr">
        <is>
          <t>API_FLUTICASONE_PROPIONATE</t>
        </is>
      </c>
      <c r="B60" t="inlineStr">
        <is>
          <t>Hansen_delta_P</t>
        </is>
      </c>
      <c r="C60">
        <v>8.0</v>
      </c>
      <c r="D60" t="inlineStr">
        <is>
          <t>MPa^0.5</t>
        </is>
      </c>
      <c r="E60"/>
      <c r="F60"/>
      <c r="G60" t="inlineStr">
        <is>
          <t>heuristic group-contribution/nearest-neighbour</t>
        </is>
      </c>
      <c r="H60" t="inlineStr">
        <is>
          <t>S013_EST_HSP_HEURISTIC</t>
        </is>
      </c>
      <c r="I60" t="inlineStr">
        <is>
          <t>estimated</t>
        </is>
      </c>
      <c r="J60">
        <v>0.43</v>
      </c>
      <c r="K60" t="inlineStr">
        <is>
          <t>Provisional HSP for screening; replace with experimental/literature value before model lock.</t>
        </is>
      </c>
    </row>
    <row r="61">
      <c r="A61" t="inlineStr">
        <is>
          <t>API_FLUTICASONE_PROPIONATE</t>
        </is>
      </c>
      <c r="B61" t="inlineStr">
        <is>
          <t>Hansen_delta_H</t>
        </is>
      </c>
      <c r="C61">
        <v>10.0</v>
      </c>
      <c r="D61" t="inlineStr">
        <is>
          <t>MPa^0.5</t>
        </is>
      </c>
      <c r="E61"/>
      <c r="F61"/>
      <c r="G61" t="inlineStr">
        <is>
          <t>heuristic group-contribution/nearest-neighbour</t>
        </is>
      </c>
      <c r="H61" t="inlineStr">
        <is>
          <t>S013_EST_HSP_HEURISTIC</t>
        </is>
      </c>
      <c r="I61" t="inlineStr">
        <is>
          <t>estimated</t>
        </is>
      </c>
      <c r="J61">
        <v>0.43</v>
      </c>
      <c r="K61" t="inlineStr">
        <is>
          <t>Provisional HSP for screening; replace with experimental/literature value before model lock.</t>
        </is>
      </c>
    </row>
    <row r="62">
      <c r="A62" t="inlineStr">
        <is>
          <t>API_FLUTICASONE_PROPIONATE</t>
        </is>
      </c>
      <c r="B62" t="inlineStr">
        <is>
          <t>Hildebrand_delta_T</t>
        </is>
      </c>
      <c r="C62">
        <v>22.25</v>
      </c>
      <c r="D62" t="inlineStr">
        <is>
          <t>MPa^0.5</t>
        </is>
      </c>
      <c r="E62"/>
      <c r="F62"/>
      <c r="G62" t="inlineStr">
        <is>
          <t>sqrt(deltaD^2+deltaP^2+deltaH^2)</t>
        </is>
      </c>
      <c r="H62" t="inlineStr">
        <is>
          <t>S012_CALCULATED</t>
        </is>
      </c>
      <c r="I62" t="inlineStr">
        <is>
          <t>calculated</t>
        </is>
      </c>
      <c r="J62">
        <v>0.48</v>
      </c>
      <c r="K62" t="inlineStr">
        <is>
          <t>Derived from stored Hansen components.</t>
        </is>
      </c>
    </row>
    <row r="63">
      <c r="A63" t="inlineStr">
        <is>
          <t>API_FLUTICASONE_PROPIONATE</t>
        </is>
      </c>
      <c r="B63" t="inlineStr">
        <is>
          <t>HSP_radius_R0</t>
        </is>
      </c>
      <c r="C63">
        <v>8.5</v>
      </c>
      <c r="D63" t="inlineStr">
        <is>
          <t>MPa^0.5</t>
        </is>
      </c>
      <c r="E63"/>
      <c r="F63"/>
      <c r="G63" t="inlineStr">
        <is>
          <t>literature/heuristic solubility sphere</t>
        </is>
      </c>
      <c r="H63" t="inlineStr">
        <is>
          <t>S013_EST_HSP_HEURISTIC</t>
        </is>
      </c>
      <c r="I63" t="inlineStr">
        <is>
          <t>estimated</t>
        </is>
      </c>
      <c r="J63">
        <v>0.43</v>
      </c>
      <c r="K63" t="inlineStr">
        <is>
          <t>Screening radius only unless experimentally determined.</t>
        </is>
      </c>
    </row>
    <row r="64">
      <c r="A64" t="inlineStr">
        <is>
          <t>API_FLUTICASONE_PROPIONATE</t>
        </is>
      </c>
      <c r="B64" t="inlineStr">
        <is>
          <t>molar_volume_cm3_mol</t>
        </is>
      </c>
      <c r="C64">
        <v>400.46</v>
      </c>
      <c r="D64" t="inlineStr">
        <is>
          <t>cm3/mol</t>
        </is>
      </c>
      <c r="E64"/>
      <c r="F64"/>
      <c r="G64" t="inlineStr">
        <is>
          <t>MW/density estimate</t>
        </is>
      </c>
      <c r="H64" t="inlineStr">
        <is>
          <t>S012_CALCULATED</t>
        </is>
      </c>
      <c r="I64" t="inlineStr">
        <is>
          <t>estimated</t>
        </is>
      </c>
      <c r="J64">
        <v>0.45</v>
      </c>
      <c r="K64" t="inlineStr">
        <is>
          <t>Estimated from MW/density; replace with measured molar volume or density-specific grade data.</t>
        </is>
      </c>
    </row>
    <row r="65">
      <c r="A65" t="inlineStr">
        <is>
          <t>API_BECLOMETHASONE_DIPROPIONATE</t>
        </is>
      </c>
      <c r="B65" t="inlineStr">
        <is>
          <t>molecular_weight_g_mol</t>
        </is>
      </c>
      <c r="C65">
        <v>521.04</v>
      </c>
      <c r="D65" t="inlineStr">
        <is>
          <t>g/mol</t>
        </is>
      </c>
      <c r="E65"/>
      <c r="F65"/>
      <c r="G65" t="inlineStr">
        <is>
          <t>PubChem/handbook curation</t>
        </is>
      </c>
      <c r="H65" t="inlineStr">
        <is>
          <t>S001_PUBCHEM</t>
        </is>
      </c>
      <c r="I65" t="inlineStr">
        <is>
          <t>database-derived</t>
        </is>
      </c>
      <c r="J65">
        <v>0.88</v>
      </c>
      <c r="K65"/>
    </row>
    <row r="66">
      <c r="A66" t="inlineStr">
        <is>
          <t>API_BECLOMETHASONE_DIPROPIONATE</t>
        </is>
      </c>
      <c r="B66" t="inlineStr">
        <is>
          <t>molecular_formula</t>
        </is>
      </c>
      <c r="C66" t="inlineStr">
        <is>
          <t>C28H37ClO7</t>
        </is>
      </c>
      <c r="D66"/>
      <c r="E66"/>
      <c r="F66"/>
      <c r="G66" t="inlineStr">
        <is>
          <t>PubChem/handbook curation</t>
        </is>
      </c>
      <c r="H66" t="inlineStr">
        <is>
          <t>S001_PUBCHEM</t>
        </is>
      </c>
      <c r="I66" t="inlineStr">
        <is>
          <t>database-derived</t>
        </is>
      </c>
      <c r="J66">
        <v>0.85</v>
      </c>
      <c r="K66"/>
    </row>
    <row r="67">
      <c r="A67" t="inlineStr">
        <is>
          <t>API_BECLOMETHASONE_DIPROPIONATE</t>
        </is>
      </c>
      <c r="B67" t="inlineStr">
        <is>
          <t>LogP</t>
        </is>
      </c>
      <c r="C67">
        <v>3.5</v>
      </c>
      <c r="D67"/>
      <c r="E67"/>
      <c r="F67"/>
      <c r="G67" t="inlineStr">
        <is>
          <t>computed/curated XLogP or literature consensus</t>
        </is>
      </c>
      <c r="H67" t="inlineStr">
        <is>
          <t>S001_PUBCHEM</t>
        </is>
      </c>
      <c r="I67" t="inlineStr">
        <is>
          <t>database-derived</t>
        </is>
      </c>
      <c r="J67">
        <v>0.72</v>
      </c>
      <c r="K67" t="inlineStr">
        <is>
          <t>Approximate; salt/tautomer state may alter.</t>
        </is>
      </c>
    </row>
    <row r="68">
      <c r="A68" t="inlineStr">
        <is>
          <t>API_BECLOMETHASONE_DIPROPIONATE</t>
        </is>
      </c>
      <c r="B68" t="inlineStr">
        <is>
          <t>formal_charge</t>
        </is>
      </c>
      <c r="C68">
        <v>0</v>
      </c>
      <c r="D68" t="inlineStr">
        <is>
          <t>e</t>
        </is>
      </c>
      <c r="E68"/>
      <c r="F68"/>
      <c r="G68" t="inlineStr">
        <is>
          <t>canonical neutral parent/salt-free structure</t>
        </is>
      </c>
      <c r="H68" t="inlineStr">
        <is>
          <t>S001_PUBCHEM</t>
        </is>
      </c>
      <c r="I68" t="inlineStr">
        <is>
          <t>database-derived</t>
        </is>
      </c>
      <c r="J68">
        <v>0.82</v>
      </c>
      <c r="K68" t="inlineStr">
        <is>
          <t>Use salt-specific material row for ionic salts.</t>
        </is>
      </c>
    </row>
    <row r="69">
      <c r="A69" t="inlineStr">
        <is>
          <t>API_BECLOMETHASONE_DIPROPIONATE</t>
        </is>
      </c>
      <c r="B69" t="inlineStr">
        <is>
          <t>water_solubility_mg_ml</t>
        </is>
      </c>
      <c r="C69">
        <v>0.00013</v>
      </c>
      <c r="D69" t="inlineStr">
        <is>
          <t>mg/mL</t>
        </is>
      </c>
      <c r="E69"/>
      <c r="F69"/>
      <c r="G69" t="inlineStr">
        <is>
          <t>literature/aqueous solubility range approximated</t>
        </is>
      </c>
      <c r="H69" t="inlineStr">
        <is>
          <t>S001_PUBCHEM</t>
        </is>
      </c>
      <c r="I69" t="inlineStr">
        <is>
          <t>estimated</t>
        </is>
      </c>
      <c r="J69">
        <v>0.45</v>
      </c>
      <c r="K69" t="inlineStr">
        <is>
          <t>Highly pH- and salt-form-dependent.</t>
        </is>
      </c>
    </row>
    <row r="70">
      <c r="A70" t="inlineStr">
        <is>
          <t>API_BECLOMETHASONE_DIPROPIONATE</t>
        </is>
      </c>
      <c r="B70" t="inlineStr">
        <is>
          <t>melting_point_C</t>
        </is>
      </c>
      <c r="C70">
        <v>208</v>
      </c>
      <c r="D70" t="inlineStr">
        <is>
          <t>°C</t>
        </is>
      </c>
      <c r="E70"/>
      <c r="F70"/>
      <c r="G70" t="inlineStr">
        <is>
          <t>literature/supplier melting range</t>
        </is>
      </c>
      <c r="H70" t="inlineStr">
        <is>
          <t>S001_PUBCHEM</t>
        </is>
      </c>
      <c r="I70" t="inlineStr">
        <is>
          <t>handbook</t>
        </is>
      </c>
      <c r="J70">
        <v>0.65</v>
      </c>
      <c r="K70" t="inlineStr">
        <is>
          <t>Use polymorph-specific data when available.</t>
        </is>
      </c>
    </row>
    <row r="71">
      <c r="A71" t="inlineStr">
        <is>
          <t>API_BECLOMETHASONE_DIPROPIONATE</t>
        </is>
      </c>
      <c r="B71" t="inlineStr">
        <is>
          <t>TPSA</t>
        </is>
      </c>
      <c r="C71">
        <v>89.9</v>
      </c>
      <c r="D71" t="inlineStr">
        <is>
          <t>Å²</t>
        </is>
      </c>
      <c r="E71"/>
      <c r="F71"/>
      <c r="G71" t="inlineStr">
        <is>
          <t>computed descriptor</t>
        </is>
      </c>
      <c r="H71" t="inlineStr">
        <is>
          <t>S001_PUBCHEM</t>
        </is>
      </c>
      <c r="I71" t="inlineStr">
        <is>
          <t>database-derived</t>
        </is>
      </c>
      <c r="J71">
        <v>0.82</v>
      </c>
      <c r="K71"/>
    </row>
    <row r="72">
      <c r="A72" t="inlineStr">
        <is>
          <t>API_BECLOMETHASONE_DIPROPIONATE</t>
        </is>
      </c>
      <c r="B72" t="inlineStr">
        <is>
          <t>HBD</t>
        </is>
      </c>
      <c r="C72">
        <v>0</v>
      </c>
      <c r="D72" t="inlineStr">
        <is>
          <t>count</t>
        </is>
      </c>
      <c r="E72"/>
      <c r="F72"/>
      <c r="G72" t="inlineStr">
        <is>
          <t>computed descriptor</t>
        </is>
      </c>
      <c r="H72" t="inlineStr">
        <is>
          <t>S001_PUBCHEM</t>
        </is>
      </c>
      <c r="I72" t="inlineStr">
        <is>
          <t>database-derived</t>
        </is>
      </c>
      <c r="J72">
        <v>0.82</v>
      </c>
      <c r="K72"/>
    </row>
    <row r="73">
      <c r="A73" t="inlineStr">
        <is>
          <t>API_BECLOMETHASONE_DIPROPIONATE</t>
        </is>
      </c>
      <c r="B73" t="inlineStr">
        <is>
          <t>HBA</t>
        </is>
      </c>
      <c r="C73">
        <v>7</v>
      </c>
      <c r="D73" t="inlineStr">
        <is>
          <t>count</t>
        </is>
      </c>
      <c r="E73"/>
      <c r="F73"/>
      <c r="G73" t="inlineStr">
        <is>
          <t>computed descriptor</t>
        </is>
      </c>
      <c r="H73" t="inlineStr">
        <is>
          <t>S001_PUBCHEM</t>
        </is>
      </c>
      <c r="I73" t="inlineStr">
        <is>
          <t>database-derived</t>
        </is>
      </c>
      <c r="J73">
        <v>0.82</v>
      </c>
      <c r="K73"/>
    </row>
    <row r="74">
      <c r="A74" t="inlineStr">
        <is>
          <t>API_BECLOMETHASONE_DIPROPIONATE</t>
        </is>
      </c>
      <c r="B74" t="inlineStr">
        <is>
          <t>rotatable_bonds</t>
        </is>
      </c>
      <c r="C74">
        <v>9</v>
      </c>
      <c r="D74" t="inlineStr">
        <is>
          <t>count</t>
        </is>
      </c>
      <c r="E74"/>
      <c r="F74"/>
      <c r="G74" t="inlineStr">
        <is>
          <t>computed descriptor</t>
        </is>
      </c>
      <c r="H74" t="inlineStr">
        <is>
          <t>S001_PUBCHEM</t>
        </is>
      </c>
      <c r="I74" t="inlineStr">
        <is>
          <t>database-derived</t>
        </is>
      </c>
      <c r="J74">
        <v>0.82</v>
      </c>
      <c r="K74"/>
    </row>
    <row r="75">
      <c r="A75" t="inlineStr">
        <is>
          <t>API_BECLOMETHASONE_DIPROPIONATE</t>
        </is>
      </c>
      <c r="B75" t="inlineStr">
        <is>
          <t>aromatic_rings</t>
        </is>
      </c>
      <c r="C75">
        <v>0</v>
      </c>
      <c r="D75" t="inlineStr">
        <is>
          <t>count</t>
        </is>
      </c>
      <c r="E75"/>
      <c r="F75"/>
      <c r="G75" t="inlineStr">
        <is>
          <t>manual structural count</t>
        </is>
      </c>
      <c r="H75" t="inlineStr">
        <is>
          <t>S001_PUBCHEM</t>
        </is>
      </c>
      <c r="I75" t="inlineStr">
        <is>
          <t>estimated</t>
        </is>
      </c>
      <c r="J75">
        <v>0.6</v>
      </c>
      <c r="K75"/>
    </row>
    <row r="76">
      <c r="A76" t="inlineStr">
        <is>
          <t>API_BECLOMETHASONE_DIPROPIONATE</t>
        </is>
      </c>
      <c r="B76" t="inlineStr">
        <is>
          <t>BCS_class</t>
        </is>
      </c>
      <c r="C76" t="inlineStr">
        <is>
          <t>II</t>
        </is>
      </c>
      <c r="D76"/>
      <c r="E76"/>
      <c r="F76"/>
      <c r="G76" t="inlineStr">
        <is>
          <t>literature consensus/placeholder</t>
        </is>
      </c>
      <c r="H76" t="inlineStr">
        <is>
          <t>S007_EXCIPIENTS_HANDBOOK</t>
        </is>
      </c>
      <c r="I76" t="inlineStr">
        <is>
          <t>estimated</t>
        </is>
      </c>
      <c r="J76">
        <v>0.4</v>
      </c>
      <c r="K76" t="inlineStr">
        <is>
          <t>Must be curated from API-specific biopharmaceutics sources.</t>
        </is>
      </c>
    </row>
    <row r="77">
      <c r="A77" t="inlineStr">
        <is>
          <t>API_BECLOMETHASONE_DIPROPIONATE</t>
        </is>
      </c>
      <c r="B77" t="inlineStr">
        <is>
          <t>therapeutic_class</t>
        </is>
      </c>
      <c r="C77" t="inlineStr">
        <is>
          <t>corticosteroid</t>
        </is>
      </c>
      <c r="D77"/>
      <c r="E77"/>
      <c r="F77"/>
      <c r="G77" t="inlineStr">
        <is>
          <t>manual therapeutic annotation</t>
        </is>
      </c>
      <c r="H77" t="inlineStr">
        <is>
          <t>S001_PUBCHEM</t>
        </is>
      </c>
      <c r="I77" t="inlineStr">
        <is>
          <t>database-derived</t>
        </is>
      </c>
      <c r="J77">
        <v>0.75</v>
      </c>
      <c r="K77"/>
    </row>
    <row r="78">
      <c r="A78" t="inlineStr">
        <is>
          <t>API_BECLOMETHASONE_DIPROPIONATE</t>
        </is>
      </c>
      <c r="B78" t="inlineStr">
        <is>
          <t>payload_type</t>
        </is>
      </c>
      <c r="C78" t="inlineStr">
        <is>
          <t>small_molecule_API</t>
        </is>
      </c>
      <c r="D78"/>
      <c r="E78"/>
      <c r="F78"/>
      <c r="G78" t="inlineStr">
        <is>
          <t>payload taxonomy</t>
        </is>
      </c>
      <c r="H78" t="inlineStr">
        <is>
          <t>S000_USER_SPEC</t>
        </is>
      </c>
      <c r="I78" t="inlineStr">
        <is>
          <t>curated</t>
        </is>
      </c>
      <c r="J78">
        <v>0.8</v>
      </c>
      <c r="K78"/>
    </row>
    <row r="79">
      <c r="A79" t="inlineStr">
        <is>
          <t>API_BECLOMETHASONE_DIPROPIONATE</t>
        </is>
      </c>
      <c r="B79" t="inlineStr">
        <is>
          <t>route_notes</t>
        </is>
      </c>
      <c r="C79" t="inlineStr">
        <is>
          <t>inhaled corticosteroid prodrug-like ester</t>
        </is>
      </c>
      <c r="D79"/>
      <c r="E79"/>
      <c r="F79"/>
      <c r="G79" t="inlineStr">
        <is>
          <t>formulation-relevance annotation</t>
        </is>
      </c>
      <c r="H79" t="inlineStr">
        <is>
          <t>S014_AULTON</t>
        </is>
      </c>
      <c r="I79" t="inlineStr">
        <is>
          <t>curated</t>
        </is>
      </c>
      <c r="J79">
        <v>0.7</v>
      </c>
      <c r="K79"/>
    </row>
    <row r="80">
      <c r="A80" t="inlineStr">
        <is>
          <t>API_BECLOMETHASONE_DIPROPIONATE</t>
        </is>
      </c>
      <c r="B80" t="inlineStr">
        <is>
          <t>Hansen_delta_D</t>
        </is>
      </c>
      <c r="C80">
        <v>18.2</v>
      </c>
      <c r="D80" t="inlineStr">
        <is>
          <t>MPa^0.5</t>
        </is>
      </c>
      <c r="E80"/>
      <c r="F80"/>
      <c r="G80" t="inlineStr">
        <is>
          <t>heuristic group-contribution/nearest-neighbour</t>
        </is>
      </c>
      <c r="H80" t="inlineStr">
        <is>
          <t>S013_EST_HSP_HEURISTIC</t>
        </is>
      </c>
      <c r="I80" t="inlineStr">
        <is>
          <t>estimated</t>
        </is>
      </c>
      <c r="J80">
        <v>0.43</v>
      </c>
      <c r="K80" t="inlineStr">
        <is>
          <t>Provisional HSP for screening; replace with experimental/literature value before model lock.</t>
        </is>
      </c>
    </row>
    <row r="81">
      <c r="A81" t="inlineStr">
        <is>
          <t>API_BECLOMETHASONE_DIPROPIONATE</t>
        </is>
      </c>
      <c r="B81" t="inlineStr">
        <is>
          <t>Hansen_delta_P</t>
        </is>
      </c>
      <c r="C81">
        <v>8.0</v>
      </c>
      <c r="D81" t="inlineStr">
        <is>
          <t>MPa^0.5</t>
        </is>
      </c>
      <c r="E81"/>
      <c r="F81"/>
      <c r="G81" t="inlineStr">
        <is>
          <t>heuristic group-contribution/nearest-neighbour</t>
        </is>
      </c>
      <c r="H81" t="inlineStr">
        <is>
          <t>S013_EST_HSP_HEURISTIC</t>
        </is>
      </c>
      <c r="I81" t="inlineStr">
        <is>
          <t>estimated</t>
        </is>
      </c>
      <c r="J81">
        <v>0.43</v>
      </c>
      <c r="K81" t="inlineStr">
        <is>
          <t>Provisional HSP for screening; replace with experimental/literature value before model lock.</t>
        </is>
      </c>
    </row>
    <row r="82">
      <c r="A82" t="inlineStr">
        <is>
          <t>API_BECLOMETHASONE_DIPROPIONATE</t>
        </is>
      </c>
      <c r="B82" t="inlineStr">
        <is>
          <t>Hansen_delta_H</t>
        </is>
      </c>
      <c r="C82">
        <v>10.0</v>
      </c>
      <c r="D82" t="inlineStr">
        <is>
          <t>MPa^0.5</t>
        </is>
      </c>
      <c r="E82"/>
      <c r="F82"/>
      <c r="G82" t="inlineStr">
        <is>
          <t>heuristic group-contribution/nearest-neighbour</t>
        </is>
      </c>
      <c r="H82" t="inlineStr">
        <is>
          <t>S013_EST_HSP_HEURISTIC</t>
        </is>
      </c>
      <c r="I82" t="inlineStr">
        <is>
          <t>estimated</t>
        </is>
      </c>
      <c r="J82">
        <v>0.43</v>
      </c>
      <c r="K82" t="inlineStr">
        <is>
          <t>Provisional HSP for screening; replace with experimental/literature value before model lock.</t>
        </is>
      </c>
    </row>
    <row r="83">
      <c r="A83" t="inlineStr">
        <is>
          <t>API_BECLOMETHASONE_DIPROPIONATE</t>
        </is>
      </c>
      <c r="B83" t="inlineStr">
        <is>
          <t>Hildebrand_delta_T</t>
        </is>
      </c>
      <c r="C83">
        <v>22.25</v>
      </c>
      <c r="D83" t="inlineStr">
        <is>
          <t>MPa^0.5</t>
        </is>
      </c>
      <c r="E83"/>
      <c r="F83"/>
      <c r="G83" t="inlineStr">
        <is>
          <t>sqrt(deltaD^2+deltaP^2+deltaH^2)</t>
        </is>
      </c>
      <c r="H83" t="inlineStr">
        <is>
          <t>S012_CALCULATED</t>
        </is>
      </c>
      <c r="I83" t="inlineStr">
        <is>
          <t>calculated</t>
        </is>
      </c>
      <c r="J83">
        <v>0.48</v>
      </c>
      <c r="K83" t="inlineStr">
        <is>
          <t>Derived from stored Hansen components.</t>
        </is>
      </c>
    </row>
    <row r="84">
      <c r="A84" t="inlineStr">
        <is>
          <t>API_BECLOMETHASONE_DIPROPIONATE</t>
        </is>
      </c>
      <c r="B84" t="inlineStr">
        <is>
          <t>HSP_radius_R0</t>
        </is>
      </c>
      <c r="C84">
        <v>8.5</v>
      </c>
      <c r="D84" t="inlineStr">
        <is>
          <t>MPa^0.5</t>
        </is>
      </c>
      <c r="E84"/>
      <c r="F84"/>
      <c r="G84" t="inlineStr">
        <is>
          <t>literature/heuristic solubility sphere</t>
        </is>
      </c>
      <c r="H84" t="inlineStr">
        <is>
          <t>S013_EST_HSP_HEURISTIC</t>
        </is>
      </c>
      <c r="I84" t="inlineStr">
        <is>
          <t>estimated</t>
        </is>
      </c>
      <c r="J84">
        <v>0.43</v>
      </c>
      <c r="K84" t="inlineStr">
        <is>
          <t>Screening radius only unless experimentally determined.</t>
        </is>
      </c>
    </row>
    <row r="85">
      <c r="A85" t="inlineStr">
        <is>
          <t>API_BECLOMETHASONE_DIPROPIONATE</t>
        </is>
      </c>
      <c r="B85" t="inlineStr">
        <is>
          <t>molar_volume_cm3_mol</t>
        </is>
      </c>
      <c r="C85">
        <v>416.83</v>
      </c>
      <c r="D85" t="inlineStr">
        <is>
          <t>cm3/mol</t>
        </is>
      </c>
      <c r="E85"/>
      <c r="F85"/>
      <c r="G85" t="inlineStr">
        <is>
          <t>MW/density estimate</t>
        </is>
      </c>
      <c r="H85" t="inlineStr">
        <is>
          <t>S012_CALCULATED</t>
        </is>
      </c>
      <c r="I85" t="inlineStr">
        <is>
          <t>estimated</t>
        </is>
      </c>
      <c r="J85">
        <v>0.45</v>
      </c>
      <c r="K85" t="inlineStr">
        <is>
          <t>Estimated from MW/density; replace with measured molar volume or density-specific grade data.</t>
        </is>
      </c>
    </row>
    <row r="86">
      <c r="A86" t="inlineStr">
        <is>
          <t>API_PREDNISOLONE</t>
        </is>
      </c>
      <c r="B86" t="inlineStr">
        <is>
          <t>molecular_weight_g_mol</t>
        </is>
      </c>
      <c r="C86">
        <v>360.44</v>
      </c>
      <c r="D86" t="inlineStr">
        <is>
          <t>g/mol</t>
        </is>
      </c>
      <c r="E86"/>
      <c r="F86"/>
      <c r="G86" t="inlineStr">
        <is>
          <t>PubChem/handbook curation</t>
        </is>
      </c>
      <c r="H86" t="inlineStr">
        <is>
          <t>S001_PUBCHEM</t>
        </is>
      </c>
      <c r="I86" t="inlineStr">
        <is>
          <t>database-derived</t>
        </is>
      </c>
      <c r="J86">
        <v>0.88</v>
      </c>
      <c r="K86"/>
    </row>
    <row r="87">
      <c r="A87" t="inlineStr">
        <is>
          <t>API_PREDNISOLONE</t>
        </is>
      </c>
      <c r="B87" t="inlineStr">
        <is>
          <t>molecular_formula</t>
        </is>
      </c>
      <c r="C87" t="inlineStr">
        <is>
          <t>C21H28O5</t>
        </is>
      </c>
      <c r="D87"/>
      <c r="E87"/>
      <c r="F87"/>
      <c r="G87" t="inlineStr">
        <is>
          <t>PubChem/handbook curation</t>
        </is>
      </c>
      <c r="H87" t="inlineStr">
        <is>
          <t>S001_PUBCHEM</t>
        </is>
      </c>
      <c r="I87" t="inlineStr">
        <is>
          <t>database-derived</t>
        </is>
      </c>
      <c r="J87">
        <v>0.85</v>
      </c>
      <c r="K87"/>
    </row>
    <row r="88">
      <c r="A88" t="inlineStr">
        <is>
          <t>API_PREDNISOLONE</t>
        </is>
      </c>
      <c r="B88" t="inlineStr">
        <is>
          <t>LogP</t>
        </is>
      </c>
      <c r="C88">
        <v>1.6</v>
      </c>
      <c r="D88"/>
      <c r="E88"/>
      <c r="F88"/>
      <c r="G88" t="inlineStr">
        <is>
          <t>computed/curated XLogP or literature consensus</t>
        </is>
      </c>
      <c r="H88" t="inlineStr">
        <is>
          <t>S001_PUBCHEM</t>
        </is>
      </c>
      <c r="I88" t="inlineStr">
        <is>
          <t>database-derived</t>
        </is>
      </c>
      <c r="J88">
        <v>0.72</v>
      </c>
      <c r="K88" t="inlineStr">
        <is>
          <t>Approximate; salt/tautomer state may alter.</t>
        </is>
      </c>
    </row>
    <row r="89">
      <c r="A89" t="inlineStr">
        <is>
          <t>API_PREDNISOLONE</t>
        </is>
      </c>
      <c r="B89" t="inlineStr">
        <is>
          <t>formal_charge</t>
        </is>
      </c>
      <c r="C89">
        <v>0</v>
      </c>
      <c r="D89" t="inlineStr">
        <is>
          <t>e</t>
        </is>
      </c>
      <c r="E89"/>
      <c r="F89"/>
      <c r="G89" t="inlineStr">
        <is>
          <t>canonical neutral parent/salt-free structure</t>
        </is>
      </c>
      <c r="H89" t="inlineStr">
        <is>
          <t>S001_PUBCHEM</t>
        </is>
      </c>
      <c r="I89" t="inlineStr">
        <is>
          <t>database-derived</t>
        </is>
      </c>
      <c r="J89">
        <v>0.82</v>
      </c>
      <c r="K89" t="inlineStr">
        <is>
          <t>Use salt-specific material row for ionic salts.</t>
        </is>
      </c>
    </row>
    <row r="90">
      <c r="A90" t="inlineStr">
        <is>
          <t>API_PREDNISOLONE</t>
        </is>
      </c>
      <c r="B90" t="inlineStr">
        <is>
          <t>water_solubility_mg_ml</t>
        </is>
      </c>
      <c r="C90">
        <v>0.22</v>
      </c>
      <c r="D90" t="inlineStr">
        <is>
          <t>mg/mL</t>
        </is>
      </c>
      <c r="E90"/>
      <c r="F90"/>
      <c r="G90" t="inlineStr">
        <is>
          <t>literature/aqueous solubility range approximated</t>
        </is>
      </c>
      <c r="H90" t="inlineStr">
        <is>
          <t>S001_PUBCHEM</t>
        </is>
      </c>
      <c r="I90" t="inlineStr">
        <is>
          <t>estimated</t>
        </is>
      </c>
      <c r="J90">
        <v>0.45</v>
      </c>
      <c r="K90" t="inlineStr">
        <is>
          <t>Highly pH- and salt-form-dependent.</t>
        </is>
      </c>
    </row>
    <row r="91">
      <c r="A91" t="inlineStr">
        <is>
          <t>API_PREDNISOLONE</t>
        </is>
      </c>
      <c r="B91" t="inlineStr">
        <is>
          <t>melting_point_C</t>
        </is>
      </c>
      <c r="C91">
        <v>235</v>
      </c>
      <c r="D91" t="inlineStr">
        <is>
          <t>°C</t>
        </is>
      </c>
      <c r="E91"/>
      <c r="F91"/>
      <c r="G91" t="inlineStr">
        <is>
          <t>literature/supplier melting range</t>
        </is>
      </c>
      <c r="H91" t="inlineStr">
        <is>
          <t>S001_PUBCHEM</t>
        </is>
      </c>
      <c r="I91" t="inlineStr">
        <is>
          <t>handbook</t>
        </is>
      </c>
      <c r="J91">
        <v>0.65</v>
      </c>
      <c r="K91" t="inlineStr">
        <is>
          <t>Use polymorph-specific data when available.</t>
        </is>
      </c>
    </row>
    <row r="92">
      <c r="A92" t="inlineStr">
        <is>
          <t>API_PREDNISOLONE</t>
        </is>
      </c>
      <c r="B92" t="inlineStr">
        <is>
          <t>TPSA</t>
        </is>
      </c>
      <c r="C92">
        <v>94.8</v>
      </c>
      <c r="D92" t="inlineStr">
        <is>
          <t>Å²</t>
        </is>
      </c>
      <c r="E92"/>
      <c r="F92"/>
      <c r="G92" t="inlineStr">
        <is>
          <t>computed descriptor</t>
        </is>
      </c>
      <c r="H92" t="inlineStr">
        <is>
          <t>S001_PUBCHEM</t>
        </is>
      </c>
      <c r="I92" t="inlineStr">
        <is>
          <t>database-derived</t>
        </is>
      </c>
      <c r="J92">
        <v>0.82</v>
      </c>
      <c r="K92"/>
    </row>
    <row r="93">
      <c r="A93" t="inlineStr">
        <is>
          <t>API_PREDNISOLONE</t>
        </is>
      </c>
      <c r="B93" t="inlineStr">
        <is>
          <t>HBD</t>
        </is>
      </c>
      <c r="C93">
        <v>3</v>
      </c>
      <c r="D93" t="inlineStr">
        <is>
          <t>count</t>
        </is>
      </c>
      <c r="E93"/>
      <c r="F93"/>
      <c r="G93" t="inlineStr">
        <is>
          <t>computed descriptor</t>
        </is>
      </c>
      <c r="H93" t="inlineStr">
        <is>
          <t>S001_PUBCHEM</t>
        </is>
      </c>
      <c r="I93" t="inlineStr">
        <is>
          <t>database-derived</t>
        </is>
      </c>
      <c r="J93">
        <v>0.82</v>
      </c>
      <c r="K93"/>
    </row>
    <row r="94">
      <c r="A94" t="inlineStr">
        <is>
          <t>API_PREDNISOLONE</t>
        </is>
      </c>
      <c r="B94" t="inlineStr">
        <is>
          <t>HBA</t>
        </is>
      </c>
      <c r="C94">
        <v>5</v>
      </c>
      <c r="D94" t="inlineStr">
        <is>
          <t>count</t>
        </is>
      </c>
      <c r="E94"/>
      <c r="F94"/>
      <c r="G94" t="inlineStr">
        <is>
          <t>computed descriptor</t>
        </is>
      </c>
      <c r="H94" t="inlineStr">
        <is>
          <t>S001_PUBCHEM</t>
        </is>
      </c>
      <c r="I94" t="inlineStr">
        <is>
          <t>database-derived</t>
        </is>
      </c>
      <c r="J94">
        <v>0.82</v>
      </c>
      <c r="K94"/>
    </row>
    <row r="95">
      <c r="A95" t="inlineStr">
        <is>
          <t>API_PREDNISOLONE</t>
        </is>
      </c>
      <c r="B95" t="inlineStr">
        <is>
          <t>rotatable_bonds</t>
        </is>
      </c>
      <c r="C95">
        <v>2</v>
      </c>
      <c r="D95" t="inlineStr">
        <is>
          <t>count</t>
        </is>
      </c>
      <c r="E95"/>
      <c r="F95"/>
      <c r="G95" t="inlineStr">
        <is>
          <t>computed descriptor</t>
        </is>
      </c>
      <c r="H95" t="inlineStr">
        <is>
          <t>S001_PUBCHEM</t>
        </is>
      </c>
      <c r="I95" t="inlineStr">
        <is>
          <t>database-derived</t>
        </is>
      </c>
      <c r="J95">
        <v>0.82</v>
      </c>
      <c r="K95"/>
    </row>
    <row r="96">
      <c r="A96" t="inlineStr">
        <is>
          <t>API_PREDNISOLONE</t>
        </is>
      </c>
      <c r="B96" t="inlineStr">
        <is>
          <t>aromatic_rings</t>
        </is>
      </c>
      <c r="C96">
        <v>1</v>
      </c>
      <c r="D96" t="inlineStr">
        <is>
          <t>count</t>
        </is>
      </c>
      <c r="E96"/>
      <c r="F96"/>
      <c r="G96" t="inlineStr">
        <is>
          <t>manual structural count</t>
        </is>
      </c>
      <c r="H96" t="inlineStr">
        <is>
          <t>S001_PUBCHEM</t>
        </is>
      </c>
      <c r="I96" t="inlineStr">
        <is>
          <t>estimated</t>
        </is>
      </c>
      <c r="J96">
        <v>0.6</v>
      </c>
      <c r="K96"/>
    </row>
    <row r="97">
      <c r="A97" t="inlineStr">
        <is>
          <t>API_PREDNISOLONE</t>
        </is>
      </c>
      <c r="B97" t="inlineStr">
        <is>
          <t>BCS_class</t>
        </is>
      </c>
      <c r="C97" t="inlineStr">
        <is>
          <t>I/II</t>
        </is>
      </c>
      <c r="D97"/>
      <c r="E97"/>
      <c r="F97"/>
      <c r="G97" t="inlineStr">
        <is>
          <t>literature consensus/placeholder</t>
        </is>
      </c>
      <c r="H97" t="inlineStr">
        <is>
          <t>S007_EXCIPIENTS_HANDBOOK</t>
        </is>
      </c>
      <c r="I97" t="inlineStr">
        <is>
          <t>estimated</t>
        </is>
      </c>
      <c r="J97">
        <v>0.4</v>
      </c>
      <c r="K97" t="inlineStr">
        <is>
          <t>Must be curated from API-specific biopharmaceutics sources.</t>
        </is>
      </c>
    </row>
    <row r="98">
      <c r="A98" t="inlineStr">
        <is>
          <t>API_PREDNISOLONE</t>
        </is>
      </c>
      <c r="B98" t="inlineStr">
        <is>
          <t>therapeutic_class</t>
        </is>
      </c>
      <c r="C98" t="inlineStr">
        <is>
          <t>corticosteroid</t>
        </is>
      </c>
      <c r="D98"/>
      <c r="E98"/>
      <c r="F98"/>
      <c r="G98" t="inlineStr">
        <is>
          <t>manual therapeutic annotation</t>
        </is>
      </c>
      <c r="H98" t="inlineStr">
        <is>
          <t>S001_PUBCHEM</t>
        </is>
      </c>
      <c r="I98" t="inlineStr">
        <is>
          <t>database-derived</t>
        </is>
      </c>
      <c r="J98">
        <v>0.75</v>
      </c>
      <c r="K98"/>
    </row>
    <row r="99">
      <c r="A99" t="inlineStr">
        <is>
          <t>API_PREDNISOLONE</t>
        </is>
      </c>
      <c r="B99" t="inlineStr">
        <is>
          <t>payload_type</t>
        </is>
      </c>
      <c r="C99" t="inlineStr">
        <is>
          <t>small_molecule_API</t>
        </is>
      </c>
      <c r="D99"/>
      <c r="E99"/>
      <c r="F99"/>
      <c r="G99" t="inlineStr">
        <is>
          <t>payload taxonomy</t>
        </is>
      </c>
      <c r="H99" t="inlineStr">
        <is>
          <t>S000_USER_SPEC</t>
        </is>
      </c>
      <c r="I99" t="inlineStr">
        <is>
          <t>curated</t>
        </is>
      </c>
      <c r="J99">
        <v>0.8</v>
      </c>
      <c r="K99"/>
    </row>
    <row r="100">
      <c r="A100" t="inlineStr">
        <is>
          <t>API_PREDNISOLONE</t>
        </is>
      </c>
      <c r="B100" t="inlineStr">
        <is>
          <t>route_notes</t>
        </is>
      </c>
      <c r="C100" t="inlineStr">
        <is>
          <t>corticosteroid; oral/topical/parenteral precedent</t>
        </is>
      </c>
      <c r="D100"/>
      <c r="E100"/>
      <c r="F100"/>
      <c r="G100" t="inlineStr">
        <is>
          <t>formulation-relevance annotation</t>
        </is>
      </c>
      <c r="H100" t="inlineStr">
        <is>
          <t>S014_AULTON</t>
        </is>
      </c>
      <c r="I100" t="inlineStr">
        <is>
          <t>curated</t>
        </is>
      </c>
      <c r="J100">
        <v>0.7</v>
      </c>
      <c r="K100"/>
    </row>
    <row r="101">
      <c r="A101" t="inlineStr">
        <is>
          <t>API_PREDNISOLONE</t>
        </is>
      </c>
      <c r="B101" t="inlineStr">
        <is>
          <t>Hansen_delta_D</t>
        </is>
      </c>
      <c r="C101">
        <v>18.0</v>
      </c>
      <c r="D101" t="inlineStr">
        <is>
          <t>MPa^0.5</t>
        </is>
      </c>
      <c r="E101"/>
      <c r="F101"/>
      <c r="G101" t="inlineStr">
        <is>
          <t>heuristic group-contribution/nearest-neighbour</t>
        </is>
      </c>
      <c r="H101" t="inlineStr">
        <is>
          <t>S013_EST_HSP_HEURISTIC</t>
        </is>
      </c>
      <c r="I101" t="inlineStr">
        <is>
          <t>estimated</t>
        </is>
      </c>
      <c r="J101">
        <v>0.43</v>
      </c>
      <c r="K101" t="inlineStr">
        <is>
          <t>Provisional HSP for screening; replace with experimental/literature value before model lock.</t>
        </is>
      </c>
    </row>
    <row r="102">
      <c r="A102" t="inlineStr">
        <is>
          <t>API_PREDNISOLONE</t>
        </is>
      </c>
      <c r="B102" t="inlineStr">
        <is>
          <t>Hansen_delta_P</t>
        </is>
      </c>
      <c r="C102">
        <v>10.5</v>
      </c>
      <c r="D102" t="inlineStr">
        <is>
          <t>MPa^0.5</t>
        </is>
      </c>
      <c r="E102"/>
      <c r="F102"/>
      <c r="G102" t="inlineStr">
        <is>
          <t>heuristic group-contribution/nearest-neighbour</t>
        </is>
      </c>
      <c r="H102" t="inlineStr">
        <is>
          <t>S013_EST_HSP_HEURISTIC</t>
        </is>
      </c>
      <c r="I102" t="inlineStr">
        <is>
          <t>estimated</t>
        </is>
      </c>
      <c r="J102">
        <v>0.43</v>
      </c>
      <c r="K102" t="inlineStr">
        <is>
          <t>Provisional HSP for screening; replace with experimental/literature value before model lock.</t>
        </is>
      </c>
    </row>
    <row r="103">
      <c r="A103" t="inlineStr">
        <is>
          <t>API_PREDNISOLONE</t>
        </is>
      </c>
      <c r="B103" t="inlineStr">
        <is>
          <t>Hansen_delta_H</t>
        </is>
      </c>
      <c r="C103">
        <v>13.0</v>
      </c>
      <c r="D103" t="inlineStr">
        <is>
          <t>MPa^0.5</t>
        </is>
      </c>
      <c r="E103"/>
      <c r="F103"/>
      <c r="G103" t="inlineStr">
        <is>
          <t>heuristic group-contribution/nearest-neighbour</t>
        </is>
      </c>
      <c r="H103" t="inlineStr">
        <is>
          <t>S013_EST_HSP_HEURISTIC</t>
        </is>
      </c>
      <c r="I103" t="inlineStr">
        <is>
          <t>estimated</t>
        </is>
      </c>
      <c r="J103">
        <v>0.43</v>
      </c>
      <c r="K103" t="inlineStr">
        <is>
          <t>Provisional HSP for screening; replace with experimental/literature value before model lock.</t>
        </is>
      </c>
    </row>
    <row r="104">
      <c r="A104" t="inlineStr">
        <is>
          <t>API_PREDNISOLONE</t>
        </is>
      </c>
      <c r="B104" t="inlineStr">
        <is>
          <t>Hildebrand_delta_T</t>
        </is>
      </c>
      <c r="C104">
        <v>24.56</v>
      </c>
      <c r="D104" t="inlineStr">
        <is>
          <t>MPa^0.5</t>
        </is>
      </c>
      <c r="E104"/>
      <c r="F104"/>
      <c r="G104" t="inlineStr">
        <is>
          <t>sqrt(deltaD^2+deltaP^2+deltaH^2)</t>
        </is>
      </c>
      <c r="H104" t="inlineStr">
        <is>
          <t>S012_CALCULATED</t>
        </is>
      </c>
      <c r="I104" t="inlineStr">
        <is>
          <t>calculated</t>
        </is>
      </c>
      <c r="J104">
        <v>0.48</v>
      </c>
      <c r="K104" t="inlineStr">
        <is>
          <t>Derived from stored Hansen components.</t>
        </is>
      </c>
    </row>
    <row r="105">
      <c r="A105" t="inlineStr">
        <is>
          <t>API_PREDNISOLONE</t>
        </is>
      </c>
      <c r="B105" t="inlineStr">
        <is>
          <t>HSP_radius_R0</t>
        </is>
      </c>
      <c r="C105">
        <v>9.0</v>
      </c>
      <c r="D105" t="inlineStr">
        <is>
          <t>MPa^0.5</t>
        </is>
      </c>
      <c r="E105"/>
      <c r="F105"/>
      <c r="G105" t="inlineStr">
        <is>
          <t>literature/heuristic solubility sphere</t>
        </is>
      </c>
      <c r="H105" t="inlineStr">
        <is>
          <t>S013_EST_HSP_HEURISTIC</t>
        </is>
      </c>
      <c r="I105" t="inlineStr">
        <is>
          <t>estimated</t>
        </is>
      </c>
      <c r="J105">
        <v>0.43</v>
      </c>
      <c r="K105" t="inlineStr">
        <is>
          <t>Screening radius only unless experimentally determined.</t>
        </is>
      </c>
    </row>
    <row r="106">
      <c r="A106" t="inlineStr">
        <is>
          <t>API_PREDNISOLONE</t>
        </is>
      </c>
      <c r="B106" t="inlineStr">
        <is>
          <t>molar_volume_cm3_mol</t>
        </is>
      </c>
      <c r="C106">
        <v>288.35</v>
      </c>
      <c r="D106" t="inlineStr">
        <is>
          <t>cm3/mol</t>
        </is>
      </c>
      <c r="E106"/>
      <c r="F106"/>
      <c r="G106" t="inlineStr">
        <is>
          <t>MW/density estimate</t>
        </is>
      </c>
      <c r="H106" t="inlineStr">
        <is>
          <t>S012_CALCULATED</t>
        </is>
      </c>
      <c r="I106" t="inlineStr">
        <is>
          <t>estimated</t>
        </is>
      </c>
      <c r="J106">
        <v>0.45</v>
      </c>
      <c r="K106" t="inlineStr">
        <is>
          <t>Estimated from MW/density; replace with measured molar volume or density-specific grade data.</t>
        </is>
      </c>
    </row>
    <row r="107">
      <c r="A107" t="inlineStr">
        <is>
          <t>API_HYDROCORTISONE</t>
        </is>
      </c>
      <c r="B107" t="inlineStr">
        <is>
          <t>molecular_weight_g_mol</t>
        </is>
      </c>
      <c r="C107">
        <v>362.46</v>
      </c>
      <c r="D107" t="inlineStr">
        <is>
          <t>g/mol</t>
        </is>
      </c>
      <c r="E107"/>
      <c r="F107"/>
      <c r="G107" t="inlineStr">
        <is>
          <t>PubChem/handbook curation</t>
        </is>
      </c>
      <c r="H107" t="inlineStr">
        <is>
          <t>S001_PUBCHEM</t>
        </is>
      </c>
      <c r="I107" t="inlineStr">
        <is>
          <t>database-derived</t>
        </is>
      </c>
      <c r="J107">
        <v>0.88</v>
      </c>
      <c r="K107"/>
    </row>
    <row r="108">
      <c r="A108" t="inlineStr">
        <is>
          <t>API_HYDROCORTISONE</t>
        </is>
      </c>
      <c r="B108" t="inlineStr">
        <is>
          <t>molecular_formula</t>
        </is>
      </c>
      <c r="C108" t="inlineStr">
        <is>
          <t>C21H30O5</t>
        </is>
      </c>
      <c r="D108"/>
      <c r="E108"/>
      <c r="F108"/>
      <c r="G108" t="inlineStr">
        <is>
          <t>PubChem/handbook curation</t>
        </is>
      </c>
      <c r="H108" t="inlineStr">
        <is>
          <t>S001_PUBCHEM</t>
        </is>
      </c>
      <c r="I108" t="inlineStr">
        <is>
          <t>database-derived</t>
        </is>
      </c>
      <c r="J108">
        <v>0.85</v>
      </c>
      <c r="K108"/>
    </row>
    <row r="109">
      <c r="A109" t="inlineStr">
        <is>
          <t>API_HYDROCORTISONE</t>
        </is>
      </c>
      <c r="B109" t="inlineStr">
        <is>
          <t>LogP</t>
        </is>
      </c>
      <c r="C109">
        <v>1.6</v>
      </c>
      <c r="D109"/>
      <c r="E109"/>
      <c r="F109"/>
      <c r="G109" t="inlineStr">
        <is>
          <t>computed/curated XLogP or literature consensus</t>
        </is>
      </c>
      <c r="H109" t="inlineStr">
        <is>
          <t>S001_PUBCHEM</t>
        </is>
      </c>
      <c r="I109" t="inlineStr">
        <is>
          <t>database-derived</t>
        </is>
      </c>
      <c r="J109">
        <v>0.72</v>
      </c>
      <c r="K109" t="inlineStr">
        <is>
          <t>Approximate; salt/tautomer state may alter.</t>
        </is>
      </c>
    </row>
    <row r="110">
      <c r="A110" t="inlineStr">
        <is>
          <t>API_HYDROCORTISONE</t>
        </is>
      </c>
      <c r="B110" t="inlineStr">
        <is>
          <t>formal_charge</t>
        </is>
      </c>
      <c r="C110">
        <v>0</v>
      </c>
      <c r="D110" t="inlineStr">
        <is>
          <t>e</t>
        </is>
      </c>
      <c r="E110"/>
      <c r="F110"/>
      <c r="G110" t="inlineStr">
        <is>
          <t>canonical neutral parent/salt-free structure</t>
        </is>
      </c>
      <c r="H110" t="inlineStr">
        <is>
          <t>S001_PUBCHEM</t>
        </is>
      </c>
      <c r="I110" t="inlineStr">
        <is>
          <t>database-derived</t>
        </is>
      </c>
      <c r="J110">
        <v>0.82</v>
      </c>
      <c r="K110" t="inlineStr">
        <is>
          <t>Use salt-specific material row for ionic salts.</t>
        </is>
      </c>
    </row>
    <row r="111">
      <c r="A111" t="inlineStr">
        <is>
          <t>API_HYDROCORTISONE</t>
        </is>
      </c>
      <c r="B111" t="inlineStr">
        <is>
          <t>water_solubility_mg_ml</t>
        </is>
      </c>
      <c r="C111">
        <v>0.28</v>
      </c>
      <c r="D111" t="inlineStr">
        <is>
          <t>mg/mL</t>
        </is>
      </c>
      <c r="E111"/>
      <c r="F111"/>
      <c r="G111" t="inlineStr">
        <is>
          <t>literature/aqueous solubility range approximated</t>
        </is>
      </c>
      <c r="H111" t="inlineStr">
        <is>
          <t>S001_PUBCHEM</t>
        </is>
      </c>
      <c r="I111" t="inlineStr">
        <is>
          <t>estimated</t>
        </is>
      </c>
      <c r="J111">
        <v>0.45</v>
      </c>
      <c r="K111" t="inlineStr">
        <is>
          <t>Highly pH- and salt-form-dependent.</t>
        </is>
      </c>
    </row>
    <row r="112">
      <c r="A112" t="inlineStr">
        <is>
          <t>API_HYDROCORTISONE</t>
        </is>
      </c>
      <c r="B112" t="inlineStr">
        <is>
          <t>melting_point_C</t>
        </is>
      </c>
      <c r="C112">
        <v>220</v>
      </c>
      <c r="D112" t="inlineStr">
        <is>
          <t>°C</t>
        </is>
      </c>
      <c r="E112"/>
      <c r="F112"/>
      <c r="G112" t="inlineStr">
        <is>
          <t>literature/supplier melting range</t>
        </is>
      </c>
      <c r="H112" t="inlineStr">
        <is>
          <t>S001_PUBCHEM</t>
        </is>
      </c>
      <c r="I112" t="inlineStr">
        <is>
          <t>handbook</t>
        </is>
      </c>
      <c r="J112">
        <v>0.65</v>
      </c>
      <c r="K112" t="inlineStr">
        <is>
          <t>Use polymorph-specific data when available.</t>
        </is>
      </c>
    </row>
    <row r="113">
      <c r="A113" t="inlineStr">
        <is>
          <t>API_HYDROCORTISONE</t>
        </is>
      </c>
      <c r="B113" t="inlineStr">
        <is>
          <t>TPSA</t>
        </is>
      </c>
      <c r="C113">
        <v>94.8</v>
      </c>
      <c r="D113" t="inlineStr">
        <is>
          <t>Å²</t>
        </is>
      </c>
      <c r="E113"/>
      <c r="F113"/>
      <c r="G113" t="inlineStr">
        <is>
          <t>computed descriptor</t>
        </is>
      </c>
      <c r="H113" t="inlineStr">
        <is>
          <t>S001_PUBCHEM</t>
        </is>
      </c>
      <c r="I113" t="inlineStr">
        <is>
          <t>database-derived</t>
        </is>
      </c>
      <c r="J113">
        <v>0.82</v>
      </c>
      <c r="K113"/>
    </row>
    <row r="114">
      <c r="A114" t="inlineStr">
        <is>
          <t>API_HYDROCORTISONE</t>
        </is>
      </c>
      <c r="B114" t="inlineStr">
        <is>
          <t>HBD</t>
        </is>
      </c>
      <c r="C114">
        <v>3</v>
      </c>
      <c r="D114" t="inlineStr">
        <is>
          <t>count</t>
        </is>
      </c>
      <c r="E114"/>
      <c r="F114"/>
      <c r="G114" t="inlineStr">
        <is>
          <t>computed descriptor</t>
        </is>
      </c>
      <c r="H114" t="inlineStr">
        <is>
          <t>S001_PUBCHEM</t>
        </is>
      </c>
      <c r="I114" t="inlineStr">
        <is>
          <t>database-derived</t>
        </is>
      </c>
      <c r="J114">
        <v>0.82</v>
      </c>
      <c r="K114"/>
    </row>
    <row r="115">
      <c r="A115" t="inlineStr">
        <is>
          <t>API_HYDROCORTISONE</t>
        </is>
      </c>
      <c r="B115" t="inlineStr">
        <is>
          <t>HBA</t>
        </is>
      </c>
      <c r="C115">
        <v>5</v>
      </c>
      <c r="D115" t="inlineStr">
        <is>
          <t>count</t>
        </is>
      </c>
      <c r="E115"/>
      <c r="F115"/>
      <c r="G115" t="inlineStr">
        <is>
          <t>computed descriptor</t>
        </is>
      </c>
      <c r="H115" t="inlineStr">
        <is>
          <t>S001_PUBCHEM</t>
        </is>
      </c>
      <c r="I115" t="inlineStr">
        <is>
          <t>database-derived</t>
        </is>
      </c>
      <c r="J115">
        <v>0.82</v>
      </c>
      <c r="K115"/>
    </row>
    <row r="116">
      <c r="A116" t="inlineStr">
        <is>
          <t>API_HYDROCORTISONE</t>
        </is>
      </c>
      <c r="B116" t="inlineStr">
        <is>
          <t>rotatable_bonds</t>
        </is>
      </c>
      <c r="C116">
        <v>2</v>
      </c>
      <c r="D116" t="inlineStr">
        <is>
          <t>count</t>
        </is>
      </c>
      <c r="E116"/>
      <c r="F116"/>
      <c r="G116" t="inlineStr">
        <is>
          <t>computed descriptor</t>
        </is>
      </c>
      <c r="H116" t="inlineStr">
        <is>
          <t>S001_PUBCHEM</t>
        </is>
      </c>
      <c r="I116" t="inlineStr">
        <is>
          <t>database-derived</t>
        </is>
      </c>
      <c r="J116">
        <v>0.82</v>
      </c>
      <c r="K116"/>
    </row>
    <row r="117">
      <c r="A117" t="inlineStr">
        <is>
          <t>API_HYDROCORTISONE</t>
        </is>
      </c>
      <c r="B117" t="inlineStr">
        <is>
          <t>aromatic_rings</t>
        </is>
      </c>
      <c r="C117">
        <v>0</v>
      </c>
      <c r="D117" t="inlineStr">
        <is>
          <t>count</t>
        </is>
      </c>
      <c r="E117"/>
      <c r="F117"/>
      <c r="G117" t="inlineStr">
        <is>
          <t>manual structural count</t>
        </is>
      </c>
      <c r="H117" t="inlineStr">
        <is>
          <t>S001_PUBCHEM</t>
        </is>
      </c>
      <c r="I117" t="inlineStr">
        <is>
          <t>estimated</t>
        </is>
      </c>
      <c r="J117">
        <v>0.6</v>
      </c>
      <c r="K117"/>
    </row>
    <row r="118">
      <c r="A118" t="inlineStr">
        <is>
          <t>API_HYDROCORTISONE</t>
        </is>
      </c>
      <c r="B118" t="inlineStr">
        <is>
          <t>BCS_class</t>
        </is>
      </c>
      <c r="C118" t="inlineStr">
        <is>
          <t>I/II</t>
        </is>
      </c>
      <c r="D118"/>
      <c r="E118"/>
      <c r="F118"/>
      <c r="G118" t="inlineStr">
        <is>
          <t>literature consensus/placeholder</t>
        </is>
      </c>
      <c r="H118" t="inlineStr">
        <is>
          <t>S007_EXCIPIENTS_HANDBOOK</t>
        </is>
      </c>
      <c r="I118" t="inlineStr">
        <is>
          <t>estimated</t>
        </is>
      </c>
      <c r="J118">
        <v>0.4</v>
      </c>
      <c r="K118" t="inlineStr">
        <is>
          <t>Must be curated from API-specific biopharmaceutics sources.</t>
        </is>
      </c>
    </row>
    <row r="119">
      <c r="A119" t="inlineStr">
        <is>
          <t>API_HYDROCORTISONE</t>
        </is>
      </c>
      <c r="B119" t="inlineStr">
        <is>
          <t>therapeutic_class</t>
        </is>
      </c>
      <c r="C119" t="inlineStr">
        <is>
          <t>corticosteroid</t>
        </is>
      </c>
      <c r="D119"/>
      <c r="E119"/>
      <c r="F119"/>
      <c r="G119" t="inlineStr">
        <is>
          <t>manual therapeutic annotation</t>
        </is>
      </c>
      <c r="H119" t="inlineStr">
        <is>
          <t>S001_PUBCHEM</t>
        </is>
      </c>
      <c r="I119" t="inlineStr">
        <is>
          <t>database-derived</t>
        </is>
      </c>
      <c r="J119">
        <v>0.75</v>
      </c>
      <c r="K119"/>
    </row>
    <row r="120">
      <c r="A120" t="inlineStr">
        <is>
          <t>API_HYDROCORTISONE</t>
        </is>
      </c>
      <c r="B120" t="inlineStr">
        <is>
          <t>payload_type</t>
        </is>
      </c>
      <c r="C120" t="inlineStr">
        <is>
          <t>small_molecule_API</t>
        </is>
      </c>
      <c r="D120"/>
      <c r="E120"/>
      <c r="F120"/>
      <c r="G120" t="inlineStr">
        <is>
          <t>payload taxonomy</t>
        </is>
      </c>
      <c r="H120" t="inlineStr">
        <is>
          <t>S000_USER_SPEC</t>
        </is>
      </c>
      <c r="I120" t="inlineStr">
        <is>
          <t>curated</t>
        </is>
      </c>
      <c r="J120">
        <v>0.8</v>
      </c>
      <c r="K120"/>
    </row>
    <row r="121">
      <c r="A121" t="inlineStr">
        <is>
          <t>API_HYDROCORTISONE</t>
        </is>
      </c>
      <c r="B121" t="inlineStr">
        <is>
          <t>route_notes</t>
        </is>
      </c>
      <c r="C121" t="inlineStr">
        <is>
          <t>corticosteroid; benchmark amphiphilic neutral drug</t>
        </is>
      </c>
      <c r="D121"/>
      <c r="E121"/>
      <c r="F121"/>
      <c r="G121" t="inlineStr">
        <is>
          <t>formulation-relevance annotation</t>
        </is>
      </c>
      <c r="H121" t="inlineStr">
        <is>
          <t>S014_AULTON</t>
        </is>
      </c>
      <c r="I121" t="inlineStr">
        <is>
          <t>curated</t>
        </is>
      </c>
      <c r="J121">
        <v>0.7</v>
      </c>
      <c r="K121"/>
    </row>
    <row r="122">
      <c r="A122" t="inlineStr">
        <is>
          <t>API_HYDROCORTISONE</t>
        </is>
      </c>
      <c r="B122" t="inlineStr">
        <is>
          <t>Hansen_delta_D</t>
        </is>
      </c>
      <c r="C122">
        <v>18.0</v>
      </c>
      <c r="D122" t="inlineStr">
        <is>
          <t>MPa^0.5</t>
        </is>
      </c>
      <c r="E122"/>
      <c r="F122"/>
      <c r="G122" t="inlineStr">
        <is>
          <t>heuristic group-contribution/nearest-neighbour</t>
        </is>
      </c>
      <c r="H122" t="inlineStr">
        <is>
          <t>S013_EST_HSP_HEURISTIC</t>
        </is>
      </c>
      <c r="I122" t="inlineStr">
        <is>
          <t>estimated</t>
        </is>
      </c>
      <c r="J122">
        <v>0.43</v>
      </c>
      <c r="K122" t="inlineStr">
        <is>
          <t>Provisional HSP for screening; replace with experimental/literature value before model lock.</t>
        </is>
      </c>
    </row>
    <row r="123">
      <c r="A123" t="inlineStr">
        <is>
          <t>API_HYDROCORTISONE</t>
        </is>
      </c>
      <c r="B123" t="inlineStr">
        <is>
          <t>Hansen_delta_P</t>
        </is>
      </c>
      <c r="C123">
        <v>10.5</v>
      </c>
      <c r="D123" t="inlineStr">
        <is>
          <t>MPa^0.5</t>
        </is>
      </c>
      <c r="E123"/>
      <c r="F123"/>
      <c r="G123" t="inlineStr">
        <is>
          <t>heuristic group-contribution/nearest-neighbour</t>
        </is>
      </c>
      <c r="H123" t="inlineStr">
        <is>
          <t>S013_EST_HSP_HEURISTIC</t>
        </is>
      </c>
      <c r="I123" t="inlineStr">
        <is>
          <t>estimated</t>
        </is>
      </c>
      <c r="J123">
        <v>0.43</v>
      </c>
      <c r="K123" t="inlineStr">
        <is>
          <t>Provisional HSP for screening; replace with experimental/literature value before model lock.</t>
        </is>
      </c>
    </row>
    <row r="124">
      <c r="A124" t="inlineStr">
        <is>
          <t>API_HYDROCORTISONE</t>
        </is>
      </c>
      <c r="B124" t="inlineStr">
        <is>
          <t>Hansen_delta_H</t>
        </is>
      </c>
      <c r="C124">
        <v>13.0</v>
      </c>
      <c r="D124" t="inlineStr">
        <is>
          <t>MPa^0.5</t>
        </is>
      </c>
      <c r="E124"/>
      <c r="F124"/>
      <c r="G124" t="inlineStr">
        <is>
          <t>heuristic group-contribution/nearest-neighbour</t>
        </is>
      </c>
      <c r="H124" t="inlineStr">
        <is>
          <t>S013_EST_HSP_HEURISTIC</t>
        </is>
      </c>
      <c r="I124" t="inlineStr">
        <is>
          <t>estimated</t>
        </is>
      </c>
      <c r="J124">
        <v>0.43</v>
      </c>
      <c r="K124" t="inlineStr">
        <is>
          <t>Provisional HSP for screening; replace with experimental/literature value before model lock.</t>
        </is>
      </c>
    </row>
    <row r="125">
      <c r="A125" t="inlineStr">
        <is>
          <t>API_HYDROCORTISONE</t>
        </is>
      </c>
      <c r="B125" t="inlineStr">
        <is>
          <t>Hildebrand_delta_T</t>
        </is>
      </c>
      <c r="C125">
        <v>24.56</v>
      </c>
      <c r="D125" t="inlineStr">
        <is>
          <t>MPa^0.5</t>
        </is>
      </c>
      <c r="E125"/>
      <c r="F125"/>
      <c r="G125" t="inlineStr">
        <is>
          <t>sqrt(deltaD^2+deltaP^2+deltaH^2)</t>
        </is>
      </c>
      <c r="H125" t="inlineStr">
        <is>
          <t>S012_CALCULATED</t>
        </is>
      </c>
      <c r="I125" t="inlineStr">
        <is>
          <t>calculated</t>
        </is>
      </c>
      <c r="J125">
        <v>0.48</v>
      </c>
      <c r="K125" t="inlineStr">
        <is>
          <t>Derived from stored Hansen components.</t>
        </is>
      </c>
    </row>
    <row r="126">
      <c r="A126" t="inlineStr">
        <is>
          <t>API_HYDROCORTISONE</t>
        </is>
      </c>
      <c r="B126" t="inlineStr">
        <is>
          <t>HSP_radius_R0</t>
        </is>
      </c>
      <c r="C126">
        <v>9.0</v>
      </c>
      <c r="D126" t="inlineStr">
        <is>
          <t>MPa^0.5</t>
        </is>
      </c>
      <c r="E126"/>
      <c r="F126"/>
      <c r="G126" t="inlineStr">
        <is>
          <t>literature/heuristic solubility sphere</t>
        </is>
      </c>
      <c r="H126" t="inlineStr">
        <is>
          <t>S013_EST_HSP_HEURISTIC</t>
        </is>
      </c>
      <c r="I126" t="inlineStr">
        <is>
          <t>estimated</t>
        </is>
      </c>
      <c r="J126">
        <v>0.43</v>
      </c>
      <c r="K126" t="inlineStr">
        <is>
          <t>Screening radius only unless experimentally determined.</t>
        </is>
      </c>
    </row>
    <row r="127">
      <c r="A127" t="inlineStr">
        <is>
          <t>API_HYDROCORTISONE</t>
        </is>
      </c>
      <c r="B127" t="inlineStr">
        <is>
          <t>molar_volume_cm3_mol</t>
        </is>
      </c>
      <c r="C127">
        <v>289.97</v>
      </c>
      <c r="D127" t="inlineStr">
        <is>
          <t>cm3/mol</t>
        </is>
      </c>
      <c r="E127"/>
      <c r="F127"/>
      <c r="G127" t="inlineStr">
        <is>
          <t>MW/density estimate</t>
        </is>
      </c>
      <c r="H127" t="inlineStr">
        <is>
          <t>S012_CALCULATED</t>
        </is>
      </c>
      <c r="I127" t="inlineStr">
        <is>
          <t>estimated</t>
        </is>
      </c>
      <c r="J127">
        <v>0.45</v>
      </c>
      <c r="K127" t="inlineStr">
        <is>
          <t>Estimated from MW/density; replace with measured molar volume or density-specific grade data.</t>
        </is>
      </c>
    </row>
    <row r="128">
      <c r="A128" t="inlineStr">
        <is>
          <t>API_CURCUMIN</t>
        </is>
      </c>
      <c r="B128" t="inlineStr">
        <is>
          <t>molecular_weight_g_mol</t>
        </is>
      </c>
      <c r="C128">
        <v>368.38</v>
      </c>
      <c r="D128" t="inlineStr">
        <is>
          <t>g/mol</t>
        </is>
      </c>
      <c r="E128"/>
      <c r="F128"/>
      <c r="G128" t="inlineStr">
        <is>
          <t>PubChem/handbook curation</t>
        </is>
      </c>
      <c r="H128" t="inlineStr">
        <is>
          <t>S001_PUBCHEM</t>
        </is>
      </c>
      <c r="I128" t="inlineStr">
        <is>
          <t>database-derived</t>
        </is>
      </c>
      <c r="J128">
        <v>0.88</v>
      </c>
      <c r="K128"/>
    </row>
    <row r="129">
      <c r="A129" t="inlineStr">
        <is>
          <t>API_CURCUMIN</t>
        </is>
      </c>
      <c r="B129" t="inlineStr">
        <is>
          <t>molecular_formula</t>
        </is>
      </c>
      <c r="C129" t="inlineStr">
        <is>
          <t>C21H20O6</t>
        </is>
      </c>
      <c r="D129"/>
      <c r="E129"/>
      <c r="F129"/>
      <c r="G129" t="inlineStr">
        <is>
          <t>PubChem/handbook curation</t>
        </is>
      </c>
      <c r="H129" t="inlineStr">
        <is>
          <t>S001_PUBCHEM</t>
        </is>
      </c>
      <c r="I129" t="inlineStr">
        <is>
          <t>database-derived</t>
        </is>
      </c>
      <c r="J129">
        <v>0.85</v>
      </c>
      <c r="K129"/>
    </row>
    <row r="130">
      <c r="A130" t="inlineStr">
        <is>
          <t>API_CURCUMIN</t>
        </is>
      </c>
      <c r="B130" t="inlineStr">
        <is>
          <t>LogP</t>
        </is>
      </c>
      <c r="C130">
        <v>3.2</v>
      </c>
      <c r="D130"/>
      <c r="E130"/>
      <c r="F130"/>
      <c r="G130" t="inlineStr">
        <is>
          <t>computed/curated XLogP or literature consensus</t>
        </is>
      </c>
      <c r="H130" t="inlineStr">
        <is>
          <t>S001_PUBCHEM</t>
        </is>
      </c>
      <c r="I130" t="inlineStr">
        <is>
          <t>database-derived</t>
        </is>
      </c>
      <c r="J130">
        <v>0.72</v>
      </c>
      <c r="K130" t="inlineStr">
        <is>
          <t>Approximate; salt/tautomer state may alter.</t>
        </is>
      </c>
    </row>
    <row r="131">
      <c r="A131" t="inlineStr">
        <is>
          <t>API_CURCUMIN</t>
        </is>
      </c>
      <c r="B131" t="inlineStr">
        <is>
          <t>formal_charge</t>
        </is>
      </c>
      <c r="C131">
        <v>0</v>
      </c>
      <c r="D131" t="inlineStr">
        <is>
          <t>e</t>
        </is>
      </c>
      <c r="E131"/>
      <c r="F131"/>
      <c r="G131" t="inlineStr">
        <is>
          <t>canonical neutral parent/salt-free structure</t>
        </is>
      </c>
      <c r="H131" t="inlineStr">
        <is>
          <t>S001_PUBCHEM</t>
        </is>
      </c>
      <c r="I131" t="inlineStr">
        <is>
          <t>database-derived</t>
        </is>
      </c>
      <c r="J131">
        <v>0.82</v>
      </c>
      <c r="K131" t="inlineStr">
        <is>
          <t>Use salt-specific material row for ionic salts.</t>
        </is>
      </c>
    </row>
    <row r="132">
      <c r="A132" t="inlineStr">
        <is>
          <t>API_CURCUMIN</t>
        </is>
      </c>
      <c r="B132" t="inlineStr">
        <is>
          <t>water_solubility_mg_ml</t>
        </is>
      </c>
      <c r="C132">
        <v>0.0006</v>
      </c>
      <c r="D132" t="inlineStr">
        <is>
          <t>mg/mL</t>
        </is>
      </c>
      <c r="E132"/>
      <c r="F132"/>
      <c r="G132" t="inlineStr">
        <is>
          <t>literature/aqueous solubility range approximated</t>
        </is>
      </c>
      <c r="H132" t="inlineStr">
        <is>
          <t>S001_PUBCHEM</t>
        </is>
      </c>
      <c r="I132" t="inlineStr">
        <is>
          <t>estimated</t>
        </is>
      </c>
      <c r="J132">
        <v>0.45</v>
      </c>
      <c r="K132" t="inlineStr">
        <is>
          <t>Highly pH- and salt-form-dependent.</t>
        </is>
      </c>
    </row>
    <row r="133">
      <c r="A133" t="inlineStr">
        <is>
          <t>API_CURCUMIN</t>
        </is>
      </c>
      <c r="B133" t="inlineStr">
        <is>
          <t>melting_point_C</t>
        </is>
      </c>
      <c r="C133">
        <v>183</v>
      </c>
      <c r="D133" t="inlineStr">
        <is>
          <t>°C</t>
        </is>
      </c>
      <c r="E133"/>
      <c r="F133"/>
      <c r="G133" t="inlineStr">
        <is>
          <t>literature/supplier melting range</t>
        </is>
      </c>
      <c r="H133" t="inlineStr">
        <is>
          <t>S001_PUBCHEM</t>
        </is>
      </c>
      <c r="I133" t="inlineStr">
        <is>
          <t>handbook</t>
        </is>
      </c>
      <c r="J133">
        <v>0.65</v>
      </c>
      <c r="K133" t="inlineStr">
        <is>
          <t>Use polymorph-specific data when available.</t>
        </is>
      </c>
    </row>
    <row r="134">
      <c r="A134" t="inlineStr">
        <is>
          <t>API_CURCUMIN</t>
        </is>
      </c>
      <c r="B134" t="inlineStr">
        <is>
          <t>TPSA</t>
        </is>
      </c>
      <c r="C134">
        <v>93.1</v>
      </c>
      <c r="D134" t="inlineStr">
        <is>
          <t>Å²</t>
        </is>
      </c>
      <c r="E134"/>
      <c r="F134"/>
      <c r="G134" t="inlineStr">
        <is>
          <t>computed descriptor</t>
        </is>
      </c>
      <c r="H134" t="inlineStr">
        <is>
          <t>S001_PUBCHEM</t>
        </is>
      </c>
      <c r="I134" t="inlineStr">
        <is>
          <t>database-derived</t>
        </is>
      </c>
      <c r="J134">
        <v>0.82</v>
      </c>
      <c r="K134"/>
    </row>
    <row r="135">
      <c r="A135" t="inlineStr">
        <is>
          <t>API_CURCUMIN</t>
        </is>
      </c>
      <c r="B135" t="inlineStr">
        <is>
          <t>HBD</t>
        </is>
      </c>
      <c r="C135">
        <v>2</v>
      </c>
      <c r="D135" t="inlineStr">
        <is>
          <t>count</t>
        </is>
      </c>
      <c r="E135"/>
      <c r="F135"/>
      <c r="G135" t="inlineStr">
        <is>
          <t>computed descriptor</t>
        </is>
      </c>
      <c r="H135" t="inlineStr">
        <is>
          <t>S001_PUBCHEM</t>
        </is>
      </c>
      <c r="I135" t="inlineStr">
        <is>
          <t>database-derived</t>
        </is>
      </c>
      <c r="J135">
        <v>0.82</v>
      </c>
      <c r="K135"/>
    </row>
    <row r="136">
      <c r="A136" t="inlineStr">
        <is>
          <t>API_CURCUMIN</t>
        </is>
      </c>
      <c r="B136" t="inlineStr">
        <is>
          <t>HBA</t>
        </is>
      </c>
      <c r="C136">
        <v>6</v>
      </c>
      <c r="D136" t="inlineStr">
        <is>
          <t>count</t>
        </is>
      </c>
      <c r="E136"/>
      <c r="F136"/>
      <c r="G136" t="inlineStr">
        <is>
          <t>computed descriptor</t>
        </is>
      </c>
      <c r="H136" t="inlineStr">
        <is>
          <t>S001_PUBCHEM</t>
        </is>
      </c>
      <c r="I136" t="inlineStr">
        <is>
          <t>database-derived</t>
        </is>
      </c>
      <c r="J136">
        <v>0.82</v>
      </c>
      <c r="K136"/>
    </row>
    <row r="137">
      <c r="A137" t="inlineStr">
        <is>
          <t>API_CURCUMIN</t>
        </is>
      </c>
      <c r="B137" t="inlineStr">
        <is>
          <t>rotatable_bonds</t>
        </is>
      </c>
      <c r="C137">
        <v>8</v>
      </c>
      <c r="D137" t="inlineStr">
        <is>
          <t>count</t>
        </is>
      </c>
      <c r="E137"/>
      <c r="F137"/>
      <c r="G137" t="inlineStr">
        <is>
          <t>computed descriptor</t>
        </is>
      </c>
      <c r="H137" t="inlineStr">
        <is>
          <t>S001_PUBCHEM</t>
        </is>
      </c>
      <c r="I137" t="inlineStr">
        <is>
          <t>database-derived</t>
        </is>
      </c>
      <c r="J137">
        <v>0.82</v>
      </c>
      <c r="K137"/>
    </row>
    <row r="138">
      <c r="A138" t="inlineStr">
        <is>
          <t>API_CURCUMIN</t>
        </is>
      </c>
      <c r="B138" t="inlineStr">
        <is>
          <t>aromatic_rings</t>
        </is>
      </c>
      <c r="C138">
        <v>2</v>
      </c>
      <c r="D138" t="inlineStr">
        <is>
          <t>count</t>
        </is>
      </c>
      <c r="E138"/>
      <c r="F138"/>
      <c r="G138" t="inlineStr">
        <is>
          <t>manual structural count</t>
        </is>
      </c>
      <c r="H138" t="inlineStr">
        <is>
          <t>S001_PUBCHEM</t>
        </is>
      </c>
      <c r="I138" t="inlineStr">
        <is>
          <t>estimated</t>
        </is>
      </c>
      <c r="J138">
        <v>0.6</v>
      </c>
      <c r="K138"/>
    </row>
    <row r="139">
      <c r="A139" t="inlineStr">
        <is>
          <t>API_CURCUMIN</t>
        </is>
      </c>
      <c r="B139" t="inlineStr">
        <is>
          <t>BCS_class</t>
        </is>
      </c>
      <c r="C139" t="inlineStr">
        <is>
          <t>IV</t>
        </is>
      </c>
      <c r="D139"/>
      <c r="E139"/>
      <c r="F139"/>
      <c r="G139" t="inlineStr">
        <is>
          <t>literature consensus/placeholder</t>
        </is>
      </c>
      <c r="H139" t="inlineStr">
        <is>
          <t>S007_EXCIPIENTS_HANDBOOK</t>
        </is>
      </c>
      <c r="I139" t="inlineStr">
        <is>
          <t>estimated</t>
        </is>
      </c>
      <c r="J139">
        <v>0.4</v>
      </c>
      <c r="K139" t="inlineStr">
        <is>
          <t>Must be curated from API-specific biopharmaceutics sources.</t>
        </is>
      </c>
    </row>
    <row r="140">
      <c r="A140" t="inlineStr">
        <is>
          <t>API_CURCUMIN</t>
        </is>
      </c>
      <c r="B140" t="inlineStr">
        <is>
          <t>therapeutic_class</t>
        </is>
      </c>
      <c r="C140" t="inlineStr">
        <is>
          <t>polyphenol</t>
        </is>
      </c>
      <c r="D140"/>
      <c r="E140"/>
      <c r="F140"/>
      <c r="G140" t="inlineStr">
        <is>
          <t>manual therapeutic annotation</t>
        </is>
      </c>
      <c r="H140" t="inlineStr">
        <is>
          <t>S001_PUBCHEM</t>
        </is>
      </c>
      <c r="I140" t="inlineStr">
        <is>
          <t>database-derived</t>
        </is>
      </c>
      <c r="J140">
        <v>0.75</v>
      </c>
      <c r="K140"/>
    </row>
    <row r="141">
      <c r="A141" t="inlineStr">
        <is>
          <t>API_CURCUMIN</t>
        </is>
      </c>
      <c r="B141" t="inlineStr">
        <is>
          <t>payload_type</t>
        </is>
      </c>
      <c r="C141" t="inlineStr">
        <is>
          <t>small_molecule_API</t>
        </is>
      </c>
      <c r="D141"/>
      <c r="E141"/>
      <c r="F141"/>
      <c r="G141" t="inlineStr">
        <is>
          <t>payload taxonomy</t>
        </is>
      </c>
      <c r="H141" t="inlineStr">
        <is>
          <t>S000_USER_SPEC</t>
        </is>
      </c>
      <c r="I141" t="inlineStr">
        <is>
          <t>curated</t>
        </is>
      </c>
      <c r="J141">
        <v>0.8</v>
      </c>
      <c r="K141"/>
    </row>
    <row r="142">
      <c r="A142" t="inlineStr">
        <is>
          <t>API_CURCUMIN</t>
        </is>
      </c>
      <c r="B142" t="inlineStr">
        <is>
          <t>route_notes</t>
        </is>
      </c>
      <c r="C142" t="inlineStr">
        <is>
          <t>polyphenol; hydrophobic antioxidant/anti-inflammatory payload</t>
        </is>
      </c>
      <c r="D142"/>
      <c r="E142"/>
      <c r="F142"/>
      <c r="G142" t="inlineStr">
        <is>
          <t>formulation-relevance annotation</t>
        </is>
      </c>
      <c r="H142" t="inlineStr">
        <is>
          <t>S014_AULTON</t>
        </is>
      </c>
      <c r="I142" t="inlineStr">
        <is>
          <t>curated</t>
        </is>
      </c>
      <c r="J142">
        <v>0.7</v>
      </c>
      <c r="K142"/>
    </row>
    <row r="143">
      <c r="A143" t="inlineStr">
        <is>
          <t>API_CURCUMIN</t>
        </is>
      </c>
      <c r="B143" t="inlineStr">
        <is>
          <t>pKa_acid</t>
        </is>
      </c>
      <c r="C143">
        <v>8.5</v>
      </c>
      <c r="D143"/>
      <c r="E143"/>
      <c r="F143"/>
      <c r="G143" t="inlineStr">
        <is>
          <t>literature pKa consensus</t>
        </is>
      </c>
      <c r="H143" t="inlineStr">
        <is>
          <t>S001_PUBCHEM</t>
        </is>
      </c>
      <c r="I143" t="inlineStr">
        <is>
          <t>handbook</t>
        </is>
      </c>
      <c r="J143">
        <v>0.6</v>
      </c>
      <c r="K143" t="inlineStr">
        <is>
          <t>Microstate and medium-dependent; confirm experimentally for model lock.</t>
        </is>
      </c>
    </row>
    <row r="144">
      <c r="A144" t="inlineStr">
        <is>
          <t>API_CURCUMIN</t>
        </is>
      </c>
      <c r="B144" t="inlineStr">
        <is>
          <t>Hansen_delta_D</t>
        </is>
      </c>
      <c r="C144">
        <v>18.2</v>
      </c>
      <c r="D144" t="inlineStr">
        <is>
          <t>MPa^0.5</t>
        </is>
      </c>
      <c r="E144"/>
      <c r="F144"/>
      <c r="G144" t="inlineStr">
        <is>
          <t>heuristic group-contribution/nearest-neighbour</t>
        </is>
      </c>
      <c r="H144" t="inlineStr">
        <is>
          <t>S013_EST_HSP_HEURISTIC</t>
        </is>
      </c>
      <c r="I144" t="inlineStr">
        <is>
          <t>estimated</t>
        </is>
      </c>
      <c r="J144">
        <v>0.43</v>
      </c>
      <c r="K144" t="inlineStr">
        <is>
          <t>Provisional HSP for screening; replace with experimental/literature value before model lock.</t>
        </is>
      </c>
    </row>
    <row r="145">
      <c r="A145" t="inlineStr">
        <is>
          <t>API_CURCUMIN</t>
        </is>
      </c>
      <c r="B145" t="inlineStr">
        <is>
          <t>Hansen_delta_P</t>
        </is>
      </c>
      <c r="C145">
        <v>8.0</v>
      </c>
      <c r="D145" t="inlineStr">
        <is>
          <t>MPa^0.5</t>
        </is>
      </c>
      <c r="E145"/>
      <c r="F145"/>
      <c r="G145" t="inlineStr">
        <is>
          <t>heuristic group-contribution/nearest-neighbour</t>
        </is>
      </c>
      <c r="H145" t="inlineStr">
        <is>
          <t>S013_EST_HSP_HEURISTIC</t>
        </is>
      </c>
      <c r="I145" t="inlineStr">
        <is>
          <t>estimated</t>
        </is>
      </c>
      <c r="J145">
        <v>0.43</v>
      </c>
      <c r="K145" t="inlineStr">
        <is>
          <t>Provisional HSP for screening; replace with experimental/literature value before model lock.</t>
        </is>
      </c>
    </row>
    <row r="146">
      <c r="A146" t="inlineStr">
        <is>
          <t>API_CURCUMIN</t>
        </is>
      </c>
      <c r="B146" t="inlineStr">
        <is>
          <t>Hansen_delta_H</t>
        </is>
      </c>
      <c r="C146">
        <v>10.0</v>
      </c>
      <c r="D146" t="inlineStr">
        <is>
          <t>MPa^0.5</t>
        </is>
      </c>
      <c r="E146"/>
      <c r="F146"/>
      <c r="G146" t="inlineStr">
        <is>
          <t>heuristic group-contribution/nearest-neighbour</t>
        </is>
      </c>
      <c r="H146" t="inlineStr">
        <is>
          <t>S013_EST_HSP_HEURISTIC</t>
        </is>
      </c>
      <c r="I146" t="inlineStr">
        <is>
          <t>estimated</t>
        </is>
      </c>
      <c r="J146">
        <v>0.43</v>
      </c>
      <c r="K146" t="inlineStr">
        <is>
          <t>Provisional HSP for screening; replace with experimental/literature value before model lock.</t>
        </is>
      </c>
    </row>
    <row r="147">
      <c r="A147" t="inlineStr">
        <is>
          <t>API_CURCUMIN</t>
        </is>
      </c>
      <c r="B147" t="inlineStr">
        <is>
          <t>Hildebrand_delta_T</t>
        </is>
      </c>
      <c r="C147">
        <v>22.25</v>
      </c>
      <c r="D147" t="inlineStr">
        <is>
          <t>MPa^0.5</t>
        </is>
      </c>
      <c r="E147"/>
      <c r="F147"/>
      <c r="G147" t="inlineStr">
        <is>
          <t>sqrt(deltaD^2+deltaP^2+deltaH^2)</t>
        </is>
      </c>
      <c r="H147" t="inlineStr">
        <is>
          <t>S012_CALCULATED</t>
        </is>
      </c>
      <c r="I147" t="inlineStr">
        <is>
          <t>calculated</t>
        </is>
      </c>
      <c r="J147">
        <v>0.48</v>
      </c>
      <c r="K147" t="inlineStr">
        <is>
          <t>Derived from stored Hansen components.</t>
        </is>
      </c>
    </row>
    <row r="148">
      <c r="A148" t="inlineStr">
        <is>
          <t>API_CURCUMIN</t>
        </is>
      </c>
      <c r="B148" t="inlineStr">
        <is>
          <t>HSP_radius_R0</t>
        </is>
      </c>
      <c r="C148">
        <v>8.5</v>
      </c>
      <c r="D148" t="inlineStr">
        <is>
          <t>MPa^0.5</t>
        </is>
      </c>
      <c r="E148"/>
      <c r="F148"/>
      <c r="G148" t="inlineStr">
        <is>
          <t>literature/heuristic solubility sphere</t>
        </is>
      </c>
      <c r="H148" t="inlineStr">
        <is>
          <t>S013_EST_HSP_HEURISTIC</t>
        </is>
      </c>
      <c r="I148" t="inlineStr">
        <is>
          <t>estimated</t>
        </is>
      </c>
      <c r="J148">
        <v>0.43</v>
      </c>
      <c r="K148" t="inlineStr">
        <is>
          <t>Screening radius only unless experimentally determined.</t>
        </is>
      </c>
    </row>
    <row r="149">
      <c r="A149" t="inlineStr">
        <is>
          <t>API_CURCUMIN</t>
        </is>
      </c>
      <c r="B149" t="inlineStr">
        <is>
          <t>molar_volume_cm3_mol</t>
        </is>
      </c>
      <c r="C149">
        <v>294.7</v>
      </c>
      <c r="D149" t="inlineStr">
        <is>
          <t>cm3/mol</t>
        </is>
      </c>
      <c r="E149"/>
      <c r="F149"/>
      <c r="G149" t="inlineStr">
        <is>
          <t>MW/density estimate</t>
        </is>
      </c>
      <c r="H149" t="inlineStr">
        <is>
          <t>S012_CALCULATED</t>
        </is>
      </c>
      <c r="I149" t="inlineStr">
        <is>
          <t>estimated</t>
        </is>
      </c>
      <c r="J149">
        <v>0.45</v>
      </c>
      <c r="K149" t="inlineStr">
        <is>
          <t>Estimated from MW/density; replace with measured molar volume or density-specific grade data.</t>
        </is>
      </c>
    </row>
    <row r="150">
      <c r="A150" t="inlineStr">
        <is>
          <t>API_QUERCETIN</t>
        </is>
      </c>
      <c r="B150" t="inlineStr">
        <is>
          <t>molecular_weight_g_mol</t>
        </is>
      </c>
      <c r="C150">
        <v>302.24</v>
      </c>
      <c r="D150" t="inlineStr">
        <is>
          <t>g/mol</t>
        </is>
      </c>
      <c r="E150"/>
      <c r="F150"/>
      <c r="G150" t="inlineStr">
        <is>
          <t>PubChem/handbook curation</t>
        </is>
      </c>
      <c r="H150" t="inlineStr">
        <is>
          <t>S001_PUBCHEM</t>
        </is>
      </c>
      <c r="I150" t="inlineStr">
        <is>
          <t>database-derived</t>
        </is>
      </c>
      <c r="J150">
        <v>0.88</v>
      </c>
      <c r="K150"/>
    </row>
    <row r="151">
      <c r="A151" t="inlineStr">
        <is>
          <t>API_QUERCETIN</t>
        </is>
      </c>
      <c r="B151" t="inlineStr">
        <is>
          <t>molecular_formula</t>
        </is>
      </c>
      <c r="C151" t="inlineStr">
        <is>
          <t>C15H10O7</t>
        </is>
      </c>
      <c r="D151"/>
      <c r="E151"/>
      <c r="F151"/>
      <c r="G151" t="inlineStr">
        <is>
          <t>PubChem/handbook curation</t>
        </is>
      </c>
      <c r="H151" t="inlineStr">
        <is>
          <t>S001_PUBCHEM</t>
        </is>
      </c>
      <c r="I151" t="inlineStr">
        <is>
          <t>database-derived</t>
        </is>
      </c>
      <c r="J151">
        <v>0.85</v>
      </c>
      <c r="K151"/>
    </row>
    <row r="152">
      <c r="A152" t="inlineStr">
        <is>
          <t>API_QUERCETIN</t>
        </is>
      </c>
      <c r="B152" t="inlineStr">
        <is>
          <t>LogP</t>
        </is>
      </c>
      <c r="C152">
        <v>1.5</v>
      </c>
      <c r="D152"/>
      <c r="E152"/>
      <c r="F152"/>
      <c r="G152" t="inlineStr">
        <is>
          <t>computed/curated XLogP or literature consensus</t>
        </is>
      </c>
      <c r="H152" t="inlineStr">
        <is>
          <t>S001_PUBCHEM</t>
        </is>
      </c>
      <c r="I152" t="inlineStr">
        <is>
          <t>database-derived</t>
        </is>
      </c>
      <c r="J152">
        <v>0.72</v>
      </c>
      <c r="K152" t="inlineStr">
        <is>
          <t>Approximate; salt/tautomer state may alter.</t>
        </is>
      </c>
    </row>
    <row r="153">
      <c r="A153" t="inlineStr">
        <is>
          <t>API_QUERCETIN</t>
        </is>
      </c>
      <c r="B153" t="inlineStr">
        <is>
          <t>formal_charge</t>
        </is>
      </c>
      <c r="C153">
        <v>0</v>
      </c>
      <c r="D153" t="inlineStr">
        <is>
          <t>e</t>
        </is>
      </c>
      <c r="E153"/>
      <c r="F153"/>
      <c r="G153" t="inlineStr">
        <is>
          <t>canonical neutral parent/salt-free structure</t>
        </is>
      </c>
      <c r="H153" t="inlineStr">
        <is>
          <t>S001_PUBCHEM</t>
        </is>
      </c>
      <c r="I153" t="inlineStr">
        <is>
          <t>database-derived</t>
        </is>
      </c>
      <c r="J153">
        <v>0.82</v>
      </c>
      <c r="K153" t="inlineStr">
        <is>
          <t>Use salt-specific material row for ionic salts.</t>
        </is>
      </c>
    </row>
    <row r="154">
      <c r="A154" t="inlineStr">
        <is>
          <t>API_QUERCETIN</t>
        </is>
      </c>
      <c r="B154" t="inlineStr">
        <is>
          <t>water_solubility_mg_ml</t>
        </is>
      </c>
      <c r="C154">
        <v>0.002</v>
      </c>
      <c r="D154" t="inlineStr">
        <is>
          <t>mg/mL</t>
        </is>
      </c>
      <c r="E154"/>
      <c r="F154"/>
      <c r="G154" t="inlineStr">
        <is>
          <t>literature/aqueous solubility range approximated</t>
        </is>
      </c>
      <c r="H154" t="inlineStr">
        <is>
          <t>S001_PUBCHEM</t>
        </is>
      </c>
      <c r="I154" t="inlineStr">
        <is>
          <t>estimated</t>
        </is>
      </c>
      <c r="J154">
        <v>0.45</v>
      </c>
      <c r="K154" t="inlineStr">
        <is>
          <t>Highly pH- and salt-form-dependent.</t>
        </is>
      </c>
    </row>
    <row r="155">
      <c r="A155" t="inlineStr">
        <is>
          <t>API_QUERCETIN</t>
        </is>
      </c>
      <c r="B155" t="inlineStr">
        <is>
          <t>melting_point_C</t>
        </is>
      </c>
      <c r="C155">
        <v>316</v>
      </c>
      <c r="D155" t="inlineStr">
        <is>
          <t>°C</t>
        </is>
      </c>
      <c r="E155"/>
      <c r="F155"/>
      <c r="G155" t="inlineStr">
        <is>
          <t>literature/supplier melting range</t>
        </is>
      </c>
      <c r="H155" t="inlineStr">
        <is>
          <t>S001_PUBCHEM</t>
        </is>
      </c>
      <c r="I155" t="inlineStr">
        <is>
          <t>handbook</t>
        </is>
      </c>
      <c r="J155">
        <v>0.65</v>
      </c>
      <c r="K155" t="inlineStr">
        <is>
          <t>Use polymorph-specific data when available.</t>
        </is>
      </c>
    </row>
    <row r="156">
      <c r="A156" t="inlineStr">
        <is>
          <t>API_QUERCETIN</t>
        </is>
      </c>
      <c r="B156" t="inlineStr">
        <is>
          <t>TPSA</t>
        </is>
      </c>
      <c r="C156">
        <v>131.4</v>
      </c>
      <c r="D156" t="inlineStr">
        <is>
          <t>Å²</t>
        </is>
      </c>
      <c r="E156"/>
      <c r="F156"/>
      <c r="G156" t="inlineStr">
        <is>
          <t>computed descriptor</t>
        </is>
      </c>
      <c r="H156" t="inlineStr">
        <is>
          <t>S001_PUBCHEM</t>
        </is>
      </c>
      <c r="I156" t="inlineStr">
        <is>
          <t>database-derived</t>
        </is>
      </c>
      <c r="J156">
        <v>0.82</v>
      </c>
      <c r="K156"/>
    </row>
    <row r="157">
      <c r="A157" t="inlineStr">
        <is>
          <t>API_QUERCETIN</t>
        </is>
      </c>
      <c r="B157" t="inlineStr">
        <is>
          <t>HBD</t>
        </is>
      </c>
      <c r="C157">
        <v>5</v>
      </c>
      <c r="D157" t="inlineStr">
        <is>
          <t>count</t>
        </is>
      </c>
      <c r="E157"/>
      <c r="F157"/>
      <c r="G157" t="inlineStr">
        <is>
          <t>computed descriptor</t>
        </is>
      </c>
      <c r="H157" t="inlineStr">
        <is>
          <t>S001_PUBCHEM</t>
        </is>
      </c>
      <c r="I157" t="inlineStr">
        <is>
          <t>database-derived</t>
        </is>
      </c>
      <c r="J157">
        <v>0.82</v>
      </c>
      <c r="K157"/>
    </row>
    <row r="158">
      <c r="A158" t="inlineStr">
        <is>
          <t>API_QUERCETIN</t>
        </is>
      </c>
      <c r="B158" t="inlineStr">
        <is>
          <t>HBA</t>
        </is>
      </c>
      <c r="C158">
        <v>7</v>
      </c>
      <c r="D158" t="inlineStr">
        <is>
          <t>count</t>
        </is>
      </c>
      <c r="E158"/>
      <c r="F158"/>
      <c r="G158" t="inlineStr">
        <is>
          <t>computed descriptor</t>
        </is>
      </c>
      <c r="H158" t="inlineStr">
        <is>
          <t>S001_PUBCHEM</t>
        </is>
      </c>
      <c r="I158" t="inlineStr">
        <is>
          <t>database-derived</t>
        </is>
      </c>
      <c r="J158">
        <v>0.82</v>
      </c>
      <c r="K158"/>
    </row>
    <row r="159">
      <c r="A159" t="inlineStr">
        <is>
          <t>API_QUERCETIN</t>
        </is>
      </c>
      <c r="B159" t="inlineStr">
        <is>
          <t>rotatable_bonds</t>
        </is>
      </c>
      <c r="C159">
        <v>1</v>
      </c>
      <c r="D159" t="inlineStr">
        <is>
          <t>count</t>
        </is>
      </c>
      <c r="E159"/>
      <c r="F159"/>
      <c r="G159" t="inlineStr">
        <is>
          <t>computed descriptor</t>
        </is>
      </c>
      <c r="H159" t="inlineStr">
        <is>
          <t>S001_PUBCHEM</t>
        </is>
      </c>
      <c r="I159" t="inlineStr">
        <is>
          <t>database-derived</t>
        </is>
      </c>
      <c r="J159">
        <v>0.82</v>
      </c>
      <c r="K159"/>
    </row>
    <row r="160">
      <c r="A160" t="inlineStr">
        <is>
          <t>API_QUERCETIN</t>
        </is>
      </c>
      <c r="B160" t="inlineStr">
        <is>
          <t>aromatic_rings</t>
        </is>
      </c>
      <c r="C160">
        <v>2</v>
      </c>
      <c r="D160" t="inlineStr">
        <is>
          <t>count</t>
        </is>
      </c>
      <c r="E160"/>
      <c r="F160"/>
      <c r="G160" t="inlineStr">
        <is>
          <t>manual structural count</t>
        </is>
      </c>
      <c r="H160" t="inlineStr">
        <is>
          <t>S001_PUBCHEM</t>
        </is>
      </c>
      <c r="I160" t="inlineStr">
        <is>
          <t>estimated</t>
        </is>
      </c>
      <c r="J160">
        <v>0.6</v>
      </c>
      <c r="K160"/>
    </row>
    <row r="161">
      <c r="A161" t="inlineStr">
        <is>
          <t>API_QUERCETIN</t>
        </is>
      </c>
      <c r="B161" t="inlineStr">
        <is>
          <t>BCS_class</t>
        </is>
      </c>
      <c r="C161" t="inlineStr">
        <is>
          <t>II/IV</t>
        </is>
      </c>
      <c r="D161"/>
      <c r="E161"/>
      <c r="F161"/>
      <c r="G161" t="inlineStr">
        <is>
          <t>literature consensus/placeholder</t>
        </is>
      </c>
      <c r="H161" t="inlineStr">
        <is>
          <t>S007_EXCIPIENTS_HANDBOOK</t>
        </is>
      </c>
      <c r="I161" t="inlineStr">
        <is>
          <t>estimated</t>
        </is>
      </c>
      <c r="J161">
        <v>0.4</v>
      </c>
      <c r="K161" t="inlineStr">
        <is>
          <t>Must be curated from API-specific biopharmaceutics sources.</t>
        </is>
      </c>
    </row>
    <row r="162">
      <c r="A162" t="inlineStr">
        <is>
          <t>API_QUERCETIN</t>
        </is>
      </c>
      <c r="B162" t="inlineStr">
        <is>
          <t>therapeutic_class</t>
        </is>
      </c>
      <c r="C162" t="inlineStr">
        <is>
          <t>flavonoid</t>
        </is>
      </c>
      <c r="D162"/>
      <c r="E162"/>
      <c r="F162"/>
      <c r="G162" t="inlineStr">
        <is>
          <t>manual therapeutic annotation</t>
        </is>
      </c>
      <c r="H162" t="inlineStr">
        <is>
          <t>S001_PUBCHEM</t>
        </is>
      </c>
      <c r="I162" t="inlineStr">
        <is>
          <t>database-derived</t>
        </is>
      </c>
      <c r="J162">
        <v>0.75</v>
      </c>
      <c r="K162"/>
    </row>
    <row r="163">
      <c r="A163" t="inlineStr">
        <is>
          <t>API_QUERCETIN</t>
        </is>
      </c>
      <c r="B163" t="inlineStr">
        <is>
          <t>payload_type</t>
        </is>
      </c>
      <c r="C163" t="inlineStr">
        <is>
          <t>small_molecule_API</t>
        </is>
      </c>
      <c r="D163"/>
      <c r="E163"/>
      <c r="F163"/>
      <c r="G163" t="inlineStr">
        <is>
          <t>payload taxonomy</t>
        </is>
      </c>
      <c r="H163" t="inlineStr">
        <is>
          <t>S000_USER_SPEC</t>
        </is>
      </c>
      <c r="I163" t="inlineStr">
        <is>
          <t>curated</t>
        </is>
      </c>
      <c r="J163">
        <v>0.8</v>
      </c>
      <c r="K163"/>
    </row>
    <row r="164">
      <c r="A164" t="inlineStr">
        <is>
          <t>API_QUERCETIN</t>
        </is>
      </c>
      <c r="B164" t="inlineStr">
        <is>
          <t>route_notes</t>
        </is>
      </c>
      <c r="C164" t="inlineStr">
        <is>
          <t>flavonoid; crystallization-prone polyphenol</t>
        </is>
      </c>
      <c r="D164"/>
      <c r="E164"/>
      <c r="F164"/>
      <c r="G164" t="inlineStr">
        <is>
          <t>formulation-relevance annotation</t>
        </is>
      </c>
      <c r="H164" t="inlineStr">
        <is>
          <t>S014_AULTON</t>
        </is>
      </c>
      <c r="I164" t="inlineStr">
        <is>
          <t>curated</t>
        </is>
      </c>
      <c r="J164">
        <v>0.7</v>
      </c>
      <c r="K164"/>
    </row>
    <row r="165">
      <c r="A165" t="inlineStr">
        <is>
          <t>API_QUERCETIN</t>
        </is>
      </c>
      <c r="B165" t="inlineStr">
        <is>
          <t>pKa_acid</t>
        </is>
      </c>
      <c r="C165">
        <v>6.4</v>
      </c>
      <c r="D165"/>
      <c r="E165"/>
      <c r="F165"/>
      <c r="G165" t="inlineStr">
        <is>
          <t>literature pKa consensus</t>
        </is>
      </c>
      <c r="H165" t="inlineStr">
        <is>
          <t>S001_PUBCHEM</t>
        </is>
      </c>
      <c r="I165" t="inlineStr">
        <is>
          <t>handbook</t>
        </is>
      </c>
      <c r="J165">
        <v>0.6</v>
      </c>
      <c r="K165" t="inlineStr">
        <is>
          <t>Microstate and medium-dependent; confirm experimentally for model lock.</t>
        </is>
      </c>
    </row>
    <row r="166">
      <c r="A166" t="inlineStr">
        <is>
          <t>API_QUERCETIN</t>
        </is>
      </c>
      <c r="B166" t="inlineStr">
        <is>
          <t>Hansen_delta_D</t>
        </is>
      </c>
      <c r="C166">
        <v>18.0</v>
      </c>
      <c r="D166" t="inlineStr">
        <is>
          <t>MPa^0.5</t>
        </is>
      </c>
      <c r="E166"/>
      <c r="F166"/>
      <c r="G166" t="inlineStr">
        <is>
          <t>heuristic group-contribution/nearest-neighbour</t>
        </is>
      </c>
      <c r="H166" t="inlineStr">
        <is>
          <t>S013_EST_HSP_HEURISTIC</t>
        </is>
      </c>
      <c r="I166" t="inlineStr">
        <is>
          <t>estimated</t>
        </is>
      </c>
      <c r="J166">
        <v>0.43</v>
      </c>
      <c r="K166" t="inlineStr">
        <is>
          <t>Provisional HSP for screening; replace with experimental/literature value before model lock.</t>
        </is>
      </c>
    </row>
    <row r="167">
      <c r="A167" t="inlineStr">
        <is>
          <t>API_QUERCETIN</t>
        </is>
      </c>
      <c r="B167" t="inlineStr">
        <is>
          <t>Hansen_delta_P</t>
        </is>
      </c>
      <c r="C167">
        <v>10.5</v>
      </c>
      <c r="D167" t="inlineStr">
        <is>
          <t>MPa^0.5</t>
        </is>
      </c>
      <c r="E167"/>
      <c r="F167"/>
      <c r="G167" t="inlineStr">
        <is>
          <t>heuristic group-contribution/nearest-neighbour</t>
        </is>
      </c>
      <c r="H167" t="inlineStr">
        <is>
          <t>S013_EST_HSP_HEURISTIC</t>
        </is>
      </c>
      <c r="I167" t="inlineStr">
        <is>
          <t>estimated</t>
        </is>
      </c>
      <c r="J167">
        <v>0.43</v>
      </c>
      <c r="K167" t="inlineStr">
        <is>
          <t>Provisional HSP for screening; replace with experimental/literature value before model lock.</t>
        </is>
      </c>
    </row>
    <row r="168">
      <c r="A168" t="inlineStr">
        <is>
          <t>API_QUERCETIN</t>
        </is>
      </c>
      <c r="B168" t="inlineStr">
        <is>
          <t>Hansen_delta_H</t>
        </is>
      </c>
      <c r="C168">
        <v>13.0</v>
      </c>
      <c r="D168" t="inlineStr">
        <is>
          <t>MPa^0.5</t>
        </is>
      </c>
      <c r="E168"/>
      <c r="F168"/>
      <c r="G168" t="inlineStr">
        <is>
          <t>heuristic group-contribution/nearest-neighbour</t>
        </is>
      </c>
      <c r="H168" t="inlineStr">
        <is>
          <t>S013_EST_HSP_HEURISTIC</t>
        </is>
      </c>
      <c r="I168" t="inlineStr">
        <is>
          <t>estimated</t>
        </is>
      </c>
      <c r="J168">
        <v>0.43</v>
      </c>
      <c r="K168" t="inlineStr">
        <is>
          <t>Provisional HSP for screening; replace with experimental/literature value before model lock.</t>
        </is>
      </c>
    </row>
    <row r="169">
      <c r="A169" t="inlineStr">
        <is>
          <t>API_QUERCETIN</t>
        </is>
      </c>
      <c r="B169" t="inlineStr">
        <is>
          <t>Hildebrand_delta_T</t>
        </is>
      </c>
      <c r="C169">
        <v>24.56</v>
      </c>
      <c r="D169" t="inlineStr">
        <is>
          <t>MPa^0.5</t>
        </is>
      </c>
      <c r="E169"/>
      <c r="F169"/>
      <c r="G169" t="inlineStr">
        <is>
          <t>sqrt(deltaD^2+deltaP^2+deltaH^2)</t>
        </is>
      </c>
      <c r="H169" t="inlineStr">
        <is>
          <t>S012_CALCULATED</t>
        </is>
      </c>
      <c r="I169" t="inlineStr">
        <is>
          <t>calculated</t>
        </is>
      </c>
      <c r="J169">
        <v>0.48</v>
      </c>
      <c r="K169" t="inlineStr">
        <is>
          <t>Derived from stored Hansen components.</t>
        </is>
      </c>
    </row>
    <row r="170">
      <c r="A170" t="inlineStr">
        <is>
          <t>API_QUERCETIN</t>
        </is>
      </c>
      <c r="B170" t="inlineStr">
        <is>
          <t>HSP_radius_R0</t>
        </is>
      </c>
      <c r="C170">
        <v>9.0</v>
      </c>
      <c r="D170" t="inlineStr">
        <is>
          <t>MPa^0.5</t>
        </is>
      </c>
      <c r="E170"/>
      <c r="F170"/>
      <c r="G170" t="inlineStr">
        <is>
          <t>literature/heuristic solubility sphere</t>
        </is>
      </c>
      <c r="H170" t="inlineStr">
        <is>
          <t>S013_EST_HSP_HEURISTIC</t>
        </is>
      </c>
      <c r="I170" t="inlineStr">
        <is>
          <t>estimated</t>
        </is>
      </c>
      <c r="J170">
        <v>0.43</v>
      </c>
      <c r="K170" t="inlineStr">
        <is>
          <t>Screening radius only unless experimentally determined.</t>
        </is>
      </c>
    </row>
    <row r="171">
      <c r="A171" t="inlineStr">
        <is>
          <t>API_QUERCETIN</t>
        </is>
      </c>
      <c r="B171" t="inlineStr">
        <is>
          <t>molar_volume_cm3_mol</t>
        </is>
      </c>
      <c r="C171">
        <v>241.79</v>
      </c>
      <c r="D171" t="inlineStr">
        <is>
          <t>cm3/mol</t>
        </is>
      </c>
      <c r="E171"/>
      <c r="F171"/>
      <c r="G171" t="inlineStr">
        <is>
          <t>MW/density estimate</t>
        </is>
      </c>
      <c r="H171" t="inlineStr">
        <is>
          <t>S012_CALCULATED</t>
        </is>
      </c>
      <c r="I171" t="inlineStr">
        <is>
          <t>estimated</t>
        </is>
      </c>
      <c r="J171">
        <v>0.45</v>
      </c>
      <c r="K171" t="inlineStr">
        <is>
          <t>Estimated from MW/density; replace with measured molar volume or density-specific grade data.</t>
        </is>
      </c>
    </row>
    <row r="172">
      <c r="A172" t="inlineStr">
        <is>
          <t>API_RESVERATROL</t>
        </is>
      </c>
      <c r="B172" t="inlineStr">
        <is>
          <t>molecular_weight_g_mol</t>
        </is>
      </c>
      <c r="C172">
        <v>228.25</v>
      </c>
      <c r="D172" t="inlineStr">
        <is>
          <t>g/mol</t>
        </is>
      </c>
      <c r="E172"/>
      <c r="F172"/>
      <c r="G172" t="inlineStr">
        <is>
          <t>PubChem/handbook curation</t>
        </is>
      </c>
      <c r="H172" t="inlineStr">
        <is>
          <t>S001_PUBCHEM</t>
        </is>
      </c>
      <c r="I172" t="inlineStr">
        <is>
          <t>database-derived</t>
        </is>
      </c>
      <c r="J172">
        <v>0.88</v>
      </c>
      <c r="K172"/>
    </row>
    <row r="173">
      <c r="A173" t="inlineStr">
        <is>
          <t>API_RESVERATROL</t>
        </is>
      </c>
      <c r="B173" t="inlineStr">
        <is>
          <t>molecular_formula</t>
        </is>
      </c>
      <c r="C173" t="inlineStr">
        <is>
          <t>C14H12O3</t>
        </is>
      </c>
      <c r="D173"/>
      <c r="E173"/>
      <c r="F173"/>
      <c r="G173" t="inlineStr">
        <is>
          <t>PubChem/handbook curation</t>
        </is>
      </c>
      <c r="H173" t="inlineStr">
        <is>
          <t>S001_PUBCHEM</t>
        </is>
      </c>
      <c r="I173" t="inlineStr">
        <is>
          <t>database-derived</t>
        </is>
      </c>
      <c r="J173">
        <v>0.85</v>
      </c>
      <c r="K173"/>
    </row>
    <row r="174">
      <c r="A174" t="inlineStr">
        <is>
          <t>API_RESVERATROL</t>
        </is>
      </c>
      <c r="B174" t="inlineStr">
        <is>
          <t>LogP</t>
        </is>
      </c>
      <c r="C174">
        <v>3.1</v>
      </c>
      <c r="D174"/>
      <c r="E174"/>
      <c r="F174"/>
      <c r="G174" t="inlineStr">
        <is>
          <t>computed/curated XLogP or literature consensus</t>
        </is>
      </c>
      <c r="H174" t="inlineStr">
        <is>
          <t>S001_PUBCHEM</t>
        </is>
      </c>
      <c r="I174" t="inlineStr">
        <is>
          <t>database-derived</t>
        </is>
      </c>
      <c r="J174">
        <v>0.72</v>
      </c>
      <c r="K174" t="inlineStr">
        <is>
          <t>Approximate; salt/tautomer state may alter.</t>
        </is>
      </c>
    </row>
    <row r="175">
      <c r="A175" t="inlineStr">
        <is>
          <t>API_RESVERATROL</t>
        </is>
      </c>
      <c r="B175" t="inlineStr">
        <is>
          <t>formal_charge</t>
        </is>
      </c>
      <c r="C175">
        <v>0</v>
      </c>
      <c r="D175" t="inlineStr">
        <is>
          <t>e</t>
        </is>
      </c>
      <c r="E175"/>
      <c r="F175"/>
      <c r="G175" t="inlineStr">
        <is>
          <t>canonical neutral parent/salt-free structure</t>
        </is>
      </c>
      <c r="H175" t="inlineStr">
        <is>
          <t>S001_PUBCHEM</t>
        </is>
      </c>
      <c r="I175" t="inlineStr">
        <is>
          <t>database-derived</t>
        </is>
      </c>
      <c r="J175">
        <v>0.82</v>
      </c>
      <c r="K175" t="inlineStr">
        <is>
          <t>Use salt-specific material row for ionic salts.</t>
        </is>
      </c>
    </row>
    <row r="176">
      <c r="A176" t="inlineStr">
        <is>
          <t>API_RESVERATROL</t>
        </is>
      </c>
      <c r="B176" t="inlineStr">
        <is>
          <t>water_solubility_mg_ml</t>
        </is>
      </c>
      <c r="C176">
        <v>0.03</v>
      </c>
      <c r="D176" t="inlineStr">
        <is>
          <t>mg/mL</t>
        </is>
      </c>
      <c r="E176"/>
      <c r="F176"/>
      <c r="G176" t="inlineStr">
        <is>
          <t>literature/aqueous solubility range approximated</t>
        </is>
      </c>
      <c r="H176" t="inlineStr">
        <is>
          <t>S001_PUBCHEM</t>
        </is>
      </c>
      <c r="I176" t="inlineStr">
        <is>
          <t>estimated</t>
        </is>
      </c>
      <c r="J176">
        <v>0.45</v>
      </c>
      <c r="K176" t="inlineStr">
        <is>
          <t>Highly pH- and salt-form-dependent.</t>
        </is>
      </c>
    </row>
    <row r="177">
      <c r="A177" t="inlineStr">
        <is>
          <t>API_RESVERATROL</t>
        </is>
      </c>
      <c r="B177" t="inlineStr">
        <is>
          <t>melting_point_C</t>
        </is>
      </c>
      <c r="C177">
        <v>253</v>
      </c>
      <c r="D177" t="inlineStr">
        <is>
          <t>°C</t>
        </is>
      </c>
      <c r="E177"/>
      <c r="F177"/>
      <c r="G177" t="inlineStr">
        <is>
          <t>literature/supplier melting range</t>
        </is>
      </c>
      <c r="H177" t="inlineStr">
        <is>
          <t>S001_PUBCHEM</t>
        </is>
      </c>
      <c r="I177" t="inlineStr">
        <is>
          <t>handbook</t>
        </is>
      </c>
      <c r="J177">
        <v>0.65</v>
      </c>
      <c r="K177" t="inlineStr">
        <is>
          <t>Use polymorph-specific data when available.</t>
        </is>
      </c>
    </row>
    <row r="178">
      <c r="A178" t="inlineStr">
        <is>
          <t>API_RESVERATROL</t>
        </is>
      </c>
      <c r="B178" t="inlineStr">
        <is>
          <t>TPSA</t>
        </is>
      </c>
      <c r="C178">
        <v>60.7</v>
      </c>
      <c r="D178" t="inlineStr">
        <is>
          <t>Å²</t>
        </is>
      </c>
      <c r="E178"/>
      <c r="F178"/>
      <c r="G178" t="inlineStr">
        <is>
          <t>computed descriptor</t>
        </is>
      </c>
      <c r="H178" t="inlineStr">
        <is>
          <t>S001_PUBCHEM</t>
        </is>
      </c>
      <c r="I178" t="inlineStr">
        <is>
          <t>database-derived</t>
        </is>
      </c>
      <c r="J178">
        <v>0.82</v>
      </c>
      <c r="K178"/>
    </row>
    <row r="179">
      <c r="A179" t="inlineStr">
        <is>
          <t>API_RESVERATROL</t>
        </is>
      </c>
      <c r="B179" t="inlineStr">
        <is>
          <t>HBD</t>
        </is>
      </c>
      <c r="C179">
        <v>3</v>
      </c>
      <c r="D179" t="inlineStr">
        <is>
          <t>count</t>
        </is>
      </c>
      <c r="E179"/>
      <c r="F179"/>
      <c r="G179" t="inlineStr">
        <is>
          <t>computed descriptor</t>
        </is>
      </c>
      <c r="H179" t="inlineStr">
        <is>
          <t>S001_PUBCHEM</t>
        </is>
      </c>
      <c r="I179" t="inlineStr">
        <is>
          <t>database-derived</t>
        </is>
      </c>
      <c r="J179">
        <v>0.82</v>
      </c>
      <c r="K179"/>
    </row>
    <row r="180">
      <c r="A180" t="inlineStr">
        <is>
          <t>API_RESVERATROL</t>
        </is>
      </c>
      <c r="B180" t="inlineStr">
        <is>
          <t>HBA</t>
        </is>
      </c>
      <c r="C180">
        <v>3</v>
      </c>
      <c r="D180" t="inlineStr">
        <is>
          <t>count</t>
        </is>
      </c>
      <c r="E180"/>
      <c r="F180"/>
      <c r="G180" t="inlineStr">
        <is>
          <t>computed descriptor</t>
        </is>
      </c>
      <c r="H180" t="inlineStr">
        <is>
          <t>S001_PUBCHEM</t>
        </is>
      </c>
      <c r="I180" t="inlineStr">
        <is>
          <t>database-derived</t>
        </is>
      </c>
      <c r="J180">
        <v>0.82</v>
      </c>
      <c r="K180"/>
    </row>
    <row r="181">
      <c r="A181" t="inlineStr">
        <is>
          <t>API_RESVERATROL</t>
        </is>
      </c>
      <c r="B181" t="inlineStr">
        <is>
          <t>rotatable_bonds</t>
        </is>
      </c>
      <c r="C181">
        <v>2</v>
      </c>
      <c r="D181" t="inlineStr">
        <is>
          <t>count</t>
        </is>
      </c>
      <c r="E181"/>
      <c r="F181"/>
      <c r="G181" t="inlineStr">
        <is>
          <t>computed descriptor</t>
        </is>
      </c>
      <c r="H181" t="inlineStr">
        <is>
          <t>S001_PUBCHEM</t>
        </is>
      </c>
      <c r="I181" t="inlineStr">
        <is>
          <t>database-derived</t>
        </is>
      </c>
      <c r="J181">
        <v>0.82</v>
      </c>
      <c r="K181"/>
    </row>
    <row r="182">
      <c r="A182" t="inlineStr">
        <is>
          <t>API_RESVERATROL</t>
        </is>
      </c>
      <c r="B182" t="inlineStr">
        <is>
          <t>aromatic_rings</t>
        </is>
      </c>
      <c r="C182">
        <v>2</v>
      </c>
      <c r="D182" t="inlineStr">
        <is>
          <t>count</t>
        </is>
      </c>
      <c r="E182"/>
      <c r="F182"/>
      <c r="G182" t="inlineStr">
        <is>
          <t>manual structural count</t>
        </is>
      </c>
      <c r="H182" t="inlineStr">
        <is>
          <t>S001_PUBCHEM</t>
        </is>
      </c>
      <c r="I182" t="inlineStr">
        <is>
          <t>estimated</t>
        </is>
      </c>
      <c r="J182">
        <v>0.6</v>
      </c>
      <c r="K182"/>
    </row>
    <row r="183">
      <c r="A183" t="inlineStr">
        <is>
          <t>API_RESVERATROL</t>
        </is>
      </c>
      <c r="B183" t="inlineStr">
        <is>
          <t>BCS_class</t>
        </is>
      </c>
      <c r="C183" t="inlineStr">
        <is>
          <t>II</t>
        </is>
      </c>
      <c r="D183"/>
      <c r="E183"/>
      <c r="F183"/>
      <c r="G183" t="inlineStr">
        <is>
          <t>literature consensus/placeholder</t>
        </is>
      </c>
      <c r="H183" t="inlineStr">
        <is>
          <t>S007_EXCIPIENTS_HANDBOOK</t>
        </is>
      </c>
      <c r="I183" t="inlineStr">
        <is>
          <t>estimated</t>
        </is>
      </c>
      <c r="J183">
        <v>0.4</v>
      </c>
      <c r="K183" t="inlineStr">
        <is>
          <t>Must be curated from API-specific biopharmaceutics sources.</t>
        </is>
      </c>
    </row>
    <row r="184">
      <c r="A184" t="inlineStr">
        <is>
          <t>API_RESVERATROL</t>
        </is>
      </c>
      <c r="B184" t="inlineStr">
        <is>
          <t>therapeutic_class</t>
        </is>
      </c>
      <c r="C184" t="inlineStr">
        <is>
          <t>polyphenol</t>
        </is>
      </c>
      <c r="D184"/>
      <c r="E184"/>
      <c r="F184"/>
      <c r="G184" t="inlineStr">
        <is>
          <t>manual therapeutic annotation</t>
        </is>
      </c>
      <c r="H184" t="inlineStr">
        <is>
          <t>S001_PUBCHEM</t>
        </is>
      </c>
      <c r="I184" t="inlineStr">
        <is>
          <t>database-derived</t>
        </is>
      </c>
      <c r="J184">
        <v>0.75</v>
      </c>
      <c r="K184"/>
    </row>
    <row r="185">
      <c r="A185" t="inlineStr">
        <is>
          <t>API_RESVERATROL</t>
        </is>
      </c>
      <c r="B185" t="inlineStr">
        <is>
          <t>payload_type</t>
        </is>
      </c>
      <c r="C185" t="inlineStr">
        <is>
          <t>small_molecule_API</t>
        </is>
      </c>
      <c r="D185"/>
      <c r="E185"/>
      <c r="F185"/>
      <c r="G185" t="inlineStr">
        <is>
          <t>payload taxonomy</t>
        </is>
      </c>
      <c r="H185" t="inlineStr">
        <is>
          <t>S000_USER_SPEC</t>
        </is>
      </c>
      <c r="I185" t="inlineStr">
        <is>
          <t>curated</t>
        </is>
      </c>
      <c r="J185">
        <v>0.8</v>
      </c>
      <c r="K185"/>
    </row>
    <row r="186">
      <c r="A186" t="inlineStr">
        <is>
          <t>API_RESVERATROL</t>
        </is>
      </c>
      <c r="B186" t="inlineStr">
        <is>
          <t>route_notes</t>
        </is>
      </c>
      <c r="C186" t="inlineStr">
        <is>
          <t>polyphenol; neutral weak acid phenolic payload</t>
        </is>
      </c>
      <c r="D186"/>
      <c r="E186"/>
      <c r="F186"/>
      <c r="G186" t="inlineStr">
        <is>
          <t>formulation-relevance annotation</t>
        </is>
      </c>
      <c r="H186" t="inlineStr">
        <is>
          <t>S014_AULTON</t>
        </is>
      </c>
      <c r="I186" t="inlineStr">
        <is>
          <t>curated</t>
        </is>
      </c>
      <c r="J186">
        <v>0.7</v>
      </c>
      <c r="K186"/>
    </row>
    <row r="187">
      <c r="A187" t="inlineStr">
        <is>
          <t>API_RESVERATROL</t>
        </is>
      </c>
      <c r="B187" t="inlineStr">
        <is>
          <t>pKa_acid</t>
        </is>
      </c>
      <c r="C187">
        <v>9.3</v>
      </c>
      <c r="D187"/>
      <c r="E187"/>
      <c r="F187"/>
      <c r="G187" t="inlineStr">
        <is>
          <t>literature pKa consensus</t>
        </is>
      </c>
      <c r="H187" t="inlineStr">
        <is>
          <t>S001_PUBCHEM</t>
        </is>
      </c>
      <c r="I187" t="inlineStr">
        <is>
          <t>handbook</t>
        </is>
      </c>
      <c r="J187">
        <v>0.6</v>
      </c>
      <c r="K187" t="inlineStr">
        <is>
          <t>Microstate and medium-dependent; confirm experimentally for model lock.</t>
        </is>
      </c>
    </row>
    <row r="188">
      <c r="A188" t="inlineStr">
        <is>
          <t>API_RESVERATROL</t>
        </is>
      </c>
      <c r="B188" t="inlineStr">
        <is>
          <t>Hansen_delta_D</t>
        </is>
      </c>
      <c r="C188">
        <v>18.2</v>
      </c>
      <c r="D188" t="inlineStr">
        <is>
          <t>MPa^0.5</t>
        </is>
      </c>
      <c r="E188"/>
      <c r="F188"/>
      <c r="G188" t="inlineStr">
        <is>
          <t>heuristic group-contribution/nearest-neighbour</t>
        </is>
      </c>
      <c r="H188" t="inlineStr">
        <is>
          <t>S013_EST_HSP_HEURISTIC</t>
        </is>
      </c>
      <c r="I188" t="inlineStr">
        <is>
          <t>estimated</t>
        </is>
      </c>
      <c r="J188">
        <v>0.43</v>
      </c>
      <c r="K188" t="inlineStr">
        <is>
          <t>Provisional HSP for screening; replace with experimental/literature value before model lock.</t>
        </is>
      </c>
    </row>
    <row r="189">
      <c r="A189" t="inlineStr">
        <is>
          <t>API_RESVERATROL</t>
        </is>
      </c>
      <c r="B189" t="inlineStr">
        <is>
          <t>Hansen_delta_P</t>
        </is>
      </c>
      <c r="C189">
        <v>8.0</v>
      </c>
      <c r="D189" t="inlineStr">
        <is>
          <t>MPa^0.5</t>
        </is>
      </c>
      <c r="E189"/>
      <c r="F189"/>
      <c r="G189" t="inlineStr">
        <is>
          <t>heuristic group-contribution/nearest-neighbour</t>
        </is>
      </c>
      <c r="H189" t="inlineStr">
        <is>
          <t>S013_EST_HSP_HEURISTIC</t>
        </is>
      </c>
      <c r="I189" t="inlineStr">
        <is>
          <t>estimated</t>
        </is>
      </c>
      <c r="J189">
        <v>0.43</v>
      </c>
      <c r="K189" t="inlineStr">
        <is>
          <t>Provisional HSP for screening; replace with experimental/literature value before model lock.</t>
        </is>
      </c>
    </row>
    <row r="190">
      <c r="A190" t="inlineStr">
        <is>
          <t>API_RESVERATROL</t>
        </is>
      </c>
      <c r="B190" t="inlineStr">
        <is>
          <t>Hansen_delta_H</t>
        </is>
      </c>
      <c r="C190">
        <v>10.0</v>
      </c>
      <c r="D190" t="inlineStr">
        <is>
          <t>MPa^0.5</t>
        </is>
      </c>
      <c r="E190"/>
      <c r="F190"/>
      <c r="G190" t="inlineStr">
        <is>
          <t>heuristic group-contribution/nearest-neighbour</t>
        </is>
      </c>
      <c r="H190" t="inlineStr">
        <is>
          <t>S013_EST_HSP_HEURISTIC</t>
        </is>
      </c>
      <c r="I190" t="inlineStr">
        <is>
          <t>estimated</t>
        </is>
      </c>
      <c r="J190">
        <v>0.43</v>
      </c>
      <c r="K190" t="inlineStr">
        <is>
          <t>Provisional HSP for screening; replace with experimental/literature value before model lock.</t>
        </is>
      </c>
    </row>
    <row r="191">
      <c r="A191" t="inlineStr">
        <is>
          <t>API_RESVERATROL</t>
        </is>
      </c>
      <c r="B191" t="inlineStr">
        <is>
          <t>Hildebrand_delta_T</t>
        </is>
      </c>
      <c r="C191">
        <v>22.25</v>
      </c>
      <c r="D191" t="inlineStr">
        <is>
          <t>MPa^0.5</t>
        </is>
      </c>
      <c r="E191"/>
      <c r="F191"/>
      <c r="G191" t="inlineStr">
        <is>
          <t>sqrt(deltaD^2+deltaP^2+deltaH^2)</t>
        </is>
      </c>
      <c r="H191" t="inlineStr">
        <is>
          <t>S012_CALCULATED</t>
        </is>
      </c>
      <c r="I191" t="inlineStr">
        <is>
          <t>calculated</t>
        </is>
      </c>
      <c r="J191">
        <v>0.48</v>
      </c>
      <c r="K191" t="inlineStr">
        <is>
          <t>Derived from stored Hansen components.</t>
        </is>
      </c>
    </row>
    <row r="192">
      <c r="A192" t="inlineStr">
        <is>
          <t>API_RESVERATROL</t>
        </is>
      </c>
      <c r="B192" t="inlineStr">
        <is>
          <t>HSP_radius_R0</t>
        </is>
      </c>
      <c r="C192">
        <v>8.5</v>
      </c>
      <c r="D192" t="inlineStr">
        <is>
          <t>MPa^0.5</t>
        </is>
      </c>
      <c r="E192"/>
      <c r="F192"/>
      <c r="G192" t="inlineStr">
        <is>
          <t>literature/heuristic solubility sphere</t>
        </is>
      </c>
      <c r="H192" t="inlineStr">
        <is>
          <t>S013_EST_HSP_HEURISTIC</t>
        </is>
      </c>
      <c r="I192" t="inlineStr">
        <is>
          <t>estimated</t>
        </is>
      </c>
      <c r="J192">
        <v>0.43</v>
      </c>
      <c r="K192" t="inlineStr">
        <is>
          <t>Screening radius only unless experimentally determined.</t>
        </is>
      </c>
    </row>
    <row r="193">
      <c r="A193" t="inlineStr">
        <is>
          <t>API_RESVERATROL</t>
        </is>
      </c>
      <c r="B193" t="inlineStr">
        <is>
          <t>molar_volume_cm3_mol</t>
        </is>
      </c>
      <c r="C193">
        <v>182.6</v>
      </c>
      <c r="D193" t="inlineStr">
        <is>
          <t>cm3/mol</t>
        </is>
      </c>
      <c r="E193"/>
      <c r="F193"/>
      <c r="G193" t="inlineStr">
        <is>
          <t>MW/density estimate</t>
        </is>
      </c>
      <c r="H193" t="inlineStr">
        <is>
          <t>S012_CALCULATED</t>
        </is>
      </c>
      <c r="I193" t="inlineStr">
        <is>
          <t>estimated</t>
        </is>
      </c>
      <c r="J193">
        <v>0.45</v>
      </c>
      <c r="K193" t="inlineStr">
        <is>
          <t>Estimated from MW/density; replace with measured molar volume or density-specific grade data.</t>
        </is>
      </c>
    </row>
    <row r="194">
      <c r="A194" t="inlineStr">
        <is>
          <t>API_IBUPROFEN</t>
        </is>
      </c>
      <c r="B194" t="inlineStr">
        <is>
          <t>molecular_weight_g_mol</t>
        </is>
      </c>
      <c r="C194">
        <v>206.28</v>
      </c>
      <c r="D194" t="inlineStr">
        <is>
          <t>g/mol</t>
        </is>
      </c>
      <c r="E194"/>
      <c r="F194"/>
      <c r="G194" t="inlineStr">
        <is>
          <t>PubChem/handbook curation</t>
        </is>
      </c>
      <c r="H194" t="inlineStr">
        <is>
          <t>S001_PUBCHEM</t>
        </is>
      </c>
      <c r="I194" t="inlineStr">
        <is>
          <t>database-derived</t>
        </is>
      </c>
      <c r="J194">
        <v>0.88</v>
      </c>
      <c r="K194"/>
    </row>
    <row r="195">
      <c r="A195" t="inlineStr">
        <is>
          <t>API_IBUPROFEN</t>
        </is>
      </c>
      <c r="B195" t="inlineStr">
        <is>
          <t>molecular_formula</t>
        </is>
      </c>
      <c r="C195" t="inlineStr">
        <is>
          <t>C13H18O2</t>
        </is>
      </c>
      <c r="D195"/>
      <c r="E195"/>
      <c r="F195"/>
      <c r="G195" t="inlineStr">
        <is>
          <t>PubChem/handbook curation</t>
        </is>
      </c>
      <c r="H195" t="inlineStr">
        <is>
          <t>S001_PUBCHEM</t>
        </is>
      </c>
      <c r="I195" t="inlineStr">
        <is>
          <t>database-derived</t>
        </is>
      </c>
      <c r="J195">
        <v>0.85</v>
      </c>
      <c r="K195"/>
    </row>
    <row r="196">
      <c r="A196" t="inlineStr">
        <is>
          <t>API_IBUPROFEN</t>
        </is>
      </c>
      <c r="B196" t="inlineStr">
        <is>
          <t>LogP</t>
        </is>
      </c>
      <c r="C196">
        <v>3.5</v>
      </c>
      <c r="D196"/>
      <c r="E196"/>
      <c r="F196"/>
      <c r="G196" t="inlineStr">
        <is>
          <t>computed/curated XLogP or literature consensus</t>
        </is>
      </c>
      <c r="H196" t="inlineStr">
        <is>
          <t>S001_PUBCHEM</t>
        </is>
      </c>
      <c r="I196" t="inlineStr">
        <is>
          <t>database-derived</t>
        </is>
      </c>
      <c r="J196">
        <v>0.72</v>
      </c>
      <c r="K196" t="inlineStr">
        <is>
          <t>Approximate; salt/tautomer state may alter.</t>
        </is>
      </c>
    </row>
    <row r="197">
      <c r="A197" t="inlineStr">
        <is>
          <t>API_IBUPROFEN</t>
        </is>
      </c>
      <c r="B197" t="inlineStr">
        <is>
          <t>formal_charge</t>
        </is>
      </c>
      <c r="C197">
        <v>0</v>
      </c>
      <c r="D197" t="inlineStr">
        <is>
          <t>e</t>
        </is>
      </c>
      <c r="E197"/>
      <c r="F197"/>
      <c r="G197" t="inlineStr">
        <is>
          <t>canonical neutral parent/salt-free structure</t>
        </is>
      </c>
      <c r="H197" t="inlineStr">
        <is>
          <t>S001_PUBCHEM</t>
        </is>
      </c>
      <c r="I197" t="inlineStr">
        <is>
          <t>database-derived</t>
        </is>
      </c>
      <c r="J197">
        <v>0.82</v>
      </c>
      <c r="K197" t="inlineStr">
        <is>
          <t>Use salt-specific material row for ionic salts.</t>
        </is>
      </c>
    </row>
    <row r="198">
      <c r="A198" t="inlineStr">
        <is>
          <t>API_IBUPROFEN</t>
        </is>
      </c>
      <c r="B198" t="inlineStr">
        <is>
          <t>water_solubility_mg_ml</t>
        </is>
      </c>
      <c r="C198">
        <v>0.021</v>
      </c>
      <c r="D198" t="inlineStr">
        <is>
          <t>mg/mL</t>
        </is>
      </c>
      <c r="E198"/>
      <c r="F198"/>
      <c r="G198" t="inlineStr">
        <is>
          <t>literature/aqueous solubility range approximated</t>
        </is>
      </c>
      <c r="H198" t="inlineStr">
        <is>
          <t>S001_PUBCHEM</t>
        </is>
      </c>
      <c r="I198" t="inlineStr">
        <is>
          <t>estimated</t>
        </is>
      </c>
      <c r="J198">
        <v>0.45</v>
      </c>
      <c r="K198" t="inlineStr">
        <is>
          <t>Highly pH- and salt-form-dependent.</t>
        </is>
      </c>
    </row>
    <row r="199">
      <c r="A199" t="inlineStr">
        <is>
          <t>API_IBUPROFEN</t>
        </is>
      </c>
      <c r="B199" t="inlineStr">
        <is>
          <t>melting_point_C</t>
        </is>
      </c>
      <c r="C199">
        <v>76</v>
      </c>
      <c r="D199" t="inlineStr">
        <is>
          <t>°C</t>
        </is>
      </c>
      <c r="E199"/>
      <c r="F199"/>
      <c r="G199" t="inlineStr">
        <is>
          <t>literature/supplier melting range</t>
        </is>
      </c>
      <c r="H199" t="inlineStr">
        <is>
          <t>S001_PUBCHEM</t>
        </is>
      </c>
      <c r="I199" t="inlineStr">
        <is>
          <t>handbook</t>
        </is>
      </c>
      <c r="J199">
        <v>0.65</v>
      </c>
      <c r="K199" t="inlineStr">
        <is>
          <t>Use polymorph-specific data when available.</t>
        </is>
      </c>
    </row>
    <row r="200">
      <c r="A200" t="inlineStr">
        <is>
          <t>API_IBUPROFEN</t>
        </is>
      </c>
      <c r="B200" t="inlineStr">
        <is>
          <t>TPSA</t>
        </is>
      </c>
      <c r="C200">
        <v>37.3</v>
      </c>
      <c r="D200" t="inlineStr">
        <is>
          <t>Å²</t>
        </is>
      </c>
      <c r="E200"/>
      <c r="F200"/>
      <c r="G200" t="inlineStr">
        <is>
          <t>computed descriptor</t>
        </is>
      </c>
      <c r="H200" t="inlineStr">
        <is>
          <t>S001_PUBCHEM</t>
        </is>
      </c>
      <c r="I200" t="inlineStr">
        <is>
          <t>database-derived</t>
        </is>
      </c>
      <c r="J200">
        <v>0.82</v>
      </c>
      <c r="K200"/>
    </row>
    <row r="201">
      <c r="A201" t="inlineStr">
        <is>
          <t>API_IBUPROFEN</t>
        </is>
      </c>
      <c r="B201" t="inlineStr">
        <is>
          <t>HBD</t>
        </is>
      </c>
      <c r="C201">
        <v>1</v>
      </c>
      <c r="D201" t="inlineStr">
        <is>
          <t>count</t>
        </is>
      </c>
      <c r="E201"/>
      <c r="F201"/>
      <c r="G201" t="inlineStr">
        <is>
          <t>computed descriptor</t>
        </is>
      </c>
      <c r="H201" t="inlineStr">
        <is>
          <t>S001_PUBCHEM</t>
        </is>
      </c>
      <c r="I201" t="inlineStr">
        <is>
          <t>database-derived</t>
        </is>
      </c>
      <c r="J201">
        <v>0.82</v>
      </c>
      <c r="K201"/>
    </row>
    <row r="202">
      <c r="A202" t="inlineStr">
        <is>
          <t>API_IBUPROFEN</t>
        </is>
      </c>
      <c r="B202" t="inlineStr">
        <is>
          <t>HBA</t>
        </is>
      </c>
      <c r="C202">
        <v>2</v>
      </c>
      <c r="D202" t="inlineStr">
        <is>
          <t>count</t>
        </is>
      </c>
      <c r="E202"/>
      <c r="F202"/>
      <c r="G202" t="inlineStr">
        <is>
          <t>computed descriptor</t>
        </is>
      </c>
      <c r="H202" t="inlineStr">
        <is>
          <t>S001_PUBCHEM</t>
        </is>
      </c>
      <c r="I202" t="inlineStr">
        <is>
          <t>database-derived</t>
        </is>
      </c>
      <c r="J202">
        <v>0.82</v>
      </c>
      <c r="K202"/>
    </row>
    <row r="203">
      <c r="A203" t="inlineStr">
        <is>
          <t>API_IBUPROFEN</t>
        </is>
      </c>
      <c r="B203" t="inlineStr">
        <is>
          <t>rotatable_bonds</t>
        </is>
      </c>
      <c r="C203">
        <v>4</v>
      </c>
      <c r="D203" t="inlineStr">
        <is>
          <t>count</t>
        </is>
      </c>
      <c r="E203"/>
      <c r="F203"/>
      <c r="G203" t="inlineStr">
        <is>
          <t>computed descriptor</t>
        </is>
      </c>
      <c r="H203" t="inlineStr">
        <is>
          <t>S001_PUBCHEM</t>
        </is>
      </c>
      <c r="I203" t="inlineStr">
        <is>
          <t>database-derived</t>
        </is>
      </c>
      <c r="J203">
        <v>0.82</v>
      </c>
      <c r="K203"/>
    </row>
    <row r="204">
      <c r="A204" t="inlineStr">
        <is>
          <t>API_IBUPROFEN</t>
        </is>
      </c>
      <c r="B204" t="inlineStr">
        <is>
          <t>aromatic_rings</t>
        </is>
      </c>
      <c r="C204">
        <v>1</v>
      </c>
      <c r="D204" t="inlineStr">
        <is>
          <t>count</t>
        </is>
      </c>
      <c r="E204"/>
      <c r="F204"/>
      <c r="G204" t="inlineStr">
        <is>
          <t>manual structural count</t>
        </is>
      </c>
      <c r="H204" t="inlineStr">
        <is>
          <t>S001_PUBCHEM</t>
        </is>
      </c>
      <c r="I204" t="inlineStr">
        <is>
          <t>estimated</t>
        </is>
      </c>
      <c r="J204">
        <v>0.6</v>
      </c>
      <c r="K204"/>
    </row>
    <row r="205">
      <c r="A205" t="inlineStr">
        <is>
          <t>API_IBUPROFEN</t>
        </is>
      </c>
      <c r="B205" t="inlineStr">
        <is>
          <t>BCS_class</t>
        </is>
      </c>
      <c r="C205" t="inlineStr">
        <is>
          <t>II</t>
        </is>
      </c>
      <c r="D205"/>
      <c r="E205"/>
      <c r="F205"/>
      <c r="G205" t="inlineStr">
        <is>
          <t>literature consensus/placeholder</t>
        </is>
      </c>
      <c r="H205" t="inlineStr">
        <is>
          <t>S007_EXCIPIENTS_HANDBOOK</t>
        </is>
      </c>
      <c r="I205" t="inlineStr">
        <is>
          <t>estimated</t>
        </is>
      </c>
      <c r="J205">
        <v>0.4</v>
      </c>
      <c r="K205" t="inlineStr">
        <is>
          <t>Must be curated from API-specific biopharmaceutics sources.</t>
        </is>
      </c>
    </row>
    <row r="206">
      <c r="A206" t="inlineStr">
        <is>
          <t>API_IBUPROFEN</t>
        </is>
      </c>
      <c r="B206" t="inlineStr">
        <is>
          <t>therapeutic_class</t>
        </is>
      </c>
      <c r="C206" t="inlineStr">
        <is>
          <t>NSAID</t>
        </is>
      </c>
      <c r="D206"/>
      <c r="E206"/>
      <c r="F206"/>
      <c r="G206" t="inlineStr">
        <is>
          <t>manual therapeutic annotation</t>
        </is>
      </c>
      <c r="H206" t="inlineStr">
        <is>
          <t>S001_PUBCHEM</t>
        </is>
      </c>
      <c r="I206" t="inlineStr">
        <is>
          <t>database-derived</t>
        </is>
      </c>
      <c r="J206">
        <v>0.75</v>
      </c>
      <c r="K206"/>
    </row>
    <row r="207">
      <c r="A207" t="inlineStr">
        <is>
          <t>API_IBUPROFEN</t>
        </is>
      </c>
      <c r="B207" t="inlineStr">
        <is>
          <t>payload_type</t>
        </is>
      </c>
      <c r="C207" t="inlineStr">
        <is>
          <t>small_molecule_API</t>
        </is>
      </c>
      <c r="D207"/>
      <c r="E207"/>
      <c r="F207"/>
      <c r="G207" t="inlineStr">
        <is>
          <t>payload taxonomy</t>
        </is>
      </c>
      <c r="H207" t="inlineStr">
        <is>
          <t>S000_USER_SPEC</t>
        </is>
      </c>
      <c r="I207" t="inlineStr">
        <is>
          <t>curated</t>
        </is>
      </c>
      <c r="J207">
        <v>0.8</v>
      </c>
      <c r="K207"/>
    </row>
    <row r="208">
      <c r="A208" t="inlineStr">
        <is>
          <t>API_IBUPROFEN</t>
        </is>
      </c>
      <c r="B208" t="inlineStr">
        <is>
          <t>route_notes</t>
        </is>
      </c>
      <c r="C208" t="inlineStr">
        <is>
          <t>weak-acid NSAID; ionization controls loading/release</t>
        </is>
      </c>
      <c r="D208"/>
      <c r="E208"/>
      <c r="F208"/>
      <c r="G208" t="inlineStr">
        <is>
          <t>formulation-relevance annotation</t>
        </is>
      </c>
      <c r="H208" t="inlineStr">
        <is>
          <t>S014_AULTON</t>
        </is>
      </c>
      <c r="I208" t="inlineStr">
        <is>
          <t>curated</t>
        </is>
      </c>
      <c r="J208">
        <v>0.7</v>
      </c>
      <c r="K208"/>
    </row>
    <row r="209">
      <c r="A209" t="inlineStr">
        <is>
          <t>API_IBUPROFEN</t>
        </is>
      </c>
      <c r="B209" t="inlineStr">
        <is>
          <t>pKa_acid</t>
        </is>
      </c>
      <c r="C209">
        <v>4.9</v>
      </c>
      <c r="D209"/>
      <c r="E209"/>
      <c r="F209"/>
      <c r="G209" t="inlineStr">
        <is>
          <t>literature pKa consensus</t>
        </is>
      </c>
      <c r="H209" t="inlineStr">
        <is>
          <t>S001_PUBCHEM</t>
        </is>
      </c>
      <c r="I209" t="inlineStr">
        <is>
          <t>handbook</t>
        </is>
      </c>
      <c r="J209">
        <v>0.6</v>
      </c>
      <c r="K209" t="inlineStr">
        <is>
          <t>Microstate and medium-dependent; confirm experimentally for model lock.</t>
        </is>
      </c>
    </row>
    <row r="210">
      <c r="A210" t="inlineStr">
        <is>
          <t>API_IBUPROFEN</t>
        </is>
      </c>
      <c r="B210" t="inlineStr">
        <is>
          <t>Hansen_delta_D</t>
        </is>
      </c>
      <c r="C210">
        <v>18.2</v>
      </c>
      <c r="D210" t="inlineStr">
        <is>
          <t>MPa^0.5</t>
        </is>
      </c>
      <c r="E210"/>
      <c r="F210"/>
      <c r="G210" t="inlineStr">
        <is>
          <t>heuristic group-contribution/nearest-neighbour</t>
        </is>
      </c>
      <c r="H210" t="inlineStr">
        <is>
          <t>S013_EST_HSP_HEURISTIC</t>
        </is>
      </c>
      <c r="I210" t="inlineStr">
        <is>
          <t>estimated</t>
        </is>
      </c>
      <c r="J210">
        <v>0.43</v>
      </c>
      <c r="K210" t="inlineStr">
        <is>
          <t>Provisional HSP for screening; replace with experimental/literature value before model lock.</t>
        </is>
      </c>
    </row>
    <row r="211">
      <c r="A211" t="inlineStr">
        <is>
          <t>API_IBUPROFEN</t>
        </is>
      </c>
      <c r="B211" t="inlineStr">
        <is>
          <t>Hansen_delta_P</t>
        </is>
      </c>
      <c r="C211">
        <v>8.0</v>
      </c>
      <c r="D211" t="inlineStr">
        <is>
          <t>MPa^0.5</t>
        </is>
      </c>
      <c r="E211"/>
      <c r="F211"/>
      <c r="G211" t="inlineStr">
        <is>
          <t>heuristic group-contribution/nearest-neighbour</t>
        </is>
      </c>
      <c r="H211" t="inlineStr">
        <is>
          <t>S013_EST_HSP_HEURISTIC</t>
        </is>
      </c>
      <c r="I211" t="inlineStr">
        <is>
          <t>estimated</t>
        </is>
      </c>
      <c r="J211">
        <v>0.43</v>
      </c>
      <c r="K211" t="inlineStr">
        <is>
          <t>Provisional HSP for screening; replace with experimental/literature value before model lock.</t>
        </is>
      </c>
    </row>
    <row r="212">
      <c r="A212" t="inlineStr">
        <is>
          <t>API_IBUPROFEN</t>
        </is>
      </c>
      <c r="B212" t="inlineStr">
        <is>
          <t>Hansen_delta_H</t>
        </is>
      </c>
      <c r="C212">
        <v>10.0</v>
      </c>
      <c r="D212" t="inlineStr">
        <is>
          <t>MPa^0.5</t>
        </is>
      </c>
      <c r="E212"/>
      <c r="F212"/>
      <c r="G212" t="inlineStr">
        <is>
          <t>heuristic group-contribution/nearest-neighbour</t>
        </is>
      </c>
      <c r="H212" t="inlineStr">
        <is>
          <t>S013_EST_HSP_HEURISTIC</t>
        </is>
      </c>
      <c r="I212" t="inlineStr">
        <is>
          <t>estimated</t>
        </is>
      </c>
      <c r="J212">
        <v>0.43</v>
      </c>
      <c r="K212" t="inlineStr">
        <is>
          <t>Provisional HSP for screening; replace with experimental/literature value before model lock.</t>
        </is>
      </c>
    </row>
    <row r="213">
      <c r="A213" t="inlineStr">
        <is>
          <t>API_IBUPROFEN</t>
        </is>
      </c>
      <c r="B213" t="inlineStr">
        <is>
          <t>Hildebrand_delta_T</t>
        </is>
      </c>
      <c r="C213">
        <v>22.25</v>
      </c>
      <c r="D213" t="inlineStr">
        <is>
          <t>MPa^0.5</t>
        </is>
      </c>
      <c r="E213"/>
      <c r="F213"/>
      <c r="G213" t="inlineStr">
        <is>
          <t>sqrt(deltaD^2+deltaP^2+deltaH^2)</t>
        </is>
      </c>
      <c r="H213" t="inlineStr">
        <is>
          <t>S012_CALCULATED</t>
        </is>
      </c>
      <c r="I213" t="inlineStr">
        <is>
          <t>calculated</t>
        </is>
      </c>
      <c r="J213">
        <v>0.48</v>
      </c>
      <c r="K213" t="inlineStr">
        <is>
          <t>Derived from stored Hansen components.</t>
        </is>
      </c>
    </row>
    <row r="214">
      <c r="A214" t="inlineStr">
        <is>
          <t>API_IBUPROFEN</t>
        </is>
      </c>
      <c r="B214" t="inlineStr">
        <is>
          <t>HSP_radius_R0</t>
        </is>
      </c>
      <c r="C214">
        <v>8.5</v>
      </c>
      <c r="D214" t="inlineStr">
        <is>
          <t>MPa^0.5</t>
        </is>
      </c>
      <c r="E214"/>
      <c r="F214"/>
      <c r="G214" t="inlineStr">
        <is>
          <t>literature/heuristic solubility sphere</t>
        </is>
      </c>
      <c r="H214" t="inlineStr">
        <is>
          <t>S013_EST_HSP_HEURISTIC</t>
        </is>
      </c>
      <c r="I214" t="inlineStr">
        <is>
          <t>estimated</t>
        </is>
      </c>
      <c r="J214">
        <v>0.43</v>
      </c>
      <c r="K214" t="inlineStr">
        <is>
          <t>Screening radius only unless experimentally determined.</t>
        </is>
      </c>
    </row>
    <row r="215">
      <c r="A215" t="inlineStr">
        <is>
          <t>API_IBUPROFEN</t>
        </is>
      </c>
      <c r="B215" t="inlineStr">
        <is>
          <t>molar_volume_cm3_mol</t>
        </is>
      </c>
      <c r="C215">
        <v>165.02</v>
      </c>
      <c r="D215" t="inlineStr">
        <is>
          <t>cm3/mol</t>
        </is>
      </c>
      <c r="E215"/>
      <c r="F215"/>
      <c r="G215" t="inlineStr">
        <is>
          <t>MW/density estimate</t>
        </is>
      </c>
      <c r="H215" t="inlineStr">
        <is>
          <t>S012_CALCULATED</t>
        </is>
      </c>
      <c r="I215" t="inlineStr">
        <is>
          <t>estimated</t>
        </is>
      </c>
      <c r="J215">
        <v>0.45</v>
      </c>
      <c r="K215" t="inlineStr">
        <is>
          <t>Estimated from MW/density; replace with measured molar volume or density-specific grade data.</t>
        </is>
      </c>
    </row>
    <row r="216">
      <c r="A216" t="inlineStr">
        <is>
          <t>API_KETOPROFEN</t>
        </is>
      </c>
      <c r="B216" t="inlineStr">
        <is>
          <t>molecular_weight_g_mol</t>
        </is>
      </c>
      <c r="C216">
        <v>254.28</v>
      </c>
      <c r="D216" t="inlineStr">
        <is>
          <t>g/mol</t>
        </is>
      </c>
      <c r="E216"/>
      <c r="F216"/>
      <c r="G216" t="inlineStr">
        <is>
          <t>PubChem/handbook curation</t>
        </is>
      </c>
      <c r="H216" t="inlineStr">
        <is>
          <t>S001_PUBCHEM</t>
        </is>
      </c>
      <c r="I216" t="inlineStr">
        <is>
          <t>database-derived</t>
        </is>
      </c>
      <c r="J216">
        <v>0.88</v>
      </c>
      <c r="K216"/>
    </row>
    <row r="217">
      <c r="A217" t="inlineStr">
        <is>
          <t>API_KETOPROFEN</t>
        </is>
      </c>
      <c r="B217" t="inlineStr">
        <is>
          <t>molecular_formula</t>
        </is>
      </c>
      <c r="C217" t="inlineStr">
        <is>
          <t>C16H14O3</t>
        </is>
      </c>
      <c r="D217"/>
      <c r="E217"/>
      <c r="F217"/>
      <c r="G217" t="inlineStr">
        <is>
          <t>PubChem/handbook curation</t>
        </is>
      </c>
      <c r="H217" t="inlineStr">
        <is>
          <t>S001_PUBCHEM</t>
        </is>
      </c>
      <c r="I217" t="inlineStr">
        <is>
          <t>database-derived</t>
        </is>
      </c>
      <c r="J217">
        <v>0.85</v>
      </c>
      <c r="K217"/>
    </row>
    <row r="218">
      <c r="A218" t="inlineStr">
        <is>
          <t>API_KETOPROFEN</t>
        </is>
      </c>
      <c r="B218" t="inlineStr">
        <is>
          <t>LogP</t>
        </is>
      </c>
      <c r="C218">
        <v>3.1</v>
      </c>
      <c r="D218"/>
      <c r="E218"/>
      <c r="F218"/>
      <c r="G218" t="inlineStr">
        <is>
          <t>computed/curated XLogP or literature consensus</t>
        </is>
      </c>
      <c r="H218" t="inlineStr">
        <is>
          <t>S001_PUBCHEM</t>
        </is>
      </c>
      <c r="I218" t="inlineStr">
        <is>
          <t>database-derived</t>
        </is>
      </c>
      <c r="J218">
        <v>0.72</v>
      </c>
      <c r="K218" t="inlineStr">
        <is>
          <t>Approximate; salt/tautomer state may alter.</t>
        </is>
      </c>
    </row>
    <row r="219">
      <c r="A219" t="inlineStr">
        <is>
          <t>API_KETOPROFEN</t>
        </is>
      </c>
      <c r="B219" t="inlineStr">
        <is>
          <t>formal_charge</t>
        </is>
      </c>
      <c r="C219">
        <v>0</v>
      </c>
      <c r="D219" t="inlineStr">
        <is>
          <t>e</t>
        </is>
      </c>
      <c r="E219"/>
      <c r="F219"/>
      <c r="G219" t="inlineStr">
        <is>
          <t>canonical neutral parent/salt-free structure</t>
        </is>
      </c>
      <c r="H219" t="inlineStr">
        <is>
          <t>S001_PUBCHEM</t>
        </is>
      </c>
      <c r="I219" t="inlineStr">
        <is>
          <t>database-derived</t>
        </is>
      </c>
      <c r="J219">
        <v>0.82</v>
      </c>
      <c r="K219" t="inlineStr">
        <is>
          <t>Use salt-specific material row for ionic salts.</t>
        </is>
      </c>
    </row>
    <row r="220">
      <c r="A220" t="inlineStr">
        <is>
          <t>API_KETOPROFEN</t>
        </is>
      </c>
      <c r="B220" t="inlineStr">
        <is>
          <t>water_solubility_mg_ml</t>
        </is>
      </c>
      <c r="C220">
        <v>0.12</v>
      </c>
      <c r="D220" t="inlineStr">
        <is>
          <t>mg/mL</t>
        </is>
      </c>
      <c r="E220"/>
      <c r="F220"/>
      <c r="G220" t="inlineStr">
        <is>
          <t>literature/aqueous solubility range approximated</t>
        </is>
      </c>
      <c r="H220" t="inlineStr">
        <is>
          <t>S001_PUBCHEM</t>
        </is>
      </c>
      <c r="I220" t="inlineStr">
        <is>
          <t>estimated</t>
        </is>
      </c>
      <c r="J220">
        <v>0.45</v>
      </c>
      <c r="K220" t="inlineStr">
        <is>
          <t>Highly pH- and salt-form-dependent.</t>
        </is>
      </c>
    </row>
    <row r="221">
      <c r="A221" t="inlineStr">
        <is>
          <t>API_KETOPROFEN</t>
        </is>
      </c>
      <c r="B221" t="inlineStr">
        <is>
          <t>melting_point_C</t>
        </is>
      </c>
      <c r="C221">
        <v>94</v>
      </c>
      <c r="D221" t="inlineStr">
        <is>
          <t>°C</t>
        </is>
      </c>
      <c r="E221"/>
      <c r="F221"/>
      <c r="G221" t="inlineStr">
        <is>
          <t>literature/supplier melting range</t>
        </is>
      </c>
      <c r="H221" t="inlineStr">
        <is>
          <t>S001_PUBCHEM</t>
        </is>
      </c>
      <c r="I221" t="inlineStr">
        <is>
          <t>handbook</t>
        </is>
      </c>
      <c r="J221">
        <v>0.65</v>
      </c>
      <c r="K221" t="inlineStr">
        <is>
          <t>Use polymorph-specific data when available.</t>
        </is>
      </c>
    </row>
    <row r="222">
      <c r="A222" t="inlineStr">
        <is>
          <t>API_KETOPROFEN</t>
        </is>
      </c>
      <c r="B222" t="inlineStr">
        <is>
          <t>TPSA</t>
        </is>
      </c>
      <c r="C222">
        <v>54.4</v>
      </c>
      <c r="D222" t="inlineStr">
        <is>
          <t>Å²</t>
        </is>
      </c>
      <c r="E222"/>
      <c r="F222"/>
      <c r="G222" t="inlineStr">
        <is>
          <t>computed descriptor</t>
        </is>
      </c>
      <c r="H222" t="inlineStr">
        <is>
          <t>S001_PUBCHEM</t>
        </is>
      </c>
      <c r="I222" t="inlineStr">
        <is>
          <t>database-derived</t>
        </is>
      </c>
      <c r="J222">
        <v>0.82</v>
      </c>
      <c r="K222"/>
    </row>
    <row r="223">
      <c r="A223" t="inlineStr">
        <is>
          <t>API_KETOPROFEN</t>
        </is>
      </c>
      <c r="B223" t="inlineStr">
        <is>
          <t>HBD</t>
        </is>
      </c>
      <c r="C223">
        <v>1</v>
      </c>
      <c r="D223" t="inlineStr">
        <is>
          <t>count</t>
        </is>
      </c>
      <c r="E223"/>
      <c r="F223"/>
      <c r="G223" t="inlineStr">
        <is>
          <t>computed descriptor</t>
        </is>
      </c>
      <c r="H223" t="inlineStr">
        <is>
          <t>S001_PUBCHEM</t>
        </is>
      </c>
      <c r="I223" t="inlineStr">
        <is>
          <t>database-derived</t>
        </is>
      </c>
      <c r="J223">
        <v>0.82</v>
      </c>
      <c r="K223"/>
    </row>
    <row r="224">
      <c r="A224" t="inlineStr">
        <is>
          <t>API_KETOPROFEN</t>
        </is>
      </c>
      <c r="B224" t="inlineStr">
        <is>
          <t>HBA</t>
        </is>
      </c>
      <c r="C224">
        <v>3</v>
      </c>
      <c r="D224" t="inlineStr">
        <is>
          <t>count</t>
        </is>
      </c>
      <c r="E224"/>
      <c r="F224"/>
      <c r="G224" t="inlineStr">
        <is>
          <t>computed descriptor</t>
        </is>
      </c>
      <c r="H224" t="inlineStr">
        <is>
          <t>S001_PUBCHEM</t>
        </is>
      </c>
      <c r="I224" t="inlineStr">
        <is>
          <t>database-derived</t>
        </is>
      </c>
      <c r="J224">
        <v>0.82</v>
      </c>
      <c r="K224"/>
    </row>
    <row r="225">
      <c r="A225" t="inlineStr">
        <is>
          <t>API_KETOPROFEN</t>
        </is>
      </c>
      <c r="B225" t="inlineStr">
        <is>
          <t>rotatable_bonds</t>
        </is>
      </c>
      <c r="C225">
        <v>4</v>
      </c>
      <c r="D225" t="inlineStr">
        <is>
          <t>count</t>
        </is>
      </c>
      <c r="E225"/>
      <c r="F225"/>
      <c r="G225" t="inlineStr">
        <is>
          <t>computed descriptor</t>
        </is>
      </c>
      <c r="H225" t="inlineStr">
        <is>
          <t>S001_PUBCHEM</t>
        </is>
      </c>
      <c r="I225" t="inlineStr">
        <is>
          <t>database-derived</t>
        </is>
      </c>
      <c r="J225">
        <v>0.82</v>
      </c>
      <c r="K225"/>
    </row>
    <row r="226">
      <c r="A226" t="inlineStr">
        <is>
          <t>API_KETOPROFEN</t>
        </is>
      </c>
      <c r="B226" t="inlineStr">
        <is>
          <t>aromatic_rings</t>
        </is>
      </c>
      <c r="C226">
        <v>2</v>
      </c>
      <c r="D226" t="inlineStr">
        <is>
          <t>count</t>
        </is>
      </c>
      <c r="E226"/>
      <c r="F226"/>
      <c r="G226" t="inlineStr">
        <is>
          <t>manual structural count</t>
        </is>
      </c>
      <c r="H226" t="inlineStr">
        <is>
          <t>S001_PUBCHEM</t>
        </is>
      </c>
      <c r="I226" t="inlineStr">
        <is>
          <t>estimated</t>
        </is>
      </c>
      <c r="J226">
        <v>0.6</v>
      </c>
      <c r="K226"/>
    </row>
    <row r="227">
      <c r="A227" t="inlineStr">
        <is>
          <t>API_KETOPROFEN</t>
        </is>
      </c>
      <c r="B227" t="inlineStr">
        <is>
          <t>BCS_class</t>
        </is>
      </c>
      <c r="C227" t="inlineStr">
        <is>
          <t>II</t>
        </is>
      </c>
      <c r="D227"/>
      <c r="E227"/>
      <c r="F227"/>
      <c r="G227" t="inlineStr">
        <is>
          <t>literature consensus/placeholder</t>
        </is>
      </c>
      <c r="H227" t="inlineStr">
        <is>
          <t>S007_EXCIPIENTS_HANDBOOK</t>
        </is>
      </c>
      <c r="I227" t="inlineStr">
        <is>
          <t>estimated</t>
        </is>
      </c>
      <c r="J227">
        <v>0.4</v>
      </c>
      <c r="K227" t="inlineStr">
        <is>
          <t>Must be curated from API-specific biopharmaceutics sources.</t>
        </is>
      </c>
    </row>
    <row r="228">
      <c r="A228" t="inlineStr">
        <is>
          <t>API_KETOPROFEN</t>
        </is>
      </c>
      <c r="B228" t="inlineStr">
        <is>
          <t>therapeutic_class</t>
        </is>
      </c>
      <c r="C228" t="inlineStr">
        <is>
          <t>NSAID</t>
        </is>
      </c>
      <c r="D228"/>
      <c r="E228"/>
      <c r="F228"/>
      <c r="G228" t="inlineStr">
        <is>
          <t>manual therapeutic annotation</t>
        </is>
      </c>
      <c r="H228" t="inlineStr">
        <is>
          <t>S001_PUBCHEM</t>
        </is>
      </c>
      <c r="I228" t="inlineStr">
        <is>
          <t>database-derived</t>
        </is>
      </c>
      <c r="J228">
        <v>0.75</v>
      </c>
      <c r="K228"/>
    </row>
    <row r="229">
      <c r="A229" t="inlineStr">
        <is>
          <t>API_KETOPROFEN</t>
        </is>
      </c>
      <c r="B229" t="inlineStr">
        <is>
          <t>payload_type</t>
        </is>
      </c>
      <c r="C229" t="inlineStr">
        <is>
          <t>small_molecule_API</t>
        </is>
      </c>
      <c r="D229"/>
      <c r="E229"/>
      <c r="F229"/>
      <c r="G229" t="inlineStr">
        <is>
          <t>payload taxonomy</t>
        </is>
      </c>
      <c r="H229" t="inlineStr">
        <is>
          <t>S000_USER_SPEC</t>
        </is>
      </c>
      <c r="I229" t="inlineStr">
        <is>
          <t>curated</t>
        </is>
      </c>
      <c r="J229">
        <v>0.8</v>
      </c>
      <c r="K229"/>
    </row>
    <row r="230">
      <c r="A230" t="inlineStr">
        <is>
          <t>API_KETOPROFEN</t>
        </is>
      </c>
      <c r="B230" t="inlineStr">
        <is>
          <t>route_notes</t>
        </is>
      </c>
      <c r="C230" t="inlineStr">
        <is>
          <t>weak-acid NSAID</t>
        </is>
      </c>
      <c r="D230"/>
      <c r="E230"/>
      <c r="F230"/>
      <c r="G230" t="inlineStr">
        <is>
          <t>formulation-relevance annotation</t>
        </is>
      </c>
      <c r="H230" t="inlineStr">
        <is>
          <t>S014_AULTON</t>
        </is>
      </c>
      <c r="I230" t="inlineStr">
        <is>
          <t>curated</t>
        </is>
      </c>
      <c r="J230">
        <v>0.7</v>
      </c>
      <c r="K230"/>
    </row>
    <row r="231">
      <c r="A231" t="inlineStr">
        <is>
          <t>API_KETOPROFEN</t>
        </is>
      </c>
      <c r="B231" t="inlineStr">
        <is>
          <t>pKa_acid</t>
        </is>
      </c>
      <c r="C231">
        <v>4.45</v>
      </c>
      <c r="D231"/>
      <c r="E231"/>
      <c r="F231"/>
      <c r="G231" t="inlineStr">
        <is>
          <t>literature pKa consensus</t>
        </is>
      </c>
      <c r="H231" t="inlineStr">
        <is>
          <t>S001_PUBCHEM</t>
        </is>
      </c>
      <c r="I231" t="inlineStr">
        <is>
          <t>handbook</t>
        </is>
      </c>
      <c r="J231">
        <v>0.6</v>
      </c>
      <c r="K231" t="inlineStr">
        <is>
          <t>Microstate and medium-dependent; confirm experimentally for model lock.</t>
        </is>
      </c>
    </row>
    <row r="232">
      <c r="A232" t="inlineStr">
        <is>
          <t>API_KETOPROFEN</t>
        </is>
      </c>
      <c r="B232" t="inlineStr">
        <is>
          <t>Hansen_delta_D</t>
        </is>
      </c>
      <c r="C232">
        <v>18.2</v>
      </c>
      <c r="D232" t="inlineStr">
        <is>
          <t>MPa^0.5</t>
        </is>
      </c>
      <c r="E232"/>
      <c r="F232"/>
      <c r="G232" t="inlineStr">
        <is>
          <t>heuristic group-contribution/nearest-neighbour</t>
        </is>
      </c>
      <c r="H232" t="inlineStr">
        <is>
          <t>S013_EST_HSP_HEURISTIC</t>
        </is>
      </c>
      <c r="I232" t="inlineStr">
        <is>
          <t>estimated</t>
        </is>
      </c>
      <c r="J232">
        <v>0.43</v>
      </c>
      <c r="K232" t="inlineStr">
        <is>
          <t>Provisional HSP for screening; replace with experimental/literature value before model lock.</t>
        </is>
      </c>
    </row>
    <row r="233">
      <c r="A233" t="inlineStr">
        <is>
          <t>API_KETOPROFEN</t>
        </is>
      </c>
      <c r="B233" t="inlineStr">
        <is>
          <t>Hansen_delta_P</t>
        </is>
      </c>
      <c r="C233">
        <v>8.0</v>
      </c>
      <c r="D233" t="inlineStr">
        <is>
          <t>MPa^0.5</t>
        </is>
      </c>
      <c r="E233"/>
      <c r="F233"/>
      <c r="G233" t="inlineStr">
        <is>
          <t>heuristic group-contribution/nearest-neighbour</t>
        </is>
      </c>
      <c r="H233" t="inlineStr">
        <is>
          <t>S013_EST_HSP_HEURISTIC</t>
        </is>
      </c>
      <c r="I233" t="inlineStr">
        <is>
          <t>estimated</t>
        </is>
      </c>
      <c r="J233">
        <v>0.43</v>
      </c>
      <c r="K233" t="inlineStr">
        <is>
          <t>Provisional HSP for screening; replace with experimental/literature value before model lock.</t>
        </is>
      </c>
    </row>
    <row r="234">
      <c r="A234" t="inlineStr">
        <is>
          <t>API_KETOPROFEN</t>
        </is>
      </c>
      <c r="B234" t="inlineStr">
        <is>
          <t>Hansen_delta_H</t>
        </is>
      </c>
      <c r="C234">
        <v>10.0</v>
      </c>
      <c r="D234" t="inlineStr">
        <is>
          <t>MPa^0.5</t>
        </is>
      </c>
      <c r="E234"/>
      <c r="F234"/>
      <c r="G234" t="inlineStr">
        <is>
          <t>heuristic group-contribution/nearest-neighbour</t>
        </is>
      </c>
      <c r="H234" t="inlineStr">
        <is>
          <t>S013_EST_HSP_HEURISTIC</t>
        </is>
      </c>
      <c r="I234" t="inlineStr">
        <is>
          <t>estimated</t>
        </is>
      </c>
      <c r="J234">
        <v>0.43</v>
      </c>
      <c r="K234" t="inlineStr">
        <is>
          <t>Provisional HSP for screening; replace with experimental/literature value before model lock.</t>
        </is>
      </c>
    </row>
    <row r="235">
      <c r="A235" t="inlineStr">
        <is>
          <t>API_KETOPROFEN</t>
        </is>
      </c>
      <c r="B235" t="inlineStr">
        <is>
          <t>Hildebrand_delta_T</t>
        </is>
      </c>
      <c r="C235">
        <v>22.25</v>
      </c>
      <c r="D235" t="inlineStr">
        <is>
          <t>MPa^0.5</t>
        </is>
      </c>
      <c r="E235"/>
      <c r="F235"/>
      <c r="G235" t="inlineStr">
        <is>
          <t>sqrt(deltaD^2+deltaP^2+deltaH^2)</t>
        </is>
      </c>
      <c r="H235" t="inlineStr">
        <is>
          <t>S012_CALCULATED</t>
        </is>
      </c>
      <c r="I235" t="inlineStr">
        <is>
          <t>calculated</t>
        </is>
      </c>
      <c r="J235">
        <v>0.48</v>
      </c>
      <c r="K235" t="inlineStr">
        <is>
          <t>Derived from stored Hansen components.</t>
        </is>
      </c>
    </row>
    <row r="236">
      <c r="A236" t="inlineStr">
        <is>
          <t>API_KETOPROFEN</t>
        </is>
      </c>
      <c r="B236" t="inlineStr">
        <is>
          <t>HSP_radius_R0</t>
        </is>
      </c>
      <c r="C236">
        <v>8.5</v>
      </c>
      <c r="D236" t="inlineStr">
        <is>
          <t>MPa^0.5</t>
        </is>
      </c>
      <c r="E236"/>
      <c r="F236"/>
      <c r="G236" t="inlineStr">
        <is>
          <t>literature/heuristic solubility sphere</t>
        </is>
      </c>
      <c r="H236" t="inlineStr">
        <is>
          <t>S013_EST_HSP_HEURISTIC</t>
        </is>
      </c>
      <c r="I236" t="inlineStr">
        <is>
          <t>estimated</t>
        </is>
      </c>
      <c r="J236">
        <v>0.43</v>
      </c>
      <c r="K236" t="inlineStr">
        <is>
          <t>Screening radius only unless experimentally determined.</t>
        </is>
      </c>
    </row>
    <row r="237">
      <c r="A237" t="inlineStr">
        <is>
          <t>API_KETOPROFEN</t>
        </is>
      </c>
      <c r="B237" t="inlineStr">
        <is>
          <t>molar_volume_cm3_mol</t>
        </is>
      </c>
      <c r="C237">
        <v>203.42</v>
      </c>
      <c r="D237" t="inlineStr">
        <is>
          <t>cm3/mol</t>
        </is>
      </c>
      <c r="E237"/>
      <c r="F237"/>
      <c r="G237" t="inlineStr">
        <is>
          <t>MW/density estimate</t>
        </is>
      </c>
      <c r="H237" t="inlineStr">
        <is>
          <t>S012_CALCULATED</t>
        </is>
      </c>
      <c r="I237" t="inlineStr">
        <is>
          <t>estimated</t>
        </is>
      </c>
      <c r="J237">
        <v>0.45</v>
      </c>
      <c r="K237" t="inlineStr">
        <is>
          <t>Estimated from MW/density; replace with measured molar volume or density-specific grade data.</t>
        </is>
      </c>
    </row>
    <row r="238">
      <c r="A238" t="inlineStr">
        <is>
          <t>API_DICLOFENAC</t>
        </is>
      </c>
      <c r="B238" t="inlineStr">
        <is>
          <t>molecular_weight_g_mol</t>
        </is>
      </c>
      <c r="C238">
        <v>296.15</v>
      </c>
      <c r="D238" t="inlineStr">
        <is>
          <t>g/mol</t>
        </is>
      </c>
      <c r="E238"/>
      <c r="F238"/>
      <c r="G238" t="inlineStr">
        <is>
          <t>PubChem/handbook curation</t>
        </is>
      </c>
      <c r="H238" t="inlineStr">
        <is>
          <t>S001_PUBCHEM</t>
        </is>
      </c>
      <c r="I238" t="inlineStr">
        <is>
          <t>database-derived</t>
        </is>
      </c>
      <c r="J238">
        <v>0.88</v>
      </c>
      <c r="K238"/>
    </row>
    <row r="239">
      <c r="A239" t="inlineStr">
        <is>
          <t>API_DICLOFENAC</t>
        </is>
      </c>
      <c r="B239" t="inlineStr">
        <is>
          <t>molecular_formula</t>
        </is>
      </c>
      <c r="C239" t="inlineStr">
        <is>
          <t>C14H11Cl2NO2</t>
        </is>
      </c>
      <c r="D239"/>
      <c r="E239"/>
      <c r="F239"/>
      <c r="G239" t="inlineStr">
        <is>
          <t>PubChem/handbook curation</t>
        </is>
      </c>
      <c r="H239" t="inlineStr">
        <is>
          <t>S001_PUBCHEM</t>
        </is>
      </c>
      <c r="I239" t="inlineStr">
        <is>
          <t>database-derived</t>
        </is>
      </c>
      <c r="J239">
        <v>0.85</v>
      </c>
      <c r="K239"/>
    </row>
    <row r="240">
      <c r="A240" t="inlineStr">
        <is>
          <t>API_DICLOFENAC</t>
        </is>
      </c>
      <c r="B240" t="inlineStr">
        <is>
          <t>LogP</t>
        </is>
      </c>
      <c r="C240">
        <v>4.5</v>
      </c>
      <c r="D240"/>
      <c r="E240"/>
      <c r="F240"/>
      <c r="G240" t="inlineStr">
        <is>
          <t>computed/curated XLogP or literature consensus</t>
        </is>
      </c>
      <c r="H240" t="inlineStr">
        <is>
          <t>S001_PUBCHEM</t>
        </is>
      </c>
      <c r="I240" t="inlineStr">
        <is>
          <t>database-derived</t>
        </is>
      </c>
      <c r="J240">
        <v>0.72</v>
      </c>
      <c r="K240" t="inlineStr">
        <is>
          <t>Approximate; salt/tautomer state may alter.</t>
        </is>
      </c>
    </row>
    <row r="241">
      <c r="A241" t="inlineStr">
        <is>
          <t>API_DICLOFENAC</t>
        </is>
      </c>
      <c r="B241" t="inlineStr">
        <is>
          <t>formal_charge</t>
        </is>
      </c>
      <c r="C241">
        <v>0</v>
      </c>
      <c r="D241" t="inlineStr">
        <is>
          <t>e</t>
        </is>
      </c>
      <c r="E241"/>
      <c r="F241"/>
      <c r="G241" t="inlineStr">
        <is>
          <t>canonical neutral parent/salt-free structure</t>
        </is>
      </c>
      <c r="H241" t="inlineStr">
        <is>
          <t>S001_PUBCHEM</t>
        </is>
      </c>
      <c r="I241" t="inlineStr">
        <is>
          <t>database-derived</t>
        </is>
      </c>
      <c r="J241">
        <v>0.82</v>
      </c>
      <c r="K241" t="inlineStr">
        <is>
          <t>Use salt-specific material row for ionic salts.</t>
        </is>
      </c>
    </row>
    <row r="242">
      <c r="A242" t="inlineStr">
        <is>
          <t>API_DICLOFENAC</t>
        </is>
      </c>
      <c r="B242" t="inlineStr">
        <is>
          <t>water_solubility_mg_ml</t>
        </is>
      </c>
      <c r="C242">
        <v>0.002</v>
      </c>
      <c r="D242" t="inlineStr">
        <is>
          <t>mg/mL</t>
        </is>
      </c>
      <c r="E242"/>
      <c r="F242"/>
      <c r="G242" t="inlineStr">
        <is>
          <t>literature/aqueous solubility range approximated</t>
        </is>
      </c>
      <c r="H242" t="inlineStr">
        <is>
          <t>S001_PUBCHEM</t>
        </is>
      </c>
      <c r="I242" t="inlineStr">
        <is>
          <t>estimated</t>
        </is>
      </c>
      <c r="J242">
        <v>0.45</v>
      </c>
      <c r="K242" t="inlineStr">
        <is>
          <t>Highly pH- and salt-form-dependent.</t>
        </is>
      </c>
    </row>
    <row r="243">
      <c r="A243" t="inlineStr">
        <is>
          <t>API_DICLOFENAC</t>
        </is>
      </c>
      <c r="B243" t="inlineStr">
        <is>
          <t>melting_point_C</t>
        </is>
      </c>
      <c r="C243">
        <v>165</v>
      </c>
      <c r="D243" t="inlineStr">
        <is>
          <t>°C</t>
        </is>
      </c>
      <c r="E243"/>
      <c r="F243"/>
      <c r="G243" t="inlineStr">
        <is>
          <t>literature/supplier melting range</t>
        </is>
      </c>
      <c r="H243" t="inlineStr">
        <is>
          <t>S001_PUBCHEM</t>
        </is>
      </c>
      <c r="I243" t="inlineStr">
        <is>
          <t>handbook</t>
        </is>
      </c>
      <c r="J243">
        <v>0.65</v>
      </c>
      <c r="K243" t="inlineStr">
        <is>
          <t>Use polymorph-specific data when available.</t>
        </is>
      </c>
    </row>
    <row r="244">
      <c r="A244" t="inlineStr">
        <is>
          <t>API_DICLOFENAC</t>
        </is>
      </c>
      <c r="B244" t="inlineStr">
        <is>
          <t>TPSA</t>
        </is>
      </c>
      <c r="C244">
        <v>49.3</v>
      </c>
      <c r="D244" t="inlineStr">
        <is>
          <t>Å²</t>
        </is>
      </c>
      <c r="E244"/>
      <c r="F244"/>
      <c r="G244" t="inlineStr">
        <is>
          <t>computed descriptor</t>
        </is>
      </c>
      <c r="H244" t="inlineStr">
        <is>
          <t>S001_PUBCHEM</t>
        </is>
      </c>
      <c r="I244" t="inlineStr">
        <is>
          <t>database-derived</t>
        </is>
      </c>
      <c r="J244">
        <v>0.82</v>
      </c>
      <c r="K244"/>
    </row>
    <row r="245">
      <c r="A245" t="inlineStr">
        <is>
          <t>API_DICLOFENAC</t>
        </is>
      </c>
      <c r="B245" t="inlineStr">
        <is>
          <t>HBD</t>
        </is>
      </c>
      <c r="C245">
        <v>2</v>
      </c>
      <c r="D245" t="inlineStr">
        <is>
          <t>count</t>
        </is>
      </c>
      <c r="E245"/>
      <c r="F245"/>
      <c r="G245" t="inlineStr">
        <is>
          <t>computed descriptor</t>
        </is>
      </c>
      <c r="H245" t="inlineStr">
        <is>
          <t>S001_PUBCHEM</t>
        </is>
      </c>
      <c r="I245" t="inlineStr">
        <is>
          <t>database-derived</t>
        </is>
      </c>
      <c r="J245">
        <v>0.82</v>
      </c>
      <c r="K245"/>
    </row>
    <row r="246">
      <c r="A246" t="inlineStr">
        <is>
          <t>API_DICLOFENAC</t>
        </is>
      </c>
      <c r="B246" t="inlineStr">
        <is>
          <t>HBA</t>
        </is>
      </c>
      <c r="C246">
        <v>3</v>
      </c>
      <c r="D246" t="inlineStr">
        <is>
          <t>count</t>
        </is>
      </c>
      <c r="E246"/>
      <c r="F246"/>
      <c r="G246" t="inlineStr">
        <is>
          <t>computed descriptor</t>
        </is>
      </c>
      <c r="H246" t="inlineStr">
        <is>
          <t>S001_PUBCHEM</t>
        </is>
      </c>
      <c r="I246" t="inlineStr">
        <is>
          <t>database-derived</t>
        </is>
      </c>
      <c r="J246">
        <v>0.82</v>
      </c>
      <c r="K246"/>
    </row>
    <row r="247">
      <c r="A247" t="inlineStr">
        <is>
          <t>API_DICLOFENAC</t>
        </is>
      </c>
      <c r="B247" t="inlineStr">
        <is>
          <t>rotatable_bonds</t>
        </is>
      </c>
      <c r="C247">
        <v>4</v>
      </c>
      <c r="D247" t="inlineStr">
        <is>
          <t>count</t>
        </is>
      </c>
      <c r="E247"/>
      <c r="F247"/>
      <c r="G247" t="inlineStr">
        <is>
          <t>computed descriptor</t>
        </is>
      </c>
      <c r="H247" t="inlineStr">
        <is>
          <t>S001_PUBCHEM</t>
        </is>
      </c>
      <c r="I247" t="inlineStr">
        <is>
          <t>database-derived</t>
        </is>
      </c>
      <c r="J247">
        <v>0.82</v>
      </c>
      <c r="K247"/>
    </row>
    <row r="248">
      <c r="A248" t="inlineStr">
        <is>
          <t>API_DICLOFENAC</t>
        </is>
      </c>
      <c r="B248" t="inlineStr">
        <is>
          <t>aromatic_rings</t>
        </is>
      </c>
      <c r="C248">
        <v>2</v>
      </c>
      <c r="D248" t="inlineStr">
        <is>
          <t>count</t>
        </is>
      </c>
      <c r="E248"/>
      <c r="F248"/>
      <c r="G248" t="inlineStr">
        <is>
          <t>manual structural count</t>
        </is>
      </c>
      <c r="H248" t="inlineStr">
        <is>
          <t>S001_PUBCHEM</t>
        </is>
      </c>
      <c r="I248" t="inlineStr">
        <is>
          <t>estimated</t>
        </is>
      </c>
      <c r="J248">
        <v>0.6</v>
      </c>
      <c r="K248"/>
    </row>
    <row r="249">
      <c r="A249" t="inlineStr">
        <is>
          <t>API_DICLOFENAC</t>
        </is>
      </c>
      <c r="B249" t="inlineStr">
        <is>
          <t>BCS_class</t>
        </is>
      </c>
      <c r="C249" t="inlineStr">
        <is>
          <t>II</t>
        </is>
      </c>
      <c r="D249"/>
      <c r="E249"/>
      <c r="F249"/>
      <c r="G249" t="inlineStr">
        <is>
          <t>literature consensus/placeholder</t>
        </is>
      </c>
      <c r="H249" t="inlineStr">
        <is>
          <t>S007_EXCIPIENTS_HANDBOOK</t>
        </is>
      </c>
      <c r="I249" t="inlineStr">
        <is>
          <t>estimated</t>
        </is>
      </c>
      <c r="J249">
        <v>0.4</v>
      </c>
      <c r="K249" t="inlineStr">
        <is>
          <t>Must be curated from API-specific biopharmaceutics sources.</t>
        </is>
      </c>
    </row>
    <row r="250">
      <c r="A250" t="inlineStr">
        <is>
          <t>API_DICLOFENAC</t>
        </is>
      </c>
      <c r="B250" t="inlineStr">
        <is>
          <t>therapeutic_class</t>
        </is>
      </c>
      <c r="C250" t="inlineStr">
        <is>
          <t>NSAID</t>
        </is>
      </c>
      <c r="D250"/>
      <c r="E250"/>
      <c r="F250"/>
      <c r="G250" t="inlineStr">
        <is>
          <t>manual therapeutic annotation</t>
        </is>
      </c>
      <c r="H250" t="inlineStr">
        <is>
          <t>S001_PUBCHEM</t>
        </is>
      </c>
      <c r="I250" t="inlineStr">
        <is>
          <t>database-derived</t>
        </is>
      </c>
      <c r="J250">
        <v>0.75</v>
      </c>
      <c r="K250"/>
    </row>
    <row r="251">
      <c r="A251" t="inlineStr">
        <is>
          <t>API_DICLOFENAC</t>
        </is>
      </c>
      <c r="B251" t="inlineStr">
        <is>
          <t>payload_type</t>
        </is>
      </c>
      <c r="C251" t="inlineStr">
        <is>
          <t>small_molecule_API</t>
        </is>
      </c>
      <c r="D251"/>
      <c r="E251"/>
      <c r="F251"/>
      <c r="G251" t="inlineStr">
        <is>
          <t>payload taxonomy</t>
        </is>
      </c>
      <c r="H251" t="inlineStr">
        <is>
          <t>S000_USER_SPEC</t>
        </is>
      </c>
      <c r="I251" t="inlineStr">
        <is>
          <t>curated</t>
        </is>
      </c>
      <c r="J251">
        <v>0.8</v>
      </c>
      <c r="K251"/>
    </row>
    <row r="252">
      <c r="A252" t="inlineStr">
        <is>
          <t>API_DICLOFENAC</t>
        </is>
      </c>
      <c r="B252" t="inlineStr">
        <is>
          <t>route_notes</t>
        </is>
      </c>
      <c r="C252" t="inlineStr">
        <is>
          <t>weak-acid NSAID; salt form changes solubility</t>
        </is>
      </c>
      <c r="D252"/>
      <c r="E252"/>
      <c r="F252"/>
      <c r="G252" t="inlineStr">
        <is>
          <t>formulation-relevance annotation</t>
        </is>
      </c>
      <c r="H252" t="inlineStr">
        <is>
          <t>S014_AULTON</t>
        </is>
      </c>
      <c r="I252" t="inlineStr">
        <is>
          <t>curated</t>
        </is>
      </c>
      <c r="J252">
        <v>0.7</v>
      </c>
      <c r="K252"/>
    </row>
    <row r="253">
      <c r="A253" t="inlineStr">
        <is>
          <t>API_DICLOFENAC</t>
        </is>
      </c>
      <c r="B253" t="inlineStr">
        <is>
          <t>pKa_acid</t>
        </is>
      </c>
      <c r="C253">
        <v>4.0</v>
      </c>
      <c r="D253"/>
      <c r="E253"/>
      <c r="F253"/>
      <c r="G253" t="inlineStr">
        <is>
          <t>literature pKa consensus</t>
        </is>
      </c>
      <c r="H253" t="inlineStr">
        <is>
          <t>S001_PUBCHEM</t>
        </is>
      </c>
      <c r="I253" t="inlineStr">
        <is>
          <t>handbook</t>
        </is>
      </c>
      <c r="J253">
        <v>0.6</v>
      </c>
      <c r="K253" t="inlineStr">
        <is>
          <t>Microstate and medium-dependent; confirm experimentally for model lock.</t>
        </is>
      </c>
    </row>
    <row r="254">
      <c r="A254" t="inlineStr">
        <is>
          <t>API_DICLOFENAC</t>
        </is>
      </c>
      <c r="B254" t="inlineStr">
        <is>
          <t>Hansen_delta_D</t>
        </is>
      </c>
      <c r="C254">
        <v>18.4</v>
      </c>
      <c r="D254" t="inlineStr">
        <is>
          <t>MPa^0.5</t>
        </is>
      </c>
      <c r="E254"/>
      <c r="F254"/>
      <c r="G254" t="inlineStr">
        <is>
          <t>heuristic group-contribution/nearest-neighbour</t>
        </is>
      </c>
      <c r="H254" t="inlineStr">
        <is>
          <t>S013_EST_HSP_HEURISTIC</t>
        </is>
      </c>
      <c r="I254" t="inlineStr">
        <is>
          <t>estimated</t>
        </is>
      </c>
      <c r="J254">
        <v>0.42</v>
      </c>
      <c r="K254" t="inlineStr">
        <is>
          <t>Provisional HSP for screening; replace with experimental/literature value before model lock.</t>
        </is>
      </c>
    </row>
    <row r="255">
      <c r="A255" t="inlineStr">
        <is>
          <t>API_DICLOFENAC</t>
        </is>
      </c>
      <c r="B255" t="inlineStr">
        <is>
          <t>Hansen_delta_P</t>
        </is>
      </c>
      <c r="C255">
        <v>5.5</v>
      </c>
      <c r="D255" t="inlineStr">
        <is>
          <t>MPa^0.5</t>
        </is>
      </c>
      <c r="E255"/>
      <c r="F255"/>
      <c r="G255" t="inlineStr">
        <is>
          <t>heuristic group-contribution/nearest-neighbour</t>
        </is>
      </c>
      <c r="H255" t="inlineStr">
        <is>
          <t>S013_EST_HSP_HEURISTIC</t>
        </is>
      </c>
      <c r="I255" t="inlineStr">
        <is>
          <t>estimated</t>
        </is>
      </c>
      <c r="J255">
        <v>0.42</v>
      </c>
      <c r="K255" t="inlineStr">
        <is>
          <t>Provisional HSP for screening; replace with experimental/literature value before model lock.</t>
        </is>
      </c>
    </row>
    <row r="256">
      <c r="A256" t="inlineStr">
        <is>
          <t>API_DICLOFENAC</t>
        </is>
      </c>
      <c r="B256" t="inlineStr">
        <is>
          <t>Hansen_delta_H</t>
        </is>
      </c>
      <c r="C256">
        <v>6.0</v>
      </c>
      <c r="D256" t="inlineStr">
        <is>
          <t>MPa^0.5</t>
        </is>
      </c>
      <c r="E256"/>
      <c r="F256"/>
      <c r="G256" t="inlineStr">
        <is>
          <t>heuristic group-contribution/nearest-neighbour</t>
        </is>
      </c>
      <c r="H256" t="inlineStr">
        <is>
          <t>S013_EST_HSP_HEURISTIC</t>
        </is>
      </c>
      <c r="I256" t="inlineStr">
        <is>
          <t>estimated</t>
        </is>
      </c>
      <c r="J256">
        <v>0.42</v>
      </c>
      <c r="K256" t="inlineStr">
        <is>
          <t>Provisional HSP for screening; replace with experimental/literature value before model lock.</t>
        </is>
      </c>
    </row>
    <row r="257">
      <c r="A257" t="inlineStr">
        <is>
          <t>API_DICLOFENAC</t>
        </is>
      </c>
      <c r="B257" t="inlineStr">
        <is>
          <t>Hildebrand_delta_T</t>
        </is>
      </c>
      <c r="C257">
        <v>20.12</v>
      </c>
      <c r="D257" t="inlineStr">
        <is>
          <t>MPa^0.5</t>
        </is>
      </c>
      <c r="E257"/>
      <c r="F257"/>
      <c r="G257" t="inlineStr">
        <is>
          <t>sqrt(deltaD^2+deltaP^2+deltaH^2)</t>
        </is>
      </c>
      <c r="H257" t="inlineStr">
        <is>
          <t>S012_CALCULATED</t>
        </is>
      </c>
      <c r="I257" t="inlineStr">
        <is>
          <t>calculated</t>
        </is>
      </c>
      <c r="J257">
        <v>0.47</v>
      </c>
      <c r="K257" t="inlineStr">
        <is>
          <t>Derived from stored Hansen components.</t>
        </is>
      </c>
    </row>
    <row r="258">
      <c r="A258" t="inlineStr">
        <is>
          <t>API_DICLOFENAC</t>
        </is>
      </c>
      <c r="B258" t="inlineStr">
        <is>
          <t>HSP_radius_R0</t>
        </is>
      </c>
      <c r="C258">
        <v>8.0</v>
      </c>
      <c r="D258" t="inlineStr">
        <is>
          <t>MPa^0.5</t>
        </is>
      </c>
      <c r="E258"/>
      <c r="F258"/>
      <c r="G258" t="inlineStr">
        <is>
          <t>literature/heuristic solubility sphere</t>
        </is>
      </c>
      <c r="H258" t="inlineStr">
        <is>
          <t>S013_EST_HSP_HEURISTIC</t>
        </is>
      </c>
      <c r="I258" t="inlineStr">
        <is>
          <t>estimated</t>
        </is>
      </c>
      <c r="J258">
        <v>0.42</v>
      </c>
      <c r="K258" t="inlineStr">
        <is>
          <t>Screening radius only unless experimentally determined.</t>
        </is>
      </c>
    </row>
    <row r="259">
      <c r="A259" t="inlineStr">
        <is>
          <t>API_DICLOFENAC</t>
        </is>
      </c>
      <c r="B259" t="inlineStr">
        <is>
          <t>molar_volume_cm3_mol</t>
        </is>
      </c>
      <c r="C259">
        <v>236.92</v>
      </c>
      <c r="D259" t="inlineStr">
        <is>
          <t>cm3/mol</t>
        </is>
      </c>
      <c r="E259"/>
      <c r="F259"/>
      <c r="G259" t="inlineStr">
        <is>
          <t>MW/density estimate</t>
        </is>
      </c>
      <c r="H259" t="inlineStr">
        <is>
          <t>S012_CALCULATED</t>
        </is>
      </c>
      <c r="I259" t="inlineStr">
        <is>
          <t>estimated</t>
        </is>
      </c>
      <c r="J259">
        <v>0.45</v>
      </c>
      <c r="K259" t="inlineStr">
        <is>
          <t>Estimated from MW/density; replace with measured molar volume or density-specific grade data.</t>
        </is>
      </c>
    </row>
    <row r="260">
      <c r="A260" t="inlineStr">
        <is>
          <t>API_NAPROXEN</t>
        </is>
      </c>
      <c r="B260" t="inlineStr">
        <is>
          <t>molecular_weight_g_mol</t>
        </is>
      </c>
      <c r="C260">
        <v>230.26</v>
      </c>
      <c r="D260" t="inlineStr">
        <is>
          <t>g/mol</t>
        </is>
      </c>
      <c r="E260"/>
      <c r="F260"/>
      <c r="G260" t="inlineStr">
        <is>
          <t>PubChem/handbook curation</t>
        </is>
      </c>
      <c r="H260" t="inlineStr">
        <is>
          <t>S001_PUBCHEM</t>
        </is>
      </c>
      <c r="I260" t="inlineStr">
        <is>
          <t>database-derived</t>
        </is>
      </c>
      <c r="J260">
        <v>0.88</v>
      </c>
      <c r="K260"/>
    </row>
    <row r="261">
      <c r="A261" t="inlineStr">
        <is>
          <t>API_NAPROXEN</t>
        </is>
      </c>
      <c r="B261" t="inlineStr">
        <is>
          <t>molecular_formula</t>
        </is>
      </c>
      <c r="C261" t="inlineStr">
        <is>
          <t>C14H14O3</t>
        </is>
      </c>
      <c r="D261"/>
      <c r="E261"/>
      <c r="F261"/>
      <c r="G261" t="inlineStr">
        <is>
          <t>PubChem/handbook curation</t>
        </is>
      </c>
      <c r="H261" t="inlineStr">
        <is>
          <t>S001_PUBCHEM</t>
        </is>
      </c>
      <c r="I261" t="inlineStr">
        <is>
          <t>database-derived</t>
        </is>
      </c>
      <c r="J261">
        <v>0.85</v>
      </c>
      <c r="K261"/>
    </row>
    <row r="262">
      <c r="A262" t="inlineStr">
        <is>
          <t>API_NAPROXEN</t>
        </is>
      </c>
      <c r="B262" t="inlineStr">
        <is>
          <t>LogP</t>
        </is>
      </c>
      <c r="C262">
        <v>3.2</v>
      </c>
      <c r="D262"/>
      <c r="E262"/>
      <c r="F262"/>
      <c r="G262" t="inlineStr">
        <is>
          <t>computed/curated XLogP or literature consensus</t>
        </is>
      </c>
      <c r="H262" t="inlineStr">
        <is>
          <t>S001_PUBCHEM</t>
        </is>
      </c>
      <c r="I262" t="inlineStr">
        <is>
          <t>database-derived</t>
        </is>
      </c>
      <c r="J262">
        <v>0.72</v>
      </c>
      <c r="K262" t="inlineStr">
        <is>
          <t>Approximate; salt/tautomer state may alter.</t>
        </is>
      </c>
    </row>
    <row r="263">
      <c r="A263" t="inlineStr">
        <is>
          <t>API_NAPROXEN</t>
        </is>
      </c>
      <c r="B263" t="inlineStr">
        <is>
          <t>formal_charge</t>
        </is>
      </c>
      <c r="C263">
        <v>0</v>
      </c>
      <c r="D263" t="inlineStr">
        <is>
          <t>e</t>
        </is>
      </c>
      <c r="E263"/>
      <c r="F263"/>
      <c r="G263" t="inlineStr">
        <is>
          <t>canonical neutral parent/salt-free structure</t>
        </is>
      </c>
      <c r="H263" t="inlineStr">
        <is>
          <t>S001_PUBCHEM</t>
        </is>
      </c>
      <c r="I263" t="inlineStr">
        <is>
          <t>database-derived</t>
        </is>
      </c>
      <c r="J263">
        <v>0.82</v>
      </c>
      <c r="K263" t="inlineStr">
        <is>
          <t>Use salt-specific material row for ionic salts.</t>
        </is>
      </c>
    </row>
    <row r="264">
      <c r="A264" t="inlineStr">
        <is>
          <t>API_NAPROXEN</t>
        </is>
      </c>
      <c r="B264" t="inlineStr">
        <is>
          <t>water_solubility_mg_ml</t>
        </is>
      </c>
      <c r="C264">
        <v>0.016</v>
      </c>
      <c r="D264" t="inlineStr">
        <is>
          <t>mg/mL</t>
        </is>
      </c>
      <c r="E264"/>
      <c r="F264"/>
      <c r="G264" t="inlineStr">
        <is>
          <t>literature/aqueous solubility range approximated</t>
        </is>
      </c>
      <c r="H264" t="inlineStr">
        <is>
          <t>S001_PUBCHEM</t>
        </is>
      </c>
      <c r="I264" t="inlineStr">
        <is>
          <t>estimated</t>
        </is>
      </c>
      <c r="J264">
        <v>0.45</v>
      </c>
      <c r="K264" t="inlineStr">
        <is>
          <t>Highly pH- and salt-form-dependent.</t>
        </is>
      </c>
    </row>
    <row r="265">
      <c r="A265" t="inlineStr">
        <is>
          <t>API_NAPROXEN</t>
        </is>
      </c>
      <c r="B265" t="inlineStr">
        <is>
          <t>melting_point_C</t>
        </is>
      </c>
      <c r="C265">
        <v>154</v>
      </c>
      <c r="D265" t="inlineStr">
        <is>
          <t>°C</t>
        </is>
      </c>
      <c r="E265"/>
      <c r="F265"/>
      <c r="G265" t="inlineStr">
        <is>
          <t>literature/supplier melting range</t>
        </is>
      </c>
      <c r="H265" t="inlineStr">
        <is>
          <t>S001_PUBCHEM</t>
        </is>
      </c>
      <c r="I265" t="inlineStr">
        <is>
          <t>handbook</t>
        </is>
      </c>
      <c r="J265">
        <v>0.65</v>
      </c>
      <c r="K265" t="inlineStr">
        <is>
          <t>Use polymorph-specific data when available.</t>
        </is>
      </c>
    </row>
    <row r="266">
      <c r="A266" t="inlineStr">
        <is>
          <t>API_NAPROXEN</t>
        </is>
      </c>
      <c r="B266" t="inlineStr">
        <is>
          <t>TPSA</t>
        </is>
      </c>
      <c r="C266">
        <v>46.5</v>
      </c>
      <c r="D266" t="inlineStr">
        <is>
          <t>Å²</t>
        </is>
      </c>
      <c r="E266"/>
      <c r="F266"/>
      <c r="G266" t="inlineStr">
        <is>
          <t>computed descriptor</t>
        </is>
      </c>
      <c r="H266" t="inlineStr">
        <is>
          <t>S001_PUBCHEM</t>
        </is>
      </c>
      <c r="I266" t="inlineStr">
        <is>
          <t>database-derived</t>
        </is>
      </c>
      <c r="J266">
        <v>0.82</v>
      </c>
      <c r="K266"/>
    </row>
    <row r="267">
      <c r="A267" t="inlineStr">
        <is>
          <t>API_NAPROXEN</t>
        </is>
      </c>
      <c r="B267" t="inlineStr">
        <is>
          <t>HBD</t>
        </is>
      </c>
      <c r="C267">
        <v>1</v>
      </c>
      <c r="D267" t="inlineStr">
        <is>
          <t>count</t>
        </is>
      </c>
      <c r="E267"/>
      <c r="F267"/>
      <c r="G267" t="inlineStr">
        <is>
          <t>computed descriptor</t>
        </is>
      </c>
      <c r="H267" t="inlineStr">
        <is>
          <t>S001_PUBCHEM</t>
        </is>
      </c>
      <c r="I267" t="inlineStr">
        <is>
          <t>database-derived</t>
        </is>
      </c>
      <c r="J267">
        <v>0.82</v>
      </c>
      <c r="K267"/>
    </row>
    <row r="268">
      <c r="A268" t="inlineStr">
        <is>
          <t>API_NAPROXEN</t>
        </is>
      </c>
      <c r="B268" t="inlineStr">
        <is>
          <t>HBA</t>
        </is>
      </c>
      <c r="C268">
        <v>3</v>
      </c>
      <c r="D268" t="inlineStr">
        <is>
          <t>count</t>
        </is>
      </c>
      <c r="E268"/>
      <c r="F268"/>
      <c r="G268" t="inlineStr">
        <is>
          <t>computed descriptor</t>
        </is>
      </c>
      <c r="H268" t="inlineStr">
        <is>
          <t>S001_PUBCHEM</t>
        </is>
      </c>
      <c r="I268" t="inlineStr">
        <is>
          <t>database-derived</t>
        </is>
      </c>
      <c r="J268">
        <v>0.82</v>
      </c>
      <c r="K268"/>
    </row>
    <row r="269">
      <c r="A269" t="inlineStr">
        <is>
          <t>API_NAPROXEN</t>
        </is>
      </c>
      <c r="B269" t="inlineStr">
        <is>
          <t>rotatable_bonds</t>
        </is>
      </c>
      <c r="C269">
        <v>3</v>
      </c>
      <c r="D269" t="inlineStr">
        <is>
          <t>count</t>
        </is>
      </c>
      <c r="E269"/>
      <c r="F269"/>
      <c r="G269" t="inlineStr">
        <is>
          <t>computed descriptor</t>
        </is>
      </c>
      <c r="H269" t="inlineStr">
        <is>
          <t>S001_PUBCHEM</t>
        </is>
      </c>
      <c r="I269" t="inlineStr">
        <is>
          <t>database-derived</t>
        </is>
      </c>
      <c r="J269">
        <v>0.82</v>
      </c>
      <c r="K269"/>
    </row>
    <row r="270">
      <c r="A270" t="inlineStr">
        <is>
          <t>API_NAPROXEN</t>
        </is>
      </c>
      <c r="B270" t="inlineStr">
        <is>
          <t>aromatic_rings</t>
        </is>
      </c>
      <c r="C270">
        <v>2</v>
      </c>
      <c r="D270" t="inlineStr">
        <is>
          <t>count</t>
        </is>
      </c>
      <c r="E270"/>
      <c r="F270"/>
      <c r="G270" t="inlineStr">
        <is>
          <t>manual structural count</t>
        </is>
      </c>
      <c r="H270" t="inlineStr">
        <is>
          <t>S001_PUBCHEM</t>
        </is>
      </c>
      <c r="I270" t="inlineStr">
        <is>
          <t>estimated</t>
        </is>
      </c>
      <c r="J270">
        <v>0.6</v>
      </c>
      <c r="K270"/>
    </row>
    <row r="271">
      <c r="A271" t="inlineStr">
        <is>
          <t>API_NAPROXEN</t>
        </is>
      </c>
      <c r="B271" t="inlineStr">
        <is>
          <t>BCS_class</t>
        </is>
      </c>
      <c r="C271" t="inlineStr">
        <is>
          <t>II</t>
        </is>
      </c>
      <c r="D271"/>
      <c r="E271"/>
      <c r="F271"/>
      <c r="G271" t="inlineStr">
        <is>
          <t>literature consensus/placeholder</t>
        </is>
      </c>
      <c r="H271" t="inlineStr">
        <is>
          <t>S007_EXCIPIENTS_HANDBOOK</t>
        </is>
      </c>
      <c r="I271" t="inlineStr">
        <is>
          <t>estimated</t>
        </is>
      </c>
      <c r="J271">
        <v>0.4</v>
      </c>
      <c r="K271" t="inlineStr">
        <is>
          <t>Must be curated from API-specific biopharmaceutics sources.</t>
        </is>
      </c>
    </row>
    <row r="272">
      <c r="A272" t="inlineStr">
        <is>
          <t>API_NAPROXEN</t>
        </is>
      </c>
      <c r="B272" t="inlineStr">
        <is>
          <t>therapeutic_class</t>
        </is>
      </c>
      <c r="C272" t="inlineStr">
        <is>
          <t>NSAID</t>
        </is>
      </c>
      <c r="D272"/>
      <c r="E272"/>
      <c r="F272"/>
      <c r="G272" t="inlineStr">
        <is>
          <t>manual therapeutic annotation</t>
        </is>
      </c>
      <c r="H272" t="inlineStr">
        <is>
          <t>S001_PUBCHEM</t>
        </is>
      </c>
      <c r="I272" t="inlineStr">
        <is>
          <t>database-derived</t>
        </is>
      </c>
      <c r="J272">
        <v>0.75</v>
      </c>
      <c r="K272"/>
    </row>
    <row r="273">
      <c r="A273" t="inlineStr">
        <is>
          <t>API_NAPROXEN</t>
        </is>
      </c>
      <c r="B273" t="inlineStr">
        <is>
          <t>payload_type</t>
        </is>
      </c>
      <c r="C273" t="inlineStr">
        <is>
          <t>small_molecule_API</t>
        </is>
      </c>
      <c r="D273"/>
      <c r="E273"/>
      <c r="F273"/>
      <c r="G273" t="inlineStr">
        <is>
          <t>payload taxonomy</t>
        </is>
      </c>
      <c r="H273" t="inlineStr">
        <is>
          <t>S000_USER_SPEC</t>
        </is>
      </c>
      <c r="I273" t="inlineStr">
        <is>
          <t>curated</t>
        </is>
      </c>
      <c r="J273">
        <v>0.8</v>
      </c>
      <c r="K273"/>
    </row>
    <row r="274">
      <c r="A274" t="inlineStr">
        <is>
          <t>API_NAPROXEN</t>
        </is>
      </c>
      <c r="B274" t="inlineStr">
        <is>
          <t>route_notes</t>
        </is>
      </c>
      <c r="C274" t="inlineStr">
        <is>
          <t>weak-acid NSAID</t>
        </is>
      </c>
      <c r="D274"/>
      <c r="E274"/>
      <c r="F274"/>
      <c r="G274" t="inlineStr">
        <is>
          <t>formulation-relevance annotation</t>
        </is>
      </c>
      <c r="H274" t="inlineStr">
        <is>
          <t>S014_AULTON</t>
        </is>
      </c>
      <c r="I274" t="inlineStr">
        <is>
          <t>curated</t>
        </is>
      </c>
      <c r="J274">
        <v>0.7</v>
      </c>
      <c r="K274"/>
    </row>
    <row r="275">
      <c r="A275" t="inlineStr">
        <is>
          <t>API_NAPROXEN</t>
        </is>
      </c>
      <c r="B275" t="inlineStr">
        <is>
          <t>pKa_acid</t>
        </is>
      </c>
      <c r="C275">
        <v>4.2</v>
      </c>
      <c r="D275"/>
      <c r="E275"/>
      <c r="F275"/>
      <c r="G275" t="inlineStr">
        <is>
          <t>literature pKa consensus</t>
        </is>
      </c>
      <c r="H275" t="inlineStr">
        <is>
          <t>S001_PUBCHEM</t>
        </is>
      </c>
      <c r="I275" t="inlineStr">
        <is>
          <t>handbook</t>
        </is>
      </c>
      <c r="J275">
        <v>0.6</v>
      </c>
      <c r="K275" t="inlineStr">
        <is>
          <t>Microstate and medium-dependent; confirm experimentally for model lock.</t>
        </is>
      </c>
    </row>
    <row r="276">
      <c r="A276" t="inlineStr">
        <is>
          <t>API_NAPROXEN</t>
        </is>
      </c>
      <c r="B276" t="inlineStr">
        <is>
          <t>Hansen_delta_D</t>
        </is>
      </c>
      <c r="C276">
        <v>18.2</v>
      </c>
      <c r="D276" t="inlineStr">
        <is>
          <t>MPa^0.5</t>
        </is>
      </c>
      <c r="E276"/>
      <c r="F276"/>
      <c r="G276" t="inlineStr">
        <is>
          <t>heuristic group-contribution/nearest-neighbour</t>
        </is>
      </c>
      <c r="H276" t="inlineStr">
        <is>
          <t>S013_EST_HSP_HEURISTIC</t>
        </is>
      </c>
      <c r="I276" t="inlineStr">
        <is>
          <t>estimated</t>
        </is>
      </c>
      <c r="J276">
        <v>0.43</v>
      </c>
      <c r="K276" t="inlineStr">
        <is>
          <t>Provisional HSP for screening; replace with experimental/literature value before model lock.</t>
        </is>
      </c>
    </row>
    <row r="277">
      <c r="A277" t="inlineStr">
        <is>
          <t>API_NAPROXEN</t>
        </is>
      </c>
      <c r="B277" t="inlineStr">
        <is>
          <t>Hansen_delta_P</t>
        </is>
      </c>
      <c r="C277">
        <v>8.0</v>
      </c>
      <c r="D277" t="inlineStr">
        <is>
          <t>MPa^0.5</t>
        </is>
      </c>
      <c r="E277"/>
      <c r="F277"/>
      <c r="G277" t="inlineStr">
        <is>
          <t>heuristic group-contribution/nearest-neighbour</t>
        </is>
      </c>
      <c r="H277" t="inlineStr">
        <is>
          <t>S013_EST_HSP_HEURISTIC</t>
        </is>
      </c>
      <c r="I277" t="inlineStr">
        <is>
          <t>estimated</t>
        </is>
      </c>
      <c r="J277">
        <v>0.43</v>
      </c>
      <c r="K277" t="inlineStr">
        <is>
          <t>Provisional HSP for screening; replace with experimental/literature value before model lock.</t>
        </is>
      </c>
    </row>
    <row r="278">
      <c r="A278" t="inlineStr">
        <is>
          <t>API_NAPROXEN</t>
        </is>
      </c>
      <c r="B278" t="inlineStr">
        <is>
          <t>Hansen_delta_H</t>
        </is>
      </c>
      <c r="C278">
        <v>10.0</v>
      </c>
      <c r="D278" t="inlineStr">
        <is>
          <t>MPa^0.5</t>
        </is>
      </c>
      <c r="E278"/>
      <c r="F278"/>
      <c r="G278" t="inlineStr">
        <is>
          <t>heuristic group-contribution/nearest-neighbour</t>
        </is>
      </c>
      <c r="H278" t="inlineStr">
        <is>
          <t>S013_EST_HSP_HEURISTIC</t>
        </is>
      </c>
      <c r="I278" t="inlineStr">
        <is>
          <t>estimated</t>
        </is>
      </c>
      <c r="J278">
        <v>0.43</v>
      </c>
      <c r="K278" t="inlineStr">
        <is>
          <t>Provisional HSP for screening; replace with experimental/literature value before model lock.</t>
        </is>
      </c>
    </row>
    <row r="279">
      <c r="A279" t="inlineStr">
        <is>
          <t>API_NAPROXEN</t>
        </is>
      </c>
      <c r="B279" t="inlineStr">
        <is>
          <t>Hildebrand_delta_T</t>
        </is>
      </c>
      <c r="C279">
        <v>22.25</v>
      </c>
      <c r="D279" t="inlineStr">
        <is>
          <t>MPa^0.5</t>
        </is>
      </c>
      <c r="E279"/>
      <c r="F279"/>
      <c r="G279" t="inlineStr">
        <is>
          <t>sqrt(deltaD^2+deltaP^2+deltaH^2)</t>
        </is>
      </c>
      <c r="H279" t="inlineStr">
        <is>
          <t>S012_CALCULATED</t>
        </is>
      </c>
      <c r="I279" t="inlineStr">
        <is>
          <t>calculated</t>
        </is>
      </c>
      <c r="J279">
        <v>0.48</v>
      </c>
      <c r="K279" t="inlineStr">
        <is>
          <t>Derived from stored Hansen components.</t>
        </is>
      </c>
    </row>
    <row r="280">
      <c r="A280" t="inlineStr">
        <is>
          <t>API_NAPROXEN</t>
        </is>
      </c>
      <c r="B280" t="inlineStr">
        <is>
          <t>HSP_radius_R0</t>
        </is>
      </c>
      <c r="C280">
        <v>8.5</v>
      </c>
      <c r="D280" t="inlineStr">
        <is>
          <t>MPa^0.5</t>
        </is>
      </c>
      <c r="E280"/>
      <c r="F280"/>
      <c r="G280" t="inlineStr">
        <is>
          <t>literature/heuristic solubility sphere</t>
        </is>
      </c>
      <c r="H280" t="inlineStr">
        <is>
          <t>S013_EST_HSP_HEURISTIC</t>
        </is>
      </c>
      <c r="I280" t="inlineStr">
        <is>
          <t>estimated</t>
        </is>
      </c>
      <c r="J280">
        <v>0.43</v>
      </c>
      <c r="K280" t="inlineStr">
        <is>
          <t>Screening radius only unless experimentally determined.</t>
        </is>
      </c>
    </row>
    <row r="281">
      <c r="A281" t="inlineStr">
        <is>
          <t>API_NAPROXEN</t>
        </is>
      </c>
      <c r="B281" t="inlineStr">
        <is>
          <t>molar_volume_cm3_mol</t>
        </is>
      </c>
      <c r="C281">
        <v>184.21</v>
      </c>
      <c r="D281" t="inlineStr">
        <is>
          <t>cm3/mol</t>
        </is>
      </c>
      <c r="E281"/>
      <c r="F281"/>
      <c r="G281" t="inlineStr">
        <is>
          <t>MW/density estimate</t>
        </is>
      </c>
      <c r="H281" t="inlineStr">
        <is>
          <t>S012_CALCULATED</t>
        </is>
      </c>
      <c r="I281" t="inlineStr">
        <is>
          <t>estimated</t>
        </is>
      </c>
      <c r="J281">
        <v>0.45</v>
      </c>
      <c r="K281" t="inlineStr">
        <is>
          <t>Estimated from MW/density; replace with measured molar volume or density-specific grade data.</t>
        </is>
      </c>
    </row>
    <row r="282">
      <c r="A282" t="inlineStr">
        <is>
          <t>API_INDOMETHACIN</t>
        </is>
      </c>
      <c r="B282" t="inlineStr">
        <is>
          <t>molecular_weight_g_mol</t>
        </is>
      </c>
      <c r="C282">
        <v>357.79</v>
      </c>
      <c r="D282" t="inlineStr">
        <is>
          <t>g/mol</t>
        </is>
      </c>
      <c r="E282"/>
      <c r="F282"/>
      <c r="G282" t="inlineStr">
        <is>
          <t>PubChem/handbook curation</t>
        </is>
      </c>
      <c r="H282" t="inlineStr">
        <is>
          <t>S001_PUBCHEM</t>
        </is>
      </c>
      <c r="I282" t="inlineStr">
        <is>
          <t>database-derived</t>
        </is>
      </c>
      <c r="J282">
        <v>0.88</v>
      </c>
      <c r="K282"/>
    </row>
    <row r="283">
      <c r="A283" t="inlineStr">
        <is>
          <t>API_INDOMETHACIN</t>
        </is>
      </c>
      <c r="B283" t="inlineStr">
        <is>
          <t>molecular_formula</t>
        </is>
      </c>
      <c r="C283" t="inlineStr">
        <is>
          <t>C19H16ClNO4</t>
        </is>
      </c>
      <c r="D283"/>
      <c r="E283"/>
      <c r="F283"/>
      <c r="G283" t="inlineStr">
        <is>
          <t>PubChem/handbook curation</t>
        </is>
      </c>
      <c r="H283" t="inlineStr">
        <is>
          <t>S001_PUBCHEM</t>
        </is>
      </c>
      <c r="I283" t="inlineStr">
        <is>
          <t>database-derived</t>
        </is>
      </c>
      <c r="J283">
        <v>0.85</v>
      </c>
      <c r="K283"/>
    </row>
    <row r="284">
      <c r="A284" t="inlineStr">
        <is>
          <t>API_INDOMETHACIN</t>
        </is>
      </c>
      <c r="B284" t="inlineStr">
        <is>
          <t>LogP</t>
        </is>
      </c>
      <c r="C284">
        <v>4.3</v>
      </c>
      <c r="D284"/>
      <c r="E284"/>
      <c r="F284"/>
      <c r="G284" t="inlineStr">
        <is>
          <t>computed/curated XLogP or literature consensus</t>
        </is>
      </c>
      <c r="H284" t="inlineStr">
        <is>
          <t>S001_PUBCHEM</t>
        </is>
      </c>
      <c r="I284" t="inlineStr">
        <is>
          <t>database-derived</t>
        </is>
      </c>
      <c r="J284">
        <v>0.72</v>
      </c>
      <c r="K284" t="inlineStr">
        <is>
          <t>Approximate; salt/tautomer state may alter.</t>
        </is>
      </c>
    </row>
    <row r="285">
      <c r="A285" t="inlineStr">
        <is>
          <t>API_INDOMETHACIN</t>
        </is>
      </c>
      <c r="B285" t="inlineStr">
        <is>
          <t>formal_charge</t>
        </is>
      </c>
      <c r="C285">
        <v>0</v>
      </c>
      <c r="D285" t="inlineStr">
        <is>
          <t>e</t>
        </is>
      </c>
      <c r="E285"/>
      <c r="F285"/>
      <c r="G285" t="inlineStr">
        <is>
          <t>canonical neutral parent/salt-free structure</t>
        </is>
      </c>
      <c r="H285" t="inlineStr">
        <is>
          <t>S001_PUBCHEM</t>
        </is>
      </c>
      <c r="I285" t="inlineStr">
        <is>
          <t>database-derived</t>
        </is>
      </c>
      <c r="J285">
        <v>0.82</v>
      </c>
      <c r="K285" t="inlineStr">
        <is>
          <t>Use salt-specific material row for ionic salts.</t>
        </is>
      </c>
    </row>
    <row r="286">
      <c r="A286" t="inlineStr">
        <is>
          <t>API_INDOMETHACIN</t>
        </is>
      </c>
      <c r="B286" t="inlineStr">
        <is>
          <t>water_solubility_mg_ml</t>
        </is>
      </c>
      <c r="C286">
        <v>0.002</v>
      </c>
      <c r="D286" t="inlineStr">
        <is>
          <t>mg/mL</t>
        </is>
      </c>
      <c r="E286"/>
      <c r="F286"/>
      <c r="G286" t="inlineStr">
        <is>
          <t>literature/aqueous solubility range approximated</t>
        </is>
      </c>
      <c r="H286" t="inlineStr">
        <is>
          <t>S001_PUBCHEM</t>
        </is>
      </c>
      <c r="I286" t="inlineStr">
        <is>
          <t>estimated</t>
        </is>
      </c>
      <c r="J286">
        <v>0.45</v>
      </c>
      <c r="K286" t="inlineStr">
        <is>
          <t>Highly pH- and salt-form-dependent.</t>
        </is>
      </c>
    </row>
    <row r="287">
      <c r="A287" t="inlineStr">
        <is>
          <t>API_INDOMETHACIN</t>
        </is>
      </c>
      <c r="B287" t="inlineStr">
        <is>
          <t>melting_point_C</t>
        </is>
      </c>
      <c r="C287">
        <v>158</v>
      </c>
      <c r="D287" t="inlineStr">
        <is>
          <t>°C</t>
        </is>
      </c>
      <c r="E287"/>
      <c r="F287"/>
      <c r="G287" t="inlineStr">
        <is>
          <t>literature/supplier melting range</t>
        </is>
      </c>
      <c r="H287" t="inlineStr">
        <is>
          <t>S001_PUBCHEM</t>
        </is>
      </c>
      <c r="I287" t="inlineStr">
        <is>
          <t>handbook</t>
        </is>
      </c>
      <c r="J287">
        <v>0.65</v>
      </c>
      <c r="K287" t="inlineStr">
        <is>
          <t>Use polymorph-specific data when available.</t>
        </is>
      </c>
    </row>
    <row r="288">
      <c r="A288" t="inlineStr">
        <is>
          <t>API_INDOMETHACIN</t>
        </is>
      </c>
      <c r="B288" t="inlineStr">
        <is>
          <t>TPSA</t>
        </is>
      </c>
      <c r="C288">
        <v>68.5</v>
      </c>
      <c r="D288" t="inlineStr">
        <is>
          <t>Å²</t>
        </is>
      </c>
      <c r="E288"/>
      <c r="F288"/>
      <c r="G288" t="inlineStr">
        <is>
          <t>computed descriptor</t>
        </is>
      </c>
      <c r="H288" t="inlineStr">
        <is>
          <t>S001_PUBCHEM</t>
        </is>
      </c>
      <c r="I288" t="inlineStr">
        <is>
          <t>database-derived</t>
        </is>
      </c>
      <c r="J288">
        <v>0.82</v>
      </c>
      <c r="K288"/>
    </row>
    <row r="289">
      <c r="A289" t="inlineStr">
        <is>
          <t>API_INDOMETHACIN</t>
        </is>
      </c>
      <c r="B289" t="inlineStr">
        <is>
          <t>HBD</t>
        </is>
      </c>
      <c r="C289">
        <v>1</v>
      </c>
      <c r="D289" t="inlineStr">
        <is>
          <t>count</t>
        </is>
      </c>
      <c r="E289"/>
      <c r="F289"/>
      <c r="G289" t="inlineStr">
        <is>
          <t>computed descriptor</t>
        </is>
      </c>
      <c r="H289" t="inlineStr">
        <is>
          <t>S001_PUBCHEM</t>
        </is>
      </c>
      <c r="I289" t="inlineStr">
        <is>
          <t>database-derived</t>
        </is>
      </c>
      <c r="J289">
        <v>0.82</v>
      </c>
      <c r="K289"/>
    </row>
    <row r="290">
      <c r="A290" t="inlineStr">
        <is>
          <t>API_INDOMETHACIN</t>
        </is>
      </c>
      <c r="B290" t="inlineStr">
        <is>
          <t>HBA</t>
        </is>
      </c>
      <c r="C290">
        <v>4</v>
      </c>
      <c r="D290" t="inlineStr">
        <is>
          <t>count</t>
        </is>
      </c>
      <c r="E290"/>
      <c r="F290"/>
      <c r="G290" t="inlineStr">
        <is>
          <t>computed descriptor</t>
        </is>
      </c>
      <c r="H290" t="inlineStr">
        <is>
          <t>S001_PUBCHEM</t>
        </is>
      </c>
      <c r="I290" t="inlineStr">
        <is>
          <t>database-derived</t>
        </is>
      </c>
      <c r="J290">
        <v>0.82</v>
      </c>
      <c r="K290"/>
    </row>
    <row r="291">
      <c r="A291" t="inlineStr">
        <is>
          <t>API_INDOMETHACIN</t>
        </is>
      </c>
      <c r="B291" t="inlineStr">
        <is>
          <t>rotatable_bonds</t>
        </is>
      </c>
      <c r="C291">
        <v>4</v>
      </c>
      <c r="D291" t="inlineStr">
        <is>
          <t>count</t>
        </is>
      </c>
      <c r="E291"/>
      <c r="F291"/>
      <c r="G291" t="inlineStr">
        <is>
          <t>computed descriptor</t>
        </is>
      </c>
      <c r="H291" t="inlineStr">
        <is>
          <t>S001_PUBCHEM</t>
        </is>
      </c>
      <c r="I291" t="inlineStr">
        <is>
          <t>database-derived</t>
        </is>
      </c>
      <c r="J291">
        <v>0.82</v>
      </c>
      <c r="K291"/>
    </row>
    <row r="292">
      <c r="A292" t="inlineStr">
        <is>
          <t>API_INDOMETHACIN</t>
        </is>
      </c>
      <c r="B292" t="inlineStr">
        <is>
          <t>aromatic_rings</t>
        </is>
      </c>
      <c r="C292">
        <v>2</v>
      </c>
      <c r="D292" t="inlineStr">
        <is>
          <t>count</t>
        </is>
      </c>
      <c r="E292"/>
      <c r="F292"/>
      <c r="G292" t="inlineStr">
        <is>
          <t>manual structural count</t>
        </is>
      </c>
      <c r="H292" t="inlineStr">
        <is>
          <t>S001_PUBCHEM</t>
        </is>
      </c>
      <c r="I292" t="inlineStr">
        <is>
          <t>estimated</t>
        </is>
      </c>
      <c r="J292">
        <v>0.6</v>
      </c>
      <c r="K292"/>
    </row>
    <row r="293">
      <c r="A293" t="inlineStr">
        <is>
          <t>API_INDOMETHACIN</t>
        </is>
      </c>
      <c r="B293" t="inlineStr">
        <is>
          <t>BCS_class</t>
        </is>
      </c>
      <c r="C293" t="inlineStr">
        <is>
          <t>II</t>
        </is>
      </c>
      <c r="D293"/>
      <c r="E293"/>
      <c r="F293"/>
      <c r="G293" t="inlineStr">
        <is>
          <t>literature consensus/placeholder</t>
        </is>
      </c>
      <c r="H293" t="inlineStr">
        <is>
          <t>S007_EXCIPIENTS_HANDBOOK</t>
        </is>
      </c>
      <c r="I293" t="inlineStr">
        <is>
          <t>estimated</t>
        </is>
      </c>
      <c r="J293">
        <v>0.4</v>
      </c>
      <c r="K293" t="inlineStr">
        <is>
          <t>Must be curated from API-specific biopharmaceutics sources.</t>
        </is>
      </c>
    </row>
    <row r="294">
      <c r="A294" t="inlineStr">
        <is>
          <t>API_INDOMETHACIN</t>
        </is>
      </c>
      <c r="B294" t="inlineStr">
        <is>
          <t>therapeutic_class</t>
        </is>
      </c>
      <c r="C294" t="inlineStr">
        <is>
          <t>NSAID</t>
        </is>
      </c>
      <c r="D294"/>
      <c r="E294"/>
      <c r="F294"/>
      <c r="G294" t="inlineStr">
        <is>
          <t>manual therapeutic annotation</t>
        </is>
      </c>
      <c r="H294" t="inlineStr">
        <is>
          <t>S001_PUBCHEM</t>
        </is>
      </c>
      <c r="I294" t="inlineStr">
        <is>
          <t>database-derived</t>
        </is>
      </c>
      <c r="J294">
        <v>0.75</v>
      </c>
      <c r="K294"/>
    </row>
    <row r="295">
      <c r="A295" t="inlineStr">
        <is>
          <t>API_INDOMETHACIN</t>
        </is>
      </c>
      <c r="B295" t="inlineStr">
        <is>
          <t>payload_type</t>
        </is>
      </c>
      <c r="C295" t="inlineStr">
        <is>
          <t>small_molecule_API</t>
        </is>
      </c>
      <c r="D295"/>
      <c r="E295"/>
      <c r="F295"/>
      <c r="G295" t="inlineStr">
        <is>
          <t>payload taxonomy</t>
        </is>
      </c>
      <c r="H295" t="inlineStr">
        <is>
          <t>S000_USER_SPEC</t>
        </is>
      </c>
      <c r="I295" t="inlineStr">
        <is>
          <t>curated</t>
        </is>
      </c>
      <c r="J295">
        <v>0.8</v>
      </c>
      <c r="K295"/>
    </row>
    <row r="296">
      <c r="A296" t="inlineStr">
        <is>
          <t>API_INDOMETHACIN</t>
        </is>
      </c>
      <c r="B296" t="inlineStr">
        <is>
          <t>route_notes</t>
        </is>
      </c>
      <c r="C296" t="inlineStr">
        <is>
          <t>weak-acid NSAID; high crystallization risk</t>
        </is>
      </c>
      <c r="D296"/>
      <c r="E296"/>
      <c r="F296"/>
      <c r="G296" t="inlineStr">
        <is>
          <t>formulation-relevance annotation</t>
        </is>
      </c>
      <c r="H296" t="inlineStr">
        <is>
          <t>S014_AULTON</t>
        </is>
      </c>
      <c r="I296" t="inlineStr">
        <is>
          <t>curated</t>
        </is>
      </c>
      <c r="J296">
        <v>0.7</v>
      </c>
      <c r="K296"/>
    </row>
    <row r="297">
      <c r="A297" t="inlineStr">
        <is>
          <t>API_INDOMETHACIN</t>
        </is>
      </c>
      <c r="B297" t="inlineStr">
        <is>
          <t>pKa_acid</t>
        </is>
      </c>
      <c r="C297">
        <v>4.5</v>
      </c>
      <c r="D297"/>
      <c r="E297"/>
      <c r="F297"/>
      <c r="G297" t="inlineStr">
        <is>
          <t>literature pKa consensus</t>
        </is>
      </c>
      <c r="H297" t="inlineStr">
        <is>
          <t>S001_PUBCHEM</t>
        </is>
      </c>
      <c r="I297" t="inlineStr">
        <is>
          <t>handbook</t>
        </is>
      </c>
      <c r="J297">
        <v>0.6</v>
      </c>
      <c r="K297" t="inlineStr">
        <is>
          <t>Microstate and medium-dependent; confirm experimentally for model lock.</t>
        </is>
      </c>
    </row>
    <row r="298">
      <c r="A298" t="inlineStr">
        <is>
          <t>API_INDOMETHACIN</t>
        </is>
      </c>
      <c r="B298" t="inlineStr">
        <is>
          <t>Hansen_delta_D</t>
        </is>
      </c>
      <c r="C298">
        <v>18.2</v>
      </c>
      <c r="D298" t="inlineStr">
        <is>
          <t>MPa^0.5</t>
        </is>
      </c>
      <c r="E298"/>
      <c r="F298"/>
      <c r="G298" t="inlineStr">
        <is>
          <t>heuristic group-contribution/nearest-neighbour</t>
        </is>
      </c>
      <c r="H298" t="inlineStr">
        <is>
          <t>S013_EST_HSP_HEURISTIC</t>
        </is>
      </c>
      <c r="I298" t="inlineStr">
        <is>
          <t>estimated</t>
        </is>
      </c>
      <c r="J298">
        <v>0.43</v>
      </c>
      <c r="K298" t="inlineStr">
        <is>
          <t>Provisional HSP for screening; replace with experimental/literature value before model lock.</t>
        </is>
      </c>
    </row>
    <row r="299">
      <c r="A299" t="inlineStr">
        <is>
          <t>API_INDOMETHACIN</t>
        </is>
      </c>
      <c r="B299" t="inlineStr">
        <is>
          <t>Hansen_delta_P</t>
        </is>
      </c>
      <c r="C299">
        <v>8.0</v>
      </c>
      <c r="D299" t="inlineStr">
        <is>
          <t>MPa^0.5</t>
        </is>
      </c>
      <c r="E299"/>
      <c r="F299"/>
      <c r="G299" t="inlineStr">
        <is>
          <t>heuristic group-contribution/nearest-neighbour</t>
        </is>
      </c>
      <c r="H299" t="inlineStr">
        <is>
          <t>S013_EST_HSP_HEURISTIC</t>
        </is>
      </c>
      <c r="I299" t="inlineStr">
        <is>
          <t>estimated</t>
        </is>
      </c>
      <c r="J299">
        <v>0.43</v>
      </c>
      <c r="K299" t="inlineStr">
        <is>
          <t>Provisional HSP for screening; replace with experimental/literature value before model lock.</t>
        </is>
      </c>
    </row>
    <row r="300">
      <c r="A300" t="inlineStr">
        <is>
          <t>API_INDOMETHACIN</t>
        </is>
      </c>
      <c r="B300" t="inlineStr">
        <is>
          <t>Hansen_delta_H</t>
        </is>
      </c>
      <c r="C300">
        <v>10.0</v>
      </c>
      <c r="D300" t="inlineStr">
        <is>
          <t>MPa^0.5</t>
        </is>
      </c>
      <c r="E300"/>
      <c r="F300"/>
      <c r="G300" t="inlineStr">
        <is>
          <t>heuristic group-contribution/nearest-neighbour</t>
        </is>
      </c>
      <c r="H300" t="inlineStr">
        <is>
          <t>S013_EST_HSP_HEURISTIC</t>
        </is>
      </c>
      <c r="I300" t="inlineStr">
        <is>
          <t>estimated</t>
        </is>
      </c>
      <c r="J300">
        <v>0.43</v>
      </c>
      <c r="K300" t="inlineStr">
        <is>
          <t>Provisional HSP for screening; replace with experimental/literature value before model lock.</t>
        </is>
      </c>
    </row>
    <row r="301">
      <c r="A301" t="inlineStr">
        <is>
          <t>API_INDOMETHACIN</t>
        </is>
      </c>
      <c r="B301" t="inlineStr">
        <is>
          <t>Hildebrand_delta_T</t>
        </is>
      </c>
      <c r="C301">
        <v>22.25</v>
      </c>
      <c r="D301" t="inlineStr">
        <is>
          <t>MPa^0.5</t>
        </is>
      </c>
      <c r="E301"/>
      <c r="F301"/>
      <c r="G301" t="inlineStr">
        <is>
          <t>sqrt(deltaD^2+deltaP^2+deltaH^2)</t>
        </is>
      </c>
      <c r="H301" t="inlineStr">
        <is>
          <t>S012_CALCULATED</t>
        </is>
      </c>
      <c r="I301" t="inlineStr">
        <is>
          <t>calculated</t>
        </is>
      </c>
      <c r="J301">
        <v>0.48</v>
      </c>
      <c r="K301" t="inlineStr">
        <is>
          <t>Derived from stored Hansen components.</t>
        </is>
      </c>
    </row>
    <row r="302">
      <c r="A302" t="inlineStr">
        <is>
          <t>API_INDOMETHACIN</t>
        </is>
      </c>
      <c r="B302" t="inlineStr">
        <is>
          <t>HSP_radius_R0</t>
        </is>
      </c>
      <c r="C302">
        <v>8.5</v>
      </c>
      <c r="D302" t="inlineStr">
        <is>
          <t>MPa^0.5</t>
        </is>
      </c>
      <c r="E302"/>
      <c r="F302"/>
      <c r="G302" t="inlineStr">
        <is>
          <t>literature/heuristic solubility sphere</t>
        </is>
      </c>
      <c r="H302" t="inlineStr">
        <is>
          <t>S013_EST_HSP_HEURISTIC</t>
        </is>
      </c>
      <c r="I302" t="inlineStr">
        <is>
          <t>estimated</t>
        </is>
      </c>
      <c r="J302">
        <v>0.43</v>
      </c>
      <c r="K302" t="inlineStr">
        <is>
          <t>Screening radius only unless experimentally determined.</t>
        </is>
      </c>
    </row>
    <row r="303">
      <c r="A303" t="inlineStr">
        <is>
          <t>API_INDOMETHACIN</t>
        </is>
      </c>
      <c r="B303" t="inlineStr">
        <is>
          <t>molar_volume_cm3_mol</t>
        </is>
      </c>
      <c r="C303">
        <v>286.23</v>
      </c>
      <c r="D303" t="inlineStr">
        <is>
          <t>cm3/mol</t>
        </is>
      </c>
      <c r="E303"/>
      <c r="F303"/>
      <c r="G303" t="inlineStr">
        <is>
          <t>MW/density estimate</t>
        </is>
      </c>
      <c r="H303" t="inlineStr">
        <is>
          <t>S012_CALCULATED</t>
        </is>
      </c>
      <c r="I303" t="inlineStr">
        <is>
          <t>estimated</t>
        </is>
      </c>
      <c r="J303">
        <v>0.45</v>
      </c>
      <c r="K303" t="inlineStr">
        <is>
          <t>Estimated from MW/density; replace with measured molar volume or density-specific grade data.</t>
        </is>
      </c>
    </row>
    <row r="304">
      <c r="A304" t="inlineStr">
        <is>
          <t>API_PACLITAXEL</t>
        </is>
      </c>
      <c r="B304" t="inlineStr">
        <is>
          <t>molecular_weight_g_mol</t>
        </is>
      </c>
      <c r="C304">
        <v>853.91</v>
      </c>
      <c r="D304" t="inlineStr">
        <is>
          <t>g/mol</t>
        </is>
      </c>
      <c r="E304"/>
      <c r="F304"/>
      <c r="G304" t="inlineStr">
        <is>
          <t>PubChem/handbook curation</t>
        </is>
      </c>
      <c r="H304" t="inlineStr">
        <is>
          <t>S001_PUBCHEM</t>
        </is>
      </c>
      <c r="I304" t="inlineStr">
        <is>
          <t>database-derived</t>
        </is>
      </c>
      <c r="J304">
        <v>0.88</v>
      </c>
      <c r="K304"/>
    </row>
    <row r="305">
      <c r="A305" t="inlineStr">
        <is>
          <t>API_PACLITAXEL</t>
        </is>
      </c>
      <c r="B305" t="inlineStr">
        <is>
          <t>molecular_formula</t>
        </is>
      </c>
      <c r="C305" t="inlineStr">
        <is>
          <t>C47H51NO14</t>
        </is>
      </c>
      <c r="D305"/>
      <c r="E305"/>
      <c r="F305"/>
      <c r="G305" t="inlineStr">
        <is>
          <t>PubChem/handbook curation</t>
        </is>
      </c>
      <c r="H305" t="inlineStr">
        <is>
          <t>S001_PUBCHEM</t>
        </is>
      </c>
      <c r="I305" t="inlineStr">
        <is>
          <t>database-derived</t>
        </is>
      </c>
      <c r="J305">
        <v>0.85</v>
      </c>
      <c r="K305"/>
    </row>
    <row r="306">
      <c r="A306" t="inlineStr">
        <is>
          <t>API_PACLITAXEL</t>
        </is>
      </c>
      <c r="B306" t="inlineStr">
        <is>
          <t>LogP</t>
        </is>
      </c>
      <c r="C306">
        <v>3.96</v>
      </c>
      <c r="D306"/>
      <c r="E306"/>
      <c r="F306"/>
      <c r="G306" t="inlineStr">
        <is>
          <t>computed/curated XLogP or literature consensus</t>
        </is>
      </c>
      <c r="H306" t="inlineStr">
        <is>
          <t>S001_PUBCHEM</t>
        </is>
      </c>
      <c r="I306" t="inlineStr">
        <is>
          <t>database-derived</t>
        </is>
      </c>
      <c r="J306">
        <v>0.72</v>
      </c>
      <c r="K306" t="inlineStr">
        <is>
          <t>Approximate; salt/tautomer state may alter.</t>
        </is>
      </c>
    </row>
    <row r="307">
      <c r="A307" t="inlineStr">
        <is>
          <t>API_PACLITAXEL</t>
        </is>
      </c>
      <c r="B307" t="inlineStr">
        <is>
          <t>formal_charge</t>
        </is>
      </c>
      <c r="C307">
        <v>0</v>
      </c>
      <c r="D307" t="inlineStr">
        <is>
          <t>e</t>
        </is>
      </c>
      <c r="E307"/>
      <c r="F307"/>
      <c r="G307" t="inlineStr">
        <is>
          <t>canonical neutral parent/salt-free structure</t>
        </is>
      </c>
      <c r="H307" t="inlineStr">
        <is>
          <t>S001_PUBCHEM</t>
        </is>
      </c>
      <c r="I307" t="inlineStr">
        <is>
          <t>database-derived</t>
        </is>
      </c>
      <c r="J307">
        <v>0.82</v>
      </c>
      <c r="K307" t="inlineStr">
        <is>
          <t>Use salt-specific material row for ionic salts.</t>
        </is>
      </c>
    </row>
    <row r="308">
      <c r="A308" t="inlineStr">
        <is>
          <t>API_PACLITAXEL</t>
        </is>
      </c>
      <c r="B308" t="inlineStr">
        <is>
          <t>water_solubility_mg_ml</t>
        </is>
      </c>
      <c r="C308">
        <v>0.0003</v>
      </c>
      <c r="D308" t="inlineStr">
        <is>
          <t>mg/mL</t>
        </is>
      </c>
      <c r="E308"/>
      <c r="F308"/>
      <c r="G308" t="inlineStr">
        <is>
          <t>literature/aqueous solubility range approximated</t>
        </is>
      </c>
      <c r="H308" t="inlineStr">
        <is>
          <t>S001_PUBCHEM</t>
        </is>
      </c>
      <c r="I308" t="inlineStr">
        <is>
          <t>estimated</t>
        </is>
      </c>
      <c r="J308">
        <v>0.45</v>
      </c>
      <c r="K308" t="inlineStr">
        <is>
          <t>Highly pH- and salt-form-dependent.</t>
        </is>
      </c>
    </row>
    <row r="309">
      <c r="A309" t="inlineStr">
        <is>
          <t>API_PACLITAXEL</t>
        </is>
      </c>
      <c r="B309" t="inlineStr">
        <is>
          <t>melting_point_C</t>
        </is>
      </c>
      <c r="C309">
        <v>213</v>
      </c>
      <c r="D309" t="inlineStr">
        <is>
          <t>°C</t>
        </is>
      </c>
      <c r="E309"/>
      <c r="F309"/>
      <c r="G309" t="inlineStr">
        <is>
          <t>literature/supplier melting range</t>
        </is>
      </c>
      <c r="H309" t="inlineStr">
        <is>
          <t>S001_PUBCHEM</t>
        </is>
      </c>
      <c r="I309" t="inlineStr">
        <is>
          <t>handbook</t>
        </is>
      </c>
      <c r="J309">
        <v>0.65</v>
      </c>
      <c r="K309" t="inlineStr">
        <is>
          <t>Use polymorph-specific data when available.</t>
        </is>
      </c>
    </row>
    <row r="310">
      <c r="A310" t="inlineStr">
        <is>
          <t>API_PACLITAXEL</t>
        </is>
      </c>
      <c r="B310" t="inlineStr">
        <is>
          <t>TPSA</t>
        </is>
      </c>
      <c r="C310">
        <v>221.3</v>
      </c>
      <c r="D310" t="inlineStr">
        <is>
          <t>Å²</t>
        </is>
      </c>
      <c r="E310"/>
      <c r="F310"/>
      <c r="G310" t="inlineStr">
        <is>
          <t>computed descriptor</t>
        </is>
      </c>
      <c r="H310" t="inlineStr">
        <is>
          <t>S001_PUBCHEM</t>
        </is>
      </c>
      <c r="I310" t="inlineStr">
        <is>
          <t>database-derived</t>
        </is>
      </c>
      <c r="J310">
        <v>0.82</v>
      </c>
      <c r="K310"/>
    </row>
    <row r="311">
      <c r="A311" t="inlineStr">
        <is>
          <t>API_PACLITAXEL</t>
        </is>
      </c>
      <c r="B311" t="inlineStr">
        <is>
          <t>HBD</t>
        </is>
      </c>
      <c r="C311">
        <v>4</v>
      </c>
      <c r="D311" t="inlineStr">
        <is>
          <t>count</t>
        </is>
      </c>
      <c r="E311"/>
      <c r="F311"/>
      <c r="G311" t="inlineStr">
        <is>
          <t>computed descriptor</t>
        </is>
      </c>
      <c r="H311" t="inlineStr">
        <is>
          <t>S001_PUBCHEM</t>
        </is>
      </c>
      <c r="I311" t="inlineStr">
        <is>
          <t>database-derived</t>
        </is>
      </c>
      <c r="J311">
        <v>0.82</v>
      </c>
      <c r="K311"/>
    </row>
    <row r="312">
      <c r="A312" t="inlineStr">
        <is>
          <t>API_PACLITAXEL</t>
        </is>
      </c>
      <c r="B312" t="inlineStr">
        <is>
          <t>HBA</t>
        </is>
      </c>
      <c r="C312">
        <v>15</v>
      </c>
      <c r="D312" t="inlineStr">
        <is>
          <t>count</t>
        </is>
      </c>
      <c r="E312"/>
      <c r="F312"/>
      <c r="G312" t="inlineStr">
        <is>
          <t>computed descriptor</t>
        </is>
      </c>
      <c r="H312" t="inlineStr">
        <is>
          <t>S001_PUBCHEM</t>
        </is>
      </c>
      <c r="I312" t="inlineStr">
        <is>
          <t>database-derived</t>
        </is>
      </c>
      <c r="J312">
        <v>0.82</v>
      </c>
      <c r="K312"/>
    </row>
    <row r="313">
      <c r="A313" t="inlineStr">
        <is>
          <t>API_PACLITAXEL</t>
        </is>
      </c>
      <c r="B313" t="inlineStr">
        <is>
          <t>rotatable_bonds</t>
        </is>
      </c>
      <c r="C313">
        <v>14</v>
      </c>
      <c r="D313" t="inlineStr">
        <is>
          <t>count</t>
        </is>
      </c>
      <c r="E313"/>
      <c r="F313"/>
      <c r="G313" t="inlineStr">
        <is>
          <t>computed descriptor</t>
        </is>
      </c>
      <c r="H313" t="inlineStr">
        <is>
          <t>S001_PUBCHEM</t>
        </is>
      </c>
      <c r="I313" t="inlineStr">
        <is>
          <t>database-derived</t>
        </is>
      </c>
      <c r="J313">
        <v>0.82</v>
      </c>
      <c r="K313"/>
    </row>
    <row r="314">
      <c r="A314" t="inlineStr">
        <is>
          <t>API_PACLITAXEL</t>
        </is>
      </c>
      <c r="B314" t="inlineStr">
        <is>
          <t>aromatic_rings</t>
        </is>
      </c>
      <c r="C314">
        <v>7</v>
      </c>
      <c r="D314" t="inlineStr">
        <is>
          <t>count</t>
        </is>
      </c>
      <c r="E314"/>
      <c r="F314"/>
      <c r="G314" t="inlineStr">
        <is>
          <t>manual structural count</t>
        </is>
      </c>
      <c r="H314" t="inlineStr">
        <is>
          <t>S001_PUBCHEM</t>
        </is>
      </c>
      <c r="I314" t="inlineStr">
        <is>
          <t>estimated</t>
        </is>
      </c>
      <c r="J314">
        <v>0.6</v>
      </c>
      <c r="K314"/>
    </row>
    <row r="315">
      <c r="A315" t="inlineStr">
        <is>
          <t>API_PACLITAXEL</t>
        </is>
      </c>
      <c r="B315" t="inlineStr">
        <is>
          <t>BCS_class</t>
        </is>
      </c>
      <c r="C315" t="inlineStr">
        <is>
          <t>IV</t>
        </is>
      </c>
      <c r="D315"/>
      <c r="E315"/>
      <c r="F315"/>
      <c r="G315" t="inlineStr">
        <is>
          <t>literature consensus/placeholder</t>
        </is>
      </c>
      <c r="H315" t="inlineStr">
        <is>
          <t>S007_EXCIPIENTS_HANDBOOK</t>
        </is>
      </c>
      <c r="I315" t="inlineStr">
        <is>
          <t>estimated</t>
        </is>
      </c>
      <c r="J315">
        <v>0.4</v>
      </c>
      <c r="K315" t="inlineStr">
        <is>
          <t>Must be curated from API-specific biopharmaceutics sources.</t>
        </is>
      </c>
    </row>
    <row r="316">
      <c r="A316" t="inlineStr">
        <is>
          <t>API_PACLITAXEL</t>
        </is>
      </c>
      <c r="B316" t="inlineStr">
        <is>
          <t>therapeutic_class</t>
        </is>
      </c>
      <c r="C316" t="inlineStr">
        <is>
          <t>anticancer taxane</t>
        </is>
      </c>
      <c r="D316"/>
      <c r="E316"/>
      <c r="F316"/>
      <c r="G316" t="inlineStr">
        <is>
          <t>manual therapeutic annotation</t>
        </is>
      </c>
      <c r="H316" t="inlineStr">
        <is>
          <t>S001_PUBCHEM</t>
        </is>
      </c>
      <c r="I316" t="inlineStr">
        <is>
          <t>database-derived</t>
        </is>
      </c>
      <c r="J316">
        <v>0.75</v>
      </c>
      <c r="K316"/>
    </row>
    <row r="317">
      <c r="A317" t="inlineStr">
        <is>
          <t>API_PACLITAXEL</t>
        </is>
      </c>
      <c r="B317" t="inlineStr">
        <is>
          <t>payload_type</t>
        </is>
      </c>
      <c r="C317" t="inlineStr">
        <is>
          <t>small_molecule_API</t>
        </is>
      </c>
      <c r="D317"/>
      <c r="E317"/>
      <c r="F317"/>
      <c r="G317" t="inlineStr">
        <is>
          <t>payload taxonomy</t>
        </is>
      </c>
      <c r="H317" t="inlineStr">
        <is>
          <t>S000_USER_SPEC</t>
        </is>
      </c>
      <c r="I317" t="inlineStr">
        <is>
          <t>curated</t>
        </is>
      </c>
      <c r="J317">
        <v>0.8</v>
      </c>
      <c r="K317"/>
    </row>
    <row r="318">
      <c r="A318" t="inlineStr">
        <is>
          <t>API_PACLITAXEL</t>
        </is>
      </c>
      <c r="B318" t="inlineStr">
        <is>
          <t>route_notes</t>
        </is>
      </c>
      <c r="C318" t="inlineStr">
        <is>
          <t>neutral bulky hydrophobic anticancer payload</t>
        </is>
      </c>
      <c r="D318"/>
      <c r="E318"/>
      <c r="F318"/>
      <c r="G318" t="inlineStr">
        <is>
          <t>formulation-relevance annotation</t>
        </is>
      </c>
      <c r="H318" t="inlineStr">
        <is>
          <t>S014_AULTON</t>
        </is>
      </c>
      <c r="I318" t="inlineStr">
        <is>
          <t>curated</t>
        </is>
      </c>
      <c r="J318">
        <v>0.7</v>
      </c>
      <c r="K318"/>
    </row>
    <row r="319">
      <c r="A319" t="inlineStr">
        <is>
          <t>API_PACLITAXEL</t>
        </is>
      </c>
      <c r="B319" t="inlineStr">
        <is>
          <t>Hansen_delta_D</t>
        </is>
      </c>
      <c r="C319">
        <v>18.2</v>
      </c>
      <c r="D319" t="inlineStr">
        <is>
          <t>MPa^0.5</t>
        </is>
      </c>
      <c r="E319"/>
      <c r="F319"/>
      <c r="G319" t="inlineStr">
        <is>
          <t>heuristic group-contribution/nearest-neighbour</t>
        </is>
      </c>
      <c r="H319" t="inlineStr">
        <is>
          <t>S013_EST_HSP_HEURISTIC</t>
        </is>
      </c>
      <c r="I319" t="inlineStr">
        <is>
          <t>estimated</t>
        </is>
      </c>
      <c r="J319">
        <v>0.43</v>
      </c>
      <c r="K319" t="inlineStr">
        <is>
          <t>Provisional HSP for screening; replace with experimental/literature value before model lock.</t>
        </is>
      </c>
    </row>
    <row r="320">
      <c r="A320" t="inlineStr">
        <is>
          <t>API_PACLITAXEL</t>
        </is>
      </c>
      <c r="B320" t="inlineStr">
        <is>
          <t>Hansen_delta_P</t>
        </is>
      </c>
      <c r="C320">
        <v>8.0</v>
      </c>
      <c r="D320" t="inlineStr">
        <is>
          <t>MPa^0.5</t>
        </is>
      </c>
      <c r="E320"/>
      <c r="F320"/>
      <c r="G320" t="inlineStr">
        <is>
          <t>heuristic group-contribution/nearest-neighbour</t>
        </is>
      </c>
      <c r="H320" t="inlineStr">
        <is>
          <t>S013_EST_HSP_HEURISTIC</t>
        </is>
      </c>
      <c r="I320" t="inlineStr">
        <is>
          <t>estimated</t>
        </is>
      </c>
      <c r="J320">
        <v>0.43</v>
      </c>
      <c r="K320" t="inlineStr">
        <is>
          <t>Provisional HSP for screening; replace with experimental/literature value before model lock.</t>
        </is>
      </c>
    </row>
    <row r="321">
      <c r="A321" t="inlineStr">
        <is>
          <t>API_PACLITAXEL</t>
        </is>
      </c>
      <c r="B321" t="inlineStr">
        <is>
          <t>Hansen_delta_H</t>
        </is>
      </c>
      <c r="C321">
        <v>10.0</v>
      </c>
      <c r="D321" t="inlineStr">
        <is>
          <t>MPa^0.5</t>
        </is>
      </c>
      <c r="E321"/>
      <c r="F321"/>
      <c r="G321" t="inlineStr">
        <is>
          <t>heuristic group-contribution/nearest-neighbour</t>
        </is>
      </c>
      <c r="H321" t="inlineStr">
        <is>
          <t>S013_EST_HSP_HEURISTIC</t>
        </is>
      </c>
      <c r="I321" t="inlineStr">
        <is>
          <t>estimated</t>
        </is>
      </c>
      <c r="J321">
        <v>0.43</v>
      </c>
      <c r="K321" t="inlineStr">
        <is>
          <t>Provisional HSP for screening; replace with experimental/literature value before model lock.</t>
        </is>
      </c>
    </row>
    <row r="322">
      <c r="A322" t="inlineStr">
        <is>
          <t>API_PACLITAXEL</t>
        </is>
      </c>
      <c r="B322" t="inlineStr">
        <is>
          <t>Hildebrand_delta_T</t>
        </is>
      </c>
      <c r="C322">
        <v>22.25</v>
      </c>
      <c r="D322" t="inlineStr">
        <is>
          <t>MPa^0.5</t>
        </is>
      </c>
      <c r="E322"/>
      <c r="F322"/>
      <c r="G322" t="inlineStr">
        <is>
          <t>sqrt(deltaD^2+deltaP^2+deltaH^2)</t>
        </is>
      </c>
      <c r="H322" t="inlineStr">
        <is>
          <t>S012_CALCULATED</t>
        </is>
      </c>
      <c r="I322" t="inlineStr">
        <is>
          <t>calculated</t>
        </is>
      </c>
      <c r="J322">
        <v>0.48</v>
      </c>
      <c r="K322" t="inlineStr">
        <is>
          <t>Derived from stored Hansen components.</t>
        </is>
      </c>
    </row>
    <row r="323">
      <c r="A323" t="inlineStr">
        <is>
          <t>API_PACLITAXEL</t>
        </is>
      </c>
      <c r="B323" t="inlineStr">
        <is>
          <t>HSP_radius_R0</t>
        </is>
      </c>
      <c r="C323">
        <v>8.5</v>
      </c>
      <c r="D323" t="inlineStr">
        <is>
          <t>MPa^0.5</t>
        </is>
      </c>
      <c r="E323"/>
      <c r="F323"/>
      <c r="G323" t="inlineStr">
        <is>
          <t>literature/heuristic solubility sphere</t>
        </is>
      </c>
      <c r="H323" t="inlineStr">
        <is>
          <t>S013_EST_HSP_HEURISTIC</t>
        </is>
      </c>
      <c r="I323" t="inlineStr">
        <is>
          <t>estimated</t>
        </is>
      </c>
      <c r="J323">
        <v>0.43</v>
      </c>
      <c r="K323" t="inlineStr">
        <is>
          <t>Screening radius only unless experimentally determined.</t>
        </is>
      </c>
    </row>
    <row r="324">
      <c r="A324" t="inlineStr">
        <is>
          <t>API_PACLITAXEL</t>
        </is>
      </c>
      <c r="B324" t="inlineStr">
        <is>
          <t>molar_volume_cm3_mol</t>
        </is>
      </c>
      <c r="C324">
        <v>711.59</v>
      </c>
      <c r="D324" t="inlineStr">
        <is>
          <t>cm3/mol</t>
        </is>
      </c>
      <c r="E324"/>
      <c r="F324"/>
      <c r="G324" t="inlineStr">
        <is>
          <t>MW/density estimate</t>
        </is>
      </c>
      <c r="H324" t="inlineStr">
        <is>
          <t>S012_CALCULATED</t>
        </is>
      </c>
      <c r="I324" t="inlineStr">
        <is>
          <t>estimated</t>
        </is>
      </c>
      <c r="J324">
        <v>0.45</v>
      </c>
      <c r="K324" t="inlineStr">
        <is>
          <t>Estimated from MW/density; replace with measured molar volume or density-specific grade data.</t>
        </is>
      </c>
    </row>
    <row r="325">
      <c r="A325" t="inlineStr">
        <is>
          <t>API_DOCETAXEL</t>
        </is>
      </c>
      <c r="B325" t="inlineStr">
        <is>
          <t>molecular_weight_g_mol</t>
        </is>
      </c>
      <c r="C325">
        <v>807.88</v>
      </c>
      <c r="D325" t="inlineStr">
        <is>
          <t>g/mol</t>
        </is>
      </c>
      <c r="E325"/>
      <c r="F325"/>
      <c r="G325" t="inlineStr">
        <is>
          <t>PubChem/handbook curation</t>
        </is>
      </c>
      <c r="H325" t="inlineStr">
        <is>
          <t>S001_PUBCHEM</t>
        </is>
      </c>
      <c r="I325" t="inlineStr">
        <is>
          <t>database-derived</t>
        </is>
      </c>
      <c r="J325">
        <v>0.88</v>
      </c>
      <c r="K325"/>
    </row>
    <row r="326">
      <c r="A326" t="inlineStr">
        <is>
          <t>API_DOCETAXEL</t>
        </is>
      </c>
      <c r="B326" t="inlineStr">
        <is>
          <t>molecular_formula</t>
        </is>
      </c>
      <c r="C326" t="inlineStr">
        <is>
          <t>C43H53NO14</t>
        </is>
      </c>
      <c r="D326"/>
      <c r="E326"/>
      <c r="F326"/>
      <c r="G326" t="inlineStr">
        <is>
          <t>PubChem/handbook curation</t>
        </is>
      </c>
      <c r="H326" t="inlineStr">
        <is>
          <t>S001_PUBCHEM</t>
        </is>
      </c>
      <c r="I326" t="inlineStr">
        <is>
          <t>database-derived</t>
        </is>
      </c>
      <c r="J326">
        <v>0.85</v>
      </c>
      <c r="K326"/>
    </row>
    <row r="327">
      <c r="A327" t="inlineStr">
        <is>
          <t>API_DOCETAXEL</t>
        </is>
      </c>
      <c r="B327" t="inlineStr">
        <is>
          <t>LogP</t>
        </is>
      </c>
      <c r="C327">
        <v>3.5</v>
      </c>
      <c r="D327"/>
      <c r="E327"/>
      <c r="F327"/>
      <c r="G327" t="inlineStr">
        <is>
          <t>computed/curated XLogP or literature consensus</t>
        </is>
      </c>
      <c r="H327" t="inlineStr">
        <is>
          <t>S001_PUBCHEM</t>
        </is>
      </c>
      <c r="I327" t="inlineStr">
        <is>
          <t>database-derived</t>
        </is>
      </c>
      <c r="J327">
        <v>0.72</v>
      </c>
      <c r="K327" t="inlineStr">
        <is>
          <t>Approximate; salt/tautomer state may alter.</t>
        </is>
      </c>
    </row>
    <row r="328">
      <c r="A328" t="inlineStr">
        <is>
          <t>API_DOCETAXEL</t>
        </is>
      </c>
      <c r="B328" t="inlineStr">
        <is>
          <t>formal_charge</t>
        </is>
      </c>
      <c r="C328">
        <v>0</v>
      </c>
      <c r="D328" t="inlineStr">
        <is>
          <t>e</t>
        </is>
      </c>
      <c r="E328"/>
      <c r="F328"/>
      <c r="G328" t="inlineStr">
        <is>
          <t>canonical neutral parent/salt-free structure</t>
        </is>
      </c>
      <c r="H328" t="inlineStr">
        <is>
          <t>S001_PUBCHEM</t>
        </is>
      </c>
      <c r="I328" t="inlineStr">
        <is>
          <t>database-derived</t>
        </is>
      </c>
      <c r="J328">
        <v>0.82</v>
      </c>
      <c r="K328" t="inlineStr">
        <is>
          <t>Use salt-specific material row for ionic salts.</t>
        </is>
      </c>
    </row>
    <row r="329">
      <c r="A329" t="inlineStr">
        <is>
          <t>API_DOCETAXEL</t>
        </is>
      </c>
      <c r="B329" t="inlineStr">
        <is>
          <t>water_solubility_mg_ml</t>
        </is>
      </c>
      <c r="C329">
        <v>0.0005</v>
      </c>
      <c r="D329" t="inlineStr">
        <is>
          <t>mg/mL</t>
        </is>
      </c>
      <c r="E329"/>
      <c r="F329"/>
      <c r="G329" t="inlineStr">
        <is>
          <t>literature/aqueous solubility range approximated</t>
        </is>
      </c>
      <c r="H329" t="inlineStr">
        <is>
          <t>S001_PUBCHEM</t>
        </is>
      </c>
      <c r="I329" t="inlineStr">
        <is>
          <t>estimated</t>
        </is>
      </c>
      <c r="J329">
        <v>0.45</v>
      </c>
      <c r="K329" t="inlineStr">
        <is>
          <t>Highly pH- and salt-form-dependent.</t>
        </is>
      </c>
    </row>
    <row r="330">
      <c r="A330" t="inlineStr">
        <is>
          <t>API_DOCETAXEL</t>
        </is>
      </c>
      <c r="B330" t="inlineStr">
        <is>
          <t>melting_point_C</t>
        </is>
      </c>
      <c r="C330">
        <v>232</v>
      </c>
      <c r="D330" t="inlineStr">
        <is>
          <t>°C</t>
        </is>
      </c>
      <c r="E330"/>
      <c r="F330"/>
      <c r="G330" t="inlineStr">
        <is>
          <t>literature/supplier melting range</t>
        </is>
      </c>
      <c r="H330" t="inlineStr">
        <is>
          <t>S001_PUBCHEM</t>
        </is>
      </c>
      <c r="I330" t="inlineStr">
        <is>
          <t>handbook</t>
        </is>
      </c>
      <c r="J330">
        <v>0.65</v>
      </c>
      <c r="K330" t="inlineStr">
        <is>
          <t>Use polymorph-specific data when available.</t>
        </is>
      </c>
    </row>
    <row r="331">
      <c r="A331" t="inlineStr">
        <is>
          <t>API_DOCETAXEL</t>
        </is>
      </c>
      <c r="B331" t="inlineStr">
        <is>
          <t>TPSA</t>
        </is>
      </c>
      <c r="C331">
        <v>224.1</v>
      </c>
      <c r="D331" t="inlineStr">
        <is>
          <t>Å²</t>
        </is>
      </c>
      <c r="E331"/>
      <c r="F331"/>
      <c r="G331" t="inlineStr">
        <is>
          <t>computed descriptor</t>
        </is>
      </c>
      <c r="H331" t="inlineStr">
        <is>
          <t>S001_PUBCHEM</t>
        </is>
      </c>
      <c r="I331" t="inlineStr">
        <is>
          <t>database-derived</t>
        </is>
      </c>
      <c r="J331">
        <v>0.82</v>
      </c>
      <c r="K331"/>
    </row>
    <row r="332">
      <c r="A332" t="inlineStr">
        <is>
          <t>API_DOCETAXEL</t>
        </is>
      </c>
      <c r="B332" t="inlineStr">
        <is>
          <t>HBD</t>
        </is>
      </c>
      <c r="C332">
        <v>5</v>
      </c>
      <c r="D332" t="inlineStr">
        <is>
          <t>count</t>
        </is>
      </c>
      <c r="E332"/>
      <c r="F332"/>
      <c r="G332" t="inlineStr">
        <is>
          <t>computed descriptor</t>
        </is>
      </c>
      <c r="H332" t="inlineStr">
        <is>
          <t>S001_PUBCHEM</t>
        </is>
      </c>
      <c r="I332" t="inlineStr">
        <is>
          <t>database-derived</t>
        </is>
      </c>
      <c r="J332">
        <v>0.82</v>
      </c>
      <c r="K332"/>
    </row>
    <row r="333">
      <c r="A333" t="inlineStr">
        <is>
          <t>API_DOCETAXEL</t>
        </is>
      </c>
      <c r="B333" t="inlineStr">
        <is>
          <t>HBA</t>
        </is>
      </c>
      <c r="C333">
        <v>15</v>
      </c>
      <c r="D333" t="inlineStr">
        <is>
          <t>count</t>
        </is>
      </c>
      <c r="E333"/>
      <c r="F333"/>
      <c r="G333" t="inlineStr">
        <is>
          <t>computed descriptor</t>
        </is>
      </c>
      <c r="H333" t="inlineStr">
        <is>
          <t>S001_PUBCHEM</t>
        </is>
      </c>
      <c r="I333" t="inlineStr">
        <is>
          <t>database-derived</t>
        </is>
      </c>
      <c r="J333">
        <v>0.82</v>
      </c>
      <c r="K333"/>
    </row>
    <row r="334">
      <c r="A334" t="inlineStr">
        <is>
          <t>API_DOCETAXEL</t>
        </is>
      </c>
      <c r="B334" t="inlineStr">
        <is>
          <t>rotatable_bonds</t>
        </is>
      </c>
      <c r="C334">
        <v>14</v>
      </c>
      <c r="D334" t="inlineStr">
        <is>
          <t>count</t>
        </is>
      </c>
      <c r="E334"/>
      <c r="F334"/>
      <c r="G334" t="inlineStr">
        <is>
          <t>computed descriptor</t>
        </is>
      </c>
      <c r="H334" t="inlineStr">
        <is>
          <t>S001_PUBCHEM</t>
        </is>
      </c>
      <c r="I334" t="inlineStr">
        <is>
          <t>database-derived</t>
        </is>
      </c>
      <c r="J334">
        <v>0.82</v>
      </c>
      <c r="K334"/>
    </row>
    <row r="335">
      <c r="A335" t="inlineStr">
        <is>
          <t>API_DOCETAXEL</t>
        </is>
      </c>
      <c r="B335" t="inlineStr">
        <is>
          <t>aromatic_rings</t>
        </is>
      </c>
      <c r="C335">
        <v>6</v>
      </c>
      <c r="D335" t="inlineStr">
        <is>
          <t>count</t>
        </is>
      </c>
      <c r="E335"/>
      <c r="F335"/>
      <c r="G335" t="inlineStr">
        <is>
          <t>manual structural count</t>
        </is>
      </c>
      <c r="H335" t="inlineStr">
        <is>
          <t>S001_PUBCHEM</t>
        </is>
      </c>
      <c r="I335" t="inlineStr">
        <is>
          <t>estimated</t>
        </is>
      </c>
      <c r="J335">
        <v>0.6</v>
      </c>
      <c r="K335"/>
    </row>
    <row r="336">
      <c r="A336" t="inlineStr">
        <is>
          <t>API_DOCETAXEL</t>
        </is>
      </c>
      <c r="B336" t="inlineStr">
        <is>
          <t>BCS_class</t>
        </is>
      </c>
      <c r="C336" t="inlineStr">
        <is>
          <t>IV</t>
        </is>
      </c>
      <c r="D336"/>
      <c r="E336"/>
      <c r="F336"/>
      <c r="G336" t="inlineStr">
        <is>
          <t>literature consensus/placeholder</t>
        </is>
      </c>
      <c r="H336" t="inlineStr">
        <is>
          <t>S007_EXCIPIENTS_HANDBOOK</t>
        </is>
      </c>
      <c r="I336" t="inlineStr">
        <is>
          <t>estimated</t>
        </is>
      </c>
      <c r="J336">
        <v>0.4</v>
      </c>
      <c r="K336" t="inlineStr">
        <is>
          <t>Must be curated from API-specific biopharmaceutics sources.</t>
        </is>
      </c>
    </row>
    <row r="337">
      <c r="A337" t="inlineStr">
        <is>
          <t>API_DOCETAXEL</t>
        </is>
      </c>
      <c r="B337" t="inlineStr">
        <is>
          <t>therapeutic_class</t>
        </is>
      </c>
      <c r="C337" t="inlineStr">
        <is>
          <t>anticancer taxane</t>
        </is>
      </c>
      <c r="D337"/>
      <c r="E337"/>
      <c r="F337"/>
      <c r="G337" t="inlineStr">
        <is>
          <t>manual therapeutic annotation</t>
        </is>
      </c>
      <c r="H337" t="inlineStr">
        <is>
          <t>S001_PUBCHEM</t>
        </is>
      </c>
      <c r="I337" t="inlineStr">
        <is>
          <t>database-derived</t>
        </is>
      </c>
      <c r="J337">
        <v>0.75</v>
      </c>
      <c r="K337"/>
    </row>
    <row r="338">
      <c r="A338" t="inlineStr">
        <is>
          <t>API_DOCETAXEL</t>
        </is>
      </c>
      <c r="B338" t="inlineStr">
        <is>
          <t>payload_type</t>
        </is>
      </c>
      <c r="C338" t="inlineStr">
        <is>
          <t>small_molecule_API</t>
        </is>
      </c>
      <c r="D338"/>
      <c r="E338"/>
      <c r="F338"/>
      <c r="G338" t="inlineStr">
        <is>
          <t>payload taxonomy</t>
        </is>
      </c>
      <c r="H338" t="inlineStr">
        <is>
          <t>S000_USER_SPEC</t>
        </is>
      </c>
      <c r="I338" t="inlineStr">
        <is>
          <t>curated</t>
        </is>
      </c>
      <c r="J338">
        <v>0.8</v>
      </c>
      <c r="K338"/>
    </row>
    <row r="339">
      <c r="A339" t="inlineStr">
        <is>
          <t>API_DOCETAXEL</t>
        </is>
      </c>
      <c r="B339" t="inlineStr">
        <is>
          <t>route_notes</t>
        </is>
      </c>
      <c r="C339" t="inlineStr">
        <is>
          <t>taxane; precipitation/crystallization risk</t>
        </is>
      </c>
      <c r="D339"/>
      <c r="E339"/>
      <c r="F339"/>
      <c r="G339" t="inlineStr">
        <is>
          <t>formulation-relevance annotation</t>
        </is>
      </c>
      <c r="H339" t="inlineStr">
        <is>
          <t>S014_AULTON</t>
        </is>
      </c>
      <c r="I339" t="inlineStr">
        <is>
          <t>curated</t>
        </is>
      </c>
      <c r="J339">
        <v>0.7</v>
      </c>
      <c r="K339"/>
    </row>
    <row r="340">
      <c r="A340" t="inlineStr">
        <is>
          <t>API_DOCETAXEL</t>
        </is>
      </c>
      <c r="B340" t="inlineStr">
        <is>
          <t>Hansen_delta_D</t>
        </is>
      </c>
      <c r="C340">
        <v>18.2</v>
      </c>
      <c r="D340" t="inlineStr">
        <is>
          <t>MPa^0.5</t>
        </is>
      </c>
      <c r="E340"/>
      <c r="F340"/>
      <c r="G340" t="inlineStr">
        <is>
          <t>heuristic group-contribution/nearest-neighbour</t>
        </is>
      </c>
      <c r="H340" t="inlineStr">
        <is>
          <t>S013_EST_HSP_HEURISTIC</t>
        </is>
      </c>
      <c r="I340" t="inlineStr">
        <is>
          <t>estimated</t>
        </is>
      </c>
      <c r="J340">
        <v>0.43</v>
      </c>
      <c r="K340" t="inlineStr">
        <is>
          <t>Provisional HSP for screening; replace with experimental/literature value before model lock.</t>
        </is>
      </c>
    </row>
    <row r="341">
      <c r="A341" t="inlineStr">
        <is>
          <t>API_DOCETAXEL</t>
        </is>
      </c>
      <c r="B341" t="inlineStr">
        <is>
          <t>Hansen_delta_P</t>
        </is>
      </c>
      <c r="C341">
        <v>8.0</v>
      </c>
      <c r="D341" t="inlineStr">
        <is>
          <t>MPa^0.5</t>
        </is>
      </c>
      <c r="E341"/>
      <c r="F341"/>
      <c r="G341" t="inlineStr">
        <is>
          <t>heuristic group-contribution/nearest-neighbour</t>
        </is>
      </c>
      <c r="H341" t="inlineStr">
        <is>
          <t>S013_EST_HSP_HEURISTIC</t>
        </is>
      </c>
      <c r="I341" t="inlineStr">
        <is>
          <t>estimated</t>
        </is>
      </c>
      <c r="J341">
        <v>0.43</v>
      </c>
      <c r="K341" t="inlineStr">
        <is>
          <t>Provisional HSP for screening; replace with experimental/literature value before model lock.</t>
        </is>
      </c>
    </row>
    <row r="342">
      <c r="A342" t="inlineStr">
        <is>
          <t>API_DOCETAXEL</t>
        </is>
      </c>
      <c r="B342" t="inlineStr">
        <is>
          <t>Hansen_delta_H</t>
        </is>
      </c>
      <c r="C342">
        <v>10.0</v>
      </c>
      <c r="D342" t="inlineStr">
        <is>
          <t>MPa^0.5</t>
        </is>
      </c>
      <c r="E342"/>
      <c r="F342"/>
      <c r="G342" t="inlineStr">
        <is>
          <t>heuristic group-contribution/nearest-neighbour</t>
        </is>
      </c>
      <c r="H342" t="inlineStr">
        <is>
          <t>S013_EST_HSP_HEURISTIC</t>
        </is>
      </c>
      <c r="I342" t="inlineStr">
        <is>
          <t>estimated</t>
        </is>
      </c>
      <c r="J342">
        <v>0.43</v>
      </c>
      <c r="K342" t="inlineStr">
        <is>
          <t>Provisional HSP for screening; replace with experimental/literature value before model lock.</t>
        </is>
      </c>
    </row>
    <row r="343">
      <c r="A343" t="inlineStr">
        <is>
          <t>API_DOCETAXEL</t>
        </is>
      </c>
      <c r="B343" t="inlineStr">
        <is>
          <t>Hildebrand_delta_T</t>
        </is>
      </c>
      <c r="C343">
        <v>22.25</v>
      </c>
      <c r="D343" t="inlineStr">
        <is>
          <t>MPa^0.5</t>
        </is>
      </c>
      <c r="E343"/>
      <c r="F343"/>
      <c r="G343" t="inlineStr">
        <is>
          <t>sqrt(deltaD^2+deltaP^2+deltaH^2)</t>
        </is>
      </c>
      <c r="H343" t="inlineStr">
        <is>
          <t>S012_CALCULATED</t>
        </is>
      </c>
      <c r="I343" t="inlineStr">
        <is>
          <t>calculated</t>
        </is>
      </c>
      <c r="J343">
        <v>0.48</v>
      </c>
      <c r="K343" t="inlineStr">
        <is>
          <t>Derived from stored Hansen components.</t>
        </is>
      </c>
    </row>
    <row r="344">
      <c r="A344" t="inlineStr">
        <is>
          <t>API_DOCETAXEL</t>
        </is>
      </c>
      <c r="B344" t="inlineStr">
        <is>
          <t>HSP_radius_R0</t>
        </is>
      </c>
      <c r="C344">
        <v>8.5</v>
      </c>
      <c r="D344" t="inlineStr">
        <is>
          <t>MPa^0.5</t>
        </is>
      </c>
      <c r="E344"/>
      <c r="F344"/>
      <c r="G344" t="inlineStr">
        <is>
          <t>literature/heuristic solubility sphere</t>
        </is>
      </c>
      <c r="H344" t="inlineStr">
        <is>
          <t>S013_EST_HSP_HEURISTIC</t>
        </is>
      </c>
      <c r="I344" t="inlineStr">
        <is>
          <t>estimated</t>
        </is>
      </c>
      <c r="J344">
        <v>0.43</v>
      </c>
      <c r="K344" t="inlineStr">
        <is>
          <t>Screening radius only unless experimentally determined.</t>
        </is>
      </c>
    </row>
    <row r="345">
      <c r="A345" t="inlineStr">
        <is>
          <t>API_DOCETAXEL</t>
        </is>
      </c>
      <c r="B345" t="inlineStr">
        <is>
          <t>molar_volume_cm3_mol</t>
        </is>
      </c>
      <c r="C345">
        <v>673.23</v>
      </c>
      <c r="D345" t="inlineStr">
        <is>
          <t>cm3/mol</t>
        </is>
      </c>
      <c r="E345"/>
      <c r="F345"/>
      <c r="G345" t="inlineStr">
        <is>
          <t>MW/density estimate</t>
        </is>
      </c>
      <c r="H345" t="inlineStr">
        <is>
          <t>S012_CALCULATED</t>
        </is>
      </c>
      <c r="I345" t="inlineStr">
        <is>
          <t>estimated</t>
        </is>
      </c>
      <c r="J345">
        <v>0.45</v>
      </c>
      <c r="K345" t="inlineStr">
        <is>
          <t>Estimated from MW/density; replace with measured molar volume or density-specific grade data.</t>
        </is>
      </c>
    </row>
    <row r="346">
      <c r="A346" t="inlineStr">
        <is>
          <t>API_DOXORUBICIN</t>
        </is>
      </c>
      <c r="B346" t="inlineStr">
        <is>
          <t>molecular_weight_g_mol</t>
        </is>
      </c>
      <c r="C346">
        <v>543.52</v>
      </c>
      <c r="D346" t="inlineStr">
        <is>
          <t>g/mol</t>
        </is>
      </c>
      <c r="E346"/>
      <c r="F346"/>
      <c r="G346" t="inlineStr">
        <is>
          <t>PubChem/handbook curation</t>
        </is>
      </c>
      <c r="H346" t="inlineStr">
        <is>
          <t>S001_PUBCHEM</t>
        </is>
      </c>
      <c r="I346" t="inlineStr">
        <is>
          <t>database-derived</t>
        </is>
      </c>
      <c r="J346">
        <v>0.88</v>
      </c>
      <c r="K346"/>
    </row>
    <row r="347">
      <c r="A347" t="inlineStr">
        <is>
          <t>API_DOXORUBICIN</t>
        </is>
      </c>
      <c r="B347" t="inlineStr">
        <is>
          <t>molecular_formula</t>
        </is>
      </c>
      <c r="C347" t="inlineStr">
        <is>
          <t>C27H29NO11</t>
        </is>
      </c>
      <c r="D347"/>
      <c r="E347"/>
      <c r="F347"/>
      <c r="G347" t="inlineStr">
        <is>
          <t>PubChem/handbook curation</t>
        </is>
      </c>
      <c r="H347" t="inlineStr">
        <is>
          <t>S001_PUBCHEM</t>
        </is>
      </c>
      <c r="I347" t="inlineStr">
        <is>
          <t>database-derived</t>
        </is>
      </c>
      <c r="J347">
        <v>0.85</v>
      </c>
      <c r="K347"/>
    </row>
    <row r="348">
      <c r="A348" t="inlineStr">
        <is>
          <t>API_DOXORUBICIN</t>
        </is>
      </c>
      <c r="B348" t="inlineStr">
        <is>
          <t>LogP</t>
        </is>
      </c>
      <c r="C348">
        <v>1.3</v>
      </c>
      <c r="D348"/>
      <c r="E348"/>
      <c r="F348"/>
      <c r="G348" t="inlineStr">
        <is>
          <t>computed/curated XLogP or literature consensus</t>
        </is>
      </c>
      <c r="H348" t="inlineStr">
        <is>
          <t>S001_PUBCHEM</t>
        </is>
      </c>
      <c r="I348" t="inlineStr">
        <is>
          <t>database-derived</t>
        </is>
      </c>
      <c r="J348">
        <v>0.72</v>
      </c>
      <c r="K348" t="inlineStr">
        <is>
          <t>Approximate; salt/tautomer state may alter.</t>
        </is>
      </c>
    </row>
    <row r="349">
      <c r="A349" t="inlineStr">
        <is>
          <t>API_DOXORUBICIN</t>
        </is>
      </c>
      <c r="B349" t="inlineStr">
        <is>
          <t>formal_charge</t>
        </is>
      </c>
      <c r="C349">
        <v>0</v>
      </c>
      <c r="D349" t="inlineStr">
        <is>
          <t>e</t>
        </is>
      </c>
      <c r="E349"/>
      <c r="F349"/>
      <c r="G349" t="inlineStr">
        <is>
          <t>canonical neutral parent/salt-free structure</t>
        </is>
      </c>
      <c r="H349" t="inlineStr">
        <is>
          <t>S001_PUBCHEM</t>
        </is>
      </c>
      <c r="I349" t="inlineStr">
        <is>
          <t>database-derived</t>
        </is>
      </c>
      <c r="J349">
        <v>0.82</v>
      </c>
      <c r="K349" t="inlineStr">
        <is>
          <t>Use salt-specific material row for ionic salts.</t>
        </is>
      </c>
    </row>
    <row r="350">
      <c r="A350" t="inlineStr">
        <is>
          <t>API_DOXORUBICIN</t>
        </is>
      </c>
      <c r="B350" t="inlineStr">
        <is>
          <t>water_solubility_mg_ml</t>
        </is>
      </c>
      <c r="C350">
        <v>0.1</v>
      </c>
      <c r="D350" t="inlineStr">
        <is>
          <t>mg/mL</t>
        </is>
      </c>
      <c r="E350"/>
      <c r="F350"/>
      <c r="G350" t="inlineStr">
        <is>
          <t>literature/aqueous solubility range approximated</t>
        </is>
      </c>
      <c r="H350" t="inlineStr">
        <is>
          <t>S001_PUBCHEM</t>
        </is>
      </c>
      <c r="I350" t="inlineStr">
        <is>
          <t>estimated</t>
        </is>
      </c>
      <c r="J350">
        <v>0.45</v>
      </c>
      <c r="K350" t="inlineStr">
        <is>
          <t>Highly pH- and salt-form-dependent.</t>
        </is>
      </c>
    </row>
    <row r="351">
      <c r="A351" t="inlineStr">
        <is>
          <t>API_DOXORUBICIN</t>
        </is>
      </c>
      <c r="B351" t="inlineStr">
        <is>
          <t>melting_point_C</t>
        </is>
      </c>
      <c r="C351">
        <v>229</v>
      </c>
      <c r="D351" t="inlineStr">
        <is>
          <t>°C</t>
        </is>
      </c>
      <c r="E351"/>
      <c r="F351"/>
      <c r="G351" t="inlineStr">
        <is>
          <t>literature/supplier melting range</t>
        </is>
      </c>
      <c r="H351" t="inlineStr">
        <is>
          <t>S001_PUBCHEM</t>
        </is>
      </c>
      <c r="I351" t="inlineStr">
        <is>
          <t>handbook</t>
        </is>
      </c>
      <c r="J351">
        <v>0.65</v>
      </c>
      <c r="K351" t="inlineStr">
        <is>
          <t>Use polymorph-specific data when available.</t>
        </is>
      </c>
    </row>
    <row r="352">
      <c r="A352" t="inlineStr">
        <is>
          <t>API_DOXORUBICIN</t>
        </is>
      </c>
      <c r="B352" t="inlineStr">
        <is>
          <t>TPSA</t>
        </is>
      </c>
      <c r="C352">
        <v>206.1</v>
      </c>
      <c r="D352" t="inlineStr">
        <is>
          <t>Å²</t>
        </is>
      </c>
      <c r="E352"/>
      <c r="F352"/>
      <c r="G352" t="inlineStr">
        <is>
          <t>computed descriptor</t>
        </is>
      </c>
      <c r="H352" t="inlineStr">
        <is>
          <t>S001_PUBCHEM</t>
        </is>
      </c>
      <c r="I352" t="inlineStr">
        <is>
          <t>database-derived</t>
        </is>
      </c>
      <c r="J352">
        <v>0.82</v>
      </c>
      <c r="K352"/>
    </row>
    <row r="353">
      <c r="A353" t="inlineStr">
        <is>
          <t>API_DOXORUBICIN</t>
        </is>
      </c>
      <c r="B353" t="inlineStr">
        <is>
          <t>HBD</t>
        </is>
      </c>
      <c r="C353">
        <v>6</v>
      </c>
      <c r="D353" t="inlineStr">
        <is>
          <t>count</t>
        </is>
      </c>
      <c r="E353"/>
      <c r="F353"/>
      <c r="G353" t="inlineStr">
        <is>
          <t>computed descriptor</t>
        </is>
      </c>
      <c r="H353" t="inlineStr">
        <is>
          <t>S001_PUBCHEM</t>
        </is>
      </c>
      <c r="I353" t="inlineStr">
        <is>
          <t>database-derived</t>
        </is>
      </c>
      <c r="J353">
        <v>0.82</v>
      </c>
      <c r="K353"/>
    </row>
    <row r="354">
      <c r="A354" t="inlineStr">
        <is>
          <t>API_DOXORUBICIN</t>
        </is>
      </c>
      <c r="B354" t="inlineStr">
        <is>
          <t>HBA</t>
        </is>
      </c>
      <c r="C354">
        <v>12</v>
      </c>
      <c r="D354" t="inlineStr">
        <is>
          <t>count</t>
        </is>
      </c>
      <c r="E354"/>
      <c r="F354"/>
      <c r="G354" t="inlineStr">
        <is>
          <t>computed descriptor</t>
        </is>
      </c>
      <c r="H354" t="inlineStr">
        <is>
          <t>S001_PUBCHEM</t>
        </is>
      </c>
      <c r="I354" t="inlineStr">
        <is>
          <t>database-derived</t>
        </is>
      </c>
      <c r="J354">
        <v>0.82</v>
      </c>
      <c r="K354"/>
    </row>
    <row r="355">
      <c r="A355" t="inlineStr">
        <is>
          <t>API_DOXORUBICIN</t>
        </is>
      </c>
      <c r="B355" t="inlineStr">
        <is>
          <t>rotatable_bonds</t>
        </is>
      </c>
      <c r="C355">
        <v>5</v>
      </c>
      <c r="D355" t="inlineStr">
        <is>
          <t>count</t>
        </is>
      </c>
      <c r="E355"/>
      <c r="F355"/>
      <c r="G355" t="inlineStr">
        <is>
          <t>computed descriptor</t>
        </is>
      </c>
      <c r="H355" t="inlineStr">
        <is>
          <t>S001_PUBCHEM</t>
        </is>
      </c>
      <c r="I355" t="inlineStr">
        <is>
          <t>database-derived</t>
        </is>
      </c>
      <c r="J355">
        <v>0.82</v>
      </c>
      <c r="K355"/>
    </row>
    <row r="356">
      <c r="A356" t="inlineStr">
        <is>
          <t>API_DOXORUBICIN</t>
        </is>
      </c>
      <c r="B356" t="inlineStr">
        <is>
          <t>aromatic_rings</t>
        </is>
      </c>
      <c r="C356">
        <v>5</v>
      </c>
      <c r="D356" t="inlineStr">
        <is>
          <t>count</t>
        </is>
      </c>
      <c r="E356"/>
      <c r="F356"/>
      <c r="G356" t="inlineStr">
        <is>
          <t>manual structural count</t>
        </is>
      </c>
      <c r="H356" t="inlineStr">
        <is>
          <t>S001_PUBCHEM</t>
        </is>
      </c>
      <c r="I356" t="inlineStr">
        <is>
          <t>estimated</t>
        </is>
      </c>
      <c r="J356">
        <v>0.6</v>
      </c>
      <c r="K356"/>
    </row>
    <row r="357">
      <c r="A357" t="inlineStr">
        <is>
          <t>API_DOXORUBICIN</t>
        </is>
      </c>
      <c r="B357" t="inlineStr">
        <is>
          <t>BCS_class</t>
        </is>
      </c>
      <c r="C357" t="inlineStr">
        <is>
          <t>III</t>
        </is>
      </c>
      <c r="D357"/>
      <c r="E357"/>
      <c r="F357"/>
      <c r="G357" t="inlineStr">
        <is>
          <t>literature consensus/placeholder</t>
        </is>
      </c>
      <c r="H357" t="inlineStr">
        <is>
          <t>S007_EXCIPIENTS_HANDBOOK</t>
        </is>
      </c>
      <c r="I357" t="inlineStr">
        <is>
          <t>estimated</t>
        </is>
      </c>
      <c r="J357">
        <v>0.4</v>
      </c>
      <c r="K357" t="inlineStr">
        <is>
          <t>Must be curated from API-specific biopharmaceutics sources.</t>
        </is>
      </c>
    </row>
    <row r="358">
      <c r="A358" t="inlineStr">
        <is>
          <t>API_DOXORUBICIN</t>
        </is>
      </c>
      <c r="B358" t="inlineStr">
        <is>
          <t>therapeutic_class</t>
        </is>
      </c>
      <c r="C358" t="inlineStr">
        <is>
          <t>anthracycline</t>
        </is>
      </c>
      <c r="D358"/>
      <c r="E358"/>
      <c r="F358"/>
      <c r="G358" t="inlineStr">
        <is>
          <t>manual therapeutic annotation</t>
        </is>
      </c>
      <c r="H358" t="inlineStr">
        <is>
          <t>S001_PUBCHEM</t>
        </is>
      </c>
      <c r="I358" t="inlineStr">
        <is>
          <t>database-derived</t>
        </is>
      </c>
      <c r="J358">
        <v>0.75</v>
      </c>
      <c r="K358"/>
    </row>
    <row r="359">
      <c r="A359" t="inlineStr">
        <is>
          <t>API_DOXORUBICIN</t>
        </is>
      </c>
      <c r="B359" t="inlineStr">
        <is>
          <t>payload_type</t>
        </is>
      </c>
      <c r="C359" t="inlineStr">
        <is>
          <t>small_molecule_API</t>
        </is>
      </c>
      <c r="D359"/>
      <c r="E359"/>
      <c r="F359"/>
      <c r="G359" t="inlineStr">
        <is>
          <t>payload taxonomy</t>
        </is>
      </c>
      <c r="H359" t="inlineStr">
        <is>
          <t>S000_USER_SPEC</t>
        </is>
      </c>
      <c r="I359" t="inlineStr">
        <is>
          <t>curated</t>
        </is>
      </c>
      <c r="J359">
        <v>0.8</v>
      </c>
      <c r="K359"/>
    </row>
    <row r="360">
      <c r="A360" t="inlineStr">
        <is>
          <t>API_DOXORUBICIN</t>
        </is>
      </c>
      <c r="B360" t="inlineStr">
        <is>
          <t>route_notes</t>
        </is>
      </c>
      <c r="C360" t="inlineStr">
        <is>
          <t>cationizable anthracycline; pH-gradient liposome loading</t>
        </is>
      </c>
      <c r="D360"/>
      <c r="E360"/>
      <c r="F360"/>
      <c r="G360" t="inlineStr">
        <is>
          <t>formulation-relevance annotation</t>
        </is>
      </c>
      <c r="H360" t="inlineStr">
        <is>
          <t>S014_AULTON</t>
        </is>
      </c>
      <c r="I360" t="inlineStr">
        <is>
          <t>curated</t>
        </is>
      </c>
      <c r="J360">
        <v>0.7</v>
      </c>
      <c r="K360"/>
    </row>
    <row r="361">
      <c r="A361" t="inlineStr">
        <is>
          <t>API_DOXORUBICIN</t>
        </is>
      </c>
      <c r="B361" t="inlineStr">
        <is>
          <t>pKa_base</t>
        </is>
      </c>
      <c r="C361">
        <v>8.2</v>
      </c>
      <c r="D361"/>
      <c r="E361"/>
      <c r="F361"/>
      <c r="G361" t="inlineStr">
        <is>
          <t>literature pKa consensus</t>
        </is>
      </c>
      <c r="H361" t="inlineStr">
        <is>
          <t>S001_PUBCHEM</t>
        </is>
      </c>
      <c r="I361" t="inlineStr">
        <is>
          <t>handbook</t>
        </is>
      </c>
      <c r="J361">
        <v>0.6</v>
      </c>
      <c r="K361" t="inlineStr">
        <is>
          <t>Microstate and medium-dependent; confirm experimentally for model lock.</t>
        </is>
      </c>
    </row>
    <row r="362">
      <c r="A362" t="inlineStr">
        <is>
          <t>API_DOXORUBICIN</t>
        </is>
      </c>
      <c r="B362" t="inlineStr">
        <is>
          <t>Hansen_delta_D</t>
        </is>
      </c>
      <c r="C362">
        <v>18.0</v>
      </c>
      <c r="D362" t="inlineStr">
        <is>
          <t>MPa^0.5</t>
        </is>
      </c>
      <c r="E362"/>
      <c r="F362"/>
      <c r="G362" t="inlineStr">
        <is>
          <t>heuristic group-contribution/nearest-neighbour</t>
        </is>
      </c>
      <c r="H362" t="inlineStr">
        <is>
          <t>S013_EST_HSP_HEURISTIC</t>
        </is>
      </c>
      <c r="I362" t="inlineStr">
        <is>
          <t>estimated</t>
        </is>
      </c>
      <c r="J362">
        <v>0.43</v>
      </c>
      <c r="K362" t="inlineStr">
        <is>
          <t>Provisional HSP for screening; replace with experimental/literature value before model lock.</t>
        </is>
      </c>
    </row>
    <row r="363">
      <c r="A363" t="inlineStr">
        <is>
          <t>API_DOXORUBICIN</t>
        </is>
      </c>
      <c r="B363" t="inlineStr">
        <is>
          <t>Hansen_delta_P</t>
        </is>
      </c>
      <c r="C363">
        <v>10.5</v>
      </c>
      <c r="D363" t="inlineStr">
        <is>
          <t>MPa^0.5</t>
        </is>
      </c>
      <c r="E363"/>
      <c r="F363"/>
      <c r="G363" t="inlineStr">
        <is>
          <t>heuristic group-contribution/nearest-neighbour</t>
        </is>
      </c>
      <c r="H363" t="inlineStr">
        <is>
          <t>S013_EST_HSP_HEURISTIC</t>
        </is>
      </c>
      <c r="I363" t="inlineStr">
        <is>
          <t>estimated</t>
        </is>
      </c>
      <c r="J363">
        <v>0.43</v>
      </c>
      <c r="K363" t="inlineStr">
        <is>
          <t>Provisional HSP for screening; replace with experimental/literature value before model lock.</t>
        </is>
      </c>
    </row>
    <row r="364">
      <c r="A364" t="inlineStr">
        <is>
          <t>API_DOXORUBICIN</t>
        </is>
      </c>
      <c r="B364" t="inlineStr">
        <is>
          <t>Hansen_delta_H</t>
        </is>
      </c>
      <c r="C364">
        <v>13.0</v>
      </c>
      <c r="D364" t="inlineStr">
        <is>
          <t>MPa^0.5</t>
        </is>
      </c>
      <c r="E364"/>
      <c r="F364"/>
      <c r="G364" t="inlineStr">
        <is>
          <t>heuristic group-contribution/nearest-neighbour</t>
        </is>
      </c>
      <c r="H364" t="inlineStr">
        <is>
          <t>S013_EST_HSP_HEURISTIC</t>
        </is>
      </c>
      <c r="I364" t="inlineStr">
        <is>
          <t>estimated</t>
        </is>
      </c>
      <c r="J364">
        <v>0.43</v>
      </c>
      <c r="K364" t="inlineStr">
        <is>
          <t>Provisional HSP for screening; replace with experimental/literature value before model lock.</t>
        </is>
      </c>
    </row>
    <row r="365">
      <c r="A365" t="inlineStr">
        <is>
          <t>API_DOXORUBICIN</t>
        </is>
      </c>
      <c r="B365" t="inlineStr">
        <is>
          <t>Hildebrand_delta_T</t>
        </is>
      </c>
      <c r="C365">
        <v>24.56</v>
      </c>
      <c r="D365" t="inlineStr">
        <is>
          <t>MPa^0.5</t>
        </is>
      </c>
      <c r="E365"/>
      <c r="F365"/>
      <c r="G365" t="inlineStr">
        <is>
          <t>sqrt(deltaD^2+deltaP^2+deltaH^2)</t>
        </is>
      </c>
      <c r="H365" t="inlineStr">
        <is>
          <t>S012_CALCULATED</t>
        </is>
      </c>
      <c r="I365" t="inlineStr">
        <is>
          <t>calculated</t>
        </is>
      </c>
      <c r="J365">
        <v>0.48</v>
      </c>
      <c r="K365" t="inlineStr">
        <is>
          <t>Derived from stored Hansen components.</t>
        </is>
      </c>
    </row>
    <row r="366">
      <c r="A366" t="inlineStr">
        <is>
          <t>API_DOXORUBICIN</t>
        </is>
      </c>
      <c r="B366" t="inlineStr">
        <is>
          <t>HSP_radius_R0</t>
        </is>
      </c>
      <c r="C366">
        <v>9.0</v>
      </c>
      <c r="D366" t="inlineStr">
        <is>
          <t>MPa^0.5</t>
        </is>
      </c>
      <c r="E366"/>
      <c r="F366"/>
      <c r="G366" t="inlineStr">
        <is>
          <t>literature/heuristic solubility sphere</t>
        </is>
      </c>
      <c r="H366" t="inlineStr">
        <is>
          <t>S013_EST_HSP_HEURISTIC</t>
        </is>
      </c>
      <c r="I366" t="inlineStr">
        <is>
          <t>estimated</t>
        </is>
      </c>
      <c r="J366">
        <v>0.43</v>
      </c>
      <c r="K366" t="inlineStr">
        <is>
          <t>Screening radius only unless experimentally determined.</t>
        </is>
      </c>
    </row>
    <row r="367">
      <c r="A367" t="inlineStr">
        <is>
          <t>API_DOXORUBICIN</t>
        </is>
      </c>
      <c r="B367" t="inlineStr">
        <is>
          <t>molar_volume_cm3_mol</t>
        </is>
      </c>
      <c r="C367">
        <v>434.82</v>
      </c>
      <c r="D367" t="inlineStr">
        <is>
          <t>cm3/mol</t>
        </is>
      </c>
      <c r="E367"/>
      <c r="F367"/>
      <c r="G367" t="inlineStr">
        <is>
          <t>MW/density estimate</t>
        </is>
      </c>
      <c r="H367" t="inlineStr">
        <is>
          <t>S012_CALCULATED</t>
        </is>
      </c>
      <c r="I367" t="inlineStr">
        <is>
          <t>estimated</t>
        </is>
      </c>
      <c r="J367">
        <v>0.45</v>
      </c>
      <c r="K367" t="inlineStr">
        <is>
          <t>Estimated from MW/density; replace with measured molar volume or density-specific grade data.</t>
        </is>
      </c>
    </row>
    <row r="368">
      <c r="A368" t="inlineStr">
        <is>
          <t>API_CISPLATIN</t>
        </is>
      </c>
      <c r="B368" t="inlineStr">
        <is>
          <t>molecular_weight_g_mol</t>
        </is>
      </c>
      <c r="C368">
        <v>300.05</v>
      </c>
      <c r="D368" t="inlineStr">
        <is>
          <t>g/mol</t>
        </is>
      </c>
      <c r="E368"/>
      <c r="F368"/>
      <c r="G368" t="inlineStr">
        <is>
          <t>PubChem/handbook curation</t>
        </is>
      </c>
      <c r="H368" t="inlineStr">
        <is>
          <t>S001_PUBCHEM</t>
        </is>
      </c>
      <c r="I368" t="inlineStr">
        <is>
          <t>database-derived</t>
        </is>
      </c>
      <c r="J368">
        <v>0.88</v>
      </c>
      <c r="K368"/>
    </row>
    <row r="369">
      <c r="A369" t="inlineStr">
        <is>
          <t>API_CISPLATIN</t>
        </is>
      </c>
      <c r="B369" t="inlineStr">
        <is>
          <t>molecular_formula</t>
        </is>
      </c>
      <c r="C369" t="inlineStr">
        <is>
          <t>Cl2H6N2Pt</t>
        </is>
      </c>
      <c r="D369"/>
      <c r="E369"/>
      <c r="F369"/>
      <c r="G369" t="inlineStr">
        <is>
          <t>PubChem/handbook curation</t>
        </is>
      </c>
      <c r="H369" t="inlineStr">
        <is>
          <t>S001_PUBCHEM</t>
        </is>
      </c>
      <c r="I369" t="inlineStr">
        <is>
          <t>database-derived</t>
        </is>
      </c>
      <c r="J369">
        <v>0.85</v>
      </c>
      <c r="K369"/>
    </row>
    <row r="370">
      <c r="A370" t="inlineStr">
        <is>
          <t>API_CISPLATIN</t>
        </is>
      </c>
      <c r="B370" t="inlineStr">
        <is>
          <t>LogP</t>
        </is>
      </c>
      <c r="C370">
        <v>-2.2</v>
      </c>
      <c r="D370"/>
      <c r="E370"/>
      <c r="F370"/>
      <c r="G370" t="inlineStr">
        <is>
          <t>computed/curated XLogP or literature consensus</t>
        </is>
      </c>
      <c r="H370" t="inlineStr">
        <is>
          <t>S001_PUBCHEM</t>
        </is>
      </c>
      <c r="I370" t="inlineStr">
        <is>
          <t>database-derived</t>
        </is>
      </c>
      <c r="J370">
        <v>0.72</v>
      </c>
      <c r="K370" t="inlineStr">
        <is>
          <t>Approximate; salt/tautomer state may alter.</t>
        </is>
      </c>
    </row>
    <row r="371">
      <c r="A371" t="inlineStr">
        <is>
          <t>API_CISPLATIN</t>
        </is>
      </c>
      <c r="B371" t="inlineStr">
        <is>
          <t>formal_charge</t>
        </is>
      </c>
      <c r="C371">
        <v>0</v>
      </c>
      <c r="D371" t="inlineStr">
        <is>
          <t>e</t>
        </is>
      </c>
      <c r="E371"/>
      <c r="F371"/>
      <c r="G371" t="inlineStr">
        <is>
          <t>canonical neutral parent/salt-free structure</t>
        </is>
      </c>
      <c r="H371" t="inlineStr">
        <is>
          <t>S001_PUBCHEM</t>
        </is>
      </c>
      <c r="I371" t="inlineStr">
        <is>
          <t>database-derived</t>
        </is>
      </c>
      <c r="J371">
        <v>0.82</v>
      </c>
      <c r="K371" t="inlineStr">
        <is>
          <t>Use salt-specific material row for ionic salts.</t>
        </is>
      </c>
    </row>
    <row r="372">
      <c r="A372" t="inlineStr">
        <is>
          <t>API_CISPLATIN</t>
        </is>
      </c>
      <c r="B372" t="inlineStr">
        <is>
          <t>water_solubility_mg_ml</t>
        </is>
      </c>
      <c r="C372">
        <v>2.5</v>
      </c>
      <c r="D372" t="inlineStr">
        <is>
          <t>mg/mL</t>
        </is>
      </c>
      <c r="E372"/>
      <c r="F372"/>
      <c r="G372" t="inlineStr">
        <is>
          <t>literature/aqueous solubility range approximated</t>
        </is>
      </c>
      <c r="H372" t="inlineStr">
        <is>
          <t>S001_PUBCHEM</t>
        </is>
      </c>
      <c r="I372" t="inlineStr">
        <is>
          <t>estimated</t>
        </is>
      </c>
      <c r="J372">
        <v>0.45</v>
      </c>
      <c r="K372" t="inlineStr">
        <is>
          <t>Highly pH- and salt-form-dependent.</t>
        </is>
      </c>
    </row>
    <row r="373">
      <c r="A373" t="inlineStr">
        <is>
          <t>API_CISPLATIN</t>
        </is>
      </c>
      <c r="B373" t="inlineStr">
        <is>
          <t>melting_point_C</t>
        </is>
      </c>
      <c r="C373">
        <v>270</v>
      </c>
      <c r="D373" t="inlineStr">
        <is>
          <t>°C</t>
        </is>
      </c>
      <c r="E373"/>
      <c r="F373"/>
      <c r="G373" t="inlineStr">
        <is>
          <t>literature/supplier melting range</t>
        </is>
      </c>
      <c r="H373" t="inlineStr">
        <is>
          <t>S001_PUBCHEM</t>
        </is>
      </c>
      <c r="I373" t="inlineStr">
        <is>
          <t>handbook</t>
        </is>
      </c>
      <c r="J373">
        <v>0.65</v>
      </c>
      <c r="K373" t="inlineStr">
        <is>
          <t>Use polymorph-specific data when available.</t>
        </is>
      </c>
    </row>
    <row r="374">
      <c r="A374" t="inlineStr">
        <is>
          <t>API_CISPLATIN</t>
        </is>
      </c>
      <c r="B374" t="inlineStr">
        <is>
          <t>TPSA</t>
        </is>
      </c>
      <c r="C374">
        <v>52.0</v>
      </c>
      <c r="D374" t="inlineStr">
        <is>
          <t>Å²</t>
        </is>
      </c>
      <c r="E374"/>
      <c r="F374"/>
      <c r="G374" t="inlineStr">
        <is>
          <t>computed descriptor</t>
        </is>
      </c>
      <c r="H374" t="inlineStr">
        <is>
          <t>S001_PUBCHEM</t>
        </is>
      </c>
      <c r="I374" t="inlineStr">
        <is>
          <t>database-derived</t>
        </is>
      </c>
      <c r="J374">
        <v>0.82</v>
      </c>
      <c r="K374"/>
    </row>
    <row r="375">
      <c r="A375" t="inlineStr">
        <is>
          <t>API_CISPLATIN</t>
        </is>
      </c>
      <c r="B375" t="inlineStr">
        <is>
          <t>HBD</t>
        </is>
      </c>
      <c r="C375">
        <v>2</v>
      </c>
      <c r="D375" t="inlineStr">
        <is>
          <t>count</t>
        </is>
      </c>
      <c r="E375"/>
      <c r="F375"/>
      <c r="G375" t="inlineStr">
        <is>
          <t>computed descriptor</t>
        </is>
      </c>
      <c r="H375" t="inlineStr">
        <is>
          <t>S001_PUBCHEM</t>
        </is>
      </c>
      <c r="I375" t="inlineStr">
        <is>
          <t>database-derived</t>
        </is>
      </c>
      <c r="J375">
        <v>0.82</v>
      </c>
      <c r="K375"/>
    </row>
    <row r="376">
      <c r="A376" t="inlineStr">
        <is>
          <t>API_CISPLATIN</t>
        </is>
      </c>
      <c r="B376" t="inlineStr">
        <is>
          <t>HBA</t>
        </is>
      </c>
      <c r="C376">
        <v>2</v>
      </c>
      <c r="D376" t="inlineStr">
        <is>
          <t>count</t>
        </is>
      </c>
      <c r="E376"/>
      <c r="F376"/>
      <c r="G376" t="inlineStr">
        <is>
          <t>computed descriptor</t>
        </is>
      </c>
      <c r="H376" t="inlineStr">
        <is>
          <t>S001_PUBCHEM</t>
        </is>
      </c>
      <c r="I376" t="inlineStr">
        <is>
          <t>database-derived</t>
        </is>
      </c>
      <c r="J376">
        <v>0.82</v>
      </c>
      <c r="K376"/>
    </row>
    <row r="377">
      <c r="A377" t="inlineStr">
        <is>
          <t>API_CISPLATIN</t>
        </is>
      </c>
      <c r="B377" t="inlineStr">
        <is>
          <t>rotatable_bonds</t>
        </is>
      </c>
      <c r="C377">
        <v>0</v>
      </c>
      <c r="D377" t="inlineStr">
        <is>
          <t>count</t>
        </is>
      </c>
      <c r="E377"/>
      <c r="F377"/>
      <c r="G377" t="inlineStr">
        <is>
          <t>computed descriptor</t>
        </is>
      </c>
      <c r="H377" t="inlineStr">
        <is>
          <t>S001_PUBCHEM</t>
        </is>
      </c>
      <c r="I377" t="inlineStr">
        <is>
          <t>database-derived</t>
        </is>
      </c>
      <c r="J377">
        <v>0.82</v>
      </c>
      <c r="K377"/>
    </row>
    <row r="378">
      <c r="A378" t="inlineStr">
        <is>
          <t>API_CISPLATIN</t>
        </is>
      </c>
      <c r="B378" t="inlineStr">
        <is>
          <t>aromatic_rings</t>
        </is>
      </c>
      <c r="C378">
        <v>0</v>
      </c>
      <c r="D378" t="inlineStr">
        <is>
          <t>count</t>
        </is>
      </c>
      <c r="E378"/>
      <c r="F378"/>
      <c r="G378" t="inlineStr">
        <is>
          <t>manual structural count</t>
        </is>
      </c>
      <c r="H378" t="inlineStr">
        <is>
          <t>S001_PUBCHEM</t>
        </is>
      </c>
      <c r="I378" t="inlineStr">
        <is>
          <t>estimated</t>
        </is>
      </c>
      <c r="J378">
        <v>0.6</v>
      </c>
      <c r="K378"/>
    </row>
    <row r="379">
      <c r="A379" t="inlineStr">
        <is>
          <t>API_CISPLATIN</t>
        </is>
      </c>
      <c r="B379" t="inlineStr">
        <is>
          <t>BCS_class</t>
        </is>
      </c>
      <c r="C379" t="inlineStr">
        <is>
          <t>III</t>
        </is>
      </c>
      <c r="D379"/>
      <c r="E379"/>
      <c r="F379"/>
      <c r="G379" t="inlineStr">
        <is>
          <t>literature consensus/placeholder</t>
        </is>
      </c>
      <c r="H379" t="inlineStr">
        <is>
          <t>S007_EXCIPIENTS_HANDBOOK</t>
        </is>
      </c>
      <c r="I379" t="inlineStr">
        <is>
          <t>estimated</t>
        </is>
      </c>
      <c r="J379">
        <v>0.4</v>
      </c>
      <c r="K379" t="inlineStr">
        <is>
          <t>Must be curated from API-specific biopharmaceutics sources.</t>
        </is>
      </c>
    </row>
    <row r="380">
      <c r="A380" t="inlineStr">
        <is>
          <t>API_CISPLATIN</t>
        </is>
      </c>
      <c r="B380" t="inlineStr">
        <is>
          <t>therapeutic_class</t>
        </is>
      </c>
      <c r="C380" t="inlineStr">
        <is>
          <t>platinum complex</t>
        </is>
      </c>
      <c r="D380"/>
      <c r="E380"/>
      <c r="F380"/>
      <c r="G380" t="inlineStr">
        <is>
          <t>manual therapeutic annotation</t>
        </is>
      </c>
      <c r="H380" t="inlineStr">
        <is>
          <t>S001_PUBCHEM</t>
        </is>
      </c>
      <c r="I380" t="inlineStr">
        <is>
          <t>database-derived</t>
        </is>
      </c>
      <c r="J380">
        <v>0.75</v>
      </c>
      <c r="K380"/>
    </row>
    <row r="381">
      <c r="A381" t="inlineStr">
        <is>
          <t>API_CISPLATIN</t>
        </is>
      </c>
      <c r="B381" t="inlineStr">
        <is>
          <t>payload_type</t>
        </is>
      </c>
      <c r="C381" t="inlineStr">
        <is>
          <t>small_molecule_API</t>
        </is>
      </c>
      <c r="D381"/>
      <c r="E381"/>
      <c r="F381"/>
      <c r="G381" t="inlineStr">
        <is>
          <t>payload taxonomy</t>
        </is>
      </c>
      <c r="H381" t="inlineStr">
        <is>
          <t>S000_USER_SPEC</t>
        </is>
      </c>
      <c r="I381" t="inlineStr">
        <is>
          <t>curated</t>
        </is>
      </c>
      <c r="J381">
        <v>0.8</v>
      </c>
      <c r="K381"/>
    </row>
    <row r="382">
      <c r="A382" t="inlineStr">
        <is>
          <t>API_CISPLATIN</t>
        </is>
      </c>
      <c r="B382" t="inlineStr">
        <is>
          <t>route_notes</t>
        </is>
      </c>
      <c r="C382" t="inlineStr">
        <is>
          <t>placeholder inorganic anticancer; use complex-specific models</t>
        </is>
      </c>
      <c r="D382"/>
      <c r="E382"/>
      <c r="F382"/>
      <c r="G382" t="inlineStr">
        <is>
          <t>formulation-relevance annotation</t>
        </is>
      </c>
      <c r="H382" t="inlineStr">
        <is>
          <t>S014_AULTON</t>
        </is>
      </c>
      <c r="I382" t="inlineStr">
        <is>
          <t>curated</t>
        </is>
      </c>
      <c r="J382">
        <v>0.7</v>
      </c>
      <c r="K382"/>
    </row>
    <row r="383">
      <c r="A383" t="inlineStr">
        <is>
          <t>API_CISPLATIN</t>
        </is>
      </c>
      <c r="B383" t="inlineStr">
        <is>
          <t>Hansen_delta_D</t>
        </is>
      </c>
      <c r="C383">
        <v>17.5</v>
      </c>
      <c r="D383" t="inlineStr">
        <is>
          <t>MPa^0.5</t>
        </is>
      </c>
      <c r="E383"/>
      <c r="F383"/>
      <c r="G383" t="inlineStr">
        <is>
          <t>heuristic group-contribution/nearest-neighbour</t>
        </is>
      </c>
      <c r="H383" t="inlineStr">
        <is>
          <t>S013_EST_HSP_HEURISTIC</t>
        </is>
      </c>
      <c r="I383" t="inlineStr">
        <is>
          <t>estimated</t>
        </is>
      </c>
      <c r="J383">
        <v>0.38</v>
      </c>
      <c r="K383" t="inlineStr">
        <is>
          <t>Provisional HSP for screening; replace with experimental/literature value before model lock.</t>
        </is>
      </c>
    </row>
    <row r="384">
      <c r="A384" t="inlineStr">
        <is>
          <t>API_CISPLATIN</t>
        </is>
      </c>
      <c r="B384" t="inlineStr">
        <is>
          <t>Hansen_delta_P</t>
        </is>
      </c>
      <c r="C384">
        <v>15.0</v>
      </c>
      <c r="D384" t="inlineStr">
        <is>
          <t>MPa^0.5</t>
        </is>
      </c>
      <c r="E384"/>
      <c r="F384"/>
      <c r="G384" t="inlineStr">
        <is>
          <t>heuristic group-contribution/nearest-neighbour</t>
        </is>
      </c>
      <c r="H384" t="inlineStr">
        <is>
          <t>S013_EST_HSP_HEURISTIC</t>
        </is>
      </c>
      <c r="I384" t="inlineStr">
        <is>
          <t>estimated</t>
        </is>
      </c>
      <c r="J384">
        <v>0.38</v>
      </c>
      <c r="K384" t="inlineStr">
        <is>
          <t>Provisional HSP for screening; replace with experimental/literature value before model lock.</t>
        </is>
      </c>
    </row>
    <row r="385">
      <c r="A385" t="inlineStr">
        <is>
          <t>API_CISPLATIN</t>
        </is>
      </c>
      <c r="B385" t="inlineStr">
        <is>
          <t>Hansen_delta_H</t>
        </is>
      </c>
      <c r="C385">
        <v>20.0</v>
      </c>
      <c r="D385" t="inlineStr">
        <is>
          <t>MPa^0.5</t>
        </is>
      </c>
      <c r="E385"/>
      <c r="F385"/>
      <c r="G385" t="inlineStr">
        <is>
          <t>heuristic group-contribution/nearest-neighbour</t>
        </is>
      </c>
      <c r="H385" t="inlineStr">
        <is>
          <t>S013_EST_HSP_HEURISTIC</t>
        </is>
      </c>
      <c r="I385" t="inlineStr">
        <is>
          <t>estimated</t>
        </is>
      </c>
      <c r="J385">
        <v>0.38</v>
      </c>
      <c r="K385" t="inlineStr">
        <is>
          <t>Provisional HSP for screening; replace with experimental/literature value before model lock.</t>
        </is>
      </c>
    </row>
    <row r="386">
      <c r="A386" t="inlineStr">
        <is>
          <t>API_CISPLATIN</t>
        </is>
      </c>
      <c r="B386" t="inlineStr">
        <is>
          <t>Hildebrand_delta_T</t>
        </is>
      </c>
      <c r="C386">
        <v>30.52</v>
      </c>
      <c r="D386" t="inlineStr">
        <is>
          <t>MPa^0.5</t>
        </is>
      </c>
      <c r="E386"/>
      <c r="F386"/>
      <c r="G386" t="inlineStr">
        <is>
          <t>sqrt(deltaD^2+deltaP^2+deltaH^2)</t>
        </is>
      </c>
      <c r="H386" t="inlineStr">
        <is>
          <t>S012_CALCULATED</t>
        </is>
      </c>
      <c r="I386" t="inlineStr">
        <is>
          <t>calculated</t>
        </is>
      </c>
      <c r="J386">
        <v>0.43</v>
      </c>
      <c r="K386" t="inlineStr">
        <is>
          <t>Derived from stored Hansen components.</t>
        </is>
      </c>
    </row>
    <row r="387">
      <c r="A387" t="inlineStr">
        <is>
          <t>API_CISPLATIN</t>
        </is>
      </c>
      <c r="B387" t="inlineStr">
        <is>
          <t>HSP_radius_R0</t>
        </is>
      </c>
      <c r="C387">
        <v>10.0</v>
      </c>
      <c r="D387" t="inlineStr">
        <is>
          <t>MPa^0.5</t>
        </is>
      </c>
      <c r="E387"/>
      <c r="F387"/>
      <c r="G387" t="inlineStr">
        <is>
          <t>literature/heuristic solubility sphere</t>
        </is>
      </c>
      <c r="H387" t="inlineStr">
        <is>
          <t>S013_EST_HSP_HEURISTIC</t>
        </is>
      </c>
      <c r="I387" t="inlineStr">
        <is>
          <t>estimated</t>
        </is>
      </c>
      <c r="J387">
        <v>0.38</v>
      </c>
      <c r="K387" t="inlineStr">
        <is>
          <t>Screening radius only unless experimentally determined.</t>
        </is>
      </c>
    </row>
    <row r="388">
      <c r="A388" t="inlineStr">
        <is>
          <t>API_CISPLATIN</t>
        </is>
      </c>
      <c r="B388" t="inlineStr">
        <is>
          <t>molar_volume_cm3_mol</t>
        </is>
      </c>
      <c r="C388">
        <v>240.04</v>
      </c>
      <c r="D388" t="inlineStr">
        <is>
          <t>cm3/mol</t>
        </is>
      </c>
      <c r="E388"/>
      <c r="F388"/>
      <c r="G388" t="inlineStr">
        <is>
          <t>MW/density estimate</t>
        </is>
      </c>
      <c r="H388" t="inlineStr">
        <is>
          <t>S012_CALCULATED</t>
        </is>
      </c>
      <c r="I388" t="inlineStr">
        <is>
          <t>estimated</t>
        </is>
      </c>
      <c r="J388">
        <v>0.45</v>
      </c>
      <c r="K388" t="inlineStr">
        <is>
          <t>Estimated from MW/density; replace with measured molar volume or density-specific grade data.</t>
        </is>
      </c>
    </row>
    <row r="389">
      <c r="A389" t="inlineStr">
        <is>
          <t>API_ACYCLOVIR</t>
        </is>
      </c>
      <c r="B389" t="inlineStr">
        <is>
          <t>molecular_weight_g_mol</t>
        </is>
      </c>
      <c r="C389">
        <v>225.2</v>
      </c>
      <c r="D389" t="inlineStr">
        <is>
          <t>g/mol</t>
        </is>
      </c>
      <c r="E389"/>
      <c r="F389"/>
      <c r="G389" t="inlineStr">
        <is>
          <t>PubChem/handbook curation</t>
        </is>
      </c>
      <c r="H389" t="inlineStr">
        <is>
          <t>S001_PUBCHEM</t>
        </is>
      </c>
      <c r="I389" t="inlineStr">
        <is>
          <t>database-derived</t>
        </is>
      </c>
      <c r="J389">
        <v>0.88</v>
      </c>
      <c r="K389"/>
    </row>
    <row r="390">
      <c r="A390" t="inlineStr">
        <is>
          <t>API_ACYCLOVIR</t>
        </is>
      </c>
      <c r="B390" t="inlineStr">
        <is>
          <t>molecular_formula</t>
        </is>
      </c>
      <c r="C390" t="inlineStr">
        <is>
          <t>C8H11N5O3</t>
        </is>
      </c>
      <c r="D390"/>
      <c r="E390"/>
      <c r="F390"/>
      <c r="G390" t="inlineStr">
        <is>
          <t>PubChem/handbook curation</t>
        </is>
      </c>
      <c r="H390" t="inlineStr">
        <is>
          <t>S001_PUBCHEM</t>
        </is>
      </c>
      <c r="I390" t="inlineStr">
        <is>
          <t>database-derived</t>
        </is>
      </c>
      <c r="J390">
        <v>0.85</v>
      </c>
      <c r="K390"/>
    </row>
    <row r="391">
      <c r="A391" t="inlineStr">
        <is>
          <t>API_ACYCLOVIR</t>
        </is>
      </c>
      <c r="B391" t="inlineStr">
        <is>
          <t>LogP</t>
        </is>
      </c>
      <c r="C391">
        <v>-1.6</v>
      </c>
      <c r="D391"/>
      <c r="E391"/>
      <c r="F391"/>
      <c r="G391" t="inlineStr">
        <is>
          <t>computed/curated XLogP or literature consensus</t>
        </is>
      </c>
      <c r="H391" t="inlineStr">
        <is>
          <t>S001_PUBCHEM</t>
        </is>
      </c>
      <c r="I391" t="inlineStr">
        <is>
          <t>database-derived</t>
        </is>
      </c>
      <c r="J391">
        <v>0.72</v>
      </c>
      <c r="K391" t="inlineStr">
        <is>
          <t>Approximate; salt/tautomer state may alter.</t>
        </is>
      </c>
    </row>
    <row r="392">
      <c r="A392" t="inlineStr">
        <is>
          <t>API_ACYCLOVIR</t>
        </is>
      </c>
      <c r="B392" t="inlineStr">
        <is>
          <t>formal_charge</t>
        </is>
      </c>
      <c r="C392">
        <v>0</v>
      </c>
      <c r="D392" t="inlineStr">
        <is>
          <t>e</t>
        </is>
      </c>
      <c r="E392"/>
      <c r="F392"/>
      <c r="G392" t="inlineStr">
        <is>
          <t>canonical neutral parent/salt-free structure</t>
        </is>
      </c>
      <c r="H392" t="inlineStr">
        <is>
          <t>S001_PUBCHEM</t>
        </is>
      </c>
      <c r="I392" t="inlineStr">
        <is>
          <t>database-derived</t>
        </is>
      </c>
      <c r="J392">
        <v>0.82</v>
      </c>
      <c r="K392" t="inlineStr">
        <is>
          <t>Use salt-specific material row for ionic salts.</t>
        </is>
      </c>
    </row>
    <row r="393">
      <c r="A393" t="inlineStr">
        <is>
          <t>API_ACYCLOVIR</t>
        </is>
      </c>
      <c r="B393" t="inlineStr">
        <is>
          <t>water_solubility_mg_ml</t>
        </is>
      </c>
      <c r="C393">
        <v>1.3</v>
      </c>
      <c r="D393" t="inlineStr">
        <is>
          <t>mg/mL</t>
        </is>
      </c>
      <c r="E393"/>
      <c r="F393"/>
      <c r="G393" t="inlineStr">
        <is>
          <t>literature/aqueous solubility range approximated</t>
        </is>
      </c>
      <c r="H393" t="inlineStr">
        <is>
          <t>S001_PUBCHEM</t>
        </is>
      </c>
      <c r="I393" t="inlineStr">
        <is>
          <t>estimated</t>
        </is>
      </c>
      <c r="J393">
        <v>0.45</v>
      </c>
      <c r="K393" t="inlineStr">
        <is>
          <t>Highly pH- and salt-form-dependent.</t>
        </is>
      </c>
    </row>
    <row r="394">
      <c r="A394" t="inlineStr">
        <is>
          <t>API_ACYCLOVIR</t>
        </is>
      </c>
      <c r="B394" t="inlineStr">
        <is>
          <t>melting_point_C</t>
        </is>
      </c>
      <c r="C394">
        <v>256</v>
      </c>
      <c r="D394" t="inlineStr">
        <is>
          <t>°C</t>
        </is>
      </c>
      <c r="E394"/>
      <c r="F394"/>
      <c r="G394" t="inlineStr">
        <is>
          <t>literature/supplier melting range</t>
        </is>
      </c>
      <c r="H394" t="inlineStr">
        <is>
          <t>S001_PUBCHEM</t>
        </is>
      </c>
      <c r="I394" t="inlineStr">
        <is>
          <t>handbook</t>
        </is>
      </c>
      <c r="J394">
        <v>0.65</v>
      </c>
      <c r="K394" t="inlineStr">
        <is>
          <t>Use polymorph-specific data when available.</t>
        </is>
      </c>
    </row>
    <row r="395">
      <c r="A395" t="inlineStr">
        <is>
          <t>API_ACYCLOVIR</t>
        </is>
      </c>
      <c r="B395" t="inlineStr">
        <is>
          <t>TPSA</t>
        </is>
      </c>
      <c r="C395">
        <v>119.0</v>
      </c>
      <c r="D395" t="inlineStr">
        <is>
          <t>Å²</t>
        </is>
      </c>
      <c r="E395"/>
      <c r="F395"/>
      <c r="G395" t="inlineStr">
        <is>
          <t>computed descriptor</t>
        </is>
      </c>
      <c r="H395" t="inlineStr">
        <is>
          <t>S001_PUBCHEM</t>
        </is>
      </c>
      <c r="I395" t="inlineStr">
        <is>
          <t>database-derived</t>
        </is>
      </c>
      <c r="J395">
        <v>0.82</v>
      </c>
      <c r="K395"/>
    </row>
    <row r="396">
      <c r="A396" t="inlineStr">
        <is>
          <t>API_ACYCLOVIR</t>
        </is>
      </c>
      <c r="B396" t="inlineStr">
        <is>
          <t>HBD</t>
        </is>
      </c>
      <c r="C396">
        <v>3</v>
      </c>
      <c r="D396" t="inlineStr">
        <is>
          <t>count</t>
        </is>
      </c>
      <c r="E396"/>
      <c r="F396"/>
      <c r="G396" t="inlineStr">
        <is>
          <t>computed descriptor</t>
        </is>
      </c>
      <c r="H396" t="inlineStr">
        <is>
          <t>S001_PUBCHEM</t>
        </is>
      </c>
      <c r="I396" t="inlineStr">
        <is>
          <t>database-derived</t>
        </is>
      </c>
      <c r="J396">
        <v>0.82</v>
      </c>
      <c r="K396"/>
    </row>
    <row r="397">
      <c r="A397" t="inlineStr">
        <is>
          <t>API_ACYCLOVIR</t>
        </is>
      </c>
      <c r="B397" t="inlineStr">
        <is>
          <t>HBA</t>
        </is>
      </c>
      <c r="C397">
        <v>7</v>
      </c>
      <c r="D397" t="inlineStr">
        <is>
          <t>count</t>
        </is>
      </c>
      <c r="E397"/>
      <c r="F397"/>
      <c r="G397" t="inlineStr">
        <is>
          <t>computed descriptor</t>
        </is>
      </c>
      <c r="H397" t="inlineStr">
        <is>
          <t>S001_PUBCHEM</t>
        </is>
      </c>
      <c r="I397" t="inlineStr">
        <is>
          <t>database-derived</t>
        </is>
      </c>
      <c r="J397">
        <v>0.82</v>
      </c>
      <c r="K397"/>
    </row>
    <row r="398">
      <c r="A398" t="inlineStr">
        <is>
          <t>API_ACYCLOVIR</t>
        </is>
      </c>
      <c r="B398" t="inlineStr">
        <is>
          <t>rotatable_bonds</t>
        </is>
      </c>
      <c r="C398">
        <v>4</v>
      </c>
      <c r="D398" t="inlineStr">
        <is>
          <t>count</t>
        </is>
      </c>
      <c r="E398"/>
      <c r="F398"/>
      <c r="G398" t="inlineStr">
        <is>
          <t>computed descriptor</t>
        </is>
      </c>
      <c r="H398" t="inlineStr">
        <is>
          <t>S001_PUBCHEM</t>
        </is>
      </c>
      <c r="I398" t="inlineStr">
        <is>
          <t>database-derived</t>
        </is>
      </c>
      <c r="J398">
        <v>0.82</v>
      </c>
      <c r="K398"/>
    </row>
    <row r="399">
      <c r="A399" t="inlineStr">
        <is>
          <t>API_ACYCLOVIR</t>
        </is>
      </c>
      <c r="B399" t="inlineStr">
        <is>
          <t>aromatic_rings</t>
        </is>
      </c>
      <c r="C399">
        <v>2</v>
      </c>
      <c r="D399" t="inlineStr">
        <is>
          <t>count</t>
        </is>
      </c>
      <c r="E399"/>
      <c r="F399"/>
      <c r="G399" t="inlineStr">
        <is>
          <t>manual structural count</t>
        </is>
      </c>
      <c r="H399" t="inlineStr">
        <is>
          <t>S001_PUBCHEM</t>
        </is>
      </c>
      <c r="I399" t="inlineStr">
        <is>
          <t>estimated</t>
        </is>
      </c>
      <c r="J399">
        <v>0.6</v>
      </c>
      <c r="K399"/>
    </row>
    <row r="400">
      <c r="A400" t="inlineStr">
        <is>
          <t>API_ACYCLOVIR</t>
        </is>
      </c>
      <c r="B400" t="inlineStr">
        <is>
          <t>BCS_class</t>
        </is>
      </c>
      <c r="C400" t="inlineStr">
        <is>
          <t>III</t>
        </is>
      </c>
      <c r="D400"/>
      <c r="E400"/>
      <c r="F400"/>
      <c r="G400" t="inlineStr">
        <is>
          <t>literature consensus/placeholder</t>
        </is>
      </c>
      <c r="H400" t="inlineStr">
        <is>
          <t>S007_EXCIPIENTS_HANDBOOK</t>
        </is>
      </c>
      <c r="I400" t="inlineStr">
        <is>
          <t>estimated</t>
        </is>
      </c>
      <c r="J400">
        <v>0.4</v>
      </c>
      <c r="K400" t="inlineStr">
        <is>
          <t>Must be curated from API-specific biopharmaceutics sources.</t>
        </is>
      </c>
    </row>
    <row r="401">
      <c r="A401" t="inlineStr">
        <is>
          <t>API_ACYCLOVIR</t>
        </is>
      </c>
      <c r="B401" t="inlineStr">
        <is>
          <t>therapeutic_class</t>
        </is>
      </c>
      <c r="C401" t="inlineStr">
        <is>
          <t>antiviral</t>
        </is>
      </c>
      <c r="D401"/>
      <c r="E401"/>
      <c r="F401"/>
      <c r="G401" t="inlineStr">
        <is>
          <t>manual therapeutic annotation</t>
        </is>
      </c>
      <c r="H401" t="inlineStr">
        <is>
          <t>S001_PUBCHEM</t>
        </is>
      </c>
      <c r="I401" t="inlineStr">
        <is>
          <t>database-derived</t>
        </is>
      </c>
      <c r="J401">
        <v>0.75</v>
      </c>
      <c r="K401"/>
    </row>
    <row r="402">
      <c r="A402" t="inlineStr">
        <is>
          <t>API_ACYCLOVIR</t>
        </is>
      </c>
      <c r="B402" t="inlineStr">
        <is>
          <t>payload_type</t>
        </is>
      </c>
      <c r="C402" t="inlineStr">
        <is>
          <t>small_molecule_API</t>
        </is>
      </c>
      <c r="D402"/>
      <c r="E402"/>
      <c r="F402"/>
      <c r="G402" t="inlineStr">
        <is>
          <t>payload taxonomy</t>
        </is>
      </c>
      <c r="H402" t="inlineStr">
        <is>
          <t>S000_USER_SPEC</t>
        </is>
      </c>
      <c r="I402" t="inlineStr">
        <is>
          <t>curated</t>
        </is>
      </c>
      <c r="J402">
        <v>0.8</v>
      </c>
      <c r="K402"/>
    </row>
    <row r="403">
      <c r="A403" t="inlineStr">
        <is>
          <t>API_ACYCLOVIR</t>
        </is>
      </c>
      <c r="B403" t="inlineStr">
        <is>
          <t>route_notes</t>
        </is>
      </c>
      <c r="C403" t="inlineStr">
        <is>
          <t>hydrophilic antiviral; low lipid compatibility</t>
        </is>
      </c>
      <c r="D403"/>
      <c r="E403"/>
      <c r="F403"/>
      <c r="G403" t="inlineStr">
        <is>
          <t>formulation-relevance annotation</t>
        </is>
      </c>
      <c r="H403" t="inlineStr">
        <is>
          <t>S014_AULTON</t>
        </is>
      </c>
      <c r="I403" t="inlineStr">
        <is>
          <t>curated</t>
        </is>
      </c>
      <c r="J403">
        <v>0.7</v>
      </c>
      <c r="K403"/>
    </row>
    <row r="404">
      <c r="A404" t="inlineStr">
        <is>
          <t>API_ACYCLOVIR</t>
        </is>
      </c>
      <c r="B404" t="inlineStr">
        <is>
          <t>pKa_acid</t>
        </is>
      </c>
      <c r="C404">
        <v>9.3</v>
      </c>
      <c r="D404"/>
      <c r="E404"/>
      <c r="F404"/>
      <c r="G404" t="inlineStr">
        <is>
          <t>literature pKa consensus</t>
        </is>
      </c>
      <c r="H404" t="inlineStr">
        <is>
          <t>S001_PUBCHEM</t>
        </is>
      </c>
      <c r="I404" t="inlineStr">
        <is>
          <t>handbook</t>
        </is>
      </c>
      <c r="J404">
        <v>0.6</v>
      </c>
      <c r="K404" t="inlineStr">
        <is>
          <t>Microstate and medium-dependent; confirm experimentally for model lock.</t>
        </is>
      </c>
    </row>
    <row r="405">
      <c r="A405" t="inlineStr">
        <is>
          <t>API_ACYCLOVIR</t>
        </is>
      </c>
      <c r="B405" t="inlineStr">
        <is>
          <t>Hansen_delta_D</t>
        </is>
      </c>
      <c r="C405">
        <v>17.5</v>
      </c>
      <c r="D405" t="inlineStr">
        <is>
          <t>MPa^0.5</t>
        </is>
      </c>
      <c r="E405"/>
      <c r="F405"/>
      <c r="G405" t="inlineStr">
        <is>
          <t>heuristic group-contribution/nearest-neighbour</t>
        </is>
      </c>
      <c r="H405" t="inlineStr">
        <is>
          <t>S013_EST_HSP_HEURISTIC</t>
        </is>
      </c>
      <c r="I405" t="inlineStr">
        <is>
          <t>estimated</t>
        </is>
      </c>
      <c r="J405">
        <v>0.38</v>
      </c>
      <c r="K405" t="inlineStr">
        <is>
          <t>Provisional HSP for screening; replace with experimental/literature value before model lock.</t>
        </is>
      </c>
    </row>
    <row r="406">
      <c r="A406" t="inlineStr">
        <is>
          <t>API_ACYCLOVIR</t>
        </is>
      </c>
      <c r="B406" t="inlineStr">
        <is>
          <t>Hansen_delta_P</t>
        </is>
      </c>
      <c r="C406">
        <v>15.0</v>
      </c>
      <c r="D406" t="inlineStr">
        <is>
          <t>MPa^0.5</t>
        </is>
      </c>
      <c r="E406"/>
      <c r="F406"/>
      <c r="G406" t="inlineStr">
        <is>
          <t>heuristic group-contribution/nearest-neighbour</t>
        </is>
      </c>
      <c r="H406" t="inlineStr">
        <is>
          <t>S013_EST_HSP_HEURISTIC</t>
        </is>
      </c>
      <c r="I406" t="inlineStr">
        <is>
          <t>estimated</t>
        </is>
      </c>
      <c r="J406">
        <v>0.38</v>
      </c>
      <c r="K406" t="inlineStr">
        <is>
          <t>Provisional HSP for screening; replace with experimental/literature value before model lock.</t>
        </is>
      </c>
    </row>
    <row r="407">
      <c r="A407" t="inlineStr">
        <is>
          <t>API_ACYCLOVIR</t>
        </is>
      </c>
      <c r="B407" t="inlineStr">
        <is>
          <t>Hansen_delta_H</t>
        </is>
      </c>
      <c r="C407">
        <v>20.0</v>
      </c>
      <c r="D407" t="inlineStr">
        <is>
          <t>MPa^0.5</t>
        </is>
      </c>
      <c r="E407"/>
      <c r="F407"/>
      <c r="G407" t="inlineStr">
        <is>
          <t>heuristic group-contribution/nearest-neighbour</t>
        </is>
      </c>
      <c r="H407" t="inlineStr">
        <is>
          <t>S013_EST_HSP_HEURISTIC</t>
        </is>
      </c>
      <c r="I407" t="inlineStr">
        <is>
          <t>estimated</t>
        </is>
      </c>
      <c r="J407">
        <v>0.38</v>
      </c>
      <c r="K407" t="inlineStr">
        <is>
          <t>Provisional HSP for screening; replace with experimental/literature value before model lock.</t>
        </is>
      </c>
    </row>
    <row r="408">
      <c r="A408" t="inlineStr">
        <is>
          <t>API_ACYCLOVIR</t>
        </is>
      </c>
      <c r="B408" t="inlineStr">
        <is>
          <t>Hildebrand_delta_T</t>
        </is>
      </c>
      <c r="C408">
        <v>30.52</v>
      </c>
      <c r="D408" t="inlineStr">
        <is>
          <t>MPa^0.5</t>
        </is>
      </c>
      <c r="E408"/>
      <c r="F408"/>
      <c r="G408" t="inlineStr">
        <is>
          <t>sqrt(deltaD^2+deltaP^2+deltaH^2)</t>
        </is>
      </c>
      <c r="H408" t="inlineStr">
        <is>
          <t>S012_CALCULATED</t>
        </is>
      </c>
      <c r="I408" t="inlineStr">
        <is>
          <t>calculated</t>
        </is>
      </c>
      <c r="J408">
        <v>0.43</v>
      </c>
      <c r="K408" t="inlineStr">
        <is>
          <t>Derived from stored Hansen components.</t>
        </is>
      </c>
    </row>
    <row r="409">
      <c r="A409" t="inlineStr">
        <is>
          <t>API_ACYCLOVIR</t>
        </is>
      </c>
      <c r="B409" t="inlineStr">
        <is>
          <t>HSP_radius_R0</t>
        </is>
      </c>
      <c r="C409">
        <v>10.0</v>
      </c>
      <c r="D409" t="inlineStr">
        <is>
          <t>MPa^0.5</t>
        </is>
      </c>
      <c r="E409"/>
      <c r="F409"/>
      <c r="G409" t="inlineStr">
        <is>
          <t>literature/heuristic solubility sphere</t>
        </is>
      </c>
      <c r="H409" t="inlineStr">
        <is>
          <t>S013_EST_HSP_HEURISTIC</t>
        </is>
      </c>
      <c r="I409" t="inlineStr">
        <is>
          <t>estimated</t>
        </is>
      </c>
      <c r="J409">
        <v>0.38</v>
      </c>
      <c r="K409" t="inlineStr">
        <is>
          <t>Screening radius only unless experimentally determined.</t>
        </is>
      </c>
    </row>
    <row r="410">
      <c r="A410" t="inlineStr">
        <is>
          <t>API_ACYCLOVIR</t>
        </is>
      </c>
      <c r="B410" t="inlineStr">
        <is>
          <t>molar_volume_cm3_mol</t>
        </is>
      </c>
      <c r="C410">
        <v>180.16</v>
      </c>
      <c r="D410" t="inlineStr">
        <is>
          <t>cm3/mol</t>
        </is>
      </c>
      <c r="E410"/>
      <c r="F410"/>
      <c r="G410" t="inlineStr">
        <is>
          <t>MW/density estimate</t>
        </is>
      </c>
      <c r="H410" t="inlineStr">
        <is>
          <t>S012_CALCULATED</t>
        </is>
      </c>
      <c r="I410" t="inlineStr">
        <is>
          <t>estimated</t>
        </is>
      </c>
      <c r="J410">
        <v>0.45</v>
      </c>
      <c r="K410" t="inlineStr">
        <is>
          <t>Estimated from MW/density; replace with measured molar volume or density-specific grade data.</t>
        </is>
      </c>
    </row>
    <row r="411">
      <c r="A411" t="inlineStr">
        <is>
          <t>API_CLOTRIMAZOLE</t>
        </is>
      </c>
      <c r="B411" t="inlineStr">
        <is>
          <t>molecular_weight_g_mol</t>
        </is>
      </c>
      <c r="C411">
        <v>344.84</v>
      </c>
      <c r="D411" t="inlineStr">
        <is>
          <t>g/mol</t>
        </is>
      </c>
      <c r="E411"/>
      <c r="F411"/>
      <c r="G411" t="inlineStr">
        <is>
          <t>PubChem/handbook curation</t>
        </is>
      </c>
      <c r="H411" t="inlineStr">
        <is>
          <t>S001_PUBCHEM</t>
        </is>
      </c>
      <c r="I411" t="inlineStr">
        <is>
          <t>database-derived</t>
        </is>
      </c>
      <c r="J411">
        <v>0.88</v>
      </c>
      <c r="K411"/>
    </row>
    <row r="412">
      <c r="A412" t="inlineStr">
        <is>
          <t>API_CLOTRIMAZOLE</t>
        </is>
      </c>
      <c r="B412" t="inlineStr">
        <is>
          <t>molecular_formula</t>
        </is>
      </c>
      <c r="C412" t="inlineStr">
        <is>
          <t>C22H17ClN2</t>
        </is>
      </c>
      <c r="D412"/>
      <c r="E412"/>
      <c r="F412"/>
      <c r="G412" t="inlineStr">
        <is>
          <t>PubChem/handbook curation</t>
        </is>
      </c>
      <c r="H412" t="inlineStr">
        <is>
          <t>S001_PUBCHEM</t>
        </is>
      </c>
      <c r="I412" t="inlineStr">
        <is>
          <t>database-derived</t>
        </is>
      </c>
      <c r="J412">
        <v>0.85</v>
      </c>
      <c r="K412"/>
    </row>
    <row r="413">
      <c r="A413" t="inlineStr">
        <is>
          <t>API_CLOTRIMAZOLE</t>
        </is>
      </c>
      <c r="B413" t="inlineStr">
        <is>
          <t>LogP</t>
        </is>
      </c>
      <c r="C413">
        <v>5.4</v>
      </c>
      <c r="D413"/>
      <c r="E413"/>
      <c r="F413"/>
      <c r="G413" t="inlineStr">
        <is>
          <t>computed/curated XLogP or literature consensus</t>
        </is>
      </c>
      <c r="H413" t="inlineStr">
        <is>
          <t>S001_PUBCHEM</t>
        </is>
      </c>
      <c r="I413" t="inlineStr">
        <is>
          <t>database-derived</t>
        </is>
      </c>
      <c r="J413">
        <v>0.72</v>
      </c>
      <c r="K413" t="inlineStr">
        <is>
          <t>Approximate; salt/tautomer state may alter.</t>
        </is>
      </c>
    </row>
    <row r="414">
      <c r="A414" t="inlineStr">
        <is>
          <t>API_CLOTRIMAZOLE</t>
        </is>
      </c>
      <c r="B414" t="inlineStr">
        <is>
          <t>formal_charge</t>
        </is>
      </c>
      <c r="C414">
        <v>0</v>
      </c>
      <c r="D414" t="inlineStr">
        <is>
          <t>e</t>
        </is>
      </c>
      <c r="E414"/>
      <c r="F414"/>
      <c r="G414" t="inlineStr">
        <is>
          <t>canonical neutral parent/salt-free structure</t>
        </is>
      </c>
      <c r="H414" t="inlineStr">
        <is>
          <t>S001_PUBCHEM</t>
        </is>
      </c>
      <c r="I414" t="inlineStr">
        <is>
          <t>database-derived</t>
        </is>
      </c>
      <c r="J414">
        <v>0.82</v>
      </c>
      <c r="K414" t="inlineStr">
        <is>
          <t>Use salt-specific material row for ionic salts.</t>
        </is>
      </c>
    </row>
    <row r="415">
      <c r="A415" t="inlineStr">
        <is>
          <t>API_CLOTRIMAZOLE</t>
        </is>
      </c>
      <c r="B415" t="inlineStr">
        <is>
          <t>water_solubility_mg_ml</t>
        </is>
      </c>
      <c r="C415">
        <v>0.00049</v>
      </c>
      <c r="D415" t="inlineStr">
        <is>
          <t>mg/mL</t>
        </is>
      </c>
      <c r="E415"/>
      <c r="F415"/>
      <c r="G415" t="inlineStr">
        <is>
          <t>literature/aqueous solubility range approximated</t>
        </is>
      </c>
      <c r="H415" t="inlineStr">
        <is>
          <t>S001_PUBCHEM</t>
        </is>
      </c>
      <c r="I415" t="inlineStr">
        <is>
          <t>estimated</t>
        </is>
      </c>
      <c r="J415">
        <v>0.45</v>
      </c>
      <c r="K415" t="inlineStr">
        <is>
          <t>Highly pH- and salt-form-dependent.</t>
        </is>
      </c>
    </row>
    <row r="416">
      <c r="A416" t="inlineStr">
        <is>
          <t>API_CLOTRIMAZOLE</t>
        </is>
      </c>
      <c r="B416" t="inlineStr">
        <is>
          <t>melting_point_C</t>
        </is>
      </c>
      <c r="C416">
        <v>147</v>
      </c>
      <c r="D416" t="inlineStr">
        <is>
          <t>°C</t>
        </is>
      </c>
      <c r="E416"/>
      <c r="F416"/>
      <c r="G416" t="inlineStr">
        <is>
          <t>literature/supplier melting range</t>
        </is>
      </c>
      <c r="H416" t="inlineStr">
        <is>
          <t>S001_PUBCHEM</t>
        </is>
      </c>
      <c r="I416" t="inlineStr">
        <is>
          <t>handbook</t>
        </is>
      </c>
      <c r="J416">
        <v>0.65</v>
      </c>
      <c r="K416" t="inlineStr">
        <is>
          <t>Use polymorph-specific data when available.</t>
        </is>
      </c>
    </row>
    <row r="417">
      <c r="A417" t="inlineStr">
        <is>
          <t>API_CLOTRIMAZOLE</t>
        </is>
      </c>
      <c r="B417" t="inlineStr">
        <is>
          <t>TPSA</t>
        </is>
      </c>
      <c r="C417">
        <v>17.8</v>
      </c>
      <c r="D417" t="inlineStr">
        <is>
          <t>Å²</t>
        </is>
      </c>
      <c r="E417"/>
      <c r="F417"/>
      <c r="G417" t="inlineStr">
        <is>
          <t>computed descriptor</t>
        </is>
      </c>
      <c r="H417" t="inlineStr">
        <is>
          <t>S001_PUBCHEM</t>
        </is>
      </c>
      <c r="I417" t="inlineStr">
        <is>
          <t>database-derived</t>
        </is>
      </c>
      <c r="J417">
        <v>0.82</v>
      </c>
      <c r="K417"/>
    </row>
    <row r="418">
      <c r="A418" t="inlineStr">
        <is>
          <t>API_CLOTRIMAZOLE</t>
        </is>
      </c>
      <c r="B418" t="inlineStr">
        <is>
          <t>HBD</t>
        </is>
      </c>
      <c r="C418">
        <v>0</v>
      </c>
      <c r="D418" t="inlineStr">
        <is>
          <t>count</t>
        </is>
      </c>
      <c r="E418"/>
      <c r="F418"/>
      <c r="G418" t="inlineStr">
        <is>
          <t>computed descriptor</t>
        </is>
      </c>
      <c r="H418" t="inlineStr">
        <is>
          <t>S001_PUBCHEM</t>
        </is>
      </c>
      <c r="I418" t="inlineStr">
        <is>
          <t>database-derived</t>
        </is>
      </c>
      <c r="J418">
        <v>0.82</v>
      </c>
      <c r="K418"/>
    </row>
    <row r="419">
      <c r="A419" t="inlineStr">
        <is>
          <t>API_CLOTRIMAZOLE</t>
        </is>
      </c>
      <c r="B419" t="inlineStr">
        <is>
          <t>HBA</t>
        </is>
      </c>
      <c r="C419">
        <v>2</v>
      </c>
      <c r="D419" t="inlineStr">
        <is>
          <t>count</t>
        </is>
      </c>
      <c r="E419"/>
      <c r="F419"/>
      <c r="G419" t="inlineStr">
        <is>
          <t>computed descriptor</t>
        </is>
      </c>
      <c r="H419" t="inlineStr">
        <is>
          <t>S001_PUBCHEM</t>
        </is>
      </c>
      <c r="I419" t="inlineStr">
        <is>
          <t>database-derived</t>
        </is>
      </c>
      <c r="J419">
        <v>0.82</v>
      </c>
      <c r="K419"/>
    </row>
    <row r="420">
      <c r="A420" t="inlineStr">
        <is>
          <t>API_CLOTRIMAZOLE</t>
        </is>
      </c>
      <c r="B420" t="inlineStr">
        <is>
          <t>rotatable_bonds</t>
        </is>
      </c>
      <c r="C420">
        <v>4</v>
      </c>
      <c r="D420" t="inlineStr">
        <is>
          <t>count</t>
        </is>
      </c>
      <c r="E420"/>
      <c r="F420"/>
      <c r="G420" t="inlineStr">
        <is>
          <t>computed descriptor</t>
        </is>
      </c>
      <c r="H420" t="inlineStr">
        <is>
          <t>S001_PUBCHEM</t>
        </is>
      </c>
      <c r="I420" t="inlineStr">
        <is>
          <t>database-derived</t>
        </is>
      </c>
      <c r="J420">
        <v>0.82</v>
      </c>
      <c r="K420"/>
    </row>
    <row r="421">
      <c r="A421" t="inlineStr">
        <is>
          <t>API_CLOTRIMAZOLE</t>
        </is>
      </c>
      <c r="B421" t="inlineStr">
        <is>
          <t>aromatic_rings</t>
        </is>
      </c>
      <c r="C421">
        <v>3</v>
      </c>
      <c r="D421" t="inlineStr">
        <is>
          <t>count</t>
        </is>
      </c>
      <c r="E421"/>
      <c r="F421"/>
      <c r="G421" t="inlineStr">
        <is>
          <t>manual structural count</t>
        </is>
      </c>
      <c r="H421" t="inlineStr">
        <is>
          <t>S001_PUBCHEM</t>
        </is>
      </c>
      <c r="I421" t="inlineStr">
        <is>
          <t>estimated</t>
        </is>
      </c>
      <c r="J421">
        <v>0.6</v>
      </c>
      <c r="K421"/>
    </row>
    <row r="422">
      <c r="A422" t="inlineStr">
        <is>
          <t>API_CLOTRIMAZOLE</t>
        </is>
      </c>
      <c r="B422" t="inlineStr">
        <is>
          <t>BCS_class</t>
        </is>
      </c>
      <c r="C422" t="inlineStr">
        <is>
          <t>II</t>
        </is>
      </c>
      <c r="D422"/>
      <c r="E422"/>
      <c r="F422"/>
      <c r="G422" t="inlineStr">
        <is>
          <t>literature consensus/placeholder</t>
        </is>
      </c>
      <c r="H422" t="inlineStr">
        <is>
          <t>S007_EXCIPIENTS_HANDBOOK</t>
        </is>
      </c>
      <c r="I422" t="inlineStr">
        <is>
          <t>estimated</t>
        </is>
      </c>
      <c r="J422">
        <v>0.4</v>
      </c>
      <c r="K422" t="inlineStr">
        <is>
          <t>Must be curated from API-specific biopharmaceutics sources.</t>
        </is>
      </c>
    </row>
    <row r="423">
      <c r="A423" t="inlineStr">
        <is>
          <t>API_CLOTRIMAZOLE</t>
        </is>
      </c>
      <c r="B423" t="inlineStr">
        <is>
          <t>therapeutic_class</t>
        </is>
      </c>
      <c r="C423" t="inlineStr">
        <is>
          <t>antifungal</t>
        </is>
      </c>
      <c r="D423"/>
      <c r="E423"/>
      <c r="F423"/>
      <c r="G423" t="inlineStr">
        <is>
          <t>manual therapeutic annotation</t>
        </is>
      </c>
      <c r="H423" t="inlineStr">
        <is>
          <t>S001_PUBCHEM</t>
        </is>
      </c>
      <c r="I423" t="inlineStr">
        <is>
          <t>database-derived</t>
        </is>
      </c>
      <c r="J423">
        <v>0.75</v>
      </c>
      <c r="K423"/>
    </row>
    <row r="424">
      <c r="A424" t="inlineStr">
        <is>
          <t>API_CLOTRIMAZOLE</t>
        </is>
      </c>
      <c r="B424" t="inlineStr">
        <is>
          <t>payload_type</t>
        </is>
      </c>
      <c r="C424" t="inlineStr">
        <is>
          <t>small_molecule_API</t>
        </is>
      </c>
      <c r="D424"/>
      <c r="E424"/>
      <c r="F424"/>
      <c r="G424" t="inlineStr">
        <is>
          <t>payload taxonomy</t>
        </is>
      </c>
      <c r="H424" t="inlineStr">
        <is>
          <t>S000_USER_SPEC</t>
        </is>
      </c>
      <c r="I424" t="inlineStr">
        <is>
          <t>curated</t>
        </is>
      </c>
      <c r="J424">
        <v>0.8</v>
      </c>
      <c r="K424"/>
    </row>
    <row r="425">
      <c r="A425" t="inlineStr">
        <is>
          <t>API_CLOTRIMAZOLE</t>
        </is>
      </c>
      <c r="B425" t="inlineStr">
        <is>
          <t>route_notes</t>
        </is>
      </c>
      <c r="C425" t="inlineStr">
        <is>
          <t>lipophilic imidazole antifungal</t>
        </is>
      </c>
      <c r="D425"/>
      <c r="E425"/>
      <c r="F425"/>
      <c r="G425" t="inlineStr">
        <is>
          <t>formulation-relevance annotation</t>
        </is>
      </c>
      <c r="H425" t="inlineStr">
        <is>
          <t>S014_AULTON</t>
        </is>
      </c>
      <c r="I425" t="inlineStr">
        <is>
          <t>curated</t>
        </is>
      </c>
      <c r="J425">
        <v>0.7</v>
      </c>
      <c r="K425"/>
    </row>
    <row r="426">
      <c r="A426" t="inlineStr">
        <is>
          <t>API_CLOTRIMAZOLE</t>
        </is>
      </c>
      <c r="B426" t="inlineStr">
        <is>
          <t>pKa_base</t>
        </is>
      </c>
      <c r="C426">
        <v>4.7</v>
      </c>
      <c r="D426"/>
      <c r="E426"/>
      <c r="F426"/>
      <c r="G426" t="inlineStr">
        <is>
          <t>literature pKa consensus</t>
        </is>
      </c>
      <c r="H426" t="inlineStr">
        <is>
          <t>S001_PUBCHEM</t>
        </is>
      </c>
      <c r="I426" t="inlineStr">
        <is>
          <t>handbook</t>
        </is>
      </c>
      <c r="J426">
        <v>0.6</v>
      </c>
      <c r="K426" t="inlineStr">
        <is>
          <t>Microstate and medium-dependent; confirm experimentally for model lock.</t>
        </is>
      </c>
    </row>
    <row r="427">
      <c r="A427" t="inlineStr">
        <is>
          <t>API_CLOTRIMAZOLE</t>
        </is>
      </c>
      <c r="B427" t="inlineStr">
        <is>
          <t>Hansen_delta_D</t>
        </is>
      </c>
      <c r="C427">
        <v>18.4</v>
      </c>
      <c r="D427" t="inlineStr">
        <is>
          <t>MPa^0.5</t>
        </is>
      </c>
      <c r="E427"/>
      <c r="F427"/>
      <c r="G427" t="inlineStr">
        <is>
          <t>heuristic group-contribution/nearest-neighbour</t>
        </is>
      </c>
      <c r="H427" t="inlineStr">
        <is>
          <t>S013_EST_HSP_HEURISTIC</t>
        </is>
      </c>
      <c r="I427" t="inlineStr">
        <is>
          <t>estimated</t>
        </is>
      </c>
      <c r="J427">
        <v>0.42</v>
      </c>
      <c r="K427" t="inlineStr">
        <is>
          <t>Provisional HSP for screening; replace with experimental/literature value before model lock.</t>
        </is>
      </c>
    </row>
    <row r="428">
      <c r="A428" t="inlineStr">
        <is>
          <t>API_CLOTRIMAZOLE</t>
        </is>
      </c>
      <c r="B428" t="inlineStr">
        <is>
          <t>Hansen_delta_P</t>
        </is>
      </c>
      <c r="C428">
        <v>5.5</v>
      </c>
      <c r="D428" t="inlineStr">
        <is>
          <t>MPa^0.5</t>
        </is>
      </c>
      <c r="E428"/>
      <c r="F428"/>
      <c r="G428" t="inlineStr">
        <is>
          <t>heuristic group-contribution/nearest-neighbour</t>
        </is>
      </c>
      <c r="H428" t="inlineStr">
        <is>
          <t>S013_EST_HSP_HEURISTIC</t>
        </is>
      </c>
      <c r="I428" t="inlineStr">
        <is>
          <t>estimated</t>
        </is>
      </c>
      <c r="J428">
        <v>0.42</v>
      </c>
      <c r="K428" t="inlineStr">
        <is>
          <t>Provisional HSP for screening; replace with experimental/literature value before model lock.</t>
        </is>
      </c>
    </row>
    <row r="429">
      <c r="A429" t="inlineStr">
        <is>
          <t>API_CLOTRIMAZOLE</t>
        </is>
      </c>
      <c r="B429" t="inlineStr">
        <is>
          <t>Hansen_delta_H</t>
        </is>
      </c>
      <c r="C429">
        <v>6.0</v>
      </c>
      <c r="D429" t="inlineStr">
        <is>
          <t>MPa^0.5</t>
        </is>
      </c>
      <c r="E429"/>
      <c r="F429"/>
      <c r="G429" t="inlineStr">
        <is>
          <t>heuristic group-contribution/nearest-neighbour</t>
        </is>
      </c>
      <c r="H429" t="inlineStr">
        <is>
          <t>S013_EST_HSP_HEURISTIC</t>
        </is>
      </c>
      <c r="I429" t="inlineStr">
        <is>
          <t>estimated</t>
        </is>
      </c>
      <c r="J429">
        <v>0.42</v>
      </c>
      <c r="K429" t="inlineStr">
        <is>
          <t>Provisional HSP for screening; replace with experimental/literature value before model lock.</t>
        </is>
      </c>
    </row>
    <row r="430">
      <c r="A430" t="inlineStr">
        <is>
          <t>API_CLOTRIMAZOLE</t>
        </is>
      </c>
      <c r="B430" t="inlineStr">
        <is>
          <t>Hildebrand_delta_T</t>
        </is>
      </c>
      <c r="C430">
        <v>20.12</v>
      </c>
      <c r="D430" t="inlineStr">
        <is>
          <t>MPa^0.5</t>
        </is>
      </c>
      <c r="E430"/>
      <c r="F430"/>
      <c r="G430" t="inlineStr">
        <is>
          <t>sqrt(deltaD^2+deltaP^2+deltaH^2)</t>
        </is>
      </c>
      <c r="H430" t="inlineStr">
        <is>
          <t>S012_CALCULATED</t>
        </is>
      </c>
      <c r="I430" t="inlineStr">
        <is>
          <t>calculated</t>
        </is>
      </c>
      <c r="J430">
        <v>0.47</v>
      </c>
      <c r="K430" t="inlineStr">
        <is>
          <t>Derived from stored Hansen components.</t>
        </is>
      </c>
    </row>
    <row r="431">
      <c r="A431" t="inlineStr">
        <is>
          <t>API_CLOTRIMAZOLE</t>
        </is>
      </c>
      <c r="B431" t="inlineStr">
        <is>
          <t>HSP_radius_R0</t>
        </is>
      </c>
      <c r="C431">
        <v>8.0</v>
      </c>
      <c r="D431" t="inlineStr">
        <is>
          <t>MPa^0.5</t>
        </is>
      </c>
      <c r="E431"/>
      <c r="F431"/>
      <c r="G431" t="inlineStr">
        <is>
          <t>literature/heuristic solubility sphere</t>
        </is>
      </c>
      <c r="H431" t="inlineStr">
        <is>
          <t>S013_EST_HSP_HEURISTIC</t>
        </is>
      </c>
      <c r="I431" t="inlineStr">
        <is>
          <t>estimated</t>
        </is>
      </c>
      <c r="J431">
        <v>0.42</v>
      </c>
      <c r="K431" t="inlineStr">
        <is>
          <t>Screening radius only unless experimentally determined.</t>
        </is>
      </c>
    </row>
    <row r="432">
      <c r="A432" t="inlineStr">
        <is>
          <t>API_CLOTRIMAZOLE</t>
        </is>
      </c>
      <c r="B432" t="inlineStr">
        <is>
          <t>molar_volume_cm3_mol</t>
        </is>
      </c>
      <c r="C432">
        <v>275.87</v>
      </c>
      <c r="D432" t="inlineStr">
        <is>
          <t>cm3/mol</t>
        </is>
      </c>
      <c r="E432"/>
      <c r="F432"/>
      <c r="G432" t="inlineStr">
        <is>
          <t>MW/density estimate</t>
        </is>
      </c>
      <c r="H432" t="inlineStr">
        <is>
          <t>S012_CALCULATED</t>
        </is>
      </c>
      <c r="I432" t="inlineStr">
        <is>
          <t>estimated</t>
        </is>
      </c>
      <c r="J432">
        <v>0.45</v>
      </c>
      <c r="K432" t="inlineStr">
        <is>
          <t>Estimated from MW/density; replace with measured molar volume or density-specific grade data.</t>
        </is>
      </c>
    </row>
    <row r="433">
      <c r="A433" t="inlineStr">
        <is>
          <t>API_AMPHOTERICIN_B</t>
        </is>
      </c>
      <c r="B433" t="inlineStr">
        <is>
          <t>molecular_weight_g_mol</t>
        </is>
      </c>
      <c r="C433">
        <v>924.08</v>
      </c>
      <c r="D433" t="inlineStr">
        <is>
          <t>g/mol</t>
        </is>
      </c>
      <c r="E433"/>
      <c r="F433"/>
      <c r="G433" t="inlineStr">
        <is>
          <t>PubChem/handbook curation</t>
        </is>
      </c>
      <c r="H433" t="inlineStr">
        <is>
          <t>S001_PUBCHEM</t>
        </is>
      </c>
      <c r="I433" t="inlineStr">
        <is>
          <t>database-derived</t>
        </is>
      </c>
      <c r="J433">
        <v>0.88</v>
      </c>
      <c r="K433"/>
    </row>
    <row r="434">
      <c r="A434" t="inlineStr">
        <is>
          <t>API_AMPHOTERICIN_B</t>
        </is>
      </c>
      <c r="B434" t="inlineStr">
        <is>
          <t>molecular_formula</t>
        </is>
      </c>
      <c r="C434" t="inlineStr">
        <is>
          <t>C47H73NO17</t>
        </is>
      </c>
      <c r="D434"/>
      <c r="E434"/>
      <c r="F434"/>
      <c r="G434" t="inlineStr">
        <is>
          <t>PubChem/handbook curation</t>
        </is>
      </c>
      <c r="H434" t="inlineStr">
        <is>
          <t>S001_PUBCHEM</t>
        </is>
      </c>
      <c r="I434" t="inlineStr">
        <is>
          <t>database-derived</t>
        </is>
      </c>
      <c r="J434">
        <v>0.85</v>
      </c>
      <c r="K434"/>
    </row>
    <row r="435">
      <c r="A435" t="inlineStr">
        <is>
          <t>API_AMPHOTERICIN_B</t>
        </is>
      </c>
      <c r="B435" t="inlineStr">
        <is>
          <t>LogP</t>
        </is>
      </c>
      <c r="C435">
        <v>0.8</v>
      </c>
      <c r="D435"/>
      <c r="E435"/>
      <c r="F435"/>
      <c r="G435" t="inlineStr">
        <is>
          <t>computed/curated XLogP or literature consensus</t>
        </is>
      </c>
      <c r="H435" t="inlineStr">
        <is>
          <t>S001_PUBCHEM</t>
        </is>
      </c>
      <c r="I435" t="inlineStr">
        <is>
          <t>database-derived</t>
        </is>
      </c>
      <c r="J435">
        <v>0.72</v>
      </c>
      <c r="K435" t="inlineStr">
        <is>
          <t>Approximate; salt/tautomer state may alter.</t>
        </is>
      </c>
    </row>
    <row r="436">
      <c r="A436" t="inlineStr">
        <is>
          <t>API_AMPHOTERICIN_B</t>
        </is>
      </c>
      <c r="B436" t="inlineStr">
        <is>
          <t>formal_charge</t>
        </is>
      </c>
      <c r="C436">
        <v>0</v>
      </c>
      <c r="D436" t="inlineStr">
        <is>
          <t>e</t>
        </is>
      </c>
      <c r="E436"/>
      <c r="F436"/>
      <c r="G436" t="inlineStr">
        <is>
          <t>canonical neutral parent/salt-free structure</t>
        </is>
      </c>
      <c r="H436" t="inlineStr">
        <is>
          <t>S001_PUBCHEM</t>
        </is>
      </c>
      <c r="I436" t="inlineStr">
        <is>
          <t>database-derived</t>
        </is>
      </c>
      <c r="J436">
        <v>0.82</v>
      </c>
      <c r="K436" t="inlineStr">
        <is>
          <t>Use salt-specific material row for ionic salts.</t>
        </is>
      </c>
    </row>
    <row r="437">
      <c r="A437" t="inlineStr">
        <is>
          <t>API_AMPHOTERICIN_B</t>
        </is>
      </c>
      <c r="B437" t="inlineStr">
        <is>
          <t>water_solubility_mg_ml</t>
        </is>
      </c>
      <c r="C437">
        <v>0.00075</v>
      </c>
      <c r="D437" t="inlineStr">
        <is>
          <t>mg/mL</t>
        </is>
      </c>
      <c r="E437"/>
      <c r="F437"/>
      <c r="G437" t="inlineStr">
        <is>
          <t>literature/aqueous solubility range approximated</t>
        </is>
      </c>
      <c r="H437" t="inlineStr">
        <is>
          <t>S001_PUBCHEM</t>
        </is>
      </c>
      <c r="I437" t="inlineStr">
        <is>
          <t>estimated</t>
        </is>
      </c>
      <c r="J437">
        <v>0.45</v>
      </c>
      <c r="K437" t="inlineStr">
        <is>
          <t>Highly pH- and salt-form-dependent.</t>
        </is>
      </c>
    </row>
    <row r="438">
      <c r="A438" t="inlineStr">
        <is>
          <t>API_AMPHOTERICIN_B</t>
        </is>
      </c>
      <c r="B438" t="inlineStr">
        <is>
          <t>melting_point_C</t>
        </is>
      </c>
      <c r="C438">
        <v>170</v>
      </c>
      <c r="D438" t="inlineStr">
        <is>
          <t>°C</t>
        </is>
      </c>
      <c r="E438"/>
      <c r="F438"/>
      <c r="G438" t="inlineStr">
        <is>
          <t>literature/supplier melting range</t>
        </is>
      </c>
      <c r="H438" t="inlineStr">
        <is>
          <t>S001_PUBCHEM</t>
        </is>
      </c>
      <c r="I438" t="inlineStr">
        <is>
          <t>handbook</t>
        </is>
      </c>
      <c r="J438">
        <v>0.65</v>
      </c>
      <c r="K438" t="inlineStr">
        <is>
          <t>Use polymorph-specific data when available.</t>
        </is>
      </c>
    </row>
    <row r="439">
      <c r="A439" t="inlineStr">
        <is>
          <t>API_AMPHOTERICIN_B</t>
        </is>
      </c>
      <c r="B439" t="inlineStr">
        <is>
          <t>TPSA</t>
        </is>
      </c>
      <c r="C439">
        <v>319.6</v>
      </c>
      <c r="D439" t="inlineStr">
        <is>
          <t>Å²</t>
        </is>
      </c>
      <c r="E439"/>
      <c r="F439"/>
      <c r="G439" t="inlineStr">
        <is>
          <t>computed descriptor</t>
        </is>
      </c>
      <c r="H439" t="inlineStr">
        <is>
          <t>S001_PUBCHEM</t>
        </is>
      </c>
      <c r="I439" t="inlineStr">
        <is>
          <t>database-derived</t>
        </is>
      </c>
      <c r="J439">
        <v>0.82</v>
      </c>
      <c r="K439"/>
    </row>
    <row r="440">
      <c r="A440" t="inlineStr">
        <is>
          <t>API_AMPHOTERICIN_B</t>
        </is>
      </c>
      <c r="B440" t="inlineStr">
        <is>
          <t>HBD</t>
        </is>
      </c>
      <c r="C440">
        <v>12</v>
      </c>
      <c r="D440" t="inlineStr">
        <is>
          <t>count</t>
        </is>
      </c>
      <c r="E440"/>
      <c r="F440"/>
      <c r="G440" t="inlineStr">
        <is>
          <t>computed descriptor</t>
        </is>
      </c>
      <c r="H440" t="inlineStr">
        <is>
          <t>S001_PUBCHEM</t>
        </is>
      </c>
      <c r="I440" t="inlineStr">
        <is>
          <t>database-derived</t>
        </is>
      </c>
      <c r="J440">
        <v>0.82</v>
      </c>
      <c r="K440"/>
    </row>
    <row r="441">
      <c r="A441" t="inlineStr">
        <is>
          <t>API_AMPHOTERICIN_B</t>
        </is>
      </c>
      <c r="B441" t="inlineStr">
        <is>
          <t>HBA</t>
        </is>
      </c>
      <c r="C441">
        <v>18</v>
      </c>
      <c r="D441" t="inlineStr">
        <is>
          <t>count</t>
        </is>
      </c>
      <c r="E441"/>
      <c r="F441"/>
      <c r="G441" t="inlineStr">
        <is>
          <t>computed descriptor</t>
        </is>
      </c>
      <c r="H441" t="inlineStr">
        <is>
          <t>S001_PUBCHEM</t>
        </is>
      </c>
      <c r="I441" t="inlineStr">
        <is>
          <t>database-derived</t>
        </is>
      </c>
      <c r="J441">
        <v>0.82</v>
      </c>
      <c r="K441"/>
    </row>
    <row r="442">
      <c r="A442" t="inlineStr">
        <is>
          <t>API_AMPHOTERICIN_B</t>
        </is>
      </c>
      <c r="B442" t="inlineStr">
        <is>
          <t>rotatable_bonds</t>
        </is>
      </c>
      <c r="C442">
        <v>3</v>
      </c>
      <c r="D442" t="inlineStr">
        <is>
          <t>count</t>
        </is>
      </c>
      <c r="E442"/>
      <c r="F442"/>
      <c r="G442" t="inlineStr">
        <is>
          <t>computed descriptor</t>
        </is>
      </c>
      <c r="H442" t="inlineStr">
        <is>
          <t>S001_PUBCHEM</t>
        </is>
      </c>
      <c r="I442" t="inlineStr">
        <is>
          <t>database-derived</t>
        </is>
      </c>
      <c r="J442">
        <v>0.82</v>
      </c>
      <c r="K442"/>
    </row>
    <row r="443">
      <c r="A443" t="inlineStr">
        <is>
          <t>API_AMPHOTERICIN_B</t>
        </is>
      </c>
      <c r="B443" t="inlineStr">
        <is>
          <t>aromatic_rings</t>
        </is>
      </c>
      <c r="C443">
        <v>0</v>
      </c>
      <c r="D443" t="inlineStr">
        <is>
          <t>count</t>
        </is>
      </c>
      <c r="E443"/>
      <c r="F443"/>
      <c r="G443" t="inlineStr">
        <is>
          <t>manual structural count</t>
        </is>
      </c>
      <c r="H443" t="inlineStr">
        <is>
          <t>S001_PUBCHEM</t>
        </is>
      </c>
      <c r="I443" t="inlineStr">
        <is>
          <t>estimated</t>
        </is>
      </c>
      <c r="J443">
        <v>0.6</v>
      </c>
      <c r="K443"/>
    </row>
    <row r="444">
      <c r="A444" t="inlineStr">
        <is>
          <t>API_AMPHOTERICIN_B</t>
        </is>
      </c>
      <c r="B444" t="inlineStr">
        <is>
          <t>BCS_class</t>
        </is>
      </c>
      <c r="C444" t="inlineStr">
        <is>
          <t>IV</t>
        </is>
      </c>
      <c r="D444"/>
      <c r="E444"/>
      <c r="F444"/>
      <c r="G444" t="inlineStr">
        <is>
          <t>literature consensus/placeholder</t>
        </is>
      </c>
      <c r="H444" t="inlineStr">
        <is>
          <t>S007_EXCIPIENTS_HANDBOOK</t>
        </is>
      </c>
      <c r="I444" t="inlineStr">
        <is>
          <t>estimated</t>
        </is>
      </c>
      <c r="J444">
        <v>0.4</v>
      </c>
      <c r="K444" t="inlineStr">
        <is>
          <t>Must be curated from API-specific biopharmaceutics sources.</t>
        </is>
      </c>
    </row>
    <row r="445">
      <c r="A445" t="inlineStr">
        <is>
          <t>API_AMPHOTERICIN_B</t>
        </is>
      </c>
      <c r="B445" t="inlineStr">
        <is>
          <t>therapeutic_class</t>
        </is>
      </c>
      <c r="C445" t="inlineStr">
        <is>
          <t>antifungal polyene</t>
        </is>
      </c>
      <c r="D445"/>
      <c r="E445"/>
      <c r="F445"/>
      <c r="G445" t="inlineStr">
        <is>
          <t>manual therapeutic annotation</t>
        </is>
      </c>
      <c r="H445" t="inlineStr">
        <is>
          <t>S001_PUBCHEM</t>
        </is>
      </c>
      <c r="I445" t="inlineStr">
        <is>
          <t>database-derived</t>
        </is>
      </c>
      <c r="J445">
        <v>0.75</v>
      </c>
      <c r="K445"/>
    </row>
    <row r="446">
      <c r="A446" t="inlineStr">
        <is>
          <t>API_AMPHOTERICIN_B</t>
        </is>
      </c>
      <c r="B446" t="inlineStr">
        <is>
          <t>payload_type</t>
        </is>
      </c>
      <c r="C446" t="inlineStr">
        <is>
          <t>small_molecule_API</t>
        </is>
      </c>
      <c r="D446"/>
      <c r="E446"/>
      <c r="F446"/>
      <c r="G446" t="inlineStr">
        <is>
          <t>payload taxonomy</t>
        </is>
      </c>
      <c r="H446" t="inlineStr">
        <is>
          <t>S000_USER_SPEC</t>
        </is>
      </c>
      <c r="I446" t="inlineStr">
        <is>
          <t>curated</t>
        </is>
      </c>
      <c r="J446">
        <v>0.8</v>
      </c>
      <c r="K446"/>
    </row>
    <row r="447">
      <c r="A447" t="inlineStr">
        <is>
          <t>API_AMPHOTERICIN_B</t>
        </is>
      </c>
      <c r="B447" t="inlineStr">
        <is>
          <t>route_notes</t>
        </is>
      </c>
      <c r="C447" t="inlineStr">
        <is>
          <t>amphiphilic polyene; sterol-binding relevance</t>
        </is>
      </c>
      <c r="D447"/>
      <c r="E447"/>
      <c r="F447"/>
      <c r="G447" t="inlineStr">
        <is>
          <t>formulation-relevance annotation</t>
        </is>
      </c>
      <c r="H447" t="inlineStr">
        <is>
          <t>S014_AULTON</t>
        </is>
      </c>
      <c r="I447" t="inlineStr">
        <is>
          <t>curated</t>
        </is>
      </c>
      <c r="J447">
        <v>0.7</v>
      </c>
      <c r="K447"/>
    </row>
    <row r="448">
      <c r="A448" t="inlineStr">
        <is>
          <t>API_AMPHOTERICIN_B</t>
        </is>
      </c>
      <c r="B448" t="inlineStr">
        <is>
          <t>pKa_acid</t>
        </is>
      </c>
      <c r="C448">
        <v>5.7</v>
      </c>
      <c r="D448"/>
      <c r="E448"/>
      <c r="F448"/>
      <c r="G448" t="inlineStr">
        <is>
          <t>literature pKa consensus</t>
        </is>
      </c>
      <c r="H448" t="inlineStr">
        <is>
          <t>S001_PUBCHEM</t>
        </is>
      </c>
      <c r="I448" t="inlineStr">
        <is>
          <t>handbook</t>
        </is>
      </c>
      <c r="J448">
        <v>0.6</v>
      </c>
      <c r="K448" t="inlineStr">
        <is>
          <t>Microstate and medium-dependent; confirm experimentally for model lock.</t>
        </is>
      </c>
    </row>
    <row r="449">
      <c r="A449" t="inlineStr">
        <is>
          <t>API_AMPHOTERICIN_B</t>
        </is>
      </c>
      <c r="B449" t="inlineStr">
        <is>
          <t>Hansen_delta_D</t>
        </is>
      </c>
      <c r="C449">
        <v>18.0</v>
      </c>
      <c r="D449" t="inlineStr">
        <is>
          <t>MPa^0.5</t>
        </is>
      </c>
      <c r="E449"/>
      <c r="F449"/>
      <c r="G449" t="inlineStr">
        <is>
          <t>heuristic group-contribution/nearest-neighbour</t>
        </is>
      </c>
      <c r="H449" t="inlineStr">
        <is>
          <t>S013_EST_HSP_HEURISTIC</t>
        </is>
      </c>
      <c r="I449" t="inlineStr">
        <is>
          <t>estimated</t>
        </is>
      </c>
      <c r="J449">
        <v>0.43</v>
      </c>
      <c r="K449" t="inlineStr">
        <is>
          <t>Provisional HSP for screening; replace with experimental/literature value before model lock.</t>
        </is>
      </c>
    </row>
    <row r="450">
      <c r="A450" t="inlineStr">
        <is>
          <t>API_AMPHOTERICIN_B</t>
        </is>
      </c>
      <c r="B450" t="inlineStr">
        <is>
          <t>Hansen_delta_P</t>
        </is>
      </c>
      <c r="C450">
        <v>10.5</v>
      </c>
      <c r="D450" t="inlineStr">
        <is>
          <t>MPa^0.5</t>
        </is>
      </c>
      <c r="E450"/>
      <c r="F450"/>
      <c r="G450" t="inlineStr">
        <is>
          <t>heuristic group-contribution/nearest-neighbour</t>
        </is>
      </c>
      <c r="H450" t="inlineStr">
        <is>
          <t>S013_EST_HSP_HEURISTIC</t>
        </is>
      </c>
      <c r="I450" t="inlineStr">
        <is>
          <t>estimated</t>
        </is>
      </c>
      <c r="J450">
        <v>0.43</v>
      </c>
      <c r="K450" t="inlineStr">
        <is>
          <t>Provisional HSP for screening; replace with experimental/literature value before model lock.</t>
        </is>
      </c>
    </row>
    <row r="451">
      <c r="A451" t="inlineStr">
        <is>
          <t>API_AMPHOTERICIN_B</t>
        </is>
      </c>
      <c r="B451" t="inlineStr">
        <is>
          <t>Hansen_delta_H</t>
        </is>
      </c>
      <c r="C451">
        <v>13.0</v>
      </c>
      <c r="D451" t="inlineStr">
        <is>
          <t>MPa^0.5</t>
        </is>
      </c>
      <c r="E451"/>
      <c r="F451"/>
      <c r="G451" t="inlineStr">
        <is>
          <t>heuristic group-contribution/nearest-neighbour</t>
        </is>
      </c>
      <c r="H451" t="inlineStr">
        <is>
          <t>S013_EST_HSP_HEURISTIC</t>
        </is>
      </c>
      <c r="I451" t="inlineStr">
        <is>
          <t>estimated</t>
        </is>
      </c>
      <c r="J451">
        <v>0.43</v>
      </c>
      <c r="K451" t="inlineStr">
        <is>
          <t>Provisional HSP for screening; replace with experimental/literature value before model lock.</t>
        </is>
      </c>
    </row>
    <row r="452">
      <c r="A452" t="inlineStr">
        <is>
          <t>API_AMPHOTERICIN_B</t>
        </is>
      </c>
      <c r="B452" t="inlineStr">
        <is>
          <t>Hildebrand_delta_T</t>
        </is>
      </c>
      <c r="C452">
        <v>24.56</v>
      </c>
      <c r="D452" t="inlineStr">
        <is>
          <t>MPa^0.5</t>
        </is>
      </c>
      <c r="E452"/>
      <c r="F452"/>
      <c r="G452" t="inlineStr">
        <is>
          <t>sqrt(deltaD^2+deltaP^2+deltaH^2)</t>
        </is>
      </c>
      <c r="H452" t="inlineStr">
        <is>
          <t>S012_CALCULATED</t>
        </is>
      </c>
      <c r="I452" t="inlineStr">
        <is>
          <t>calculated</t>
        </is>
      </c>
      <c r="J452">
        <v>0.48</v>
      </c>
      <c r="K452" t="inlineStr">
        <is>
          <t>Derived from stored Hansen components.</t>
        </is>
      </c>
    </row>
    <row r="453">
      <c r="A453" t="inlineStr">
        <is>
          <t>API_AMPHOTERICIN_B</t>
        </is>
      </c>
      <c r="B453" t="inlineStr">
        <is>
          <t>HSP_radius_R0</t>
        </is>
      </c>
      <c r="C453">
        <v>9.0</v>
      </c>
      <c r="D453" t="inlineStr">
        <is>
          <t>MPa^0.5</t>
        </is>
      </c>
      <c r="E453"/>
      <c r="F453"/>
      <c r="G453" t="inlineStr">
        <is>
          <t>literature/heuristic solubility sphere</t>
        </is>
      </c>
      <c r="H453" t="inlineStr">
        <is>
          <t>S013_EST_HSP_HEURISTIC</t>
        </is>
      </c>
      <c r="I453" t="inlineStr">
        <is>
          <t>estimated</t>
        </is>
      </c>
      <c r="J453">
        <v>0.43</v>
      </c>
      <c r="K453" t="inlineStr">
        <is>
          <t>Screening radius only unless experimentally determined.</t>
        </is>
      </c>
    </row>
    <row r="454">
      <c r="A454" t="inlineStr">
        <is>
          <t>API_AMPHOTERICIN_B</t>
        </is>
      </c>
      <c r="B454" t="inlineStr">
        <is>
          <t>molar_volume_cm3_mol</t>
        </is>
      </c>
      <c r="C454">
        <v>770.07</v>
      </c>
      <c r="D454" t="inlineStr">
        <is>
          <t>cm3/mol</t>
        </is>
      </c>
      <c r="E454"/>
      <c r="F454"/>
      <c r="G454" t="inlineStr">
        <is>
          <t>MW/density estimate</t>
        </is>
      </c>
      <c r="H454" t="inlineStr">
        <is>
          <t>S012_CALCULATED</t>
        </is>
      </c>
      <c r="I454" t="inlineStr">
        <is>
          <t>estimated</t>
        </is>
      </c>
      <c r="J454">
        <v>0.45</v>
      </c>
      <c r="K454" t="inlineStr">
        <is>
          <t>Estimated from MW/density; replace with measured molar volume or density-specific grade data.</t>
        </is>
      </c>
    </row>
    <row r="455">
      <c r="A455" t="inlineStr">
        <is>
          <t>API_DOXYCYCLINE</t>
        </is>
      </c>
      <c r="B455" t="inlineStr">
        <is>
          <t>molecular_weight_g_mol</t>
        </is>
      </c>
      <c r="C455">
        <v>444.44</v>
      </c>
      <c r="D455" t="inlineStr">
        <is>
          <t>g/mol</t>
        </is>
      </c>
      <c r="E455"/>
      <c r="F455"/>
      <c r="G455" t="inlineStr">
        <is>
          <t>PubChem/handbook curation</t>
        </is>
      </c>
      <c r="H455" t="inlineStr">
        <is>
          <t>S001_PUBCHEM</t>
        </is>
      </c>
      <c r="I455" t="inlineStr">
        <is>
          <t>database-derived</t>
        </is>
      </c>
      <c r="J455">
        <v>0.88</v>
      </c>
      <c r="K455"/>
    </row>
    <row r="456">
      <c r="A456" t="inlineStr">
        <is>
          <t>API_DOXYCYCLINE</t>
        </is>
      </c>
      <c r="B456" t="inlineStr">
        <is>
          <t>molecular_formula</t>
        </is>
      </c>
      <c r="C456" t="inlineStr">
        <is>
          <t>C22H24N2O8</t>
        </is>
      </c>
      <c r="D456"/>
      <c r="E456"/>
      <c r="F456"/>
      <c r="G456" t="inlineStr">
        <is>
          <t>PubChem/handbook curation</t>
        </is>
      </c>
      <c r="H456" t="inlineStr">
        <is>
          <t>S001_PUBCHEM</t>
        </is>
      </c>
      <c r="I456" t="inlineStr">
        <is>
          <t>database-derived</t>
        </is>
      </c>
      <c r="J456">
        <v>0.85</v>
      </c>
      <c r="K456"/>
    </row>
    <row r="457">
      <c r="A457" t="inlineStr">
        <is>
          <t>API_DOXYCYCLINE</t>
        </is>
      </c>
      <c r="B457" t="inlineStr">
        <is>
          <t>LogP</t>
        </is>
      </c>
      <c r="C457">
        <v>-0.7</v>
      </c>
      <c r="D457"/>
      <c r="E457"/>
      <c r="F457"/>
      <c r="G457" t="inlineStr">
        <is>
          <t>computed/curated XLogP or literature consensus</t>
        </is>
      </c>
      <c r="H457" t="inlineStr">
        <is>
          <t>S001_PUBCHEM</t>
        </is>
      </c>
      <c r="I457" t="inlineStr">
        <is>
          <t>database-derived</t>
        </is>
      </c>
      <c r="J457">
        <v>0.72</v>
      </c>
      <c r="K457" t="inlineStr">
        <is>
          <t>Approximate; salt/tautomer state may alter.</t>
        </is>
      </c>
    </row>
    <row r="458">
      <c r="A458" t="inlineStr">
        <is>
          <t>API_DOXYCYCLINE</t>
        </is>
      </c>
      <c r="B458" t="inlineStr">
        <is>
          <t>formal_charge</t>
        </is>
      </c>
      <c r="C458">
        <v>0</v>
      </c>
      <c r="D458" t="inlineStr">
        <is>
          <t>e</t>
        </is>
      </c>
      <c r="E458"/>
      <c r="F458"/>
      <c r="G458" t="inlineStr">
        <is>
          <t>canonical neutral parent/salt-free structure</t>
        </is>
      </c>
      <c r="H458" t="inlineStr">
        <is>
          <t>S001_PUBCHEM</t>
        </is>
      </c>
      <c r="I458" t="inlineStr">
        <is>
          <t>database-derived</t>
        </is>
      </c>
      <c r="J458">
        <v>0.82</v>
      </c>
      <c r="K458" t="inlineStr">
        <is>
          <t>Use salt-specific material row for ionic salts.</t>
        </is>
      </c>
    </row>
    <row r="459">
      <c r="A459" t="inlineStr">
        <is>
          <t>API_DOXYCYCLINE</t>
        </is>
      </c>
      <c r="B459" t="inlineStr">
        <is>
          <t>water_solubility_mg_ml</t>
        </is>
      </c>
      <c r="C459">
        <v>0.63</v>
      </c>
      <c r="D459" t="inlineStr">
        <is>
          <t>mg/mL</t>
        </is>
      </c>
      <c r="E459"/>
      <c r="F459"/>
      <c r="G459" t="inlineStr">
        <is>
          <t>literature/aqueous solubility range approximated</t>
        </is>
      </c>
      <c r="H459" t="inlineStr">
        <is>
          <t>S001_PUBCHEM</t>
        </is>
      </c>
      <c r="I459" t="inlineStr">
        <is>
          <t>estimated</t>
        </is>
      </c>
      <c r="J459">
        <v>0.45</v>
      </c>
      <c r="K459" t="inlineStr">
        <is>
          <t>Highly pH- and salt-form-dependent.</t>
        </is>
      </c>
    </row>
    <row r="460">
      <c r="A460" t="inlineStr">
        <is>
          <t>API_DOXYCYCLINE</t>
        </is>
      </c>
      <c r="B460" t="inlineStr">
        <is>
          <t>melting_point_C</t>
        </is>
      </c>
      <c r="C460">
        <v>201</v>
      </c>
      <c r="D460" t="inlineStr">
        <is>
          <t>°C</t>
        </is>
      </c>
      <c r="E460"/>
      <c r="F460"/>
      <c r="G460" t="inlineStr">
        <is>
          <t>literature/supplier melting range</t>
        </is>
      </c>
      <c r="H460" t="inlineStr">
        <is>
          <t>S001_PUBCHEM</t>
        </is>
      </c>
      <c r="I460" t="inlineStr">
        <is>
          <t>handbook</t>
        </is>
      </c>
      <c r="J460">
        <v>0.65</v>
      </c>
      <c r="K460" t="inlineStr">
        <is>
          <t>Use polymorph-specific data when available.</t>
        </is>
      </c>
    </row>
    <row r="461">
      <c r="A461" t="inlineStr">
        <is>
          <t>API_DOXYCYCLINE</t>
        </is>
      </c>
      <c r="B461" t="inlineStr">
        <is>
          <t>TPSA</t>
        </is>
      </c>
      <c r="C461">
        <v>181.6</v>
      </c>
      <c r="D461" t="inlineStr">
        <is>
          <t>Å²</t>
        </is>
      </c>
      <c r="E461"/>
      <c r="F461"/>
      <c r="G461" t="inlineStr">
        <is>
          <t>computed descriptor</t>
        </is>
      </c>
      <c r="H461" t="inlineStr">
        <is>
          <t>S001_PUBCHEM</t>
        </is>
      </c>
      <c r="I461" t="inlineStr">
        <is>
          <t>database-derived</t>
        </is>
      </c>
      <c r="J461">
        <v>0.82</v>
      </c>
      <c r="K461"/>
    </row>
    <row r="462">
      <c r="A462" t="inlineStr">
        <is>
          <t>API_DOXYCYCLINE</t>
        </is>
      </c>
      <c r="B462" t="inlineStr">
        <is>
          <t>HBD</t>
        </is>
      </c>
      <c r="C462">
        <v>6</v>
      </c>
      <c r="D462" t="inlineStr">
        <is>
          <t>count</t>
        </is>
      </c>
      <c r="E462"/>
      <c r="F462"/>
      <c r="G462" t="inlineStr">
        <is>
          <t>computed descriptor</t>
        </is>
      </c>
      <c r="H462" t="inlineStr">
        <is>
          <t>S001_PUBCHEM</t>
        </is>
      </c>
      <c r="I462" t="inlineStr">
        <is>
          <t>database-derived</t>
        </is>
      </c>
      <c r="J462">
        <v>0.82</v>
      </c>
      <c r="K462"/>
    </row>
    <row r="463">
      <c r="A463" t="inlineStr">
        <is>
          <t>API_DOXYCYCLINE</t>
        </is>
      </c>
      <c r="B463" t="inlineStr">
        <is>
          <t>HBA</t>
        </is>
      </c>
      <c r="C463">
        <v>9</v>
      </c>
      <c r="D463" t="inlineStr">
        <is>
          <t>count</t>
        </is>
      </c>
      <c r="E463"/>
      <c r="F463"/>
      <c r="G463" t="inlineStr">
        <is>
          <t>computed descriptor</t>
        </is>
      </c>
      <c r="H463" t="inlineStr">
        <is>
          <t>S001_PUBCHEM</t>
        </is>
      </c>
      <c r="I463" t="inlineStr">
        <is>
          <t>database-derived</t>
        </is>
      </c>
      <c r="J463">
        <v>0.82</v>
      </c>
      <c r="K463"/>
    </row>
    <row r="464">
      <c r="A464" t="inlineStr">
        <is>
          <t>API_DOXYCYCLINE</t>
        </is>
      </c>
      <c r="B464" t="inlineStr">
        <is>
          <t>rotatable_bonds</t>
        </is>
      </c>
      <c r="C464">
        <v>2</v>
      </c>
      <c r="D464" t="inlineStr">
        <is>
          <t>count</t>
        </is>
      </c>
      <c r="E464"/>
      <c r="F464"/>
      <c r="G464" t="inlineStr">
        <is>
          <t>computed descriptor</t>
        </is>
      </c>
      <c r="H464" t="inlineStr">
        <is>
          <t>S001_PUBCHEM</t>
        </is>
      </c>
      <c r="I464" t="inlineStr">
        <is>
          <t>database-derived</t>
        </is>
      </c>
      <c r="J464">
        <v>0.82</v>
      </c>
      <c r="K464"/>
    </row>
    <row r="465">
      <c r="A465" t="inlineStr">
        <is>
          <t>API_DOXYCYCLINE</t>
        </is>
      </c>
      <c r="B465" t="inlineStr">
        <is>
          <t>aromatic_rings</t>
        </is>
      </c>
      <c r="C465">
        <v>4</v>
      </c>
      <c r="D465" t="inlineStr">
        <is>
          <t>count</t>
        </is>
      </c>
      <c r="E465"/>
      <c r="F465"/>
      <c r="G465" t="inlineStr">
        <is>
          <t>manual structural count</t>
        </is>
      </c>
      <c r="H465" t="inlineStr">
        <is>
          <t>S001_PUBCHEM</t>
        </is>
      </c>
      <c r="I465" t="inlineStr">
        <is>
          <t>estimated</t>
        </is>
      </c>
      <c r="J465">
        <v>0.6</v>
      </c>
      <c r="K465"/>
    </row>
    <row r="466">
      <c r="A466" t="inlineStr">
        <is>
          <t>API_DOXYCYCLINE</t>
        </is>
      </c>
      <c r="B466" t="inlineStr">
        <is>
          <t>BCS_class</t>
        </is>
      </c>
      <c r="C466" t="inlineStr">
        <is>
          <t>III</t>
        </is>
      </c>
      <c r="D466"/>
      <c r="E466"/>
      <c r="F466"/>
      <c r="G466" t="inlineStr">
        <is>
          <t>literature consensus/placeholder</t>
        </is>
      </c>
      <c r="H466" t="inlineStr">
        <is>
          <t>S007_EXCIPIENTS_HANDBOOK</t>
        </is>
      </c>
      <c r="I466" t="inlineStr">
        <is>
          <t>estimated</t>
        </is>
      </c>
      <c r="J466">
        <v>0.4</v>
      </c>
      <c r="K466" t="inlineStr">
        <is>
          <t>Must be curated from API-specific biopharmaceutics sources.</t>
        </is>
      </c>
    </row>
    <row r="467">
      <c r="A467" t="inlineStr">
        <is>
          <t>API_DOXYCYCLINE</t>
        </is>
      </c>
      <c r="B467" t="inlineStr">
        <is>
          <t>therapeutic_class</t>
        </is>
      </c>
      <c r="C467" t="inlineStr">
        <is>
          <t>antibiotic tetracycline</t>
        </is>
      </c>
      <c r="D467"/>
      <c r="E467"/>
      <c r="F467"/>
      <c r="G467" t="inlineStr">
        <is>
          <t>manual therapeutic annotation</t>
        </is>
      </c>
      <c r="H467" t="inlineStr">
        <is>
          <t>S001_PUBCHEM</t>
        </is>
      </c>
      <c r="I467" t="inlineStr">
        <is>
          <t>database-derived</t>
        </is>
      </c>
      <c r="J467">
        <v>0.75</v>
      </c>
      <c r="K467"/>
    </row>
    <row r="468">
      <c r="A468" t="inlineStr">
        <is>
          <t>API_DOXYCYCLINE</t>
        </is>
      </c>
      <c r="B468" t="inlineStr">
        <is>
          <t>payload_type</t>
        </is>
      </c>
      <c r="C468" t="inlineStr">
        <is>
          <t>small_molecule_API</t>
        </is>
      </c>
      <c r="D468"/>
      <c r="E468"/>
      <c r="F468"/>
      <c r="G468" t="inlineStr">
        <is>
          <t>payload taxonomy</t>
        </is>
      </c>
      <c r="H468" t="inlineStr">
        <is>
          <t>S000_USER_SPEC</t>
        </is>
      </c>
      <c r="I468" t="inlineStr">
        <is>
          <t>curated</t>
        </is>
      </c>
      <c r="J468">
        <v>0.8</v>
      </c>
      <c r="K468"/>
    </row>
    <row r="469">
      <c r="A469" t="inlineStr">
        <is>
          <t>API_DOXYCYCLINE</t>
        </is>
      </c>
      <c r="B469" t="inlineStr">
        <is>
          <t>route_notes</t>
        </is>
      </c>
      <c r="C469" t="inlineStr">
        <is>
          <t>chelation and pH-sensitive solubility</t>
        </is>
      </c>
      <c r="D469"/>
      <c r="E469"/>
      <c r="F469"/>
      <c r="G469" t="inlineStr">
        <is>
          <t>formulation-relevance annotation</t>
        </is>
      </c>
      <c r="H469" t="inlineStr">
        <is>
          <t>S014_AULTON</t>
        </is>
      </c>
      <c r="I469" t="inlineStr">
        <is>
          <t>curated</t>
        </is>
      </c>
      <c r="J469">
        <v>0.7</v>
      </c>
      <c r="K469"/>
    </row>
    <row r="470">
      <c r="A470" t="inlineStr">
        <is>
          <t>API_DOXYCYCLINE</t>
        </is>
      </c>
      <c r="B470" t="inlineStr">
        <is>
          <t>pKa_acid</t>
        </is>
      </c>
      <c r="C470">
        <v>3.4</v>
      </c>
      <c r="D470"/>
      <c r="E470"/>
      <c r="F470"/>
      <c r="G470" t="inlineStr">
        <is>
          <t>literature pKa consensus</t>
        </is>
      </c>
      <c r="H470" t="inlineStr">
        <is>
          <t>S001_PUBCHEM</t>
        </is>
      </c>
      <c r="I470" t="inlineStr">
        <is>
          <t>handbook</t>
        </is>
      </c>
      <c r="J470">
        <v>0.6</v>
      </c>
      <c r="K470" t="inlineStr">
        <is>
          <t>Microstate and medium-dependent; confirm experimentally for model lock.</t>
        </is>
      </c>
    </row>
    <row r="471">
      <c r="A471" t="inlineStr">
        <is>
          <t>API_DOXYCYCLINE</t>
        </is>
      </c>
      <c r="B471" t="inlineStr">
        <is>
          <t>Hansen_delta_D</t>
        </is>
      </c>
      <c r="C471">
        <v>17.5</v>
      </c>
      <c r="D471" t="inlineStr">
        <is>
          <t>MPa^0.5</t>
        </is>
      </c>
      <c r="E471"/>
      <c r="F471"/>
      <c r="G471" t="inlineStr">
        <is>
          <t>heuristic group-contribution/nearest-neighbour</t>
        </is>
      </c>
      <c r="H471" t="inlineStr">
        <is>
          <t>S013_EST_HSP_HEURISTIC</t>
        </is>
      </c>
      <c r="I471" t="inlineStr">
        <is>
          <t>estimated</t>
        </is>
      </c>
      <c r="J471">
        <v>0.38</v>
      </c>
      <c r="K471" t="inlineStr">
        <is>
          <t>Provisional HSP for screening; replace with experimental/literature value before model lock.</t>
        </is>
      </c>
    </row>
    <row r="472">
      <c r="A472" t="inlineStr">
        <is>
          <t>API_DOXYCYCLINE</t>
        </is>
      </c>
      <c r="B472" t="inlineStr">
        <is>
          <t>Hansen_delta_P</t>
        </is>
      </c>
      <c r="C472">
        <v>15.0</v>
      </c>
      <c r="D472" t="inlineStr">
        <is>
          <t>MPa^0.5</t>
        </is>
      </c>
      <c r="E472"/>
      <c r="F472"/>
      <c r="G472" t="inlineStr">
        <is>
          <t>heuristic group-contribution/nearest-neighbour</t>
        </is>
      </c>
      <c r="H472" t="inlineStr">
        <is>
          <t>S013_EST_HSP_HEURISTIC</t>
        </is>
      </c>
      <c r="I472" t="inlineStr">
        <is>
          <t>estimated</t>
        </is>
      </c>
      <c r="J472">
        <v>0.38</v>
      </c>
      <c r="K472" t="inlineStr">
        <is>
          <t>Provisional HSP for screening; replace with experimental/literature value before model lock.</t>
        </is>
      </c>
    </row>
    <row r="473">
      <c r="A473" t="inlineStr">
        <is>
          <t>API_DOXYCYCLINE</t>
        </is>
      </c>
      <c r="B473" t="inlineStr">
        <is>
          <t>Hansen_delta_H</t>
        </is>
      </c>
      <c r="C473">
        <v>20.0</v>
      </c>
      <c r="D473" t="inlineStr">
        <is>
          <t>MPa^0.5</t>
        </is>
      </c>
      <c r="E473"/>
      <c r="F473"/>
      <c r="G473" t="inlineStr">
        <is>
          <t>heuristic group-contribution/nearest-neighbour</t>
        </is>
      </c>
      <c r="H473" t="inlineStr">
        <is>
          <t>S013_EST_HSP_HEURISTIC</t>
        </is>
      </c>
      <c r="I473" t="inlineStr">
        <is>
          <t>estimated</t>
        </is>
      </c>
      <c r="J473">
        <v>0.38</v>
      </c>
      <c r="K473" t="inlineStr">
        <is>
          <t>Provisional HSP for screening; replace with experimental/literature value before model lock.</t>
        </is>
      </c>
    </row>
    <row r="474">
      <c r="A474" t="inlineStr">
        <is>
          <t>API_DOXYCYCLINE</t>
        </is>
      </c>
      <c r="B474" t="inlineStr">
        <is>
          <t>Hildebrand_delta_T</t>
        </is>
      </c>
      <c r="C474">
        <v>30.52</v>
      </c>
      <c r="D474" t="inlineStr">
        <is>
          <t>MPa^0.5</t>
        </is>
      </c>
      <c r="E474"/>
      <c r="F474"/>
      <c r="G474" t="inlineStr">
        <is>
          <t>sqrt(deltaD^2+deltaP^2+deltaH^2)</t>
        </is>
      </c>
      <c r="H474" t="inlineStr">
        <is>
          <t>S012_CALCULATED</t>
        </is>
      </c>
      <c r="I474" t="inlineStr">
        <is>
          <t>calculated</t>
        </is>
      </c>
      <c r="J474">
        <v>0.43</v>
      </c>
      <c r="K474" t="inlineStr">
        <is>
          <t>Derived from stored Hansen components.</t>
        </is>
      </c>
    </row>
    <row r="475">
      <c r="A475" t="inlineStr">
        <is>
          <t>API_DOXYCYCLINE</t>
        </is>
      </c>
      <c r="B475" t="inlineStr">
        <is>
          <t>HSP_radius_R0</t>
        </is>
      </c>
      <c r="C475">
        <v>10.0</v>
      </c>
      <c r="D475" t="inlineStr">
        <is>
          <t>MPa^0.5</t>
        </is>
      </c>
      <c r="E475"/>
      <c r="F475"/>
      <c r="G475" t="inlineStr">
        <is>
          <t>literature/heuristic solubility sphere</t>
        </is>
      </c>
      <c r="H475" t="inlineStr">
        <is>
          <t>S013_EST_HSP_HEURISTIC</t>
        </is>
      </c>
      <c r="I475" t="inlineStr">
        <is>
          <t>estimated</t>
        </is>
      </c>
      <c r="J475">
        <v>0.38</v>
      </c>
      <c r="K475" t="inlineStr">
        <is>
          <t>Screening radius only unless experimentally determined.</t>
        </is>
      </c>
    </row>
    <row r="476">
      <c r="A476" t="inlineStr">
        <is>
          <t>API_DOXYCYCLINE</t>
        </is>
      </c>
      <c r="B476" t="inlineStr">
        <is>
          <t>molar_volume_cm3_mol</t>
        </is>
      </c>
      <c r="C476">
        <v>355.55</v>
      </c>
      <c r="D476" t="inlineStr">
        <is>
          <t>cm3/mol</t>
        </is>
      </c>
      <c r="E476"/>
      <c r="F476"/>
      <c r="G476" t="inlineStr">
        <is>
          <t>MW/density estimate</t>
        </is>
      </c>
      <c r="H476" t="inlineStr">
        <is>
          <t>S012_CALCULATED</t>
        </is>
      </c>
      <c r="I476" t="inlineStr">
        <is>
          <t>estimated</t>
        </is>
      </c>
      <c r="J476">
        <v>0.45</v>
      </c>
      <c r="K476" t="inlineStr">
        <is>
          <t>Estimated from MW/density; replace with measured molar volume or density-specific grade data.</t>
        </is>
      </c>
    </row>
    <row r="477">
      <c r="A477" t="inlineStr">
        <is>
          <t>API_RIFAMPICIN</t>
        </is>
      </c>
      <c r="B477" t="inlineStr">
        <is>
          <t>molecular_weight_g_mol</t>
        </is>
      </c>
      <c r="C477">
        <v>822.94</v>
      </c>
      <c r="D477" t="inlineStr">
        <is>
          <t>g/mol</t>
        </is>
      </c>
      <c r="E477"/>
      <c r="F477"/>
      <c r="G477" t="inlineStr">
        <is>
          <t>PubChem/handbook curation</t>
        </is>
      </c>
      <c r="H477" t="inlineStr">
        <is>
          <t>S001_PUBCHEM</t>
        </is>
      </c>
      <c r="I477" t="inlineStr">
        <is>
          <t>database-derived</t>
        </is>
      </c>
      <c r="J477">
        <v>0.88</v>
      </c>
      <c r="K477"/>
    </row>
    <row r="478">
      <c r="A478" t="inlineStr">
        <is>
          <t>API_RIFAMPICIN</t>
        </is>
      </c>
      <c r="B478" t="inlineStr">
        <is>
          <t>molecular_formula</t>
        </is>
      </c>
      <c r="C478" t="inlineStr">
        <is>
          <t>C43H58N4O12</t>
        </is>
      </c>
      <c r="D478"/>
      <c r="E478"/>
      <c r="F478"/>
      <c r="G478" t="inlineStr">
        <is>
          <t>PubChem/handbook curation</t>
        </is>
      </c>
      <c r="H478" t="inlineStr">
        <is>
          <t>S001_PUBCHEM</t>
        </is>
      </c>
      <c r="I478" t="inlineStr">
        <is>
          <t>database-derived</t>
        </is>
      </c>
      <c r="J478">
        <v>0.85</v>
      </c>
      <c r="K478"/>
    </row>
    <row r="479">
      <c r="A479" t="inlineStr">
        <is>
          <t>API_RIFAMPICIN</t>
        </is>
      </c>
      <c r="B479" t="inlineStr">
        <is>
          <t>LogP</t>
        </is>
      </c>
      <c r="C479">
        <v>2.7</v>
      </c>
      <c r="D479"/>
      <c r="E479"/>
      <c r="F479"/>
      <c r="G479" t="inlineStr">
        <is>
          <t>computed/curated XLogP or literature consensus</t>
        </is>
      </c>
      <c r="H479" t="inlineStr">
        <is>
          <t>S001_PUBCHEM</t>
        </is>
      </c>
      <c r="I479" t="inlineStr">
        <is>
          <t>database-derived</t>
        </is>
      </c>
      <c r="J479">
        <v>0.72</v>
      </c>
      <c r="K479" t="inlineStr">
        <is>
          <t>Approximate; salt/tautomer state may alter.</t>
        </is>
      </c>
    </row>
    <row r="480">
      <c r="A480" t="inlineStr">
        <is>
          <t>API_RIFAMPICIN</t>
        </is>
      </c>
      <c r="B480" t="inlineStr">
        <is>
          <t>formal_charge</t>
        </is>
      </c>
      <c r="C480">
        <v>0</v>
      </c>
      <c r="D480" t="inlineStr">
        <is>
          <t>e</t>
        </is>
      </c>
      <c r="E480"/>
      <c r="F480"/>
      <c r="G480" t="inlineStr">
        <is>
          <t>canonical neutral parent/salt-free structure</t>
        </is>
      </c>
      <c r="H480" t="inlineStr">
        <is>
          <t>S001_PUBCHEM</t>
        </is>
      </c>
      <c r="I480" t="inlineStr">
        <is>
          <t>database-derived</t>
        </is>
      </c>
      <c r="J480">
        <v>0.82</v>
      </c>
      <c r="K480" t="inlineStr">
        <is>
          <t>Use salt-specific material row for ionic salts.</t>
        </is>
      </c>
    </row>
    <row r="481">
      <c r="A481" t="inlineStr">
        <is>
          <t>API_RIFAMPICIN</t>
        </is>
      </c>
      <c r="B481" t="inlineStr">
        <is>
          <t>water_solubility_mg_ml</t>
        </is>
      </c>
      <c r="C481">
        <v>1.3</v>
      </c>
      <c r="D481" t="inlineStr">
        <is>
          <t>mg/mL</t>
        </is>
      </c>
      <c r="E481"/>
      <c r="F481"/>
      <c r="G481" t="inlineStr">
        <is>
          <t>literature/aqueous solubility range approximated</t>
        </is>
      </c>
      <c r="H481" t="inlineStr">
        <is>
          <t>S001_PUBCHEM</t>
        </is>
      </c>
      <c r="I481" t="inlineStr">
        <is>
          <t>estimated</t>
        </is>
      </c>
      <c r="J481">
        <v>0.45</v>
      </c>
      <c r="K481" t="inlineStr">
        <is>
          <t>Highly pH- and salt-form-dependent.</t>
        </is>
      </c>
    </row>
    <row r="482">
      <c r="A482" t="inlineStr">
        <is>
          <t>API_RIFAMPICIN</t>
        </is>
      </c>
      <c r="B482" t="inlineStr">
        <is>
          <t>melting_point_C</t>
        </is>
      </c>
      <c r="C482">
        <v>183</v>
      </c>
      <c r="D482" t="inlineStr">
        <is>
          <t>°C</t>
        </is>
      </c>
      <c r="E482"/>
      <c r="F482"/>
      <c r="G482" t="inlineStr">
        <is>
          <t>literature/supplier melting range</t>
        </is>
      </c>
      <c r="H482" t="inlineStr">
        <is>
          <t>S001_PUBCHEM</t>
        </is>
      </c>
      <c r="I482" t="inlineStr">
        <is>
          <t>handbook</t>
        </is>
      </c>
      <c r="J482">
        <v>0.65</v>
      </c>
      <c r="K482" t="inlineStr">
        <is>
          <t>Use polymorph-specific data when available.</t>
        </is>
      </c>
    </row>
    <row r="483">
      <c r="A483" t="inlineStr">
        <is>
          <t>API_RIFAMPICIN</t>
        </is>
      </c>
      <c r="B483" t="inlineStr">
        <is>
          <t>TPSA</t>
        </is>
      </c>
      <c r="C483">
        <v>220.2</v>
      </c>
      <c r="D483" t="inlineStr">
        <is>
          <t>Å²</t>
        </is>
      </c>
      <c r="E483"/>
      <c r="F483"/>
      <c r="G483" t="inlineStr">
        <is>
          <t>computed descriptor</t>
        </is>
      </c>
      <c r="H483" t="inlineStr">
        <is>
          <t>S001_PUBCHEM</t>
        </is>
      </c>
      <c r="I483" t="inlineStr">
        <is>
          <t>database-derived</t>
        </is>
      </c>
      <c r="J483">
        <v>0.82</v>
      </c>
      <c r="K483"/>
    </row>
    <row r="484">
      <c r="A484" t="inlineStr">
        <is>
          <t>API_RIFAMPICIN</t>
        </is>
      </c>
      <c r="B484" t="inlineStr">
        <is>
          <t>HBD</t>
        </is>
      </c>
      <c r="C484">
        <v>6</v>
      </c>
      <c r="D484" t="inlineStr">
        <is>
          <t>count</t>
        </is>
      </c>
      <c r="E484"/>
      <c r="F484"/>
      <c r="G484" t="inlineStr">
        <is>
          <t>computed descriptor</t>
        </is>
      </c>
      <c r="H484" t="inlineStr">
        <is>
          <t>S001_PUBCHEM</t>
        </is>
      </c>
      <c r="I484" t="inlineStr">
        <is>
          <t>database-derived</t>
        </is>
      </c>
      <c r="J484">
        <v>0.82</v>
      </c>
      <c r="K484"/>
    </row>
    <row r="485">
      <c r="A485" t="inlineStr">
        <is>
          <t>API_RIFAMPICIN</t>
        </is>
      </c>
      <c r="B485" t="inlineStr">
        <is>
          <t>HBA</t>
        </is>
      </c>
      <c r="C485">
        <v>14</v>
      </c>
      <c r="D485" t="inlineStr">
        <is>
          <t>count</t>
        </is>
      </c>
      <c r="E485"/>
      <c r="F485"/>
      <c r="G485" t="inlineStr">
        <is>
          <t>computed descriptor</t>
        </is>
      </c>
      <c r="H485" t="inlineStr">
        <is>
          <t>S001_PUBCHEM</t>
        </is>
      </c>
      <c r="I485" t="inlineStr">
        <is>
          <t>database-derived</t>
        </is>
      </c>
      <c r="J485">
        <v>0.82</v>
      </c>
      <c r="K485"/>
    </row>
    <row r="486">
      <c r="A486" t="inlineStr">
        <is>
          <t>API_RIFAMPICIN</t>
        </is>
      </c>
      <c r="B486" t="inlineStr">
        <is>
          <t>rotatable_bonds</t>
        </is>
      </c>
      <c r="C486">
        <v>7</v>
      </c>
      <c r="D486" t="inlineStr">
        <is>
          <t>count</t>
        </is>
      </c>
      <c r="E486"/>
      <c r="F486"/>
      <c r="G486" t="inlineStr">
        <is>
          <t>computed descriptor</t>
        </is>
      </c>
      <c r="H486" t="inlineStr">
        <is>
          <t>S001_PUBCHEM</t>
        </is>
      </c>
      <c r="I486" t="inlineStr">
        <is>
          <t>database-derived</t>
        </is>
      </c>
      <c r="J486">
        <v>0.82</v>
      </c>
      <c r="K486"/>
    </row>
    <row r="487">
      <c r="A487" t="inlineStr">
        <is>
          <t>API_RIFAMPICIN</t>
        </is>
      </c>
      <c r="B487" t="inlineStr">
        <is>
          <t>aromatic_rings</t>
        </is>
      </c>
      <c r="C487">
        <v>5</v>
      </c>
      <c r="D487" t="inlineStr">
        <is>
          <t>count</t>
        </is>
      </c>
      <c r="E487"/>
      <c r="F487"/>
      <c r="G487" t="inlineStr">
        <is>
          <t>manual structural count</t>
        </is>
      </c>
      <c r="H487" t="inlineStr">
        <is>
          <t>S001_PUBCHEM</t>
        </is>
      </c>
      <c r="I487" t="inlineStr">
        <is>
          <t>estimated</t>
        </is>
      </c>
      <c r="J487">
        <v>0.6</v>
      </c>
      <c r="K487"/>
    </row>
    <row r="488">
      <c r="A488" t="inlineStr">
        <is>
          <t>API_RIFAMPICIN</t>
        </is>
      </c>
      <c r="B488" t="inlineStr">
        <is>
          <t>BCS_class</t>
        </is>
      </c>
      <c r="C488" t="inlineStr">
        <is>
          <t>II</t>
        </is>
      </c>
      <c r="D488"/>
      <c r="E488"/>
      <c r="F488"/>
      <c r="G488" t="inlineStr">
        <is>
          <t>literature consensus/placeholder</t>
        </is>
      </c>
      <c r="H488" t="inlineStr">
        <is>
          <t>S007_EXCIPIENTS_HANDBOOK</t>
        </is>
      </c>
      <c r="I488" t="inlineStr">
        <is>
          <t>estimated</t>
        </is>
      </c>
      <c r="J488">
        <v>0.4</v>
      </c>
      <c r="K488" t="inlineStr">
        <is>
          <t>Must be curated from API-specific biopharmaceutics sources.</t>
        </is>
      </c>
    </row>
    <row r="489">
      <c r="A489" t="inlineStr">
        <is>
          <t>API_RIFAMPICIN</t>
        </is>
      </c>
      <c r="B489" t="inlineStr">
        <is>
          <t>therapeutic_class</t>
        </is>
      </c>
      <c r="C489" t="inlineStr">
        <is>
          <t>antibiotic rifamycin</t>
        </is>
      </c>
      <c r="D489"/>
      <c r="E489"/>
      <c r="F489"/>
      <c r="G489" t="inlineStr">
        <is>
          <t>manual therapeutic annotation</t>
        </is>
      </c>
      <c r="H489" t="inlineStr">
        <is>
          <t>S001_PUBCHEM</t>
        </is>
      </c>
      <c r="I489" t="inlineStr">
        <is>
          <t>database-derived</t>
        </is>
      </c>
      <c r="J489">
        <v>0.75</v>
      </c>
      <c r="K489"/>
    </row>
    <row r="490">
      <c r="A490" t="inlineStr">
        <is>
          <t>API_RIFAMPICIN</t>
        </is>
      </c>
      <c r="B490" t="inlineStr">
        <is>
          <t>payload_type</t>
        </is>
      </c>
      <c r="C490" t="inlineStr">
        <is>
          <t>small_molecule_API</t>
        </is>
      </c>
      <c r="D490"/>
      <c r="E490"/>
      <c r="F490"/>
      <c r="G490" t="inlineStr">
        <is>
          <t>payload taxonomy</t>
        </is>
      </c>
      <c r="H490" t="inlineStr">
        <is>
          <t>S000_USER_SPEC</t>
        </is>
      </c>
      <c r="I490" t="inlineStr">
        <is>
          <t>curated</t>
        </is>
      </c>
      <c r="J490">
        <v>0.8</v>
      </c>
      <c r="K490"/>
    </row>
    <row r="491">
      <c r="A491" t="inlineStr">
        <is>
          <t>API_RIFAMPICIN</t>
        </is>
      </c>
      <c r="B491" t="inlineStr">
        <is>
          <t>route_notes</t>
        </is>
      </c>
      <c r="C491" t="inlineStr">
        <is>
          <t>large amphiphilic antibiotic; oxidation-sensitive</t>
        </is>
      </c>
      <c r="D491"/>
      <c r="E491"/>
      <c r="F491"/>
      <c r="G491" t="inlineStr">
        <is>
          <t>formulation-relevance annotation</t>
        </is>
      </c>
      <c r="H491" t="inlineStr">
        <is>
          <t>S014_AULTON</t>
        </is>
      </c>
      <c r="I491" t="inlineStr">
        <is>
          <t>curated</t>
        </is>
      </c>
      <c r="J491">
        <v>0.7</v>
      </c>
      <c r="K491"/>
    </row>
    <row r="492">
      <c r="A492" t="inlineStr">
        <is>
          <t>API_RIFAMPICIN</t>
        </is>
      </c>
      <c r="B492" t="inlineStr">
        <is>
          <t>pKa_acid</t>
        </is>
      </c>
      <c r="C492">
        <v>7.9</v>
      </c>
      <c r="D492"/>
      <c r="E492"/>
      <c r="F492"/>
      <c r="G492" t="inlineStr">
        <is>
          <t>literature pKa consensus</t>
        </is>
      </c>
      <c r="H492" t="inlineStr">
        <is>
          <t>S001_PUBCHEM</t>
        </is>
      </c>
      <c r="I492" t="inlineStr">
        <is>
          <t>handbook</t>
        </is>
      </c>
      <c r="J492">
        <v>0.6</v>
      </c>
      <c r="K492" t="inlineStr">
        <is>
          <t>Microstate and medium-dependent; confirm experimentally for model lock.</t>
        </is>
      </c>
    </row>
    <row r="493">
      <c r="A493" t="inlineStr">
        <is>
          <t>API_RIFAMPICIN</t>
        </is>
      </c>
      <c r="B493" t="inlineStr">
        <is>
          <t>Hansen_delta_D</t>
        </is>
      </c>
      <c r="C493">
        <v>18.2</v>
      </c>
      <c r="D493" t="inlineStr">
        <is>
          <t>MPa^0.5</t>
        </is>
      </c>
      <c r="E493"/>
      <c r="F493"/>
      <c r="G493" t="inlineStr">
        <is>
          <t>heuristic group-contribution/nearest-neighbour</t>
        </is>
      </c>
      <c r="H493" t="inlineStr">
        <is>
          <t>S013_EST_HSP_HEURISTIC</t>
        </is>
      </c>
      <c r="I493" t="inlineStr">
        <is>
          <t>estimated</t>
        </is>
      </c>
      <c r="J493">
        <v>0.43</v>
      </c>
      <c r="K493" t="inlineStr">
        <is>
          <t>Provisional HSP for screening; replace with experimental/literature value before model lock.</t>
        </is>
      </c>
    </row>
    <row r="494">
      <c r="A494" t="inlineStr">
        <is>
          <t>API_RIFAMPICIN</t>
        </is>
      </c>
      <c r="B494" t="inlineStr">
        <is>
          <t>Hansen_delta_P</t>
        </is>
      </c>
      <c r="C494">
        <v>8.0</v>
      </c>
      <c r="D494" t="inlineStr">
        <is>
          <t>MPa^0.5</t>
        </is>
      </c>
      <c r="E494"/>
      <c r="F494"/>
      <c r="G494" t="inlineStr">
        <is>
          <t>heuristic group-contribution/nearest-neighbour</t>
        </is>
      </c>
      <c r="H494" t="inlineStr">
        <is>
          <t>S013_EST_HSP_HEURISTIC</t>
        </is>
      </c>
      <c r="I494" t="inlineStr">
        <is>
          <t>estimated</t>
        </is>
      </c>
      <c r="J494">
        <v>0.43</v>
      </c>
      <c r="K494" t="inlineStr">
        <is>
          <t>Provisional HSP for screening; replace with experimental/literature value before model lock.</t>
        </is>
      </c>
    </row>
    <row r="495">
      <c r="A495" t="inlineStr">
        <is>
          <t>API_RIFAMPICIN</t>
        </is>
      </c>
      <c r="B495" t="inlineStr">
        <is>
          <t>Hansen_delta_H</t>
        </is>
      </c>
      <c r="C495">
        <v>10.0</v>
      </c>
      <c r="D495" t="inlineStr">
        <is>
          <t>MPa^0.5</t>
        </is>
      </c>
      <c r="E495"/>
      <c r="F495"/>
      <c r="G495" t="inlineStr">
        <is>
          <t>heuristic group-contribution/nearest-neighbour</t>
        </is>
      </c>
      <c r="H495" t="inlineStr">
        <is>
          <t>S013_EST_HSP_HEURISTIC</t>
        </is>
      </c>
      <c r="I495" t="inlineStr">
        <is>
          <t>estimated</t>
        </is>
      </c>
      <c r="J495">
        <v>0.43</v>
      </c>
      <c r="K495" t="inlineStr">
        <is>
          <t>Provisional HSP for screening; replace with experimental/literature value before model lock.</t>
        </is>
      </c>
    </row>
    <row r="496">
      <c r="A496" t="inlineStr">
        <is>
          <t>API_RIFAMPICIN</t>
        </is>
      </c>
      <c r="B496" t="inlineStr">
        <is>
          <t>Hildebrand_delta_T</t>
        </is>
      </c>
      <c r="C496">
        <v>22.25</v>
      </c>
      <c r="D496" t="inlineStr">
        <is>
          <t>MPa^0.5</t>
        </is>
      </c>
      <c r="E496"/>
      <c r="F496"/>
      <c r="G496" t="inlineStr">
        <is>
          <t>sqrt(deltaD^2+deltaP^2+deltaH^2)</t>
        </is>
      </c>
      <c r="H496" t="inlineStr">
        <is>
          <t>S012_CALCULATED</t>
        </is>
      </c>
      <c r="I496" t="inlineStr">
        <is>
          <t>calculated</t>
        </is>
      </c>
      <c r="J496">
        <v>0.48</v>
      </c>
      <c r="K496" t="inlineStr">
        <is>
          <t>Derived from stored Hansen components.</t>
        </is>
      </c>
    </row>
    <row r="497">
      <c r="A497" t="inlineStr">
        <is>
          <t>API_RIFAMPICIN</t>
        </is>
      </c>
      <c r="B497" t="inlineStr">
        <is>
          <t>HSP_radius_R0</t>
        </is>
      </c>
      <c r="C497">
        <v>8.5</v>
      </c>
      <c r="D497" t="inlineStr">
        <is>
          <t>MPa^0.5</t>
        </is>
      </c>
      <c r="E497"/>
      <c r="F497"/>
      <c r="G497" t="inlineStr">
        <is>
          <t>literature/heuristic solubility sphere</t>
        </is>
      </c>
      <c r="H497" t="inlineStr">
        <is>
          <t>S013_EST_HSP_HEURISTIC</t>
        </is>
      </c>
      <c r="I497" t="inlineStr">
        <is>
          <t>estimated</t>
        </is>
      </c>
      <c r="J497">
        <v>0.43</v>
      </c>
      <c r="K497" t="inlineStr">
        <is>
          <t>Screening radius only unless experimentally determined.</t>
        </is>
      </c>
    </row>
    <row r="498">
      <c r="A498" t="inlineStr">
        <is>
          <t>API_RIFAMPICIN</t>
        </is>
      </c>
      <c r="B498" t="inlineStr">
        <is>
          <t>molar_volume_cm3_mol</t>
        </is>
      </c>
      <c r="C498">
        <v>685.78</v>
      </c>
      <c r="D498" t="inlineStr">
        <is>
          <t>cm3/mol</t>
        </is>
      </c>
      <c r="E498"/>
      <c r="F498"/>
      <c r="G498" t="inlineStr">
        <is>
          <t>MW/density estimate</t>
        </is>
      </c>
      <c r="H498" t="inlineStr">
        <is>
          <t>S012_CALCULATED</t>
        </is>
      </c>
      <c r="I498" t="inlineStr">
        <is>
          <t>estimated</t>
        </is>
      </c>
      <c r="J498">
        <v>0.45</v>
      </c>
      <c r="K498" t="inlineStr">
        <is>
          <t>Estimated from MW/density; replace with measured molar volume or density-specific grade data.</t>
        </is>
      </c>
    </row>
    <row r="499">
      <c r="A499" t="inlineStr">
        <is>
          <t>API_CYCLOSPORINE_A</t>
        </is>
      </c>
      <c r="B499" t="inlineStr">
        <is>
          <t>molecular_weight_g_mol</t>
        </is>
      </c>
      <c r="C499">
        <v>1202.61</v>
      </c>
      <c r="D499" t="inlineStr">
        <is>
          <t>g/mol</t>
        </is>
      </c>
      <c r="E499"/>
      <c r="F499"/>
      <c r="G499" t="inlineStr">
        <is>
          <t>PubChem/handbook curation</t>
        </is>
      </c>
      <c r="H499" t="inlineStr">
        <is>
          <t>S001_PUBCHEM</t>
        </is>
      </c>
      <c r="I499" t="inlineStr">
        <is>
          <t>database-derived</t>
        </is>
      </c>
      <c r="J499">
        <v>0.88</v>
      </c>
      <c r="K499"/>
    </row>
    <row r="500">
      <c r="A500" t="inlineStr">
        <is>
          <t>API_CYCLOSPORINE_A</t>
        </is>
      </c>
      <c r="B500" t="inlineStr">
        <is>
          <t>molecular_formula</t>
        </is>
      </c>
      <c r="C500" t="inlineStr">
        <is>
          <t>C62H111N11O12</t>
        </is>
      </c>
      <c r="D500"/>
      <c r="E500"/>
      <c r="F500"/>
      <c r="G500" t="inlineStr">
        <is>
          <t>PubChem/handbook curation</t>
        </is>
      </c>
      <c r="H500" t="inlineStr">
        <is>
          <t>S001_PUBCHEM</t>
        </is>
      </c>
      <c r="I500" t="inlineStr">
        <is>
          <t>database-derived</t>
        </is>
      </c>
      <c r="J500">
        <v>0.85</v>
      </c>
      <c r="K500"/>
    </row>
    <row r="501">
      <c r="A501" t="inlineStr">
        <is>
          <t>API_CYCLOSPORINE_A</t>
        </is>
      </c>
      <c r="B501" t="inlineStr">
        <is>
          <t>LogP</t>
        </is>
      </c>
      <c r="C501">
        <v>2.9</v>
      </c>
      <c r="D501"/>
      <c r="E501"/>
      <c r="F501"/>
      <c r="G501" t="inlineStr">
        <is>
          <t>computed/curated XLogP or literature consensus</t>
        </is>
      </c>
      <c r="H501" t="inlineStr">
        <is>
          <t>S001_PUBCHEM</t>
        </is>
      </c>
      <c r="I501" t="inlineStr">
        <is>
          <t>database-derived</t>
        </is>
      </c>
      <c r="J501">
        <v>0.72</v>
      </c>
      <c r="K501" t="inlineStr">
        <is>
          <t>Approximate; salt/tautomer state may alter.</t>
        </is>
      </c>
    </row>
    <row r="502">
      <c r="A502" t="inlineStr">
        <is>
          <t>API_CYCLOSPORINE_A</t>
        </is>
      </c>
      <c r="B502" t="inlineStr">
        <is>
          <t>formal_charge</t>
        </is>
      </c>
      <c r="C502">
        <v>0</v>
      </c>
      <c r="D502" t="inlineStr">
        <is>
          <t>e</t>
        </is>
      </c>
      <c r="E502"/>
      <c r="F502"/>
      <c r="G502" t="inlineStr">
        <is>
          <t>canonical neutral parent/salt-free structure</t>
        </is>
      </c>
      <c r="H502" t="inlineStr">
        <is>
          <t>S001_PUBCHEM</t>
        </is>
      </c>
      <c r="I502" t="inlineStr">
        <is>
          <t>database-derived</t>
        </is>
      </c>
      <c r="J502">
        <v>0.82</v>
      </c>
      <c r="K502" t="inlineStr">
        <is>
          <t>Use salt-specific material row for ionic salts.</t>
        </is>
      </c>
    </row>
    <row r="503">
      <c r="A503" t="inlineStr">
        <is>
          <t>API_CYCLOSPORINE_A</t>
        </is>
      </c>
      <c r="B503" t="inlineStr">
        <is>
          <t>water_solubility_mg_ml</t>
        </is>
      </c>
      <c r="C503">
        <v>0.004</v>
      </c>
      <c r="D503" t="inlineStr">
        <is>
          <t>mg/mL</t>
        </is>
      </c>
      <c r="E503"/>
      <c r="F503"/>
      <c r="G503" t="inlineStr">
        <is>
          <t>literature/aqueous solubility range approximated</t>
        </is>
      </c>
      <c r="H503" t="inlineStr">
        <is>
          <t>S001_PUBCHEM</t>
        </is>
      </c>
      <c r="I503" t="inlineStr">
        <is>
          <t>estimated</t>
        </is>
      </c>
      <c r="J503">
        <v>0.45</v>
      </c>
      <c r="K503" t="inlineStr">
        <is>
          <t>Highly pH- and salt-form-dependent.</t>
        </is>
      </c>
    </row>
    <row r="504">
      <c r="A504" t="inlineStr">
        <is>
          <t>API_CYCLOSPORINE_A</t>
        </is>
      </c>
      <c r="B504" t="inlineStr">
        <is>
          <t>melting_point_C</t>
        </is>
      </c>
      <c r="C504">
        <v>148</v>
      </c>
      <c r="D504" t="inlineStr">
        <is>
          <t>°C</t>
        </is>
      </c>
      <c r="E504"/>
      <c r="F504"/>
      <c r="G504" t="inlineStr">
        <is>
          <t>literature/supplier melting range</t>
        </is>
      </c>
      <c r="H504" t="inlineStr">
        <is>
          <t>S001_PUBCHEM</t>
        </is>
      </c>
      <c r="I504" t="inlineStr">
        <is>
          <t>handbook</t>
        </is>
      </c>
      <c r="J504">
        <v>0.65</v>
      </c>
      <c r="K504" t="inlineStr">
        <is>
          <t>Use polymorph-specific data when available.</t>
        </is>
      </c>
    </row>
    <row r="505">
      <c r="A505" t="inlineStr">
        <is>
          <t>API_CYCLOSPORINE_A</t>
        </is>
      </c>
      <c r="B505" t="inlineStr">
        <is>
          <t>TPSA</t>
        </is>
      </c>
      <c r="C505">
        <v>279.5</v>
      </c>
      <c r="D505" t="inlineStr">
        <is>
          <t>Å²</t>
        </is>
      </c>
      <c r="E505"/>
      <c r="F505"/>
      <c r="G505" t="inlineStr">
        <is>
          <t>computed descriptor</t>
        </is>
      </c>
      <c r="H505" t="inlineStr">
        <is>
          <t>S001_PUBCHEM</t>
        </is>
      </c>
      <c r="I505" t="inlineStr">
        <is>
          <t>database-derived</t>
        </is>
      </c>
      <c r="J505">
        <v>0.82</v>
      </c>
      <c r="K505"/>
    </row>
    <row r="506">
      <c r="A506" t="inlineStr">
        <is>
          <t>API_CYCLOSPORINE_A</t>
        </is>
      </c>
      <c r="B506" t="inlineStr">
        <is>
          <t>HBD</t>
        </is>
      </c>
      <c r="C506">
        <v>5</v>
      </c>
      <c r="D506" t="inlineStr">
        <is>
          <t>count</t>
        </is>
      </c>
      <c r="E506"/>
      <c r="F506"/>
      <c r="G506" t="inlineStr">
        <is>
          <t>computed descriptor</t>
        </is>
      </c>
      <c r="H506" t="inlineStr">
        <is>
          <t>S001_PUBCHEM</t>
        </is>
      </c>
      <c r="I506" t="inlineStr">
        <is>
          <t>database-derived</t>
        </is>
      </c>
      <c r="J506">
        <v>0.82</v>
      </c>
      <c r="K506"/>
    </row>
    <row r="507">
      <c r="A507" t="inlineStr">
        <is>
          <t>API_CYCLOSPORINE_A</t>
        </is>
      </c>
      <c r="B507" t="inlineStr">
        <is>
          <t>HBA</t>
        </is>
      </c>
      <c r="C507">
        <v>12</v>
      </c>
      <c r="D507" t="inlineStr">
        <is>
          <t>count</t>
        </is>
      </c>
      <c r="E507"/>
      <c r="F507"/>
      <c r="G507" t="inlineStr">
        <is>
          <t>computed descriptor</t>
        </is>
      </c>
      <c r="H507" t="inlineStr">
        <is>
          <t>S001_PUBCHEM</t>
        </is>
      </c>
      <c r="I507" t="inlineStr">
        <is>
          <t>database-derived</t>
        </is>
      </c>
      <c r="J507">
        <v>0.82</v>
      </c>
      <c r="K507"/>
    </row>
    <row r="508">
      <c r="A508" t="inlineStr">
        <is>
          <t>API_CYCLOSPORINE_A</t>
        </is>
      </c>
      <c r="B508" t="inlineStr">
        <is>
          <t>rotatable_bonds</t>
        </is>
      </c>
      <c r="C508">
        <v>15</v>
      </c>
      <c r="D508" t="inlineStr">
        <is>
          <t>count</t>
        </is>
      </c>
      <c r="E508"/>
      <c r="F508"/>
      <c r="G508" t="inlineStr">
        <is>
          <t>computed descriptor</t>
        </is>
      </c>
      <c r="H508" t="inlineStr">
        <is>
          <t>S001_PUBCHEM</t>
        </is>
      </c>
      <c r="I508" t="inlineStr">
        <is>
          <t>database-derived</t>
        </is>
      </c>
      <c r="J508">
        <v>0.82</v>
      </c>
      <c r="K508"/>
    </row>
    <row r="509">
      <c r="A509" t="inlineStr">
        <is>
          <t>API_CYCLOSPORINE_A</t>
        </is>
      </c>
      <c r="B509" t="inlineStr">
        <is>
          <t>aromatic_rings</t>
        </is>
      </c>
      <c r="C509">
        <v>0</v>
      </c>
      <c r="D509" t="inlineStr">
        <is>
          <t>count</t>
        </is>
      </c>
      <c r="E509"/>
      <c r="F509"/>
      <c r="G509" t="inlineStr">
        <is>
          <t>manual structural count</t>
        </is>
      </c>
      <c r="H509" t="inlineStr">
        <is>
          <t>S001_PUBCHEM</t>
        </is>
      </c>
      <c r="I509" t="inlineStr">
        <is>
          <t>estimated</t>
        </is>
      </c>
      <c r="J509">
        <v>0.6</v>
      </c>
      <c r="K509"/>
    </row>
    <row r="510">
      <c r="A510" t="inlineStr">
        <is>
          <t>API_CYCLOSPORINE_A</t>
        </is>
      </c>
      <c r="B510" t="inlineStr">
        <is>
          <t>BCS_class</t>
        </is>
      </c>
      <c r="C510" t="inlineStr">
        <is>
          <t>IV</t>
        </is>
      </c>
      <c r="D510"/>
      <c r="E510"/>
      <c r="F510"/>
      <c r="G510" t="inlineStr">
        <is>
          <t>literature consensus/placeholder</t>
        </is>
      </c>
      <c r="H510" t="inlineStr">
        <is>
          <t>S007_EXCIPIENTS_HANDBOOK</t>
        </is>
      </c>
      <c r="I510" t="inlineStr">
        <is>
          <t>estimated</t>
        </is>
      </c>
      <c r="J510">
        <v>0.4</v>
      </c>
      <c r="K510" t="inlineStr">
        <is>
          <t>Must be curated from API-specific biopharmaceutics sources.</t>
        </is>
      </c>
    </row>
    <row r="511">
      <c r="A511" t="inlineStr">
        <is>
          <t>API_CYCLOSPORINE_A</t>
        </is>
      </c>
      <c r="B511" t="inlineStr">
        <is>
          <t>therapeutic_class</t>
        </is>
      </c>
      <c r="C511" t="inlineStr">
        <is>
          <t>peptide/cyclic peptide</t>
        </is>
      </c>
      <c r="D511"/>
      <c r="E511"/>
      <c r="F511"/>
      <c r="G511" t="inlineStr">
        <is>
          <t>manual therapeutic annotation</t>
        </is>
      </c>
      <c r="H511" t="inlineStr">
        <is>
          <t>S001_PUBCHEM</t>
        </is>
      </c>
      <c r="I511" t="inlineStr">
        <is>
          <t>database-derived</t>
        </is>
      </c>
      <c r="J511">
        <v>0.75</v>
      </c>
      <c r="K511"/>
    </row>
    <row r="512">
      <c r="A512" t="inlineStr">
        <is>
          <t>API_CYCLOSPORINE_A</t>
        </is>
      </c>
      <c r="B512" t="inlineStr">
        <is>
          <t>payload_type</t>
        </is>
      </c>
      <c r="C512" t="inlineStr">
        <is>
          <t>peptide-like payload</t>
        </is>
      </c>
      <c r="D512"/>
      <c r="E512"/>
      <c r="F512"/>
      <c r="G512" t="inlineStr">
        <is>
          <t>payload taxonomy</t>
        </is>
      </c>
      <c r="H512" t="inlineStr">
        <is>
          <t>S000_USER_SPEC</t>
        </is>
      </c>
      <c r="I512" t="inlineStr">
        <is>
          <t>curated</t>
        </is>
      </c>
      <c r="J512">
        <v>0.8</v>
      </c>
      <c r="K512"/>
    </row>
    <row r="513">
      <c r="A513" t="inlineStr">
        <is>
          <t>API_CYCLOSPORINE_A</t>
        </is>
      </c>
      <c r="B513" t="inlineStr">
        <is>
          <t>route_notes</t>
        </is>
      </c>
      <c r="C513" t="inlineStr">
        <is>
          <t>cyclic peptide; lipid emulsion/self-emulsifying relevance</t>
        </is>
      </c>
      <c r="D513"/>
      <c r="E513"/>
      <c r="F513"/>
      <c r="G513" t="inlineStr">
        <is>
          <t>formulation-relevance annotation</t>
        </is>
      </c>
      <c r="H513" t="inlineStr">
        <is>
          <t>S014_AULTON</t>
        </is>
      </c>
      <c r="I513" t="inlineStr">
        <is>
          <t>curated</t>
        </is>
      </c>
      <c r="J513">
        <v>0.7</v>
      </c>
      <c r="K513"/>
    </row>
    <row r="514">
      <c r="A514" t="inlineStr">
        <is>
          <t>API_CYCLOSPORINE_A</t>
        </is>
      </c>
      <c r="B514" t="inlineStr">
        <is>
          <t>Hansen_delta_D</t>
        </is>
      </c>
      <c r="C514">
        <v>18.2</v>
      </c>
      <c r="D514" t="inlineStr">
        <is>
          <t>MPa^0.5</t>
        </is>
      </c>
      <c r="E514"/>
      <c r="F514"/>
      <c r="G514" t="inlineStr">
        <is>
          <t>heuristic group-contribution/nearest-neighbour</t>
        </is>
      </c>
      <c r="H514" t="inlineStr">
        <is>
          <t>S013_EST_HSP_HEURISTIC</t>
        </is>
      </c>
      <c r="I514" t="inlineStr">
        <is>
          <t>estimated</t>
        </is>
      </c>
      <c r="J514">
        <v>0.43</v>
      </c>
      <c r="K514" t="inlineStr">
        <is>
          <t>Provisional HSP for screening; replace with experimental/literature value before model lock.</t>
        </is>
      </c>
    </row>
    <row r="515">
      <c r="A515" t="inlineStr">
        <is>
          <t>API_CYCLOSPORINE_A</t>
        </is>
      </c>
      <c r="B515" t="inlineStr">
        <is>
          <t>Hansen_delta_P</t>
        </is>
      </c>
      <c r="C515">
        <v>8.0</v>
      </c>
      <c r="D515" t="inlineStr">
        <is>
          <t>MPa^0.5</t>
        </is>
      </c>
      <c r="E515"/>
      <c r="F515"/>
      <c r="G515" t="inlineStr">
        <is>
          <t>heuristic group-contribution/nearest-neighbour</t>
        </is>
      </c>
      <c r="H515" t="inlineStr">
        <is>
          <t>S013_EST_HSP_HEURISTIC</t>
        </is>
      </c>
      <c r="I515" t="inlineStr">
        <is>
          <t>estimated</t>
        </is>
      </c>
      <c r="J515">
        <v>0.43</v>
      </c>
      <c r="K515" t="inlineStr">
        <is>
          <t>Provisional HSP for screening; replace with experimental/literature value before model lock.</t>
        </is>
      </c>
    </row>
    <row r="516">
      <c r="A516" t="inlineStr">
        <is>
          <t>API_CYCLOSPORINE_A</t>
        </is>
      </c>
      <c r="B516" t="inlineStr">
        <is>
          <t>Hansen_delta_H</t>
        </is>
      </c>
      <c r="C516">
        <v>10.0</v>
      </c>
      <c r="D516" t="inlineStr">
        <is>
          <t>MPa^0.5</t>
        </is>
      </c>
      <c r="E516"/>
      <c r="F516"/>
      <c r="G516" t="inlineStr">
        <is>
          <t>heuristic group-contribution/nearest-neighbour</t>
        </is>
      </c>
      <c r="H516" t="inlineStr">
        <is>
          <t>S013_EST_HSP_HEURISTIC</t>
        </is>
      </c>
      <c r="I516" t="inlineStr">
        <is>
          <t>estimated</t>
        </is>
      </c>
      <c r="J516">
        <v>0.43</v>
      </c>
      <c r="K516" t="inlineStr">
        <is>
          <t>Provisional HSP for screening; replace with experimental/literature value before model lock.</t>
        </is>
      </c>
    </row>
    <row r="517">
      <c r="A517" t="inlineStr">
        <is>
          <t>API_CYCLOSPORINE_A</t>
        </is>
      </c>
      <c r="B517" t="inlineStr">
        <is>
          <t>Hildebrand_delta_T</t>
        </is>
      </c>
      <c r="C517">
        <v>22.25</v>
      </c>
      <c r="D517" t="inlineStr">
        <is>
          <t>MPa^0.5</t>
        </is>
      </c>
      <c r="E517"/>
      <c r="F517"/>
      <c r="G517" t="inlineStr">
        <is>
          <t>sqrt(deltaD^2+deltaP^2+deltaH^2)</t>
        </is>
      </c>
      <c r="H517" t="inlineStr">
        <is>
          <t>S012_CALCULATED</t>
        </is>
      </c>
      <c r="I517" t="inlineStr">
        <is>
          <t>calculated</t>
        </is>
      </c>
      <c r="J517">
        <v>0.48</v>
      </c>
      <c r="K517" t="inlineStr">
        <is>
          <t>Derived from stored Hansen components.</t>
        </is>
      </c>
    </row>
    <row r="518">
      <c r="A518" t="inlineStr">
        <is>
          <t>API_CYCLOSPORINE_A</t>
        </is>
      </c>
      <c r="B518" t="inlineStr">
        <is>
          <t>HSP_radius_R0</t>
        </is>
      </c>
      <c r="C518">
        <v>8.5</v>
      </c>
      <c r="D518" t="inlineStr">
        <is>
          <t>MPa^0.5</t>
        </is>
      </c>
      <c r="E518"/>
      <c r="F518"/>
      <c r="G518" t="inlineStr">
        <is>
          <t>literature/heuristic solubility sphere</t>
        </is>
      </c>
      <c r="H518" t="inlineStr">
        <is>
          <t>S013_EST_HSP_HEURISTIC</t>
        </is>
      </c>
      <c r="I518" t="inlineStr">
        <is>
          <t>estimated</t>
        </is>
      </c>
      <c r="J518">
        <v>0.43</v>
      </c>
      <c r="K518" t="inlineStr">
        <is>
          <t>Screening radius only unless experimentally determined.</t>
        </is>
      </c>
    </row>
    <row r="519">
      <c r="A519" t="inlineStr">
        <is>
          <t>API_CYCLOSPORINE_A</t>
        </is>
      </c>
      <c r="B519" t="inlineStr">
        <is>
          <t>molar_volume_cm3_mol</t>
        </is>
      </c>
      <c r="C519">
        <v>1002.17</v>
      </c>
      <c r="D519" t="inlineStr">
        <is>
          <t>cm3/mol</t>
        </is>
      </c>
      <c r="E519"/>
      <c r="F519"/>
      <c r="G519" t="inlineStr">
        <is>
          <t>MW/density estimate</t>
        </is>
      </c>
      <c r="H519" t="inlineStr">
        <is>
          <t>S012_CALCULATED</t>
        </is>
      </c>
      <c r="I519" t="inlineStr">
        <is>
          <t>estimated</t>
        </is>
      </c>
      <c r="J519">
        <v>0.45</v>
      </c>
      <c r="K519" t="inlineStr">
        <is>
          <t>Estimated from MW/density; replace with measured molar volume or density-specific grade data.</t>
        </is>
      </c>
    </row>
    <row r="520">
      <c r="A520" t="inlineStr">
        <is>
          <t>API_TACROLIMUS</t>
        </is>
      </c>
      <c r="B520" t="inlineStr">
        <is>
          <t>molecular_weight_g_mol</t>
        </is>
      </c>
      <c r="C520">
        <v>804.02</v>
      </c>
      <c r="D520" t="inlineStr">
        <is>
          <t>g/mol</t>
        </is>
      </c>
      <c r="E520"/>
      <c r="F520"/>
      <c r="G520" t="inlineStr">
        <is>
          <t>PubChem/handbook curation</t>
        </is>
      </c>
      <c r="H520" t="inlineStr">
        <is>
          <t>S001_PUBCHEM</t>
        </is>
      </c>
      <c r="I520" t="inlineStr">
        <is>
          <t>database-derived</t>
        </is>
      </c>
      <c r="J520">
        <v>0.88</v>
      </c>
      <c r="K520"/>
    </row>
    <row r="521">
      <c r="A521" t="inlineStr">
        <is>
          <t>API_TACROLIMUS</t>
        </is>
      </c>
      <c r="B521" t="inlineStr">
        <is>
          <t>molecular_formula</t>
        </is>
      </c>
      <c r="C521" t="inlineStr">
        <is>
          <t>C44H69NO12</t>
        </is>
      </c>
      <c r="D521"/>
      <c r="E521"/>
      <c r="F521"/>
      <c r="G521" t="inlineStr">
        <is>
          <t>PubChem/handbook curation</t>
        </is>
      </c>
      <c r="H521" t="inlineStr">
        <is>
          <t>S001_PUBCHEM</t>
        </is>
      </c>
      <c r="I521" t="inlineStr">
        <is>
          <t>database-derived</t>
        </is>
      </c>
      <c r="J521">
        <v>0.85</v>
      </c>
      <c r="K521"/>
    </row>
    <row r="522">
      <c r="A522" t="inlineStr">
        <is>
          <t>API_TACROLIMUS</t>
        </is>
      </c>
      <c r="B522" t="inlineStr">
        <is>
          <t>LogP</t>
        </is>
      </c>
      <c r="C522">
        <v>3.3</v>
      </c>
      <c r="D522"/>
      <c r="E522"/>
      <c r="F522"/>
      <c r="G522" t="inlineStr">
        <is>
          <t>computed/curated XLogP or literature consensus</t>
        </is>
      </c>
      <c r="H522" t="inlineStr">
        <is>
          <t>S001_PUBCHEM</t>
        </is>
      </c>
      <c r="I522" t="inlineStr">
        <is>
          <t>database-derived</t>
        </is>
      </c>
      <c r="J522">
        <v>0.72</v>
      </c>
      <c r="K522" t="inlineStr">
        <is>
          <t>Approximate; salt/tautomer state may alter.</t>
        </is>
      </c>
    </row>
    <row r="523">
      <c r="A523" t="inlineStr">
        <is>
          <t>API_TACROLIMUS</t>
        </is>
      </c>
      <c r="B523" t="inlineStr">
        <is>
          <t>formal_charge</t>
        </is>
      </c>
      <c r="C523">
        <v>0</v>
      </c>
      <c r="D523" t="inlineStr">
        <is>
          <t>e</t>
        </is>
      </c>
      <c r="E523"/>
      <c r="F523"/>
      <c r="G523" t="inlineStr">
        <is>
          <t>canonical neutral parent/salt-free structure</t>
        </is>
      </c>
      <c r="H523" t="inlineStr">
        <is>
          <t>S001_PUBCHEM</t>
        </is>
      </c>
      <c r="I523" t="inlineStr">
        <is>
          <t>database-derived</t>
        </is>
      </c>
      <c r="J523">
        <v>0.82</v>
      </c>
      <c r="K523" t="inlineStr">
        <is>
          <t>Use salt-specific material row for ionic salts.</t>
        </is>
      </c>
    </row>
    <row r="524">
      <c r="A524" t="inlineStr">
        <is>
          <t>API_TACROLIMUS</t>
        </is>
      </c>
      <c r="B524" t="inlineStr">
        <is>
          <t>water_solubility_mg_ml</t>
        </is>
      </c>
      <c r="C524">
        <v>0.001</v>
      </c>
      <c r="D524" t="inlineStr">
        <is>
          <t>mg/mL</t>
        </is>
      </c>
      <c r="E524"/>
      <c r="F524"/>
      <c r="G524" t="inlineStr">
        <is>
          <t>literature/aqueous solubility range approximated</t>
        </is>
      </c>
      <c r="H524" t="inlineStr">
        <is>
          <t>S001_PUBCHEM</t>
        </is>
      </c>
      <c r="I524" t="inlineStr">
        <is>
          <t>estimated</t>
        </is>
      </c>
      <c r="J524">
        <v>0.45</v>
      </c>
      <c r="K524" t="inlineStr">
        <is>
          <t>Highly pH- and salt-form-dependent.</t>
        </is>
      </c>
    </row>
    <row r="525">
      <c r="A525" t="inlineStr">
        <is>
          <t>API_TACROLIMUS</t>
        </is>
      </c>
      <c r="B525" t="inlineStr">
        <is>
          <t>melting_point_C</t>
        </is>
      </c>
      <c r="C525">
        <v>126</v>
      </c>
      <c r="D525" t="inlineStr">
        <is>
          <t>°C</t>
        </is>
      </c>
      <c r="E525"/>
      <c r="F525"/>
      <c r="G525" t="inlineStr">
        <is>
          <t>literature/supplier melting range</t>
        </is>
      </c>
      <c r="H525" t="inlineStr">
        <is>
          <t>S001_PUBCHEM</t>
        </is>
      </c>
      <c r="I525" t="inlineStr">
        <is>
          <t>handbook</t>
        </is>
      </c>
      <c r="J525">
        <v>0.65</v>
      </c>
      <c r="K525" t="inlineStr">
        <is>
          <t>Use polymorph-specific data when available.</t>
        </is>
      </c>
    </row>
    <row r="526">
      <c r="A526" t="inlineStr">
        <is>
          <t>API_TACROLIMUS</t>
        </is>
      </c>
      <c r="B526" t="inlineStr">
        <is>
          <t>TPSA</t>
        </is>
      </c>
      <c r="C526">
        <v>178.0</v>
      </c>
      <c r="D526" t="inlineStr">
        <is>
          <t>Å²</t>
        </is>
      </c>
      <c r="E526"/>
      <c r="F526"/>
      <c r="G526" t="inlineStr">
        <is>
          <t>computed descriptor</t>
        </is>
      </c>
      <c r="H526" t="inlineStr">
        <is>
          <t>S001_PUBCHEM</t>
        </is>
      </c>
      <c r="I526" t="inlineStr">
        <is>
          <t>database-derived</t>
        </is>
      </c>
      <c r="J526">
        <v>0.82</v>
      </c>
      <c r="K526"/>
    </row>
    <row r="527">
      <c r="A527" t="inlineStr">
        <is>
          <t>API_TACROLIMUS</t>
        </is>
      </c>
      <c r="B527" t="inlineStr">
        <is>
          <t>HBD</t>
        </is>
      </c>
      <c r="C527">
        <v>3</v>
      </c>
      <c r="D527" t="inlineStr">
        <is>
          <t>count</t>
        </is>
      </c>
      <c r="E527"/>
      <c r="F527"/>
      <c r="G527" t="inlineStr">
        <is>
          <t>computed descriptor</t>
        </is>
      </c>
      <c r="H527" t="inlineStr">
        <is>
          <t>S001_PUBCHEM</t>
        </is>
      </c>
      <c r="I527" t="inlineStr">
        <is>
          <t>database-derived</t>
        </is>
      </c>
      <c r="J527">
        <v>0.82</v>
      </c>
      <c r="K527"/>
    </row>
    <row r="528">
      <c r="A528" t="inlineStr">
        <is>
          <t>API_TACROLIMUS</t>
        </is>
      </c>
      <c r="B528" t="inlineStr">
        <is>
          <t>HBA</t>
        </is>
      </c>
      <c r="C528">
        <v>12</v>
      </c>
      <c r="D528" t="inlineStr">
        <is>
          <t>count</t>
        </is>
      </c>
      <c r="E528"/>
      <c r="F528"/>
      <c r="G528" t="inlineStr">
        <is>
          <t>computed descriptor</t>
        </is>
      </c>
      <c r="H528" t="inlineStr">
        <is>
          <t>S001_PUBCHEM</t>
        </is>
      </c>
      <c r="I528" t="inlineStr">
        <is>
          <t>database-derived</t>
        </is>
      </c>
      <c r="J528">
        <v>0.82</v>
      </c>
      <c r="K528"/>
    </row>
    <row r="529">
      <c r="A529" t="inlineStr">
        <is>
          <t>API_TACROLIMUS</t>
        </is>
      </c>
      <c r="B529" t="inlineStr">
        <is>
          <t>rotatable_bonds</t>
        </is>
      </c>
      <c r="C529">
        <v>10</v>
      </c>
      <c r="D529" t="inlineStr">
        <is>
          <t>count</t>
        </is>
      </c>
      <c r="E529"/>
      <c r="F529"/>
      <c r="G529" t="inlineStr">
        <is>
          <t>computed descriptor</t>
        </is>
      </c>
      <c r="H529" t="inlineStr">
        <is>
          <t>S001_PUBCHEM</t>
        </is>
      </c>
      <c r="I529" t="inlineStr">
        <is>
          <t>database-derived</t>
        </is>
      </c>
      <c r="J529">
        <v>0.82</v>
      </c>
      <c r="K529"/>
    </row>
    <row r="530">
      <c r="A530" t="inlineStr">
        <is>
          <t>API_TACROLIMUS</t>
        </is>
      </c>
      <c r="B530" t="inlineStr">
        <is>
          <t>aromatic_rings</t>
        </is>
      </c>
      <c r="C530">
        <v>1</v>
      </c>
      <c r="D530" t="inlineStr">
        <is>
          <t>count</t>
        </is>
      </c>
      <c r="E530"/>
      <c r="F530"/>
      <c r="G530" t="inlineStr">
        <is>
          <t>manual structural count</t>
        </is>
      </c>
      <c r="H530" t="inlineStr">
        <is>
          <t>S001_PUBCHEM</t>
        </is>
      </c>
      <c r="I530" t="inlineStr">
        <is>
          <t>estimated</t>
        </is>
      </c>
      <c r="J530">
        <v>0.6</v>
      </c>
      <c r="K530"/>
    </row>
    <row r="531">
      <c r="A531" t="inlineStr">
        <is>
          <t>API_TACROLIMUS</t>
        </is>
      </c>
      <c r="B531" t="inlineStr">
        <is>
          <t>BCS_class</t>
        </is>
      </c>
      <c r="C531" t="inlineStr">
        <is>
          <t>II/IV</t>
        </is>
      </c>
      <c r="D531"/>
      <c r="E531"/>
      <c r="F531"/>
      <c r="G531" t="inlineStr">
        <is>
          <t>literature consensus/placeholder</t>
        </is>
      </c>
      <c r="H531" t="inlineStr">
        <is>
          <t>S007_EXCIPIENTS_HANDBOOK</t>
        </is>
      </c>
      <c r="I531" t="inlineStr">
        <is>
          <t>estimated</t>
        </is>
      </c>
      <c r="J531">
        <v>0.4</v>
      </c>
      <c r="K531" t="inlineStr">
        <is>
          <t>Must be curated from API-specific biopharmaceutics sources.</t>
        </is>
      </c>
    </row>
    <row r="532">
      <c r="A532" t="inlineStr">
        <is>
          <t>API_TACROLIMUS</t>
        </is>
      </c>
      <c r="B532" t="inlineStr">
        <is>
          <t>therapeutic_class</t>
        </is>
      </c>
      <c r="C532" t="inlineStr">
        <is>
          <t>macrolide immunosuppressant</t>
        </is>
      </c>
      <c r="D532"/>
      <c r="E532"/>
      <c r="F532"/>
      <c r="G532" t="inlineStr">
        <is>
          <t>manual therapeutic annotation</t>
        </is>
      </c>
      <c r="H532" t="inlineStr">
        <is>
          <t>S001_PUBCHEM</t>
        </is>
      </c>
      <c r="I532" t="inlineStr">
        <is>
          <t>database-derived</t>
        </is>
      </c>
      <c r="J532">
        <v>0.75</v>
      </c>
      <c r="K532"/>
    </row>
    <row r="533">
      <c r="A533" t="inlineStr">
        <is>
          <t>API_TACROLIMUS</t>
        </is>
      </c>
      <c r="B533" t="inlineStr">
        <is>
          <t>payload_type</t>
        </is>
      </c>
      <c r="C533" t="inlineStr">
        <is>
          <t>small_molecule_API</t>
        </is>
      </c>
      <c r="D533"/>
      <c r="E533"/>
      <c r="F533"/>
      <c r="G533" t="inlineStr">
        <is>
          <t>payload taxonomy</t>
        </is>
      </c>
      <c r="H533" t="inlineStr">
        <is>
          <t>S000_USER_SPEC</t>
        </is>
      </c>
      <c r="I533" t="inlineStr">
        <is>
          <t>curated</t>
        </is>
      </c>
      <c r="J533">
        <v>0.8</v>
      </c>
      <c r="K533"/>
    </row>
    <row r="534">
      <c r="A534" t="inlineStr">
        <is>
          <t>API_TACROLIMUS</t>
        </is>
      </c>
      <c r="B534" t="inlineStr">
        <is>
          <t>route_notes</t>
        </is>
      </c>
      <c r="C534" t="inlineStr">
        <is>
          <t>macrolide immunosuppressant</t>
        </is>
      </c>
      <c r="D534"/>
      <c r="E534"/>
      <c r="F534"/>
      <c r="G534" t="inlineStr">
        <is>
          <t>formulation-relevance annotation</t>
        </is>
      </c>
      <c r="H534" t="inlineStr">
        <is>
          <t>S014_AULTON</t>
        </is>
      </c>
      <c r="I534" t="inlineStr">
        <is>
          <t>curated</t>
        </is>
      </c>
      <c r="J534">
        <v>0.7</v>
      </c>
      <c r="K534"/>
    </row>
    <row r="535">
      <c r="A535" t="inlineStr">
        <is>
          <t>API_TACROLIMUS</t>
        </is>
      </c>
      <c r="B535" t="inlineStr">
        <is>
          <t>Hansen_delta_D</t>
        </is>
      </c>
      <c r="C535">
        <v>18.2</v>
      </c>
      <c r="D535" t="inlineStr">
        <is>
          <t>MPa^0.5</t>
        </is>
      </c>
      <c r="E535"/>
      <c r="F535"/>
      <c r="G535" t="inlineStr">
        <is>
          <t>heuristic group-contribution/nearest-neighbour</t>
        </is>
      </c>
      <c r="H535" t="inlineStr">
        <is>
          <t>S013_EST_HSP_HEURISTIC</t>
        </is>
      </c>
      <c r="I535" t="inlineStr">
        <is>
          <t>estimated</t>
        </is>
      </c>
      <c r="J535">
        <v>0.43</v>
      </c>
      <c r="K535" t="inlineStr">
        <is>
          <t>Provisional HSP for screening; replace with experimental/literature value before model lock.</t>
        </is>
      </c>
    </row>
    <row r="536">
      <c r="A536" t="inlineStr">
        <is>
          <t>API_TACROLIMUS</t>
        </is>
      </c>
      <c r="B536" t="inlineStr">
        <is>
          <t>Hansen_delta_P</t>
        </is>
      </c>
      <c r="C536">
        <v>8.0</v>
      </c>
      <c r="D536" t="inlineStr">
        <is>
          <t>MPa^0.5</t>
        </is>
      </c>
      <c r="E536"/>
      <c r="F536"/>
      <c r="G536" t="inlineStr">
        <is>
          <t>heuristic group-contribution/nearest-neighbour</t>
        </is>
      </c>
      <c r="H536" t="inlineStr">
        <is>
          <t>S013_EST_HSP_HEURISTIC</t>
        </is>
      </c>
      <c r="I536" t="inlineStr">
        <is>
          <t>estimated</t>
        </is>
      </c>
      <c r="J536">
        <v>0.43</v>
      </c>
      <c r="K536" t="inlineStr">
        <is>
          <t>Provisional HSP for screening; replace with experimental/literature value before model lock.</t>
        </is>
      </c>
    </row>
    <row r="537">
      <c r="A537" t="inlineStr">
        <is>
          <t>API_TACROLIMUS</t>
        </is>
      </c>
      <c r="B537" t="inlineStr">
        <is>
          <t>Hansen_delta_H</t>
        </is>
      </c>
      <c r="C537">
        <v>10.0</v>
      </c>
      <c r="D537" t="inlineStr">
        <is>
          <t>MPa^0.5</t>
        </is>
      </c>
      <c r="E537"/>
      <c r="F537"/>
      <c r="G537" t="inlineStr">
        <is>
          <t>heuristic group-contribution/nearest-neighbour</t>
        </is>
      </c>
      <c r="H537" t="inlineStr">
        <is>
          <t>S013_EST_HSP_HEURISTIC</t>
        </is>
      </c>
      <c r="I537" t="inlineStr">
        <is>
          <t>estimated</t>
        </is>
      </c>
      <c r="J537">
        <v>0.43</v>
      </c>
      <c r="K537" t="inlineStr">
        <is>
          <t>Provisional HSP for screening; replace with experimental/literature value before model lock.</t>
        </is>
      </c>
    </row>
    <row r="538">
      <c r="A538" t="inlineStr">
        <is>
          <t>API_TACROLIMUS</t>
        </is>
      </c>
      <c r="B538" t="inlineStr">
        <is>
          <t>Hildebrand_delta_T</t>
        </is>
      </c>
      <c r="C538">
        <v>22.25</v>
      </c>
      <c r="D538" t="inlineStr">
        <is>
          <t>MPa^0.5</t>
        </is>
      </c>
      <c r="E538"/>
      <c r="F538"/>
      <c r="G538" t="inlineStr">
        <is>
          <t>sqrt(deltaD^2+deltaP^2+deltaH^2)</t>
        </is>
      </c>
      <c r="H538" t="inlineStr">
        <is>
          <t>S012_CALCULATED</t>
        </is>
      </c>
      <c r="I538" t="inlineStr">
        <is>
          <t>calculated</t>
        </is>
      </c>
      <c r="J538">
        <v>0.48</v>
      </c>
      <c r="K538" t="inlineStr">
        <is>
          <t>Derived from stored Hansen components.</t>
        </is>
      </c>
    </row>
    <row r="539">
      <c r="A539" t="inlineStr">
        <is>
          <t>API_TACROLIMUS</t>
        </is>
      </c>
      <c r="B539" t="inlineStr">
        <is>
          <t>HSP_radius_R0</t>
        </is>
      </c>
      <c r="C539">
        <v>8.5</v>
      </c>
      <c r="D539" t="inlineStr">
        <is>
          <t>MPa^0.5</t>
        </is>
      </c>
      <c r="E539"/>
      <c r="F539"/>
      <c r="G539" t="inlineStr">
        <is>
          <t>literature/heuristic solubility sphere</t>
        </is>
      </c>
      <c r="H539" t="inlineStr">
        <is>
          <t>S013_EST_HSP_HEURISTIC</t>
        </is>
      </c>
      <c r="I539" t="inlineStr">
        <is>
          <t>estimated</t>
        </is>
      </c>
      <c r="J539">
        <v>0.43</v>
      </c>
      <c r="K539" t="inlineStr">
        <is>
          <t>Screening radius only unless experimentally determined.</t>
        </is>
      </c>
    </row>
    <row r="540">
      <c r="A540" t="inlineStr">
        <is>
          <t>API_TACROLIMUS</t>
        </is>
      </c>
      <c r="B540" t="inlineStr">
        <is>
          <t>molar_volume_cm3_mol</t>
        </is>
      </c>
      <c r="C540">
        <v>670.02</v>
      </c>
      <c r="D540" t="inlineStr">
        <is>
          <t>cm3/mol</t>
        </is>
      </c>
      <c r="E540"/>
      <c r="F540"/>
      <c r="G540" t="inlineStr">
        <is>
          <t>MW/density estimate</t>
        </is>
      </c>
      <c r="H540" t="inlineStr">
        <is>
          <t>S012_CALCULATED</t>
        </is>
      </c>
      <c r="I540" t="inlineStr">
        <is>
          <t>estimated</t>
        </is>
      </c>
      <c r="J540">
        <v>0.45</v>
      </c>
      <c r="K540" t="inlineStr">
        <is>
          <t>Estimated from MW/density; replace with measured molar volume or density-specific grade data.</t>
        </is>
      </c>
    </row>
    <row r="541">
      <c r="A541" t="inlineStr">
        <is>
          <t>API_SIROLIMUS</t>
        </is>
      </c>
      <c r="B541" t="inlineStr">
        <is>
          <t>molecular_weight_g_mol</t>
        </is>
      </c>
      <c r="C541">
        <v>914.17</v>
      </c>
      <c r="D541" t="inlineStr">
        <is>
          <t>g/mol</t>
        </is>
      </c>
      <c r="E541"/>
      <c r="F541"/>
      <c r="G541" t="inlineStr">
        <is>
          <t>PubChem/handbook curation</t>
        </is>
      </c>
      <c r="H541" t="inlineStr">
        <is>
          <t>S001_PUBCHEM</t>
        </is>
      </c>
      <c r="I541" t="inlineStr">
        <is>
          <t>database-derived</t>
        </is>
      </c>
      <c r="J541">
        <v>0.88</v>
      </c>
      <c r="K541"/>
    </row>
    <row r="542">
      <c r="A542" t="inlineStr">
        <is>
          <t>API_SIROLIMUS</t>
        </is>
      </c>
      <c r="B542" t="inlineStr">
        <is>
          <t>molecular_formula</t>
        </is>
      </c>
      <c r="C542" t="inlineStr">
        <is>
          <t>C51H79NO13</t>
        </is>
      </c>
      <c r="D542"/>
      <c r="E542"/>
      <c r="F542"/>
      <c r="G542" t="inlineStr">
        <is>
          <t>PubChem/handbook curation</t>
        </is>
      </c>
      <c r="H542" t="inlineStr">
        <is>
          <t>S001_PUBCHEM</t>
        </is>
      </c>
      <c r="I542" t="inlineStr">
        <is>
          <t>database-derived</t>
        </is>
      </c>
      <c r="J542">
        <v>0.85</v>
      </c>
      <c r="K542"/>
    </row>
    <row r="543">
      <c r="A543" t="inlineStr">
        <is>
          <t>API_SIROLIMUS</t>
        </is>
      </c>
      <c r="B543" t="inlineStr">
        <is>
          <t>LogP</t>
        </is>
      </c>
      <c r="C543">
        <v>4.3</v>
      </c>
      <c r="D543"/>
      <c r="E543"/>
      <c r="F543"/>
      <c r="G543" t="inlineStr">
        <is>
          <t>computed/curated XLogP or literature consensus</t>
        </is>
      </c>
      <c r="H543" t="inlineStr">
        <is>
          <t>S001_PUBCHEM</t>
        </is>
      </c>
      <c r="I543" t="inlineStr">
        <is>
          <t>database-derived</t>
        </is>
      </c>
      <c r="J543">
        <v>0.72</v>
      </c>
      <c r="K543" t="inlineStr">
        <is>
          <t>Approximate; salt/tautomer state may alter.</t>
        </is>
      </c>
    </row>
    <row r="544">
      <c r="A544" t="inlineStr">
        <is>
          <t>API_SIROLIMUS</t>
        </is>
      </c>
      <c r="B544" t="inlineStr">
        <is>
          <t>formal_charge</t>
        </is>
      </c>
      <c r="C544">
        <v>0</v>
      </c>
      <c r="D544" t="inlineStr">
        <is>
          <t>e</t>
        </is>
      </c>
      <c r="E544"/>
      <c r="F544"/>
      <c r="G544" t="inlineStr">
        <is>
          <t>canonical neutral parent/salt-free structure</t>
        </is>
      </c>
      <c r="H544" t="inlineStr">
        <is>
          <t>S001_PUBCHEM</t>
        </is>
      </c>
      <c r="I544" t="inlineStr">
        <is>
          <t>database-derived</t>
        </is>
      </c>
      <c r="J544">
        <v>0.82</v>
      </c>
      <c r="K544" t="inlineStr">
        <is>
          <t>Use salt-specific material row for ionic salts.</t>
        </is>
      </c>
    </row>
    <row r="545">
      <c r="A545" t="inlineStr">
        <is>
          <t>API_SIROLIMUS</t>
        </is>
      </c>
      <c r="B545" t="inlineStr">
        <is>
          <t>water_solubility_mg_ml</t>
        </is>
      </c>
      <c r="C545">
        <v>0.0026</v>
      </c>
      <c r="D545" t="inlineStr">
        <is>
          <t>mg/mL</t>
        </is>
      </c>
      <c r="E545"/>
      <c r="F545"/>
      <c r="G545" t="inlineStr">
        <is>
          <t>literature/aqueous solubility range approximated</t>
        </is>
      </c>
      <c r="H545" t="inlineStr">
        <is>
          <t>S001_PUBCHEM</t>
        </is>
      </c>
      <c r="I545" t="inlineStr">
        <is>
          <t>estimated</t>
        </is>
      </c>
      <c r="J545">
        <v>0.45</v>
      </c>
      <c r="K545" t="inlineStr">
        <is>
          <t>Highly pH- and salt-form-dependent.</t>
        </is>
      </c>
    </row>
    <row r="546">
      <c r="A546" t="inlineStr">
        <is>
          <t>API_SIROLIMUS</t>
        </is>
      </c>
      <c r="B546" t="inlineStr">
        <is>
          <t>melting_point_C</t>
        </is>
      </c>
      <c r="C546">
        <v>183</v>
      </c>
      <c r="D546" t="inlineStr">
        <is>
          <t>°C</t>
        </is>
      </c>
      <c r="E546"/>
      <c r="F546"/>
      <c r="G546" t="inlineStr">
        <is>
          <t>literature/supplier melting range</t>
        </is>
      </c>
      <c r="H546" t="inlineStr">
        <is>
          <t>S001_PUBCHEM</t>
        </is>
      </c>
      <c r="I546" t="inlineStr">
        <is>
          <t>handbook</t>
        </is>
      </c>
      <c r="J546">
        <v>0.65</v>
      </c>
      <c r="K546" t="inlineStr">
        <is>
          <t>Use polymorph-specific data when available.</t>
        </is>
      </c>
    </row>
    <row r="547">
      <c r="A547" t="inlineStr">
        <is>
          <t>API_SIROLIMUS</t>
        </is>
      </c>
      <c r="B547" t="inlineStr">
        <is>
          <t>TPSA</t>
        </is>
      </c>
      <c r="C547">
        <v>195.0</v>
      </c>
      <c r="D547" t="inlineStr">
        <is>
          <t>Å²</t>
        </is>
      </c>
      <c r="E547"/>
      <c r="F547"/>
      <c r="G547" t="inlineStr">
        <is>
          <t>computed descriptor</t>
        </is>
      </c>
      <c r="H547" t="inlineStr">
        <is>
          <t>S001_PUBCHEM</t>
        </is>
      </c>
      <c r="I547" t="inlineStr">
        <is>
          <t>database-derived</t>
        </is>
      </c>
      <c r="J547">
        <v>0.82</v>
      </c>
      <c r="K547"/>
    </row>
    <row r="548">
      <c r="A548" t="inlineStr">
        <is>
          <t>API_SIROLIMUS</t>
        </is>
      </c>
      <c r="B548" t="inlineStr">
        <is>
          <t>HBD</t>
        </is>
      </c>
      <c r="C548">
        <v>3</v>
      </c>
      <c r="D548" t="inlineStr">
        <is>
          <t>count</t>
        </is>
      </c>
      <c r="E548"/>
      <c r="F548"/>
      <c r="G548" t="inlineStr">
        <is>
          <t>computed descriptor</t>
        </is>
      </c>
      <c r="H548" t="inlineStr">
        <is>
          <t>S001_PUBCHEM</t>
        </is>
      </c>
      <c r="I548" t="inlineStr">
        <is>
          <t>database-derived</t>
        </is>
      </c>
      <c r="J548">
        <v>0.82</v>
      </c>
      <c r="K548"/>
    </row>
    <row r="549">
      <c r="A549" t="inlineStr">
        <is>
          <t>API_SIROLIMUS</t>
        </is>
      </c>
      <c r="B549" t="inlineStr">
        <is>
          <t>HBA</t>
        </is>
      </c>
      <c r="C549">
        <v>13</v>
      </c>
      <c r="D549" t="inlineStr">
        <is>
          <t>count</t>
        </is>
      </c>
      <c r="E549"/>
      <c r="F549"/>
      <c r="G549" t="inlineStr">
        <is>
          <t>computed descriptor</t>
        </is>
      </c>
      <c r="H549" t="inlineStr">
        <is>
          <t>S001_PUBCHEM</t>
        </is>
      </c>
      <c r="I549" t="inlineStr">
        <is>
          <t>database-derived</t>
        </is>
      </c>
      <c r="J549">
        <v>0.82</v>
      </c>
      <c r="K549"/>
    </row>
    <row r="550">
      <c r="A550" t="inlineStr">
        <is>
          <t>API_SIROLIMUS</t>
        </is>
      </c>
      <c r="B550" t="inlineStr">
        <is>
          <t>rotatable_bonds</t>
        </is>
      </c>
      <c r="C550">
        <v>11</v>
      </c>
      <c r="D550" t="inlineStr">
        <is>
          <t>count</t>
        </is>
      </c>
      <c r="E550"/>
      <c r="F550"/>
      <c r="G550" t="inlineStr">
        <is>
          <t>computed descriptor</t>
        </is>
      </c>
      <c r="H550" t="inlineStr">
        <is>
          <t>S001_PUBCHEM</t>
        </is>
      </c>
      <c r="I550" t="inlineStr">
        <is>
          <t>database-derived</t>
        </is>
      </c>
      <c r="J550">
        <v>0.82</v>
      </c>
      <c r="K550"/>
    </row>
    <row r="551">
      <c r="A551" t="inlineStr">
        <is>
          <t>API_SIROLIMUS</t>
        </is>
      </c>
      <c r="B551" t="inlineStr">
        <is>
          <t>aromatic_rings</t>
        </is>
      </c>
      <c r="C551">
        <v>1</v>
      </c>
      <c r="D551" t="inlineStr">
        <is>
          <t>count</t>
        </is>
      </c>
      <c r="E551"/>
      <c r="F551"/>
      <c r="G551" t="inlineStr">
        <is>
          <t>manual structural count</t>
        </is>
      </c>
      <c r="H551" t="inlineStr">
        <is>
          <t>S001_PUBCHEM</t>
        </is>
      </c>
      <c r="I551" t="inlineStr">
        <is>
          <t>estimated</t>
        </is>
      </c>
      <c r="J551">
        <v>0.6</v>
      </c>
      <c r="K551"/>
    </row>
    <row r="552">
      <c r="A552" t="inlineStr">
        <is>
          <t>API_SIROLIMUS</t>
        </is>
      </c>
      <c r="B552" t="inlineStr">
        <is>
          <t>BCS_class</t>
        </is>
      </c>
      <c r="C552" t="inlineStr">
        <is>
          <t>II/IV</t>
        </is>
      </c>
      <c r="D552"/>
      <c r="E552"/>
      <c r="F552"/>
      <c r="G552" t="inlineStr">
        <is>
          <t>literature consensus/placeholder</t>
        </is>
      </c>
      <c r="H552" t="inlineStr">
        <is>
          <t>S007_EXCIPIENTS_HANDBOOK</t>
        </is>
      </c>
      <c r="I552" t="inlineStr">
        <is>
          <t>estimated</t>
        </is>
      </c>
      <c r="J552">
        <v>0.4</v>
      </c>
      <c r="K552" t="inlineStr">
        <is>
          <t>Must be curated from API-specific biopharmaceutics sources.</t>
        </is>
      </c>
    </row>
    <row r="553">
      <c r="A553" t="inlineStr">
        <is>
          <t>API_SIROLIMUS</t>
        </is>
      </c>
      <c r="B553" t="inlineStr">
        <is>
          <t>therapeutic_class</t>
        </is>
      </c>
      <c r="C553" t="inlineStr">
        <is>
          <t>mTOR inhibitor macrolide</t>
        </is>
      </c>
      <c r="D553"/>
      <c r="E553"/>
      <c r="F553"/>
      <c r="G553" t="inlineStr">
        <is>
          <t>manual therapeutic annotation</t>
        </is>
      </c>
      <c r="H553" t="inlineStr">
        <is>
          <t>S001_PUBCHEM</t>
        </is>
      </c>
      <c r="I553" t="inlineStr">
        <is>
          <t>database-derived</t>
        </is>
      </c>
      <c r="J553">
        <v>0.75</v>
      </c>
      <c r="K553"/>
    </row>
    <row r="554">
      <c r="A554" t="inlineStr">
        <is>
          <t>API_SIROLIMUS</t>
        </is>
      </c>
      <c r="B554" t="inlineStr">
        <is>
          <t>payload_type</t>
        </is>
      </c>
      <c r="C554" t="inlineStr">
        <is>
          <t>small_molecule_API</t>
        </is>
      </c>
      <c r="D554"/>
      <c r="E554"/>
      <c r="F554"/>
      <c r="G554" t="inlineStr">
        <is>
          <t>payload taxonomy</t>
        </is>
      </c>
      <c r="H554" t="inlineStr">
        <is>
          <t>S000_USER_SPEC</t>
        </is>
      </c>
      <c r="I554" t="inlineStr">
        <is>
          <t>curated</t>
        </is>
      </c>
      <c r="J554">
        <v>0.8</v>
      </c>
      <c r="K554"/>
    </row>
    <row r="555">
      <c r="A555" t="inlineStr">
        <is>
          <t>API_SIROLIMUS</t>
        </is>
      </c>
      <c r="B555" t="inlineStr">
        <is>
          <t>route_notes</t>
        </is>
      </c>
      <c r="C555" t="inlineStr">
        <is>
          <t>macrolide; amorphous/polymer stabilization candidate</t>
        </is>
      </c>
      <c r="D555"/>
      <c r="E555"/>
      <c r="F555"/>
      <c r="G555" t="inlineStr">
        <is>
          <t>formulation-relevance annotation</t>
        </is>
      </c>
      <c r="H555" t="inlineStr">
        <is>
          <t>S014_AULTON</t>
        </is>
      </c>
      <c r="I555" t="inlineStr">
        <is>
          <t>curated</t>
        </is>
      </c>
      <c r="J555">
        <v>0.7</v>
      </c>
      <c r="K555"/>
    </row>
    <row r="556">
      <c r="A556" t="inlineStr">
        <is>
          <t>API_SIROLIMUS</t>
        </is>
      </c>
      <c r="B556" t="inlineStr">
        <is>
          <t>Hansen_delta_D</t>
        </is>
      </c>
      <c r="C556">
        <v>18.2</v>
      </c>
      <c r="D556" t="inlineStr">
        <is>
          <t>MPa^0.5</t>
        </is>
      </c>
      <c r="E556"/>
      <c r="F556"/>
      <c r="G556" t="inlineStr">
        <is>
          <t>heuristic group-contribution/nearest-neighbour</t>
        </is>
      </c>
      <c r="H556" t="inlineStr">
        <is>
          <t>S013_EST_HSP_HEURISTIC</t>
        </is>
      </c>
      <c r="I556" t="inlineStr">
        <is>
          <t>estimated</t>
        </is>
      </c>
      <c r="J556">
        <v>0.43</v>
      </c>
      <c r="K556" t="inlineStr">
        <is>
          <t>Provisional HSP for screening; replace with experimental/literature value before model lock.</t>
        </is>
      </c>
    </row>
    <row r="557">
      <c r="A557" t="inlineStr">
        <is>
          <t>API_SIROLIMUS</t>
        </is>
      </c>
      <c r="B557" t="inlineStr">
        <is>
          <t>Hansen_delta_P</t>
        </is>
      </c>
      <c r="C557">
        <v>8.0</v>
      </c>
      <c r="D557" t="inlineStr">
        <is>
          <t>MPa^0.5</t>
        </is>
      </c>
      <c r="E557"/>
      <c r="F557"/>
      <c r="G557" t="inlineStr">
        <is>
          <t>heuristic group-contribution/nearest-neighbour</t>
        </is>
      </c>
      <c r="H557" t="inlineStr">
        <is>
          <t>S013_EST_HSP_HEURISTIC</t>
        </is>
      </c>
      <c r="I557" t="inlineStr">
        <is>
          <t>estimated</t>
        </is>
      </c>
      <c r="J557">
        <v>0.43</v>
      </c>
      <c r="K557" t="inlineStr">
        <is>
          <t>Provisional HSP for screening; replace with experimental/literature value before model lock.</t>
        </is>
      </c>
    </row>
    <row r="558">
      <c r="A558" t="inlineStr">
        <is>
          <t>API_SIROLIMUS</t>
        </is>
      </c>
      <c r="B558" t="inlineStr">
        <is>
          <t>Hansen_delta_H</t>
        </is>
      </c>
      <c r="C558">
        <v>10.0</v>
      </c>
      <c r="D558" t="inlineStr">
        <is>
          <t>MPa^0.5</t>
        </is>
      </c>
      <c r="E558"/>
      <c r="F558"/>
      <c r="G558" t="inlineStr">
        <is>
          <t>heuristic group-contribution/nearest-neighbour</t>
        </is>
      </c>
      <c r="H558" t="inlineStr">
        <is>
          <t>S013_EST_HSP_HEURISTIC</t>
        </is>
      </c>
      <c r="I558" t="inlineStr">
        <is>
          <t>estimated</t>
        </is>
      </c>
      <c r="J558">
        <v>0.43</v>
      </c>
      <c r="K558" t="inlineStr">
        <is>
          <t>Provisional HSP for screening; replace with experimental/literature value before model lock.</t>
        </is>
      </c>
    </row>
    <row r="559">
      <c r="A559" t="inlineStr">
        <is>
          <t>API_SIROLIMUS</t>
        </is>
      </c>
      <c r="B559" t="inlineStr">
        <is>
          <t>Hildebrand_delta_T</t>
        </is>
      </c>
      <c r="C559">
        <v>22.25</v>
      </c>
      <c r="D559" t="inlineStr">
        <is>
          <t>MPa^0.5</t>
        </is>
      </c>
      <c r="E559"/>
      <c r="F559"/>
      <c r="G559" t="inlineStr">
        <is>
          <t>sqrt(deltaD^2+deltaP^2+deltaH^2)</t>
        </is>
      </c>
      <c r="H559" t="inlineStr">
        <is>
          <t>S012_CALCULATED</t>
        </is>
      </c>
      <c r="I559" t="inlineStr">
        <is>
          <t>calculated</t>
        </is>
      </c>
      <c r="J559">
        <v>0.48</v>
      </c>
      <c r="K559" t="inlineStr">
        <is>
          <t>Derived from stored Hansen components.</t>
        </is>
      </c>
    </row>
    <row r="560">
      <c r="A560" t="inlineStr">
        <is>
          <t>API_SIROLIMUS</t>
        </is>
      </c>
      <c r="B560" t="inlineStr">
        <is>
          <t>HSP_radius_R0</t>
        </is>
      </c>
      <c r="C560">
        <v>8.5</v>
      </c>
      <c r="D560" t="inlineStr">
        <is>
          <t>MPa^0.5</t>
        </is>
      </c>
      <c r="E560"/>
      <c r="F560"/>
      <c r="G560" t="inlineStr">
        <is>
          <t>literature/heuristic solubility sphere</t>
        </is>
      </c>
      <c r="H560" t="inlineStr">
        <is>
          <t>S013_EST_HSP_HEURISTIC</t>
        </is>
      </c>
      <c r="I560" t="inlineStr">
        <is>
          <t>estimated</t>
        </is>
      </c>
      <c r="J560">
        <v>0.43</v>
      </c>
      <c r="K560" t="inlineStr">
        <is>
          <t>Screening radius only unless experimentally determined.</t>
        </is>
      </c>
    </row>
    <row r="561">
      <c r="A561" t="inlineStr">
        <is>
          <t>API_SIROLIMUS</t>
        </is>
      </c>
      <c r="B561" t="inlineStr">
        <is>
          <t>molar_volume_cm3_mol</t>
        </is>
      </c>
      <c r="C561">
        <v>761.81</v>
      </c>
      <c r="D561" t="inlineStr">
        <is>
          <t>cm3/mol</t>
        </is>
      </c>
      <c r="E561"/>
      <c r="F561"/>
      <c r="G561" t="inlineStr">
        <is>
          <t>MW/density estimate</t>
        </is>
      </c>
      <c r="H561" t="inlineStr">
        <is>
          <t>S012_CALCULATED</t>
        </is>
      </c>
      <c r="I561" t="inlineStr">
        <is>
          <t>estimated</t>
        </is>
      </c>
      <c r="J561">
        <v>0.45</v>
      </c>
      <c r="K561" t="inlineStr">
        <is>
          <t>Estimated from MW/density; replace with measured molar volume or density-specific grade data.</t>
        </is>
      </c>
    </row>
    <row r="562">
      <c r="A562" t="inlineStr">
        <is>
          <t>API_ITRACONAZOLE</t>
        </is>
      </c>
      <c r="B562" t="inlineStr">
        <is>
          <t>molecular_weight_g_mol</t>
        </is>
      </c>
      <c r="C562">
        <v>705.64</v>
      </c>
      <c r="D562" t="inlineStr">
        <is>
          <t>g/mol</t>
        </is>
      </c>
      <c r="E562"/>
      <c r="F562"/>
      <c r="G562" t="inlineStr">
        <is>
          <t>PubChem/handbook curation</t>
        </is>
      </c>
      <c r="H562" t="inlineStr">
        <is>
          <t>S001_PUBCHEM</t>
        </is>
      </c>
      <c r="I562" t="inlineStr">
        <is>
          <t>database-derived</t>
        </is>
      </c>
      <c r="J562">
        <v>0.88</v>
      </c>
      <c r="K562"/>
    </row>
    <row r="563">
      <c r="A563" t="inlineStr">
        <is>
          <t>API_ITRACONAZOLE</t>
        </is>
      </c>
      <c r="B563" t="inlineStr">
        <is>
          <t>molecular_formula</t>
        </is>
      </c>
      <c r="C563" t="inlineStr">
        <is>
          <t>C35H38Cl2N8O4</t>
        </is>
      </c>
      <c r="D563"/>
      <c r="E563"/>
      <c r="F563"/>
      <c r="G563" t="inlineStr">
        <is>
          <t>PubChem/handbook curation</t>
        </is>
      </c>
      <c r="H563" t="inlineStr">
        <is>
          <t>S001_PUBCHEM</t>
        </is>
      </c>
      <c r="I563" t="inlineStr">
        <is>
          <t>database-derived</t>
        </is>
      </c>
      <c r="J563">
        <v>0.85</v>
      </c>
      <c r="K563"/>
    </row>
    <row r="564">
      <c r="A564" t="inlineStr">
        <is>
          <t>API_ITRACONAZOLE</t>
        </is>
      </c>
      <c r="B564" t="inlineStr">
        <is>
          <t>LogP</t>
        </is>
      </c>
      <c r="C564">
        <v>5.7</v>
      </c>
      <c r="D564"/>
      <c r="E564"/>
      <c r="F564"/>
      <c r="G564" t="inlineStr">
        <is>
          <t>computed/curated XLogP or literature consensus</t>
        </is>
      </c>
      <c r="H564" t="inlineStr">
        <is>
          <t>S001_PUBCHEM</t>
        </is>
      </c>
      <c r="I564" t="inlineStr">
        <is>
          <t>database-derived</t>
        </is>
      </c>
      <c r="J564">
        <v>0.72</v>
      </c>
      <c r="K564" t="inlineStr">
        <is>
          <t>Approximate; salt/tautomer state may alter.</t>
        </is>
      </c>
    </row>
    <row r="565">
      <c r="A565" t="inlineStr">
        <is>
          <t>API_ITRACONAZOLE</t>
        </is>
      </c>
      <c r="B565" t="inlineStr">
        <is>
          <t>formal_charge</t>
        </is>
      </c>
      <c r="C565">
        <v>0</v>
      </c>
      <c r="D565" t="inlineStr">
        <is>
          <t>e</t>
        </is>
      </c>
      <c r="E565"/>
      <c r="F565"/>
      <c r="G565" t="inlineStr">
        <is>
          <t>canonical neutral parent/salt-free structure</t>
        </is>
      </c>
      <c r="H565" t="inlineStr">
        <is>
          <t>S001_PUBCHEM</t>
        </is>
      </c>
      <c r="I565" t="inlineStr">
        <is>
          <t>database-derived</t>
        </is>
      </c>
      <c r="J565">
        <v>0.82</v>
      </c>
      <c r="K565" t="inlineStr">
        <is>
          <t>Use salt-specific material row for ionic salts.</t>
        </is>
      </c>
    </row>
    <row r="566">
      <c r="A566" t="inlineStr">
        <is>
          <t>API_ITRACONAZOLE</t>
        </is>
      </c>
      <c r="B566" t="inlineStr">
        <is>
          <t>water_solubility_mg_ml</t>
        </is>
      </c>
      <c r="C566">
        <v>1e-06</v>
      </c>
      <c r="D566" t="inlineStr">
        <is>
          <t>mg/mL</t>
        </is>
      </c>
      <c r="E566"/>
      <c r="F566"/>
      <c r="G566" t="inlineStr">
        <is>
          <t>literature/aqueous solubility range approximated</t>
        </is>
      </c>
      <c r="H566" t="inlineStr">
        <is>
          <t>S001_PUBCHEM</t>
        </is>
      </c>
      <c r="I566" t="inlineStr">
        <is>
          <t>estimated</t>
        </is>
      </c>
      <c r="J566">
        <v>0.45</v>
      </c>
      <c r="K566" t="inlineStr">
        <is>
          <t>Highly pH- and salt-form-dependent.</t>
        </is>
      </c>
    </row>
    <row r="567">
      <c r="A567" t="inlineStr">
        <is>
          <t>API_ITRACONAZOLE</t>
        </is>
      </c>
      <c r="B567" t="inlineStr">
        <is>
          <t>melting_point_C</t>
        </is>
      </c>
      <c r="C567">
        <v>166</v>
      </c>
      <c r="D567" t="inlineStr">
        <is>
          <t>°C</t>
        </is>
      </c>
      <c r="E567"/>
      <c r="F567"/>
      <c r="G567" t="inlineStr">
        <is>
          <t>literature/supplier melting range</t>
        </is>
      </c>
      <c r="H567" t="inlineStr">
        <is>
          <t>S001_PUBCHEM</t>
        </is>
      </c>
      <c r="I567" t="inlineStr">
        <is>
          <t>handbook</t>
        </is>
      </c>
      <c r="J567">
        <v>0.65</v>
      </c>
      <c r="K567" t="inlineStr">
        <is>
          <t>Use polymorph-specific data when available.</t>
        </is>
      </c>
    </row>
    <row r="568">
      <c r="A568" t="inlineStr">
        <is>
          <t>API_ITRACONAZOLE</t>
        </is>
      </c>
      <c r="B568" t="inlineStr">
        <is>
          <t>TPSA</t>
        </is>
      </c>
      <c r="C568">
        <v>104.7</v>
      </c>
      <c r="D568" t="inlineStr">
        <is>
          <t>Å²</t>
        </is>
      </c>
      <c r="E568"/>
      <c r="F568"/>
      <c r="G568" t="inlineStr">
        <is>
          <t>computed descriptor</t>
        </is>
      </c>
      <c r="H568" t="inlineStr">
        <is>
          <t>S001_PUBCHEM</t>
        </is>
      </c>
      <c r="I568" t="inlineStr">
        <is>
          <t>database-derived</t>
        </is>
      </c>
      <c r="J568">
        <v>0.82</v>
      </c>
      <c r="K568"/>
    </row>
    <row r="569">
      <c r="A569" t="inlineStr">
        <is>
          <t>API_ITRACONAZOLE</t>
        </is>
      </c>
      <c r="B569" t="inlineStr">
        <is>
          <t>HBD</t>
        </is>
      </c>
      <c r="C569">
        <v>0</v>
      </c>
      <c r="D569" t="inlineStr">
        <is>
          <t>count</t>
        </is>
      </c>
      <c r="E569"/>
      <c r="F569"/>
      <c r="G569" t="inlineStr">
        <is>
          <t>computed descriptor</t>
        </is>
      </c>
      <c r="H569" t="inlineStr">
        <is>
          <t>S001_PUBCHEM</t>
        </is>
      </c>
      <c r="I569" t="inlineStr">
        <is>
          <t>database-derived</t>
        </is>
      </c>
      <c r="J569">
        <v>0.82</v>
      </c>
      <c r="K569"/>
    </row>
    <row r="570">
      <c r="A570" t="inlineStr">
        <is>
          <t>API_ITRACONAZOLE</t>
        </is>
      </c>
      <c r="B570" t="inlineStr">
        <is>
          <t>HBA</t>
        </is>
      </c>
      <c r="C570">
        <v>9</v>
      </c>
      <c r="D570" t="inlineStr">
        <is>
          <t>count</t>
        </is>
      </c>
      <c r="E570"/>
      <c r="F570"/>
      <c r="G570" t="inlineStr">
        <is>
          <t>computed descriptor</t>
        </is>
      </c>
      <c r="H570" t="inlineStr">
        <is>
          <t>S001_PUBCHEM</t>
        </is>
      </c>
      <c r="I570" t="inlineStr">
        <is>
          <t>database-derived</t>
        </is>
      </c>
      <c r="J570">
        <v>0.82</v>
      </c>
      <c r="K570"/>
    </row>
    <row r="571">
      <c r="A571" t="inlineStr">
        <is>
          <t>API_ITRACONAZOLE</t>
        </is>
      </c>
      <c r="B571" t="inlineStr">
        <is>
          <t>rotatable_bonds</t>
        </is>
      </c>
      <c r="C571">
        <v>11</v>
      </c>
      <c r="D571" t="inlineStr">
        <is>
          <t>count</t>
        </is>
      </c>
      <c r="E571"/>
      <c r="F571"/>
      <c r="G571" t="inlineStr">
        <is>
          <t>computed descriptor</t>
        </is>
      </c>
      <c r="H571" t="inlineStr">
        <is>
          <t>S001_PUBCHEM</t>
        </is>
      </c>
      <c r="I571" t="inlineStr">
        <is>
          <t>database-derived</t>
        </is>
      </c>
      <c r="J571">
        <v>0.82</v>
      </c>
      <c r="K571"/>
    </row>
    <row r="572">
      <c r="A572" t="inlineStr">
        <is>
          <t>API_ITRACONAZOLE</t>
        </is>
      </c>
      <c r="B572" t="inlineStr">
        <is>
          <t>aromatic_rings</t>
        </is>
      </c>
      <c r="C572">
        <v>5</v>
      </c>
      <c r="D572" t="inlineStr">
        <is>
          <t>count</t>
        </is>
      </c>
      <c r="E572"/>
      <c r="F572"/>
      <c r="G572" t="inlineStr">
        <is>
          <t>manual structural count</t>
        </is>
      </c>
      <c r="H572" t="inlineStr">
        <is>
          <t>S001_PUBCHEM</t>
        </is>
      </c>
      <c r="I572" t="inlineStr">
        <is>
          <t>estimated</t>
        </is>
      </c>
      <c r="J572">
        <v>0.6</v>
      </c>
      <c r="K572"/>
    </row>
    <row r="573">
      <c r="A573" t="inlineStr">
        <is>
          <t>API_ITRACONAZOLE</t>
        </is>
      </c>
      <c r="B573" t="inlineStr">
        <is>
          <t>BCS_class</t>
        </is>
      </c>
      <c r="C573" t="inlineStr">
        <is>
          <t>II</t>
        </is>
      </c>
      <c r="D573"/>
      <c r="E573"/>
      <c r="F573"/>
      <c r="G573" t="inlineStr">
        <is>
          <t>literature consensus/placeholder</t>
        </is>
      </c>
      <c r="H573" t="inlineStr">
        <is>
          <t>S007_EXCIPIENTS_HANDBOOK</t>
        </is>
      </c>
      <c r="I573" t="inlineStr">
        <is>
          <t>estimated</t>
        </is>
      </c>
      <c r="J573">
        <v>0.4</v>
      </c>
      <c r="K573" t="inlineStr">
        <is>
          <t>Must be curated from API-specific biopharmaceutics sources.</t>
        </is>
      </c>
    </row>
    <row r="574">
      <c r="A574" t="inlineStr">
        <is>
          <t>API_ITRACONAZOLE</t>
        </is>
      </c>
      <c r="B574" t="inlineStr">
        <is>
          <t>therapeutic_class</t>
        </is>
      </c>
      <c r="C574" t="inlineStr">
        <is>
          <t>triazole antifungal</t>
        </is>
      </c>
      <c r="D574"/>
      <c r="E574"/>
      <c r="F574"/>
      <c r="G574" t="inlineStr">
        <is>
          <t>manual therapeutic annotation</t>
        </is>
      </c>
      <c r="H574" t="inlineStr">
        <is>
          <t>S001_PUBCHEM</t>
        </is>
      </c>
      <c r="I574" t="inlineStr">
        <is>
          <t>database-derived</t>
        </is>
      </c>
      <c r="J574">
        <v>0.75</v>
      </c>
      <c r="K574"/>
    </row>
    <row r="575">
      <c r="A575" t="inlineStr">
        <is>
          <t>API_ITRACONAZOLE</t>
        </is>
      </c>
      <c r="B575" t="inlineStr">
        <is>
          <t>payload_type</t>
        </is>
      </c>
      <c r="C575" t="inlineStr">
        <is>
          <t>small_molecule_API</t>
        </is>
      </c>
      <c r="D575"/>
      <c r="E575"/>
      <c r="F575"/>
      <c r="G575" t="inlineStr">
        <is>
          <t>payload taxonomy</t>
        </is>
      </c>
      <c r="H575" t="inlineStr">
        <is>
          <t>S000_USER_SPEC</t>
        </is>
      </c>
      <c r="I575" t="inlineStr">
        <is>
          <t>curated</t>
        </is>
      </c>
      <c r="J575">
        <v>0.8</v>
      </c>
      <c r="K575"/>
    </row>
    <row r="576">
      <c r="A576" t="inlineStr">
        <is>
          <t>API_ITRACONAZOLE</t>
        </is>
      </c>
      <c r="B576" t="inlineStr">
        <is>
          <t>route_notes</t>
        </is>
      </c>
      <c r="C576" t="inlineStr">
        <is>
          <t>highly lipophilic weak base</t>
        </is>
      </c>
      <c r="D576"/>
      <c r="E576"/>
      <c r="F576"/>
      <c r="G576" t="inlineStr">
        <is>
          <t>formulation-relevance annotation</t>
        </is>
      </c>
      <c r="H576" t="inlineStr">
        <is>
          <t>S014_AULTON</t>
        </is>
      </c>
      <c r="I576" t="inlineStr">
        <is>
          <t>curated</t>
        </is>
      </c>
      <c r="J576">
        <v>0.7</v>
      </c>
      <c r="K576"/>
    </row>
    <row r="577">
      <c r="A577" t="inlineStr">
        <is>
          <t>API_ITRACONAZOLE</t>
        </is>
      </c>
      <c r="B577" t="inlineStr">
        <is>
          <t>pKa_base</t>
        </is>
      </c>
      <c r="C577">
        <v>3.7</v>
      </c>
      <c r="D577"/>
      <c r="E577"/>
      <c r="F577"/>
      <c r="G577" t="inlineStr">
        <is>
          <t>literature pKa consensus</t>
        </is>
      </c>
      <c r="H577" t="inlineStr">
        <is>
          <t>S001_PUBCHEM</t>
        </is>
      </c>
      <c r="I577" t="inlineStr">
        <is>
          <t>handbook</t>
        </is>
      </c>
      <c r="J577">
        <v>0.6</v>
      </c>
      <c r="K577" t="inlineStr">
        <is>
          <t>Microstate and medium-dependent; confirm experimentally for model lock.</t>
        </is>
      </c>
    </row>
    <row r="578">
      <c r="A578" t="inlineStr">
        <is>
          <t>API_ITRACONAZOLE</t>
        </is>
      </c>
      <c r="B578" t="inlineStr">
        <is>
          <t>Hansen_delta_D</t>
        </is>
      </c>
      <c r="C578">
        <v>18.4</v>
      </c>
      <c r="D578" t="inlineStr">
        <is>
          <t>MPa^0.5</t>
        </is>
      </c>
      <c r="E578"/>
      <c r="F578"/>
      <c r="G578" t="inlineStr">
        <is>
          <t>heuristic group-contribution/nearest-neighbour</t>
        </is>
      </c>
      <c r="H578" t="inlineStr">
        <is>
          <t>S013_EST_HSP_HEURISTIC</t>
        </is>
      </c>
      <c r="I578" t="inlineStr">
        <is>
          <t>estimated</t>
        </is>
      </c>
      <c r="J578">
        <v>0.42</v>
      </c>
      <c r="K578" t="inlineStr">
        <is>
          <t>Provisional HSP for screening; replace with experimental/literature value before model lock.</t>
        </is>
      </c>
    </row>
    <row r="579">
      <c r="A579" t="inlineStr">
        <is>
          <t>API_ITRACONAZOLE</t>
        </is>
      </c>
      <c r="B579" t="inlineStr">
        <is>
          <t>Hansen_delta_P</t>
        </is>
      </c>
      <c r="C579">
        <v>5.5</v>
      </c>
      <c r="D579" t="inlineStr">
        <is>
          <t>MPa^0.5</t>
        </is>
      </c>
      <c r="E579"/>
      <c r="F579"/>
      <c r="G579" t="inlineStr">
        <is>
          <t>heuristic group-contribution/nearest-neighbour</t>
        </is>
      </c>
      <c r="H579" t="inlineStr">
        <is>
          <t>S013_EST_HSP_HEURISTIC</t>
        </is>
      </c>
      <c r="I579" t="inlineStr">
        <is>
          <t>estimated</t>
        </is>
      </c>
      <c r="J579">
        <v>0.42</v>
      </c>
      <c r="K579" t="inlineStr">
        <is>
          <t>Provisional HSP for screening; replace with experimental/literature value before model lock.</t>
        </is>
      </c>
    </row>
    <row r="580">
      <c r="A580" t="inlineStr">
        <is>
          <t>API_ITRACONAZOLE</t>
        </is>
      </c>
      <c r="B580" t="inlineStr">
        <is>
          <t>Hansen_delta_H</t>
        </is>
      </c>
      <c r="C580">
        <v>6.0</v>
      </c>
      <c r="D580" t="inlineStr">
        <is>
          <t>MPa^0.5</t>
        </is>
      </c>
      <c r="E580"/>
      <c r="F580"/>
      <c r="G580" t="inlineStr">
        <is>
          <t>heuristic group-contribution/nearest-neighbour</t>
        </is>
      </c>
      <c r="H580" t="inlineStr">
        <is>
          <t>S013_EST_HSP_HEURISTIC</t>
        </is>
      </c>
      <c r="I580" t="inlineStr">
        <is>
          <t>estimated</t>
        </is>
      </c>
      <c r="J580">
        <v>0.42</v>
      </c>
      <c r="K580" t="inlineStr">
        <is>
          <t>Provisional HSP for screening; replace with experimental/literature value before model lock.</t>
        </is>
      </c>
    </row>
    <row r="581">
      <c r="A581" t="inlineStr">
        <is>
          <t>API_ITRACONAZOLE</t>
        </is>
      </c>
      <c r="B581" t="inlineStr">
        <is>
          <t>Hildebrand_delta_T</t>
        </is>
      </c>
      <c r="C581">
        <v>20.12</v>
      </c>
      <c r="D581" t="inlineStr">
        <is>
          <t>MPa^0.5</t>
        </is>
      </c>
      <c r="E581"/>
      <c r="F581"/>
      <c r="G581" t="inlineStr">
        <is>
          <t>sqrt(deltaD^2+deltaP^2+deltaH^2)</t>
        </is>
      </c>
      <c r="H581" t="inlineStr">
        <is>
          <t>S012_CALCULATED</t>
        </is>
      </c>
      <c r="I581" t="inlineStr">
        <is>
          <t>calculated</t>
        </is>
      </c>
      <c r="J581">
        <v>0.47</v>
      </c>
      <c r="K581" t="inlineStr">
        <is>
          <t>Derived from stored Hansen components.</t>
        </is>
      </c>
    </row>
    <row r="582">
      <c r="A582" t="inlineStr">
        <is>
          <t>API_ITRACONAZOLE</t>
        </is>
      </c>
      <c r="B582" t="inlineStr">
        <is>
          <t>HSP_radius_R0</t>
        </is>
      </c>
      <c r="C582">
        <v>8.0</v>
      </c>
      <c r="D582" t="inlineStr">
        <is>
          <t>MPa^0.5</t>
        </is>
      </c>
      <c r="E582"/>
      <c r="F582"/>
      <c r="G582" t="inlineStr">
        <is>
          <t>literature/heuristic solubility sphere</t>
        </is>
      </c>
      <c r="H582" t="inlineStr">
        <is>
          <t>S013_EST_HSP_HEURISTIC</t>
        </is>
      </c>
      <c r="I582" t="inlineStr">
        <is>
          <t>estimated</t>
        </is>
      </c>
      <c r="J582">
        <v>0.42</v>
      </c>
      <c r="K582" t="inlineStr">
        <is>
          <t>Screening radius only unless experimentally determined.</t>
        </is>
      </c>
    </row>
    <row r="583">
      <c r="A583" t="inlineStr">
        <is>
          <t>API_ITRACONAZOLE</t>
        </is>
      </c>
      <c r="B583" t="inlineStr">
        <is>
          <t>molar_volume_cm3_mol</t>
        </is>
      </c>
      <c r="C583">
        <v>588.03</v>
      </c>
      <c r="D583" t="inlineStr">
        <is>
          <t>cm3/mol</t>
        </is>
      </c>
      <c r="E583"/>
      <c r="F583"/>
      <c r="G583" t="inlineStr">
        <is>
          <t>MW/density estimate</t>
        </is>
      </c>
      <c r="H583" t="inlineStr">
        <is>
          <t>S012_CALCULATED</t>
        </is>
      </c>
      <c r="I583" t="inlineStr">
        <is>
          <t>estimated</t>
        </is>
      </c>
      <c r="J583">
        <v>0.45</v>
      </c>
      <c r="K583" t="inlineStr">
        <is>
          <t>Estimated from MW/density; replace with measured molar volume or density-specific grade data.</t>
        </is>
      </c>
    </row>
    <row r="584">
      <c r="A584" t="inlineStr">
        <is>
          <t>API_VORICONAZOLE</t>
        </is>
      </c>
      <c r="B584" t="inlineStr">
        <is>
          <t>molecular_weight_g_mol</t>
        </is>
      </c>
      <c r="C584">
        <v>349.31</v>
      </c>
      <c r="D584" t="inlineStr">
        <is>
          <t>g/mol</t>
        </is>
      </c>
      <c r="E584"/>
      <c r="F584"/>
      <c r="G584" t="inlineStr">
        <is>
          <t>PubChem/handbook curation</t>
        </is>
      </c>
      <c r="H584" t="inlineStr">
        <is>
          <t>S001_PUBCHEM</t>
        </is>
      </c>
      <c r="I584" t="inlineStr">
        <is>
          <t>database-derived</t>
        </is>
      </c>
      <c r="J584">
        <v>0.88</v>
      </c>
      <c r="K584"/>
    </row>
    <row r="585">
      <c r="A585" t="inlineStr">
        <is>
          <t>API_VORICONAZOLE</t>
        </is>
      </c>
      <c r="B585" t="inlineStr">
        <is>
          <t>molecular_formula</t>
        </is>
      </c>
      <c r="C585" t="inlineStr">
        <is>
          <t>C16H14F3N5O</t>
        </is>
      </c>
      <c r="D585"/>
      <c r="E585"/>
      <c r="F585"/>
      <c r="G585" t="inlineStr">
        <is>
          <t>PubChem/handbook curation</t>
        </is>
      </c>
      <c r="H585" t="inlineStr">
        <is>
          <t>S001_PUBCHEM</t>
        </is>
      </c>
      <c r="I585" t="inlineStr">
        <is>
          <t>database-derived</t>
        </is>
      </c>
      <c r="J585">
        <v>0.85</v>
      </c>
      <c r="K585"/>
    </row>
    <row r="586">
      <c r="A586" t="inlineStr">
        <is>
          <t>API_VORICONAZOLE</t>
        </is>
      </c>
      <c r="B586" t="inlineStr">
        <is>
          <t>LogP</t>
        </is>
      </c>
      <c r="C586">
        <v>1.8</v>
      </c>
      <c r="D586"/>
      <c r="E586"/>
      <c r="F586"/>
      <c r="G586" t="inlineStr">
        <is>
          <t>computed/curated XLogP or literature consensus</t>
        </is>
      </c>
      <c r="H586" t="inlineStr">
        <is>
          <t>S001_PUBCHEM</t>
        </is>
      </c>
      <c r="I586" t="inlineStr">
        <is>
          <t>database-derived</t>
        </is>
      </c>
      <c r="J586">
        <v>0.72</v>
      </c>
      <c r="K586" t="inlineStr">
        <is>
          <t>Approximate; salt/tautomer state may alter.</t>
        </is>
      </c>
    </row>
    <row r="587">
      <c r="A587" t="inlineStr">
        <is>
          <t>API_VORICONAZOLE</t>
        </is>
      </c>
      <c r="B587" t="inlineStr">
        <is>
          <t>formal_charge</t>
        </is>
      </c>
      <c r="C587">
        <v>0</v>
      </c>
      <c r="D587" t="inlineStr">
        <is>
          <t>e</t>
        </is>
      </c>
      <c r="E587"/>
      <c r="F587"/>
      <c r="G587" t="inlineStr">
        <is>
          <t>canonical neutral parent/salt-free structure</t>
        </is>
      </c>
      <c r="H587" t="inlineStr">
        <is>
          <t>S001_PUBCHEM</t>
        </is>
      </c>
      <c r="I587" t="inlineStr">
        <is>
          <t>database-derived</t>
        </is>
      </c>
      <c r="J587">
        <v>0.82</v>
      </c>
      <c r="K587" t="inlineStr">
        <is>
          <t>Use salt-specific material row for ionic salts.</t>
        </is>
      </c>
    </row>
    <row r="588">
      <c r="A588" t="inlineStr">
        <is>
          <t>API_VORICONAZOLE</t>
        </is>
      </c>
      <c r="B588" t="inlineStr">
        <is>
          <t>water_solubility_mg_ml</t>
        </is>
      </c>
      <c r="C588">
        <v>0.71</v>
      </c>
      <c r="D588" t="inlineStr">
        <is>
          <t>mg/mL</t>
        </is>
      </c>
      <c r="E588"/>
      <c r="F588"/>
      <c r="G588" t="inlineStr">
        <is>
          <t>literature/aqueous solubility range approximated</t>
        </is>
      </c>
      <c r="H588" t="inlineStr">
        <is>
          <t>S001_PUBCHEM</t>
        </is>
      </c>
      <c r="I588" t="inlineStr">
        <is>
          <t>estimated</t>
        </is>
      </c>
      <c r="J588">
        <v>0.45</v>
      </c>
      <c r="K588" t="inlineStr">
        <is>
          <t>Highly pH- and salt-form-dependent.</t>
        </is>
      </c>
    </row>
    <row r="589">
      <c r="A589" t="inlineStr">
        <is>
          <t>API_VORICONAZOLE</t>
        </is>
      </c>
      <c r="B589" t="inlineStr">
        <is>
          <t>melting_point_C</t>
        </is>
      </c>
      <c r="C589">
        <v>130</v>
      </c>
      <c r="D589" t="inlineStr">
        <is>
          <t>°C</t>
        </is>
      </c>
      <c r="E589"/>
      <c r="F589"/>
      <c r="G589" t="inlineStr">
        <is>
          <t>literature/supplier melting range</t>
        </is>
      </c>
      <c r="H589" t="inlineStr">
        <is>
          <t>S001_PUBCHEM</t>
        </is>
      </c>
      <c r="I589" t="inlineStr">
        <is>
          <t>handbook</t>
        </is>
      </c>
      <c r="J589">
        <v>0.65</v>
      </c>
      <c r="K589" t="inlineStr">
        <is>
          <t>Use polymorph-specific data when available.</t>
        </is>
      </c>
    </row>
    <row r="590">
      <c r="A590" t="inlineStr">
        <is>
          <t>API_VORICONAZOLE</t>
        </is>
      </c>
      <c r="B590" t="inlineStr">
        <is>
          <t>TPSA</t>
        </is>
      </c>
      <c r="C590">
        <v>76.0</v>
      </c>
      <c r="D590" t="inlineStr">
        <is>
          <t>Å²</t>
        </is>
      </c>
      <c r="E590"/>
      <c r="F590"/>
      <c r="G590" t="inlineStr">
        <is>
          <t>computed descriptor</t>
        </is>
      </c>
      <c r="H590" t="inlineStr">
        <is>
          <t>S001_PUBCHEM</t>
        </is>
      </c>
      <c r="I590" t="inlineStr">
        <is>
          <t>database-derived</t>
        </is>
      </c>
      <c r="J590">
        <v>0.82</v>
      </c>
      <c r="K590"/>
    </row>
    <row r="591">
      <c r="A591" t="inlineStr">
        <is>
          <t>API_VORICONAZOLE</t>
        </is>
      </c>
      <c r="B591" t="inlineStr">
        <is>
          <t>HBD</t>
        </is>
      </c>
      <c r="C591">
        <v>1</v>
      </c>
      <c r="D591" t="inlineStr">
        <is>
          <t>count</t>
        </is>
      </c>
      <c r="E591"/>
      <c r="F591"/>
      <c r="G591" t="inlineStr">
        <is>
          <t>computed descriptor</t>
        </is>
      </c>
      <c r="H591" t="inlineStr">
        <is>
          <t>S001_PUBCHEM</t>
        </is>
      </c>
      <c r="I591" t="inlineStr">
        <is>
          <t>database-derived</t>
        </is>
      </c>
      <c r="J591">
        <v>0.82</v>
      </c>
      <c r="K591"/>
    </row>
    <row r="592">
      <c r="A592" t="inlineStr">
        <is>
          <t>API_VORICONAZOLE</t>
        </is>
      </c>
      <c r="B592" t="inlineStr">
        <is>
          <t>HBA</t>
        </is>
      </c>
      <c r="C592">
        <v>6</v>
      </c>
      <c r="D592" t="inlineStr">
        <is>
          <t>count</t>
        </is>
      </c>
      <c r="E592"/>
      <c r="F592"/>
      <c r="G592" t="inlineStr">
        <is>
          <t>computed descriptor</t>
        </is>
      </c>
      <c r="H592" t="inlineStr">
        <is>
          <t>S001_PUBCHEM</t>
        </is>
      </c>
      <c r="I592" t="inlineStr">
        <is>
          <t>database-derived</t>
        </is>
      </c>
      <c r="J592">
        <v>0.82</v>
      </c>
      <c r="K592"/>
    </row>
    <row r="593">
      <c r="A593" t="inlineStr">
        <is>
          <t>API_VORICONAZOLE</t>
        </is>
      </c>
      <c r="B593" t="inlineStr">
        <is>
          <t>rotatable_bonds</t>
        </is>
      </c>
      <c r="C593">
        <v>5</v>
      </c>
      <c r="D593" t="inlineStr">
        <is>
          <t>count</t>
        </is>
      </c>
      <c r="E593"/>
      <c r="F593"/>
      <c r="G593" t="inlineStr">
        <is>
          <t>computed descriptor</t>
        </is>
      </c>
      <c r="H593" t="inlineStr">
        <is>
          <t>S001_PUBCHEM</t>
        </is>
      </c>
      <c r="I593" t="inlineStr">
        <is>
          <t>database-derived</t>
        </is>
      </c>
      <c r="J593">
        <v>0.82</v>
      </c>
      <c r="K593"/>
    </row>
    <row r="594">
      <c r="A594" t="inlineStr">
        <is>
          <t>API_VORICONAZOLE</t>
        </is>
      </c>
      <c r="B594" t="inlineStr">
        <is>
          <t>aromatic_rings</t>
        </is>
      </c>
      <c r="C594">
        <v>3</v>
      </c>
      <c r="D594" t="inlineStr">
        <is>
          <t>count</t>
        </is>
      </c>
      <c r="E594"/>
      <c r="F594"/>
      <c r="G594" t="inlineStr">
        <is>
          <t>manual structural count</t>
        </is>
      </c>
      <c r="H594" t="inlineStr">
        <is>
          <t>S001_PUBCHEM</t>
        </is>
      </c>
      <c r="I594" t="inlineStr">
        <is>
          <t>estimated</t>
        </is>
      </c>
      <c r="J594">
        <v>0.6</v>
      </c>
      <c r="K594"/>
    </row>
    <row r="595">
      <c r="A595" t="inlineStr">
        <is>
          <t>API_VORICONAZOLE</t>
        </is>
      </c>
      <c r="B595" t="inlineStr">
        <is>
          <t>BCS_class</t>
        </is>
      </c>
      <c r="C595" t="inlineStr">
        <is>
          <t>I/II</t>
        </is>
      </c>
      <c r="D595"/>
      <c r="E595"/>
      <c r="F595"/>
      <c r="G595" t="inlineStr">
        <is>
          <t>literature consensus/placeholder</t>
        </is>
      </c>
      <c r="H595" t="inlineStr">
        <is>
          <t>S007_EXCIPIENTS_HANDBOOK</t>
        </is>
      </c>
      <c r="I595" t="inlineStr">
        <is>
          <t>estimated</t>
        </is>
      </c>
      <c r="J595">
        <v>0.4</v>
      </c>
      <c r="K595" t="inlineStr">
        <is>
          <t>Must be curated from API-specific biopharmaceutics sources.</t>
        </is>
      </c>
    </row>
    <row r="596">
      <c r="A596" t="inlineStr">
        <is>
          <t>API_VORICONAZOLE</t>
        </is>
      </c>
      <c r="B596" t="inlineStr">
        <is>
          <t>therapeutic_class</t>
        </is>
      </c>
      <c r="C596" t="inlineStr">
        <is>
          <t>triazole antifungal</t>
        </is>
      </c>
      <c r="D596"/>
      <c r="E596"/>
      <c r="F596"/>
      <c r="G596" t="inlineStr">
        <is>
          <t>manual therapeutic annotation</t>
        </is>
      </c>
      <c r="H596" t="inlineStr">
        <is>
          <t>S001_PUBCHEM</t>
        </is>
      </c>
      <c r="I596" t="inlineStr">
        <is>
          <t>database-derived</t>
        </is>
      </c>
      <c r="J596">
        <v>0.75</v>
      </c>
      <c r="K596"/>
    </row>
    <row r="597">
      <c r="A597" t="inlineStr">
        <is>
          <t>API_VORICONAZOLE</t>
        </is>
      </c>
      <c r="B597" t="inlineStr">
        <is>
          <t>payload_type</t>
        </is>
      </c>
      <c r="C597" t="inlineStr">
        <is>
          <t>small_molecule_API</t>
        </is>
      </c>
      <c r="D597"/>
      <c r="E597"/>
      <c r="F597"/>
      <c r="G597" t="inlineStr">
        <is>
          <t>payload taxonomy</t>
        </is>
      </c>
      <c r="H597" t="inlineStr">
        <is>
          <t>S000_USER_SPEC</t>
        </is>
      </c>
      <c r="I597" t="inlineStr">
        <is>
          <t>curated</t>
        </is>
      </c>
      <c r="J597">
        <v>0.8</v>
      </c>
      <c r="K597"/>
    </row>
    <row r="598">
      <c r="A598" t="inlineStr">
        <is>
          <t>API_VORICONAZOLE</t>
        </is>
      </c>
      <c r="B598" t="inlineStr">
        <is>
          <t>route_notes</t>
        </is>
      </c>
      <c r="C598" t="inlineStr">
        <is>
          <t>weak base; oral/parenteral precedent</t>
        </is>
      </c>
      <c r="D598"/>
      <c r="E598"/>
      <c r="F598"/>
      <c r="G598" t="inlineStr">
        <is>
          <t>formulation-relevance annotation</t>
        </is>
      </c>
      <c r="H598" t="inlineStr">
        <is>
          <t>S014_AULTON</t>
        </is>
      </c>
      <c r="I598" t="inlineStr">
        <is>
          <t>curated</t>
        </is>
      </c>
      <c r="J598">
        <v>0.7</v>
      </c>
      <c r="K598"/>
    </row>
    <row r="599">
      <c r="A599" t="inlineStr">
        <is>
          <t>API_VORICONAZOLE</t>
        </is>
      </c>
      <c r="B599" t="inlineStr">
        <is>
          <t>pKa_base</t>
        </is>
      </c>
      <c r="C599">
        <v>1.8</v>
      </c>
      <c r="D599"/>
      <c r="E599"/>
      <c r="F599"/>
      <c r="G599" t="inlineStr">
        <is>
          <t>literature pKa consensus</t>
        </is>
      </c>
      <c r="H599" t="inlineStr">
        <is>
          <t>S001_PUBCHEM</t>
        </is>
      </c>
      <c r="I599" t="inlineStr">
        <is>
          <t>handbook</t>
        </is>
      </c>
      <c r="J599">
        <v>0.6</v>
      </c>
      <c r="K599" t="inlineStr">
        <is>
          <t>Microstate and medium-dependent; confirm experimentally for model lock.</t>
        </is>
      </c>
    </row>
    <row r="600">
      <c r="A600" t="inlineStr">
        <is>
          <t>API_VORICONAZOLE</t>
        </is>
      </c>
      <c r="B600" t="inlineStr">
        <is>
          <t>Hansen_delta_D</t>
        </is>
      </c>
      <c r="C600">
        <v>18.0</v>
      </c>
      <c r="D600" t="inlineStr">
        <is>
          <t>MPa^0.5</t>
        </is>
      </c>
      <c r="E600"/>
      <c r="F600"/>
      <c r="G600" t="inlineStr">
        <is>
          <t>heuristic group-contribution/nearest-neighbour</t>
        </is>
      </c>
      <c r="H600" t="inlineStr">
        <is>
          <t>S013_EST_HSP_HEURISTIC</t>
        </is>
      </c>
      <c r="I600" t="inlineStr">
        <is>
          <t>estimated</t>
        </is>
      </c>
      <c r="J600">
        <v>0.43</v>
      </c>
      <c r="K600" t="inlineStr">
        <is>
          <t>Provisional HSP for screening; replace with experimental/literature value before model lock.</t>
        </is>
      </c>
    </row>
    <row r="601">
      <c r="A601" t="inlineStr">
        <is>
          <t>API_VORICONAZOLE</t>
        </is>
      </c>
      <c r="B601" t="inlineStr">
        <is>
          <t>Hansen_delta_P</t>
        </is>
      </c>
      <c r="C601">
        <v>10.5</v>
      </c>
      <c r="D601" t="inlineStr">
        <is>
          <t>MPa^0.5</t>
        </is>
      </c>
      <c r="E601"/>
      <c r="F601"/>
      <c r="G601" t="inlineStr">
        <is>
          <t>heuristic group-contribution/nearest-neighbour</t>
        </is>
      </c>
      <c r="H601" t="inlineStr">
        <is>
          <t>S013_EST_HSP_HEURISTIC</t>
        </is>
      </c>
      <c r="I601" t="inlineStr">
        <is>
          <t>estimated</t>
        </is>
      </c>
      <c r="J601">
        <v>0.43</v>
      </c>
      <c r="K601" t="inlineStr">
        <is>
          <t>Provisional HSP for screening; replace with experimental/literature value before model lock.</t>
        </is>
      </c>
    </row>
    <row r="602">
      <c r="A602" t="inlineStr">
        <is>
          <t>API_VORICONAZOLE</t>
        </is>
      </c>
      <c r="B602" t="inlineStr">
        <is>
          <t>Hansen_delta_H</t>
        </is>
      </c>
      <c r="C602">
        <v>13.0</v>
      </c>
      <c r="D602" t="inlineStr">
        <is>
          <t>MPa^0.5</t>
        </is>
      </c>
      <c r="E602"/>
      <c r="F602"/>
      <c r="G602" t="inlineStr">
        <is>
          <t>heuristic group-contribution/nearest-neighbour</t>
        </is>
      </c>
      <c r="H602" t="inlineStr">
        <is>
          <t>S013_EST_HSP_HEURISTIC</t>
        </is>
      </c>
      <c r="I602" t="inlineStr">
        <is>
          <t>estimated</t>
        </is>
      </c>
      <c r="J602">
        <v>0.43</v>
      </c>
      <c r="K602" t="inlineStr">
        <is>
          <t>Provisional HSP for screening; replace with experimental/literature value before model lock.</t>
        </is>
      </c>
    </row>
    <row r="603">
      <c r="A603" t="inlineStr">
        <is>
          <t>API_VORICONAZOLE</t>
        </is>
      </c>
      <c r="B603" t="inlineStr">
        <is>
          <t>Hildebrand_delta_T</t>
        </is>
      </c>
      <c r="C603">
        <v>24.56</v>
      </c>
      <c r="D603" t="inlineStr">
        <is>
          <t>MPa^0.5</t>
        </is>
      </c>
      <c r="E603"/>
      <c r="F603"/>
      <c r="G603" t="inlineStr">
        <is>
          <t>sqrt(deltaD^2+deltaP^2+deltaH^2)</t>
        </is>
      </c>
      <c r="H603" t="inlineStr">
        <is>
          <t>S012_CALCULATED</t>
        </is>
      </c>
      <c r="I603" t="inlineStr">
        <is>
          <t>calculated</t>
        </is>
      </c>
      <c r="J603">
        <v>0.48</v>
      </c>
      <c r="K603" t="inlineStr">
        <is>
          <t>Derived from stored Hansen components.</t>
        </is>
      </c>
    </row>
    <row r="604">
      <c r="A604" t="inlineStr">
        <is>
          <t>API_VORICONAZOLE</t>
        </is>
      </c>
      <c r="B604" t="inlineStr">
        <is>
          <t>HSP_radius_R0</t>
        </is>
      </c>
      <c r="C604">
        <v>9.0</v>
      </c>
      <c r="D604" t="inlineStr">
        <is>
          <t>MPa^0.5</t>
        </is>
      </c>
      <c r="E604"/>
      <c r="F604"/>
      <c r="G604" t="inlineStr">
        <is>
          <t>literature/heuristic solubility sphere</t>
        </is>
      </c>
      <c r="H604" t="inlineStr">
        <is>
          <t>S013_EST_HSP_HEURISTIC</t>
        </is>
      </c>
      <c r="I604" t="inlineStr">
        <is>
          <t>estimated</t>
        </is>
      </c>
      <c r="J604">
        <v>0.43</v>
      </c>
      <c r="K604" t="inlineStr">
        <is>
          <t>Screening radius only unless experimentally determined.</t>
        </is>
      </c>
    </row>
    <row r="605">
      <c r="A605" t="inlineStr">
        <is>
          <t>API_VORICONAZOLE</t>
        </is>
      </c>
      <c r="B605" t="inlineStr">
        <is>
          <t>molar_volume_cm3_mol</t>
        </is>
      </c>
      <c r="C605">
        <v>279.45</v>
      </c>
      <c r="D605" t="inlineStr">
        <is>
          <t>cm3/mol</t>
        </is>
      </c>
      <c r="E605"/>
      <c r="F605"/>
      <c r="G605" t="inlineStr">
        <is>
          <t>MW/density estimate</t>
        </is>
      </c>
      <c r="H605" t="inlineStr">
        <is>
          <t>S012_CALCULATED</t>
        </is>
      </c>
      <c r="I605" t="inlineStr">
        <is>
          <t>estimated</t>
        </is>
      </c>
      <c r="J605">
        <v>0.45</v>
      </c>
      <c r="K605" t="inlineStr">
        <is>
          <t>Estimated from MW/density; replace with measured molar volume or density-specific grade data.</t>
        </is>
      </c>
    </row>
    <row r="606">
      <c r="A606" t="inlineStr">
        <is>
          <t>API_CELECOXIB</t>
        </is>
      </c>
      <c r="B606" t="inlineStr">
        <is>
          <t>molecular_weight_g_mol</t>
        </is>
      </c>
      <c r="C606">
        <v>381.37</v>
      </c>
      <c r="D606" t="inlineStr">
        <is>
          <t>g/mol</t>
        </is>
      </c>
      <c r="E606"/>
      <c r="F606"/>
      <c r="G606" t="inlineStr">
        <is>
          <t>PubChem/handbook curation</t>
        </is>
      </c>
      <c r="H606" t="inlineStr">
        <is>
          <t>S001_PUBCHEM</t>
        </is>
      </c>
      <c r="I606" t="inlineStr">
        <is>
          <t>database-derived</t>
        </is>
      </c>
      <c r="J606">
        <v>0.88</v>
      </c>
      <c r="K606"/>
    </row>
    <row r="607">
      <c r="A607" t="inlineStr">
        <is>
          <t>API_CELECOXIB</t>
        </is>
      </c>
      <c r="B607" t="inlineStr">
        <is>
          <t>molecular_formula</t>
        </is>
      </c>
      <c r="C607" t="inlineStr">
        <is>
          <t>C17H14F3N3O2S</t>
        </is>
      </c>
      <c r="D607"/>
      <c r="E607"/>
      <c r="F607"/>
      <c r="G607" t="inlineStr">
        <is>
          <t>PubChem/handbook curation</t>
        </is>
      </c>
      <c r="H607" t="inlineStr">
        <is>
          <t>S001_PUBCHEM</t>
        </is>
      </c>
      <c r="I607" t="inlineStr">
        <is>
          <t>database-derived</t>
        </is>
      </c>
      <c r="J607">
        <v>0.85</v>
      </c>
      <c r="K607"/>
    </row>
    <row r="608">
      <c r="A608" t="inlineStr">
        <is>
          <t>API_CELECOXIB</t>
        </is>
      </c>
      <c r="B608" t="inlineStr">
        <is>
          <t>LogP</t>
        </is>
      </c>
      <c r="C608">
        <v>3.5</v>
      </c>
      <c r="D608"/>
      <c r="E608"/>
      <c r="F608"/>
      <c r="G608" t="inlineStr">
        <is>
          <t>computed/curated XLogP or literature consensus</t>
        </is>
      </c>
      <c r="H608" t="inlineStr">
        <is>
          <t>S001_PUBCHEM</t>
        </is>
      </c>
      <c r="I608" t="inlineStr">
        <is>
          <t>database-derived</t>
        </is>
      </c>
      <c r="J608">
        <v>0.72</v>
      </c>
      <c r="K608" t="inlineStr">
        <is>
          <t>Approximate; salt/tautomer state may alter.</t>
        </is>
      </c>
    </row>
    <row r="609">
      <c r="A609" t="inlineStr">
        <is>
          <t>API_CELECOXIB</t>
        </is>
      </c>
      <c r="B609" t="inlineStr">
        <is>
          <t>formal_charge</t>
        </is>
      </c>
      <c r="C609">
        <v>0</v>
      </c>
      <c r="D609" t="inlineStr">
        <is>
          <t>e</t>
        </is>
      </c>
      <c r="E609"/>
      <c r="F609"/>
      <c r="G609" t="inlineStr">
        <is>
          <t>canonical neutral parent/salt-free structure</t>
        </is>
      </c>
      <c r="H609" t="inlineStr">
        <is>
          <t>S001_PUBCHEM</t>
        </is>
      </c>
      <c r="I609" t="inlineStr">
        <is>
          <t>database-derived</t>
        </is>
      </c>
      <c r="J609">
        <v>0.82</v>
      </c>
      <c r="K609" t="inlineStr">
        <is>
          <t>Use salt-specific material row for ionic salts.</t>
        </is>
      </c>
    </row>
    <row r="610">
      <c r="A610" t="inlineStr">
        <is>
          <t>API_CELECOXIB</t>
        </is>
      </c>
      <c r="B610" t="inlineStr">
        <is>
          <t>water_solubility_mg_ml</t>
        </is>
      </c>
      <c r="C610">
        <v>0.003</v>
      </c>
      <c r="D610" t="inlineStr">
        <is>
          <t>mg/mL</t>
        </is>
      </c>
      <c r="E610"/>
      <c r="F610"/>
      <c r="G610" t="inlineStr">
        <is>
          <t>literature/aqueous solubility range approximated</t>
        </is>
      </c>
      <c r="H610" t="inlineStr">
        <is>
          <t>S001_PUBCHEM</t>
        </is>
      </c>
      <c r="I610" t="inlineStr">
        <is>
          <t>estimated</t>
        </is>
      </c>
      <c r="J610">
        <v>0.45</v>
      </c>
      <c r="K610" t="inlineStr">
        <is>
          <t>Highly pH- and salt-form-dependent.</t>
        </is>
      </c>
    </row>
    <row r="611">
      <c r="A611" t="inlineStr">
        <is>
          <t>API_CELECOXIB</t>
        </is>
      </c>
      <c r="B611" t="inlineStr">
        <is>
          <t>melting_point_C</t>
        </is>
      </c>
      <c r="C611">
        <v>159</v>
      </c>
      <c r="D611" t="inlineStr">
        <is>
          <t>°C</t>
        </is>
      </c>
      <c r="E611"/>
      <c r="F611"/>
      <c r="G611" t="inlineStr">
        <is>
          <t>literature/supplier melting range</t>
        </is>
      </c>
      <c r="H611" t="inlineStr">
        <is>
          <t>S001_PUBCHEM</t>
        </is>
      </c>
      <c r="I611" t="inlineStr">
        <is>
          <t>handbook</t>
        </is>
      </c>
      <c r="J611">
        <v>0.65</v>
      </c>
      <c r="K611" t="inlineStr">
        <is>
          <t>Use polymorph-specific data when available.</t>
        </is>
      </c>
    </row>
    <row r="612">
      <c r="A612" t="inlineStr">
        <is>
          <t>API_CELECOXIB</t>
        </is>
      </c>
      <c r="B612" t="inlineStr">
        <is>
          <t>TPSA</t>
        </is>
      </c>
      <c r="C612">
        <v>86.4</v>
      </c>
      <c r="D612" t="inlineStr">
        <is>
          <t>Å²</t>
        </is>
      </c>
      <c r="E612"/>
      <c r="F612"/>
      <c r="G612" t="inlineStr">
        <is>
          <t>computed descriptor</t>
        </is>
      </c>
      <c r="H612" t="inlineStr">
        <is>
          <t>S001_PUBCHEM</t>
        </is>
      </c>
      <c r="I612" t="inlineStr">
        <is>
          <t>database-derived</t>
        </is>
      </c>
      <c r="J612">
        <v>0.82</v>
      </c>
      <c r="K612"/>
    </row>
    <row r="613">
      <c r="A613" t="inlineStr">
        <is>
          <t>API_CELECOXIB</t>
        </is>
      </c>
      <c r="B613" t="inlineStr">
        <is>
          <t>HBD</t>
        </is>
      </c>
      <c r="C613">
        <v>1</v>
      </c>
      <c r="D613" t="inlineStr">
        <is>
          <t>count</t>
        </is>
      </c>
      <c r="E613"/>
      <c r="F613"/>
      <c r="G613" t="inlineStr">
        <is>
          <t>computed descriptor</t>
        </is>
      </c>
      <c r="H613" t="inlineStr">
        <is>
          <t>S001_PUBCHEM</t>
        </is>
      </c>
      <c r="I613" t="inlineStr">
        <is>
          <t>database-derived</t>
        </is>
      </c>
      <c r="J613">
        <v>0.82</v>
      </c>
      <c r="K613"/>
    </row>
    <row r="614">
      <c r="A614" t="inlineStr">
        <is>
          <t>API_CELECOXIB</t>
        </is>
      </c>
      <c r="B614" t="inlineStr">
        <is>
          <t>HBA</t>
        </is>
      </c>
      <c r="C614">
        <v>6</v>
      </c>
      <c r="D614" t="inlineStr">
        <is>
          <t>count</t>
        </is>
      </c>
      <c r="E614"/>
      <c r="F614"/>
      <c r="G614" t="inlineStr">
        <is>
          <t>computed descriptor</t>
        </is>
      </c>
      <c r="H614" t="inlineStr">
        <is>
          <t>S001_PUBCHEM</t>
        </is>
      </c>
      <c r="I614" t="inlineStr">
        <is>
          <t>database-derived</t>
        </is>
      </c>
      <c r="J614">
        <v>0.82</v>
      </c>
      <c r="K614"/>
    </row>
    <row r="615">
      <c r="A615" t="inlineStr">
        <is>
          <t>API_CELECOXIB</t>
        </is>
      </c>
      <c r="B615" t="inlineStr">
        <is>
          <t>rotatable_bonds</t>
        </is>
      </c>
      <c r="C615">
        <v>4</v>
      </c>
      <c r="D615" t="inlineStr">
        <is>
          <t>count</t>
        </is>
      </c>
      <c r="E615"/>
      <c r="F615"/>
      <c r="G615" t="inlineStr">
        <is>
          <t>computed descriptor</t>
        </is>
      </c>
      <c r="H615" t="inlineStr">
        <is>
          <t>S001_PUBCHEM</t>
        </is>
      </c>
      <c r="I615" t="inlineStr">
        <is>
          <t>database-derived</t>
        </is>
      </c>
      <c r="J615">
        <v>0.82</v>
      </c>
      <c r="K615"/>
    </row>
    <row r="616">
      <c r="A616" t="inlineStr">
        <is>
          <t>API_CELECOXIB</t>
        </is>
      </c>
      <c r="B616" t="inlineStr">
        <is>
          <t>aromatic_rings</t>
        </is>
      </c>
      <c r="C616">
        <v>3</v>
      </c>
      <c r="D616" t="inlineStr">
        <is>
          <t>count</t>
        </is>
      </c>
      <c r="E616"/>
      <c r="F616"/>
      <c r="G616" t="inlineStr">
        <is>
          <t>manual structural count</t>
        </is>
      </c>
      <c r="H616" t="inlineStr">
        <is>
          <t>S001_PUBCHEM</t>
        </is>
      </c>
      <c r="I616" t="inlineStr">
        <is>
          <t>estimated</t>
        </is>
      </c>
      <c r="J616">
        <v>0.6</v>
      </c>
      <c r="K616"/>
    </row>
    <row r="617">
      <c r="A617" t="inlineStr">
        <is>
          <t>API_CELECOXIB</t>
        </is>
      </c>
      <c r="B617" t="inlineStr">
        <is>
          <t>BCS_class</t>
        </is>
      </c>
      <c r="C617" t="inlineStr">
        <is>
          <t>II</t>
        </is>
      </c>
      <c r="D617"/>
      <c r="E617"/>
      <c r="F617"/>
      <c r="G617" t="inlineStr">
        <is>
          <t>literature consensus/placeholder</t>
        </is>
      </c>
      <c r="H617" t="inlineStr">
        <is>
          <t>S007_EXCIPIENTS_HANDBOOK</t>
        </is>
      </c>
      <c r="I617" t="inlineStr">
        <is>
          <t>estimated</t>
        </is>
      </c>
      <c r="J617">
        <v>0.4</v>
      </c>
      <c r="K617" t="inlineStr">
        <is>
          <t>Must be curated from API-specific biopharmaceutics sources.</t>
        </is>
      </c>
    </row>
    <row r="618">
      <c r="A618" t="inlineStr">
        <is>
          <t>API_CELECOXIB</t>
        </is>
      </c>
      <c r="B618" t="inlineStr">
        <is>
          <t>therapeutic_class</t>
        </is>
      </c>
      <c r="C618" t="inlineStr">
        <is>
          <t>NSAID/COX-2 inhibitor</t>
        </is>
      </c>
      <c r="D618"/>
      <c r="E618"/>
      <c r="F618"/>
      <c r="G618" t="inlineStr">
        <is>
          <t>manual therapeutic annotation</t>
        </is>
      </c>
      <c r="H618" t="inlineStr">
        <is>
          <t>S001_PUBCHEM</t>
        </is>
      </c>
      <c r="I618" t="inlineStr">
        <is>
          <t>database-derived</t>
        </is>
      </c>
      <c r="J618">
        <v>0.75</v>
      </c>
      <c r="K618"/>
    </row>
    <row r="619">
      <c r="A619" t="inlineStr">
        <is>
          <t>API_CELECOXIB</t>
        </is>
      </c>
      <c r="B619" t="inlineStr">
        <is>
          <t>payload_type</t>
        </is>
      </c>
      <c r="C619" t="inlineStr">
        <is>
          <t>small_molecule_API</t>
        </is>
      </c>
      <c r="D619"/>
      <c r="E619"/>
      <c r="F619"/>
      <c r="G619" t="inlineStr">
        <is>
          <t>payload taxonomy</t>
        </is>
      </c>
      <c r="H619" t="inlineStr">
        <is>
          <t>S000_USER_SPEC</t>
        </is>
      </c>
      <c r="I619" t="inlineStr">
        <is>
          <t>curated</t>
        </is>
      </c>
      <c r="J619">
        <v>0.8</v>
      </c>
      <c r="K619"/>
    </row>
    <row r="620">
      <c r="A620" t="inlineStr">
        <is>
          <t>API_CELECOXIB</t>
        </is>
      </c>
      <c r="B620" t="inlineStr">
        <is>
          <t>route_notes</t>
        </is>
      </c>
      <c r="C620" t="inlineStr">
        <is>
          <t>weakly acidic sulfonamide; hydrophobic</t>
        </is>
      </c>
      <c r="D620"/>
      <c r="E620"/>
      <c r="F620"/>
      <c r="G620" t="inlineStr">
        <is>
          <t>formulation-relevance annotation</t>
        </is>
      </c>
      <c r="H620" t="inlineStr">
        <is>
          <t>S014_AULTON</t>
        </is>
      </c>
      <c r="I620" t="inlineStr">
        <is>
          <t>curated</t>
        </is>
      </c>
      <c r="J620">
        <v>0.7</v>
      </c>
      <c r="K620"/>
    </row>
    <row r="621">
      <c r="A621" t="inlineStr">
        <is>
          <t>API_CELECOXIB</t>
        </is>
      </c>
      <c r="B621" t="inlineStr">
        <is>
          <t>pKa_acid</t>
        </is>
      </c>
      <c r="C621">
        <v>11.1</v>
      </c>
      <c r="D621"/>
      <c r="E621"/>
      <c r="F621"/>
      <c r="G621" t="inlineStr">
        <is>
          <t>literature pKa consensus</t>
        </is>
      </c>
      <c r="H621" t="inlineStr">
        <is>
          <t>S001_PUBCHEM</t>
        </is>
      </c>
      <c r="I621" t="inlineStr">
        <is>
          <t>handbook</t>
        </is>
      </c>
      <c r="J621">
        <v>0.6</v>
      </c>
      <c r="K621" t="inlineStr">
        <is>
          <t>Microstate and medium-dependent; confirm experimentally for model lock.</t>
        </is>
      </c>
    </row>
    <row r="622">
      <c r="A622" t="inlineStr">
        <is>
          <t>API_CELECOXIB</t>
        </is>
      </c>
      <c r="B622" t="inlineStr">
        <is>
          <t>Hansen_delta_D</t>
        </is>
      </c>
      <c r="C622">
        <v>18.2</v>
      </c>
      <c r="D622" t="inlineStr">
        <is>
          <t>MPa^0.5</t>
        </is>
      </c>
      <c r="E622"/>
      <c r="F622"/>
      <c r="G622" t="inlineStr">
        <is>
          <t>heuristic group-contribution/nearest-neighbour</t>
        </is>
      </c>
      <c r="H622" t="inlineStr">
        <is>
          <t>S013_EST_HSP_HEURISTIC</t>
        </is>
      </c>
      <c r="I622" t="inlineStr">
        <is>
          <t>estimated</t>
        </is>
      </c>
      <c r="J622">
        <v>0.43</v>
      </c>
      <c r="K622" t="inlineStr">
        <is>
          <t>Provisional HSP for screening; replace with experimental/literature value before model lock.</t>
        </is>
      </c>
    </row>
    <row r="623">
      <c r="A623" t="inlineStr">
        <is>
          <t>API_CELECOXIB</t>
        </is>
      </c>
      <c r="B623" t="inlineStr">
        <is>
          <t>Hansen_delta_P</t>
        </is>
      </c>
      <c r="C623">
        <v>8.0</v>
      </c>
      <c r="D623" t="inlineStr">
        <is>
          <t>MPa^0.5</t>
        </is>
      </c>
      <c r="E623"/>
      <c r="F623"/>
      <c r="G623" t="inlineStr">
        <is>
          <t>heuristic group-contribution/nearest-neighbour</t>
        </is>
      </c>
      <c r="H623" t="inlineStr">
        <is>
          <t>S013_EST_HSP_HEURISTIC</t>
        </is>
      </c>
      <c r="I623" t="inlineStr">
        <is>
          <t>estimated</t>
        </is>
      </c>
      <c r="J623">
        <v>0.43</v>
      </c>
      <c r="K623" t="inlineStr">
        <is>
          <t>Provisional HSP for screening; replace with experimental/literature value before model lock.</t>
        </is>
      </c>
    </row>
    <row r="624">
      <c r="A624" t="inlineStr">
        <is>
          <t>API_CELECOXIB</t>
        </is>
      </c>
      <c r="B624" t="inlineStr">
        <is>
          <t>Hansen_delta_H</t>
        </is>
      </c>
      <c r="C624">
        <v>10.0</v>
      </c>
      <c r="D624" t="inlineStr">
        <is>
          <t>MPa^0.5</t>
        </is>
      </c>
      <c r="E624"/>
      <c r="F624"/>
      <c r="G624" t="inlineStr">
        <is>
          <t>heuristic group-contribution/nearest-neighbour</t>
        </is>
      </c>
      <c r="H624" t="inlineStr">
        <is>
          <t>S013_EST_HSP_HEURISTIC</t>
        </is>
      </c>
      <c r="I624" t="inlineStr">
        <is>
          <t>estimated</t>
        </is>
      </c>
      <c r="J624">
        <v>0.43</v>
      </c>
      <c r="K624" t="inlineStr">
        <is>
          <t>Provisional HSP for screening; replace with experimental/literature value before model lock.</t>
        </is>
      </c>
    </row>
    <row r="625">
      <c r="A625" t="inlineStr">
        <is>
          <t>API_CELECOXIB</t>
        </is>
      </c>
      <c r="B625" t="inlineStr">
        <is>
          <t>Hildebrand_delta_T</t>
        </is>
      </c>
      <c r="C625">
        <v>22.25</v>
      </c>
      <c r="D625" t="inlineStr">
        <is>
          <t>MPa^0.5</t>
        </is>
      </c>
      <c r="E625"/>
      <c r="F625"/>
      <c r="G625" t="inlineStr">
        <is>
          <t>sqrt(deltaD^2+deltaP^2+deltaH^2)</t>
        </is>
      </c>
      <c r="H625" t="inlineStr">
        <is>
          <t>S012_CALCULATED</t>
        </is>
      </c>
      <c r="I625" t="inlineStr">
        <is>
          <t>calculated</t>
        </is>
      </c>
      <c r="J625">
        <v>0.48</v>
      </c>
      <c r="K625" t="inlineStr">
        <is>
          <t>Derived from stored Hansen components.</t>
        </is>
      </c>
    </row>
    <row r="626">
      <c r="A626" t="inlineStr">
        <is>
          <t>API_CELECOXIB</t>
        </is>
      </c>
      <c r="B626" t="inlineStr">
        <is>
          <t>HSP_radius_R0</t>
        </is>
      </c>
      <c r="C626">
        <v>8.5</v>
      </c>
      <c r="D626" t="inlineStr">
        <is>
          <t>MPa^0.5</t>
        </is>
      </c>
      <c r="E626"/>
      <c r="F626"/>
      <c r="G626" t="inlineStr">
        <is>
          <t>literature/heuristic solubility sphere</t>
        </is>
      </c>
      <c r="H626" t="inlineStr">
        <is>
          <t>S013_EST_HSP_HEURISTIC</t>
        </is>
      </c>
      <c r="I626" t="inlineStr">
        <is>
          <t>estimated</t>
        </is>
      </c>
      <c r="J626">
        <v>0.43</v>
      </c>
      <c r="K626" t="inlineStr">
        <is>
          <t>Screening radius only unless experimentally determined.</t>
        </is>
      </c>
    </row>
    <row r="627">
      <c r="A627" t="inlineStr">
        <is>
          <t>API_CELECOXIB</t>
        </is>
      </c>
      <c r="B627" t="inlineStr">
        <is>
          <t>molar_volume_cm3_mol</t>
        </is>
      </c>
      <c r="C627">
        <v>305.1</v>
      </c>
      <c r="D627" t="inlineStr">
        <is>
          <t>cm3/mol</t>
        </is>
      </c>
      <c r="E627"/>
      <c r="F627"/>
      <c r="G627" t="inlineStr">
        <is>
          <t>MW/density estimate</t>
        </is>
      </c>
      <c r="H627" t="inlineStr">
        <is>
          <t>S012_CALCULATED</t>
        </is>
      </c>
      <c r="I627" t="inlineStr">
        <is>
          <t>estimated</t>
        </is>
      </c>
      <c r="J627">
        <v>0.45</v>
      </c>
      <c r="K627" t="inlineStr">
        <is>
          <t>Estimated from MW/density; replace with measured molar volume or density-specific grade data.</t>
        </is>
      </c>
    </row>
    <row r="628">
      <c r="A628" t="inlineStr">
        <is>
          <t>API_NIFEDIPINE</t>
        </is>
      </c>
      <c r="B628" t="inlineStr">
        <is>
          <t>molecular_weight_g_mol</t>
        </is>
      </c>
      <c r="C628">
        <v>346.33</v>
      </c>
      <c r="D628" t="inlineStr">
        <is>
          <t>g/mol</t>
        </is>
      </c>
      <c r="E628"/>
      <c r="F628"/>
      <c r="G628" t="inlineStr">
        <is>
          <t>PubChem/handbook curation</t>
        </is>
      </c>
      <c r="H628" t="inlineStr">
        <is>
          <t>S001_PUBCHEM</t>
        </is>
      </c>
      <c r="I628" t="inlineStr">
        <is>
          <t>database-derived</t>
        </is>
      </c>
      <c r="J628">
        <v>0.88</v>
      </c>
      <c r="K628"/>
    </row>
    <row r="629">
      <c r="A629" t="inlineStr">
        <is>
          <t>API_NIFEDIPINE</t>
        </is>
      </c>
      <c r="B629" t="inlineStr">
        <is>
          <t>molecular_formula</t>
        </is>
      </c>
      <c r="C629" t="inlineStr">
        <is>
          <t>C17H18N2O6</t>
        </is>
      </c>
      <c r="D629"/>
      <c r="E629"/>
      <c r="F629"/>
      <c r="G629" t="inlineStr">
        <is>
          <t>PubChem/handbook curation</t>
        </is>
      </c>
      <c r="H629" t="inlineStr">
        <is>
          <t>S001_PUBCHEM</t>
        </is>
      </c>
      <c r="I629" t="inlineStr">
        <is>
          <t>database-derived</t>
        </is>
      </c>
      <c r="J629">
        <v>0.85</v>
      </c>
      <c r="K629"/>
    </row>
    <row r="630">
      <c r="A630" t="inlineStr">
        <is>
          <t>API_NIFEDIPINE</t>
        </is>
      </c>
      <c r="B630" t="inlineStr">
        <is>
          <t>LogP</t>
        </is>
      </c>
      <c r="C630">
        <v>2.2</v>
      </c>
      <c r="D630"/>
      <c r="E630"/>
      <c r="F630"/>
      <c r="G630" t="inlineStr">
        <is>
          <t>computed/curated XLogP or literature consensus</t>
        </is>
      </c>
      <c r="H630" t="inlineStr">
        <is>
          <t>S001_PUBCHEM</t>
        </is>
      </c>
      <c r="I630" t="inlineStr">
        <is>
          <t>database-derived</t>
        </is>
      </c>
      <c r="J630">
        <v>0.72</v>
      </c>
      <c r="K630" t="inlineStr">
        <is>
          <t>Approximate; salt/tautomer state may alter.</t>
        </is>
      </c>
    </row>
    <row r="631">
      <c r="A631" t="inlineStr">
        <is>
          <t>API_NIFEDIPINE</t>
        </is>
      </c>
      <c r="B631" t="inlineStr">
        <is>
          <t>formal_charge</t>
        </is>
      </c>
      <c r="C631">
        <v>0</v>
      </c>
      <c r="D631" t="inlineStr">
        <is>
          <t>e</t>
        </is>
      </c>
      <c r="E631"/>
      <c r="F631"/>
      <c r="G631" t="inlineStr">
        <is>
          <t>canonical neutral parent/salt-free structure</t>
        </is>
      </c>
      <c r="H631" t="inlineStr">
        <is>
          <t>S001_PUBCHEM</t>
        </is>
      </c>
      <c r="I631" t="inlineStr">
        <is>
          <t>database-derived</t>
        </is>
      </c>
      <c r="J631">
        <v>0.82</v>
      </c>
      <c r="K631" t="inlineStr">
        <is>
          <t>Use salt-specific material row for ionic salts.</t>
        </is>
      </c>
    </row>
    <row r="632">
      <c r="A632" t="inlineStr">
        <is>
          <t>API_NIFEDIPINE</t>
        </is>
      </c>
      <c r="B632" t="inlineStr">
        <is>
          <t>water_solubility_mg_ml</t>
        </is>
      </c>
      <c r="C632">
        <v>0.006</v>
      </c>
      <c r="D632" t="inlineStr">
        <is>
          <t>mg/mL</t>
        </is>
      </c>
      <c r="E632"/>
      <c r="F632"/>
      <c r="G632" t="inlineStr">
        <is>
          <t>literature/aqueous solubility range approximated</t>
        </is>
      </c>
      <c r="H632" t="inlineStr">
        <is>
          <t>S001_PUBCHEM</t>
        </is>
      </c>
      <c r="I632" t="inlineStr">
        <is>
          <t>estimated</t>
        </is>
      </c>
      <c r="J632">
        <v>0.45</v>
      </c>
      <c r="K632" t="inlineStr">
        <is>
          <t>Highly pH- and salt-form-dependent.</t>
        </is>
      </c>
    </row>
    <row r="633">
      <c r="A633" t="inlineStr">
        <is>
          <t>API_NIFEDIPINE</t>
        </is>
      </c>
      <c r="B633" t="inlineStr">
        <is>
          <t>melting_point_C</t>
        </is>
      </c>
      <c r="C633">
        <v>172</v>
      </c>
      <c r="D633" t="inlineStr">
        <is>
          <t>°C</t>
        </is>
      </c>
      <c r="E633"/>
      <c r="F633"/>
      <c r="G633" t="inlineStr">
        <is>
          <t>literature/supplier melting range</t>
        </is>
      </c>
      <c r="H633" t="inlineStr">
        <is>
          <t>S001_PUBCHEM</t>
        </is>
      </c>
      <c r="I633" t="inlineStr">
        <is>
          <t>handbook</t>
        </is>
      </c>
      <c r="J633">
        <v>0.65</v>
      </c>
      <c r="K633" t="inlineStr">
        <is>
          <t>Use polymorph-specific data when available.</t>
        </is>
      </c>
    </row>
    <row r="634">
      <c r="A634" t="inlineStr">
        <is>
          <t>API_NIFEDIPINE</t>
        </is>
      </c>
      <c r="B634" t="inlineStr">
        <is>
          <t>TPSA</t>
        </is>
      </c>
      <c r="C634">
        <v>110.0</v>
      </c>
      <c r="D634" t="inlineStr">
        <is>
          <t>Å²</t>
        </is>
      </c>
      <c r="E634"/>
      <c r="F634"/>
      <c r="G634" t="inlineStr">
        <is>
          <t>computed descriptor</t>
        </is>
      </c>
      <c r="H634" t="inlineStr">
        <is>
          <t>S001_PUBCHEM</t>
        </is>
      </c>
      <c r="I634" t="inlineStr">
        <is>
          <t>database-derived</t>
        </is>
      </c>
      <c r="J634">
        <v>0.82</v>
      </c>
      <c r="K634"/>
    </row>
    <row r="635">
      <c r="A635" t="inlineStr">
        <is>
          <t>API_NIFEDIPINE</t>
        </is>
      </c>
      <c r="B635" t="inlineStr">
        <is>
          <t>HBD</t>
        </is>
      </c>
      <c r="C635">
        <v>1</v>
      </c>
      <c r="D635" t="inlineStr">
        <is>
          <t>count</t>
        </is>
      </c>
      <c r="E635"/>
      <c r="F635"/>
      <c r="G635" t="inlineStr">
        <is>
          <t>computed descriptor</t>
        </is>
      </c>
      <c r="H635" t="inlineStr">
        <is>
          <t>S001_PUBCHEM</t>
        </is>
      </c>
      <c r="I635" t="inlineStr">
        <is>
          <t>database-derived</t>
        </is>
      </c>
      <c r="J635">
        <v>0.82</v>
      </c>
      <c r="K635"/>
    </row>
    <row r="636">
      <c r="A636" t="inlineStr">
        <is>
          <t>API_NIFEDIPINE</t>
        </is>
      </c>
      <c r="B636" t="inlineStr">
        <is>
          <t>HBA</t>
        </is>
      </c>
      <c r="C636">
        <v>7</v>
      </c>
      <c r="D636" t="inlineStr">
        <is>
          <t>count</t>
        </is>
      </c>
      <c r="E636"/>
      <c r="F636"/>
      <c r="G636" t="inlineStr">
        <is>
          <t>computed descriptor</t>
        </is>
      </c>
      <c r="H636" t="inlineStr">
        <is>
          <t>S001_PUBCHEM</t>
        </is>
      </c>
      <c r="I636" t="inlineStr">
        <is>
          <t>database-derived</t>
        </is>
      </c>
      <c r="J636">
        <v>0.82</v>
      </c>
      <c r="K636"/>
    </row>
    <row r="637">
      <c r="A637" t="inlineStr">
        <is>
          <t>API_NIFEDIPINE</t>
        </is>
      </c>
      <c r="B637" t="inlineStr">
        <is>
          <t>rotatable_bonds</t>
        </is>
      </c>
      <c r="C637">
        <v>6</v>
      </c>
      <c r="D637" t="inlineStr">
        <is>
          <t>count</t>
        </is>
      </c>
      <c r="E637"/>
      <c r="F637"/>
      <c r="G637" t="inlineStr">
        <is>
          <t>computed descriptor</t>
        </is>
      </c>
      <c r="H637" t="inlineStr">
        <is>
          <t>S001_PUBCHEM</t>
        </is>
      </c>
      <c r="I637" t="inlineStr">
        <is>
          <t>database-derived</t>
        </is>
      </c>
      <c r="J637">
        <v>0.82</v>
      </c>
      <c r="K637"/>
    </row>
    <row r="638">
      <c r="A638" t="inlineStr">
        <is>
          <t>API_NIFEDIPINE</t>
        </is>
      </c>
      <c r="B638" t="inlineStr">
        <is>
          <t>aromatic_rings</t>
        </is>
      </c>
      <c r="C638">
        <v>1</v>
      </c>
      <c r="D638" t="inlineStr">
        <is>
          <t>count</t>
        </is>
      </c>
      <c r="E638"/>
      <c r="F638"/>
      <c r="G638" t="inlineStr">
        <is>
          <t>manual structural count</t>
        </is>
      </c>
      <c r="H638" t="inlineStr">
        <is>
          <t>S001_PUBCHEM</t>
        </is>
      </c>
      <c r="I638" t="inlineStr">
        <is>
          <t>estimated</t>
        </is>
      </c>
      <c r="J638">
        <v>0.6</v>
      </c>
      <c r="K638"/>
    </row>
    <row r="639">
      <c r="A639" t="inlineStr">
        <is>
          <t>API_NIFEDIPINE</t>
        </is>
      </c>
      <c r="B639" t="inlineStr">
        <is>
          <t>BCS_class</t>
        </is>
      </c>
      <c r="C639" t="inlineStr">
        <is>
          <t>II</t>
        </is>
      </c>
      <c r="D639"/>
      <c r="E639"/>
      <c r="F639"/>
      <c r="G639" t="inlineStr">
        <is>
          <t>literature consensus/placeholder</t>
        </is>
      </c>
      <c r="H639" t="inlineStr">
        <is>
          <t>S007_EXCIPIENTS_HANDBOOK</t>
        </is>
      </c>
      <c r="I639" t="inlineStr">
        <is>
          <t>estimated</t>
        </is>
      </c>
      <c r="J639">
        <v>0.4</v>
      </c>
      <c r="K639" t="inlineStr">
        <is>
          <t>Must be curated from API-specific biopharmaceutics sources.</t>
        </is>
      </c>
    </row>
    <row r="640">
      <c r="A640" t="inlineStr">
        <is>
          <t>API_NIFEDIPINE</t>
        </is>
      </c>
      <c r="B640" t="inlineStr">
        <is>
          <t>therapeutic_class</t>
        </is>
      </c>
      <c r="C640" t="inlineStr">
        <is>
          <t>calcium-channel blocker</t>
        </is>
      </c>
      <c r="D640"/>
      <c r="E640"/>
      <c r="F640"/>
      <c r="G640" t="inlineStr">
        <is>
          <t>manual therapeutic annotation</t>
        </is>
      </c>
      <c r="H640" t="inlineStr">
        <is>
          <t>S001_PUBCHEM</t>
        </is>
      </c>
      <c r="I640" t="inlineStr">
        <is>
          <t>database-derived</t>
        </is>
      </c>
      <c r="J640">
        <v>0.75</v>
      </c>
      <c r="K640"/>
    </row>
    <row r="641">
      <c r="A641" t="inlineStr">
        <is>
          <t>API_NIFEDIPINE</t>
        </is>
      </c>
      <c r="B641" t="inlineStr">
        <is>
          <t>payload_type</t>
        </is>
      </c>
      <c r="C641" t="inlineStr">
        <is>
          <t>small_molecule_API</t>
        </is>
      </c>
      <c r="D641"/>
      <c r="E641"/>
      <c r="F641"/>
      <c r="G641" t="inlineStr">
        <is>
          <t>payload taxonomy</t>
        </is>
      </c>
      <c r="H641" t="inlineStr">
        <is>
          <t>S000_USER_SPEC</t>
        </is>
      </c>
      <c r="I641" t="inlineStr">
        <is>
          <t>curated</t>
        </is>
      </c>
      <c r="J641">
        <v>0.8</v>
      </c>
      <c r="K641"/>
    </row>
    <row r="642">
      <c r="A642" t="inlineStr">
        <is>
          <t>API_NIFEDIPINE</t>
        </is>
      </c>
      <c r="B642" t="inlineStr">
        <is>
          <t>route_notes</t>
        </is>
      </c>
      <c r="C642" t="inlineStr">
        <is>
          <t>photolabile dihydropyridine</t>
        </is>
      </c>
      <c r="D642"/>
      <c r="E642"/>
      <c r="F642"/>
      <c r="G642" t="inlineStr">
        <is>
          <t>formulation-relevance annotation</t>
        </is>
      </c>
      <c r="H642" t="inlineStr">
        <is>
          <t>S014_AULTON</t>
        </is>
      </c>
      <c r="I642" t="inlineStr">
        <is>
          <t>curated</t>
        </is>
      </c>
      <c r="J642">
        <v>0.7</v>
      </c>
      <c r="K642"/>
    </row>
    <row r="643">
      <c r="A643" t="inlineStr">
        <is>
          <t>API_NIFEDIPINE</t>
        </is>
      </c>
      <c r="B643" t="inlineStr">
        <is>
          <t>Hansen_delta_D</t>
        </is>
      </c>
      <c r="C643">
        <v>18.0</v>
      </c>
      <c r="D643" t="inlineStr">
        <is>
          <t>MPa^0.5</t>
        </is>
      </c>
      <c r="E643"/>
      <c r="F643"/>
      <c r="G643" t="inlineStr">
        <is>
          <t>heuristic group-contribution/nearest-neighbour</t>
        </is>
      </c>
      <c r="H643" t="inlineStr">
        <is>
          <t>S013_EST_HSP_HEURISTIC</t>
        </is>
      </c>
      <c r="I643" t="inlineStr">
        <is>
          <t>estimated</t>
        </is>
      </c>
      <c r="J643">
        <v>0.43</v>
      </c>
      <c r="K643" t="inlineStr">
        <is>
          <t>Provisional HSP for screening; replace with experimental/literature value before model lock.</t>
        </is>
      </c>
    </row>
    <row r="644">
      <c r="A644" t="inlineStr">
        <is>
          <t>API_NIFEDIPINE</t>
        </is>
      </c>
      <c r="B644" t="inlineStr">
        <is>
          <t>Hansen_delta_P</t>
        </is>
      </c>
      <c r="C644">
        <v>10.5</v>
      </c>
      <c r="D644" t="inlineStr">
        <is>
          <t>MPa^0.5</t>
        </is>
      </c>
      <c r="E644"/>
      <c r="F644"/>
      <c r="G644" t="inlineStr">
        <is>
          <t>heuristic group-contribution/nearest-neighbour</t>
        </is>
      </c>
      <c r="H644" t="inlineStr">
        <is>
          <t>S013_EST_HSP_HEURISTIC</t>
        </is>
      </c>
      <c r="I644" t="inlineStr">
        <is>
          <t>estimated</t>
        </is>
      </c>
      <c r="J644">
        <v>0.43</v>
      </c>
      <c r="K644" t="inlineStr">
        <is>
          <t>Provisional HSP for screening; replace with experimental/literature value before model lock.</t>
        </is>
      </c>
    </row>
    <row r="645">
      <c r="A645" t="inlineStr">
        <is>
          <t>API_NIFEDIPINE</t>
        </is>
      </c>
      <c r="B645" t="inlineStr">
        <is>
          <t>Hansen_delta_H</t>
        </is>
      </c>
      <c r="C645">
        <v>13.0</v>
      </c>
      <c r="D645" t="inlineStr">
        <is>
          <t>MPa^0.5</t>
        </is>
      </c>
      <c r="E645"/>
      <c r="F645"/>
      <c r="G645" t="inlineStr">
        <is>
          <t>heuristic group-contribution/nearest-neighbour</t>
        </is>
      </c>
      <c r="H645" t="inlineStr">
        <is>
          <t>S013_EST_HSP_HEURISTIC</t>
        </is>
      </c>
      <c r="I645" t="inlineStr">
        <is>
          <t>estimated</t>
        </is>
      </c>
      <c r="J645">
        <v>0.43</v>
      </c>
      <c r="K645" t="inlineStr">
        <is>
          <t>Provisional HSP for screening; replace with experimental/literature value before model lock.</t>
        </is>
      </c>
    </row>
    <row r="646">
      <c r="A646" t="inlineStr">
        <is>
          <t>API_NIFEDIPINE</t>
        </is>
      </c>
      <c r="B646" t="inlineStr">
        <is>
          <t>Hildebrand_delta_T</t>
        </is>
      </c>
      <c r="C646">
        <v>24.56</v>
      </c>
      <c r="D646" t="inlineStr">
        <is>
          <t>MPa^0.5</t>
        </is>
      </c>
      <c r="E646"/>
      <c r="F646"/>
      <c r="G646" t="inlineStr">
        <is>
          <t>sqrt(deltaD^2+deltaP^2+deltaH^2)</t>
        </is>
      </c>
      <c r="H646" t="inlineStr">
        <is>
          <t>S012_CALCULATED</t>
        </is>
      </c>
      <c r="I646" t="inlineStr">
        <is>
          <t>calculated</t>
        </is>
      </c>
      <c r="J646">
        <v>0.48</v>
      </c>
      <c r="K646" t="inlineStr">
        <is>
          <t>Derived from stored Hansen components.</t>
        </is>
      </c>
    </row>
    <row r="647">
      <c r="A647" t="inlineStr">
        <is>
          <t>API_NIFEDIPINE</t>
        </is>
      </c>
      <c r="B647" t="inlineStr">
        <is>
          <t>HSP_radius_R0</t>
        </is>
      </c>
      <c r="C647">
        <v>9.0</v>
      </c>
      <c r="D647" t="inlineStr">
        <is>
          <t>MPa^0.5</t>
        </is>
      </c>
      <c r="E647"/>
      <c r="F647"/>
      <c r="G647" t="inlineStr">
        <is>
          <t>literature/heuristic solubility sphere</t>
        </is>
      </c>
      <c r="H647" t="inlineStr">
        <is>
          <t>S013_EST_HSP_HEURISTIC</t>
        </is>
      </c>
      <c r="I647" t="inlineStr">
        <is>
          <t>estimated</t>
        </is>
      </c>
      <c r="J647">
        <v>0.43</v>
      </c>
      <c r="K647" t="inlineStr">
        <is>
          <t>Screening radius only unless experimentally determined.</t>
        </is>
      </c>
    </row>
    <row r="648">
      <c r="A648" t="inlineStr">
        <is>
          <t>API_NIFEDIPINE</t>
        </is>
      </c>
      <c r="B648" t="inlineStr">
        <is>
          <t>molar_volume_cm3_mol</t>
        </is>
      </c>
      <c r="C648">
        <v>277.06</v>
      </c>
      <c r="D648" t="inlineStr">
        <is>
          <t>cm3/mol</t>
        </is>
      </c>
      <c r="E648"/>
      <c r="F648"/>
      <c r="G648" t="inlineStr">
        <is>
          <t>MW/density estimate</t>
        </is>
      </c>
      <c r="H648" t="inlineStr">
        <is>
          <t>S012_CALCULATED</t>
        </is>
      </c>
      <c r="I648" t="inlineStr">
        <is>
          <t>estimated</t>
        </is>
      </c>
      <c r="J648">
        <v>0.45</v>
      </c>
      <c r="K648" t="inlineStr">
        <is>
          <t>Estimated from MW/density; replace with measured molar volume or density-specific grade data.</t>
        </is>
      </c>
    </row>
    <row r="649">
      <c r="A649" t="inlineStr">
        <is>
          <t>API_FELODIPINE</t>
        </is>
      </c>
      <c r="B649" t="inlineStr">
        <is>
          <t>molecular_weight_g_mol</t>
        </is>
      </c>
      <c r="C649">
        <v>384.25</v>
      </c>
      <c r="D649" t="inlineStr">
        <is>
          <t>g/mol</t>
        </is>
      </c>
      <c r="E649"/>
      <c r="F649"/>
      <c r="G649" t="inlineStr">
        <is>
          <t>PubChem/handbook curation</t>
        </is>
      </c>
      <c r="H649" t="inlineStr">
        <is>
          <t>S001_PUBCHEM</t>
        </is>
      </c>
      <c r="I649" t="inlineStr">
        <is>
          <t>database-derived</t>
        </is>
      </c>
      <c r="J649">
        <v>0.88</v>
      </c>
      <c r="K649"/>
    </row>
    <row r="650">
      <c r="A650" t="inlineStr">
        <is>
          <t>API_FELODIPINE</t>
        </is>
      </c>
      <c r="B650" t="inlineStr">
        <is>
          <t>molecular_formula</t>
        </is>
      </c>
      <c r="C650" t="inlineStr">
        <is>
          <t>C18H19Cl2NO4</t>
        </is>
      </c>
      <c r="D650"/>
      <c r="E650"/>
      <c r="F650"/>
      <c r="G650" t="inlineStr">
        <is>
          <t>PubChem/handbook curation</t>
        </is>
      </c>
      <c r="H650" t="inlineStr">
        <is>
          <t>S001_PUBCHEM</t>
        </is>
      </c>
      <c r="I650" t="inlineStr">
        <is>
          <t>database-derived</t>
        </is>
      </c>
      <c r="J650">
        <v>0.85</v>
      </c>
      <c r="K650"/>
    </row>
    <row r="651">
      <c r="A651" t="inlineStr">
        <is>
          <t>API_FELODIPINE</t>
        </is>
      </c>
      <c r="B651" t="inlineStr">
        <is>
          <t>LogP</t>
        </is>
      </c>
      <c r="C651">
        <v>4.5</v>
      </c>
      <c r="D651"/>
      <c r="E651"/>
      <c r="F651"/>
      <c r="G651" t="inlineStr">
        <is>
          <t>computed/curated XLogP or literature consensus</t>
        </is>
      </c>
      <c r="H651" t="inlineStr">
        <is>
          <t>S001_PUBCHEM</t>
        </is>
      </c>
      <c r="I651" t="inlineStr">
        <is>
          <t>database-derived</t>
        </is>
      </c>
      <c r="J651">
        <v>0.72</v>
      </c>
      <c r="K651" t="inlineStr">
        <is>
          <t>Approximate; salt/tautomer state may alter.</t>
        </is>
      </c>
    </row>
    <row r="652">
      <c r="A652" t="inlineStr">
        <is>
          <t>API_FELODIPINE</t>
        </is>
      </c>
      <c r="B652" t="inlineStr">
        <is>
          <t>formal_charge</t>
        </is>
      </c>
      <c r="C652">
        <v>0</v>
      </c>
      <c r="D652" t="inlineStr">
        <is>
          <t>e</t>
        </is>
      </c>
      <c r="E652"/>
      <c r="F652"/>
      <c r="G652" t="inlineStr">
        <is>
          <t>canonical neutral parent/salt-free structure</t>
        </is>
      </c>
      <c r="H652" t="inlineStr">
        <is>
          <t>S001_PUBCHEM</t>
        </is>
      </c>
      <c r="I652" t="inlineStr">
        <is>
          <t>database-derived</t>
        </is>
      </c>
      <c r="J652">
        <v>0.82</v>
      </c>
      <c r="K652" t="inlineStr">
        <is>
          <t>Use salt-specific material row for ionic salts.</t>
        </is>
      </c>
    </row>
    <row r="653">
      <c r="A653" t="inlineStr">
        <is>
          <t>API_FELODIPINE</t>
        </is>
      </c>
      <c r="B653" t="inlineStr">
        <is>
          <t>water_solubility_mg_ml</t>
        </is>
      </c>
      <c r="C653">
        <v>0.0005</v>
      </c>
      <c r="D653" t="inlineStr">
        <is>
          <t>mg/mL</t>
        </is>
      </c>
      <c r="E653"/>
      <c r="F653"/>
      <c r="G653" t="inlineStr">
        <is>
          <t>literature/aqueous solubility range approximated</t>
        </is>
      </c>
      <c r="H653" t="inlineStr">
        <is>
          <t>S001_PUBCHEM</t>
        </is>
      </c>
      <c r="I653" t="inlineStr">
        <is>
          <t>estimated</t>
        </is>
      </c>
      <c r="J653">
        <v>0.45</v>
      </c>
      <c r="K653" t="inlineStr">
        <is>
          <t>Highly pH- and salt-form-dependent.</t>
        </is>
      </c>
    </row>
    <row r="654">
      <c r="A654" t="inlineStr">
        <is>
          <t>API_FELODIPINE</t>
        </is>
      </c>
      <c r="B654" t="inlineStr">
        <is>
          <t>melting_point_C</t>
        </is>
      </c>
      <c r="C654">
        <v>145</v>
      </c>
      <c r="D654" t="inlineStr">
        <is>
          <t>°C</t>
        </is>
      </c>
      <c r="E654"/>
      <c r="F654"/>
      <c r="G654" t="inlineStr">
        <is>
          <t>literature/supplier melting range</t>
        </is>
      </c>
      <c r="H654" t="inlineStr">
        <is>
          <t>S001_PUBCHEM</t>
        </is>
      </c>
      <c r="I654" t="inlineStr">
        <is>
          <t>handbook</t>
        </is>
      </c>
      <c r="J654">
        <v>0.65</v>
      </c>
      <c r="K654" t="inlineStr">
        <is>
          <t>Use polymorph-specific data when available.</t>
        </is>
      </c>
    </row>
    <row r="655">
      <c r="A655" t="inlineStr">
        <is>
          <t>API_FELODIPINE</t>
        </is>
      </c>
      <c r="B655" t="inlineStr">
        <is>
          <t>TPSA</t>
        </is>
      </c>
      <c r="C655">
        <v>64.6</v>
      </c>
      <c r="D655" t="inlineStr">
        <is>
          <t>Å²</t>
        </is>
      </c>
      <c r="E655"/>
      <c r="F655"/>
      <c r="G655" t="inlineStr">
        <is>
          <t>computed descriptor</t>
        </is>
      </c>
      <c r="H655" t="inlineStr">
        <is>
          <t>S001_PUBCHEM</t>
        </is>
      </c>
      <c r="I655" t="inlineStr">
        <is>
          <t>database-derived</t>
        </is>
      </c>
      <c r="J655">
        <v>0.82</v>
      </c>
      <c r="K655"/>
    </row>
    <row r="656">
      <c r="A656" t="inlineStr">
        <is>
          <t>API_FELODIPINE</t>
        </is>
      </c>
      <c r="B656" t="inlineStr">
        <is>
          <t>HBD</t>
        </is>
      </c>
      <c r="C656">
        <v>1</v>
      </c>
      <c r="D656" t="inlineStr">
        <is>
          <t>count</t>
        </is>
      </c>
      <c r="E656"/>
      <c r="F656"/>
      <c r="G656" t="inlineStr">
        <is>
          <t>computed descriptor</t>
        </is>
      </c>
      <c r="H656" t="inlineStr">
        <is>
          <t>S001_PUBCHEM</t>
        </is>
      </c>
      <c r="I656" t="inlineStr">
        <is>
          <t>database-derived</t>
        </is>
      </c>
      <c r="J656">
        <v>0.82</v>
      </c>
      <c r="K656"/>
    </row>
    <row r="657">
      <c r="A657" t="inlineStr">
        <is>
          <t>API_FELODIPINE</t>
        </is>
      </c>
      <c r="B657" t="inlineStr">
        <is>
          <t>HBA</t>
        </is>
      </c>
      <c r="C657">
        <v>5</v>
      </c>
      <c r="D657" t="inlineStr">
        <is>
          <t>count</t>
        </is>
      </c>
      <c r="E657"/>
      <c r="F657"/>
      <c r="G657" t="inlineStr">
        <is>
          <t>computed descriptor</t>
        </is>
      </c>
      <c r="H657" t="inlineStr">
        <is>
          <t>S001_PUBCHEM</t>
        </is>
      </c>
      <c r="I657" t="inlineStr">
        <is>
          <t>database-derived</t>
        </is>
      </c>
      <c r="J657">
        <v>0.82</v>
      </c>
      <c r="K657"/>
    </row>
    <row r="658">
      <c r="A658" t="inlineStr">
        <is>
          <t>API_FELODIPINE</t>
        </is>
      </c>
      <c r="B658" t="inlineStr">
        <is>
          <t>rotatable_bonds</t>
        </is>
      </c>
      <c r="C658">
        <v>7</v>
      </c>
      <c r="D658" t="inlineStr">
        <is>
          <t>count</t>
        </is>
      </c>
      <c r="E658"/>
      <c r="F658"/>
      <c r="G658" t="inlineStr">
        <is>
          <t>computed descriptor</t>
        </is>
      </c>
      <c r="H658" t="inlineStr">
        <is>
          <t>S001_PUBCHEM</t>
        </is>
      </c>
      <c r="I658" t="inlineStr">
        <is>
          <t>database-derived</t>
        </is>
      </c>
      <c r="J658">
        <v>0.82</v>
      </c>
      <c r="K658"/>
    </row>
    <row r="659">
      <c r="A659" t="inlineStr">
        <is>
          <t>API_FELODIPINE</t>
        </is>
      </c>
      <c r="B659" t="inlineStr">
        <is>
          <t>aromatic_rings</t>
        </is>
      </c>
      <c r="C659">
        <v>1</v>
      </c>
      <c r="D659" t="inlineStr">
        <is>
          <t>count</t>
        </is>
      </c>
      <c r="E659"/>
      <c r="F659"/>
      <c r="G659" t="inlineStr">
        <is>
          <t>manual structural count</t>
        </is>
      </c>
      <c r="H659" t="inlineStr">
        <is>
          <t>S001_PUBCHEM</t>
        </is>
      </c>
      <c r="I659" t="inlineStr">
        <is>
          <t>estimated</t>
        </is>
      </c>
      <c r="J659">
        <v>0.6</v>
      </c>
      <c r="K659"/>
    </row>
    <row r="660">
      <c r="A660" t="inlineStr">
        <is>
          <t>API_FELODIPINE</t>
        </is>
      </c>
      <c r="B660" t="inlineStr">
        <is>
          <t>BCS_class</t>
        </is>
      </c>
      <c r="C660" t="inlineStr">
        <is>
          <t>II</t>
        </is>
      </c>
      <c r="D660"/>
      <c r="E660"/>
      <c r="F660"/>
      <c r="G660" t="inlineStr">
        <is>
          <t>literature consensus/placeholder</t>
        </is>
      </c>
      <c r="H660" t="inlineStr">
        <is>
          <t>S007_EXCIPIENTS_HANDBOOK</t>
        </is>
      </c>
      <c r="I660" t="inlineStr">
        <is>
          <t>estimated</t>
        </is>
      </c>
      <c r="J660">
        <v>0.4</v>
      </c>
      <c r="K660" t="inlineStr">
        <is>
          <t>Must be curated from API-specific biopharmaceutics sources.</t>
        </is>
      </c>
    </row>
    <row r="661">
      <c r="A661" t="inlineStr">
        <is>
          <t>API_FELODIPINE</t>
        </is>
      </c>
      <c r="B661" t="inlineStr">
        <is>
          <t>therapeutic_class</t>
        </is>
      </c>
      <c r="C661" t="inlineStr">
        <is>
          <t>calcium-channel blocker</t>
        </is>
      </c>
      <c r="D661"/>
      <c r="E661"/>
      <c r="F661"/>
      <c r="G661" t="inlineStr">
        <is>
          <t>manual therapeutic annotation</t>
        </is>
      </c>
      <c r="H661" t="inlineStr">
        <is>
          <t>S001_PUBCHEM</t>
        </is>
      </c>
      <c r="I661" t="inlineStr">
        <is>
          <t>database-derived</t>
        </is>
      </c>
      <c r="J661">
        <v>0.75</v>
      </c>
      <c r="K661"/>
    </row>
    <row r="662">
      <c r="A662" t="inlineStr">
        <is>
          <t>API_FELODIPINE</t>
        </is>
      </c>
      <c r="B662" t="inlineStr">
        <is>
          <t>payload_type</t>
        </is>
      </c>
      <c r="C662" t="inlineStr">
        <is>
          <t>small_molecule_API</t>
        </is>
      </c>
      <c r="D662"/>
      <c r="E662"/>
      <c r="F662"/>
      <c r="G662" t="inlineStr">
        <is>
          <t>payload taxonomy</t>
        </is>
      </c>
      <c r="H662" t="inlineStr">
        <is>
          <t>S000_USER_SPEC</t>
        </is>
      </c>
      <c r="I662" t="inlineStr">
        <is>
          <t>curated</t>
        </is>
      </c>
      <c r="J662">
        <v>0.8</v>
      </c>
      <c r="K662"/>
    </row>
    <row r="663">
      <c r="A663" t="inlineStr">
        <is>
          <t>API_FELODIPINE</t>
        </is>
      </c>
      <c r="B663" t="inlineStr">
        <is>
          <t>route_notes</t>
        </is>
      </c>
      <c r="C663" t="inlineStr">
        <is>
          <t>hydrophobic dihydropyridine</t>
        </is>
      </c>
      <c r="D663"/>
      <c r="E663"/>
      <c r="F663"/>
      <c r="G663" t="inlineStr">
        <is>
          <t>formulation-relevance annotation</t>
        </is>
      </c>
      <c r="H663" t="inlineStr">
        <is>
          <t>S014_AULTON</t>
        </is>
      </c>
      <c r="I663" t="inlineStr">
        <is>
          <t>curated</t>
        </is>
      </c>
      <c r="J663">
        <v>0.7</v>
      </c>
      <c r="K663"/>
    </row>
    <row r="664">
      <c r="A664" t="inlineStr">
        <is>
          <t>API_FELODIPINE</t>
        </is>
      </c>
      <c r="B664" t="inlineStr">
        <is>
          <t>Hansen_delta_D</t>
        </is>
      </c>
      <c r="C664">
        <v>18.4</v>
      </c>
      <c r="D664" t="inlineStr">
        <is>
          <t>MPa^0.5</t>
        </is>
      </c>
      <c r="E664"/>
      <c r="F664"/>
      <c r="G664" t="inlineStr">
        <is>
          <t>heuristic group-contribution/nearest-neighbour</t>
        </is>
      </c>
      <c r="H664" t="inlineStr">
        <is>
          <t>S013_EST_HSP_HEURISTIC</t>
        </is>
      </c>
      <c r="I664" t="inlineStr">
        <is>
          <t>estimated</t>
        </is>
      </c>
      <c r="J664">
        <v>0.42</v>
      </c>
      <c r="K664" t="inlineStr">
        <is>
          <t>Provisional HSP for screening; replace with experimental/literature value before model lock.</t>
        </is>
      </c>
    </row>
    <row r="665">
      <c r="A665" t="inlineStr">
        <is>
          <t>API_FELODIPINE</t>
        </is>
      </c>
      <c r="B665" t="inlineStr">
        <is>
          <t>Hansen_delta_P</t>
        </is>
      </c>
      <c r="C665">
        <v>5.5</v>
      </c>
      <c r="D665" t="inlineStr">
        <is>
          <t>MPa^0.5</t>
        </is>
      </c>
      <c r="E665"/>
      <c r="F665"/>
      <c r="G665" t="inlineStr">
        <is>
          <t>heuristic group-contribution/nearest-neighbour</t>
        </is>
      </c>
      <c r="H665" t="inlineStr">
        <is>
          <t>S013_EST_HSP_HEURISTIC</t>
        </is>
      </c>
      <c r="I665" t="inlineStr">
        <is>
          <t>estimated</t>
        </is>
      </c>
      <c r="J665">
        <v>0.42</v>
      </c>
      <c r="K665" t="inlineStr">
        <is>
          <t>Provisional HSP for screening; replace with experimental/literature value before model lock.</t>
        </is>
      </c>
    </row>
    <row r="666">
      <c r="A666" t="inlineStr">
        <is>
          <t>API_FELODIPINE</t>
        </is>
      </c>
      <c r="B666" t="inlineStr">
        <is>
          <t>Hansen_delta_H</t>
        </is>
      </c>
      <c r="C666">
        <v>6.0</v>
      </c>
      <c r="D666" t="inlineStr">
        <is>
          <t>MPa^0.5</t>
        </is>
      </c>
      <c r="E666"/>
      <c r="F666"/>
      <c r="G666" t="inlineStr">
        <is>
          <t>heuristic group-contribution/nearest-neighbour</t>
        </is>
      </c>
      <c r="H666" t="inlineStr">
        <is>
          <t>S013_EST_HSP_HEURISTIC</t>
        </is>
      </c>
      <c r="I666" t="inlineStr">
        <is>
          <t>estimated</t>
        </is>
      </c>
      <c r="J666">
        <v>0.42</v>
      </c>
      <c r="K666" t="inlineStr">
        <is>
          <t>Provisional HSP for screening; replace with experimental/literature value before model lock.</t>
        </is>
      </c>
    </row>
    <row r="667">
      <c r="A667" t="inlineStr">
        <is>
          <t>API_FELODIPINE</t>
        </is>
      </c>
      <c r="B667" t="inlineStr">
        <is>
          <t>Hildebrand_delta_T</t>
        </is>
      </c>
      <c r="C667">
        <v>20.12</v>
      </c>
      <c r="D667" t="inlineStr">
        <is>
          <t>MPa^0.5</t>
        </is>
      </c>
      <c r="E667"/>
      <c r="F667"/>
      <c r="G667" t="inlineStr">
        <is>
          <t>sqrt(deltaD^2+deltaP^2+deltaH^2)</t>
        </is>
      </c>
      <c r="H667" t="inlineStr">
        <is>
          <t>S012_CALCULATED</t>
        </is>
      </c>
      <c r="I667" t="inlineStr">
        <is>
          <t>calculated</t>
        </is>
      </c>
      <c r="J667">
        <v>0.47</v>
      </c>
      <c r="K667" t="inlineStr">
        <is>
          <t>Derived from stored Hansen components.</t>
        </is>
      </c>
    </row>
    <row r="668">
      <c r="A668" t="inlineStr">
        <is>
          <t>API_FELODIPINE</t>
        </is>
      </c>
      <c r="B668" t="inlineStr">
        <is>
          <t>HSP_radius_R0</t>
        </is>
      </c>
      <c r="C668">
        <v>8.0</v>
      </c>
      <c r="D668" t="inlineStr">
        <is>
          <t>MPa^0.5</t>
        </is>
      </c>
      <c r="E668"/>
      <c r="F668"/>
      <c r="G668" t="inlineStr">
        <is>
          <t>literature/heuristic solubility sphere</t>
        </is>
      </c>
      <c r="H668" t="inlineStr">
        <is>
          <t>S013_EST_HSP_HEURISTIC</t>
        </is>
      </c>
      <c r="I668" t="inlineStr">
        <is>
          <t>estimated</t>
        </is>
      </c>
      <c r="J668">
        <v>0.42</v>
      </c>
      <c r="K668" t="inlineStr">
        <is>
          <t>Screening radius only unless experimentally determined.</t>
        </is>
      </c>
    </row>
    <row r="669">
      <c r="A669" t="inlineStr">
        <is>
          <t>API_FELODIPINE</t>
        </is>
      </c>
      <c r="B669" t="inlineStr">
        <is>
          <t>molar_volume_cm3_mol</t>
        </is>
      </c>
      <c r="C669">
        <v>307.4</v>
      </c>
      <c r="D669" t="inlineStr">
        <is>
          <t>cm3/mol</t>
        </is>
      </c>
      <c r="E669"/>
      <c r="F669"/>
      <c r="G669" t="inlineStr">
        <is>
          <t>MW/density estimate</t>
        </is>
      </c>
      <c r="H669" t="inlineStr">
        <is>
          <t>S012_CALCULATED</t>
        </is>
      </c>
      <c r="I669" t="inlineStr">
        <is>
          <t>estimated</t>
        </is>
      </c>
      <c r="J669">
        <v>0.45</v>
      </c>
      <c r="K669" t="inlineStr">
        <is>
          <t>Estimated from MW/density; replace with measured molar volume or density-specific grade data.</t>
        </is>
      </c>
    </row>
    <row r="670">
      <c r="A670" t="inlineStr">
        <is>
          <t>API_CARVEDILOL</t>
        </is>
      </c>
      <c r="B670" t="inlineStr">
        <is>
          <t>molecular_weight_g_mol</t>
        </is>
      </c>
      <c r="C670">
        <v>406.47</v>
      </c>
      <c r="D670" t="inlineStr">
        <is>
          <t>g/mol</t>
        </is>
      </c>
      <c r="E670"/>
      <c r="F670"/>
      <c r="G670" t="inlineStr">
        <is>
          <t>PubChem/handbook curation</t>
        </is>
      </c>
      <c r="H670" t="inlineStr">
        <is>
          <t>S001_PUBCHEM</t>
        </is>
      </c>
      <c r="I670" t="inlineStr">
        <is>
          <t>database-derived</t>
        </is>
      </c>
      <c r="J670">
        <v>0.88</v>
      </c>
      <c r="K670"/>
    </row>
    <row r="671">
      <c r="A671" t="inlineStr">
        <is>
          <t>API_CARVEDILOL</t>
        </is>
      </c>
      <c r="B671" t="inlineStr">
        <is>
          <t>molecular_formula</t>
        </is>
      </c>
      <c r="C671" t="inlineStr">
        <is>
          <t>C24H26N2O4</t>
        </is>
      </c>
      <c r="D671"/>
      <c r="E671"/>
      <c r="F671"/>
      <c r="G671" t="inlineStr">
        <is>
          <t>PubChem/handbook curation</t>
        </is>
      </c>
      <c r="H671" t="inlineStr">
        <is>
          <t>S001_PUBCHEM</t>
        </is>
      </c>
      <c r="I671" t="inlineStr">
        <is>
          <t>database-derived</t>
        </is>
      </c>
      <c r="J671">
        <v>0.85</v>
      </c>
      <c r="K671"/>
    </row>
    <row r="672">
      <c r="A672" t="inlineStr">
        <is>
          <t>API_CARVEDILOL</t>
        </is>
      </c>
      <c r="B672" t="inlineStr">
        <is>
          <t>LogP</t>
        </is>
      </c>
      <c r="C672">
        <v>3.8</v>
      </c>
      <c r="D672"/>
      <c r="E672"/>
      <c r="F672"/>
      <c r="G672" t="inlineStr">
        <is>
          <t>computed/curated XLogP or literature consensus</t>
        </is>
      </c>
      <c r="H672" t="inlineStr">
        <is>
          <t>S001_PUBCHEM</t>
        </is>
      </c>
      <c r="I672" t="inlineStr">
        <is>
          <t>database-derived</t>
        </is>
      </c>
      <c r="J672">
        <v>0.72</v>
      </c>
      <c r="K672" t="inlineStr">
        <is>
          <t>Approximate; salt/tautomer state may alter.</t>
        </is>
      </c>
    </row>
    <row r="673">
      <c r="A673" t="inlineStr">
        <is>
          <t>API_CARVEDILOL</t>
        </is>
      </c>
      <c r="B673" t="inlineStr">
        <is>
          <t>formal_charge</t>
        </is>
      </c>
      <c r="C673">
        <v>0</v>
      </c>
      <c r="D673" t="inlineStr">
        <is>
          <t>e</t>
        </is>
      </c>
      <c r="E673"/>
      <c r="F673"/>
      <c r="G673" t="inlineStr">
        <is>
          <t>canonical neutral parent/salt-free structure</t>
        </is>
      </c>
      <c r="H673" t="inlineStr">
        <is>
          <t>S001_PUBCHEM</t>
        </is>
      </c>
      <c r="I673" t="inlineStr">
        <is>
          <t>database-derived</t>
        </is>
      </c>
      <c r="J673">
        <v>0.82</v>
      </c>
      <c r="K673" t="inlineStr">
        <is>
          <t>Use salt-specific material row for ionic salts.</t>
        </is>
      </c>
    </row>
    <row r="674">
      <c r="A674" t="inlineStr">
        <is>
          <t>API_CARVEDILOL</t>
        </is>
      </c>
      <c r="B674" t="inlineStr">
        <is>
          <t>water_solubility_mg_ml</t>
        </is>
      </c>
      <c r="C674">
        <v>0.01</v>
      </c>
      <c r="D674" t="inlineStr">
        <is>
          <t>mg/mL</t>
        </is>
      </c>
      <c r="E674"/>
      <c r="F674"/>
      <c r="G674" t="inlineStr">
        <is>
          <t>literature/aqueous solubility range approximated</t>
        </is>
      </c>
      <c r="H674" t="inlineStr">
        <is>
          <t>S001_PUBCHEM</t>
        </is>
      </c>
      <c r="I674" t="inlineStr">
        <is>
          <t>estimated</t>
        </is>
      </c>
      <c r="J674">
        <v>0.45</v>
      </c>
      <c r="K674" t="inlineStr">
        <is>
          <t>Highly pH- and salt-form-dependent.</t>
        </is>
      </c>
    </row>
    <row r="675">
      <c r="A675" t="inlineStr">
        <is>
          <t>API_CARVEDILOL</t>
        </is>
      </c>
      <c r="B675" t="inlineStr">
        <is>
          <t>melting_point_C</t>
        </is>
      </c>
      <c r="C675">
        <v>117</v>
      </c>
      <c r="D675" t="inlineStr">
        <is>
          <t>°C</t>
        </is>
      </c>
      <c r="E675"/>
      <c r="F675"/>
      <c r="G675" t="inlineStr">
        <is>
          <t>literature/supplier melting range</t>
        </is>
      </c>
      <c r="H675" t="inlineStr">
        <is>
          <t>S001_PUBCHEM</t>
        </is>
      </c>
      <c r="I675" t="inlineStr">
        <is>
          <t>handbook</t>
        </is>
      </c>
      <c r="J675">
        <v>0.65</v>
      </c>
      <c r="K675" t="inlineStr">
        <is>
          <t>Use polymorph-specific data when available.</t>
        </is>
      </c>
    </row>
    <row r="676">
      <c r="A676" t="inlineStr">
        <is>
          <t>API_CARVEDILOL</t>
        </is>
      </c>
      <c r="B676" t="inlineStr">
        <is>
          <t>TPSA</t>
        </is>
      </c>
      <c r="C676">
        <v>78.3</v>
      </c>
      <c r="D676" t="inlineStr">
        <is>
          <t>Å²</t>
        </is>
      </c>
      <c r="E676"/>
      <c r="F676"/>
      <c r="G676" t="inlineStr">
        <is>
          <t>computed descriptor</t>
        </is>
      </c>
      <c r="H676" t="inlineStr">
        <is>
          <t>S001_PUBCHEM</t>
        </is>
      </c>
      <c r="I676" t="inlineStr">
        <is>
          <t>database-derived</t>
        </is>
      </c>
      <c r="J676">
        <v>0.82</v>
      </c>
      <c r="K676"/>
    </row>
    <row r="677">
      <c r="A677" t="inlineStr">
        <is>
          <t>API_CARVEDILOL</t>
        </is>
      </c>
      <c r="B677" t="inlineStr">
        <is>
          <t>HBD</t>
        </is>
      </c>
      <c r="C677">
        <v>3</v>
      </c>
      <c r="D677" t="inlineStr">
        <is>
          <t>count</t>
        </is>
      </c>
      <c r="E677"/>
      <c r="F677"/>
      <c r="G677" t="inlineStr">
        <is>
          <t>computed descriptor</t>
        </is>
      </c>
      <c r="H677" t="inlineStr">
        <is>
          <t>S001_PUBCHEM</t>
        </is>
      </c>
      <c r="I677" t="inlineStr">
        <is>
          <t>database-derived</t>
        </is>
      </c>
      <c r="J677">
        <v>0.82</v>
      </c>
      <c r="K677"/>
    </row>
    <row r="678">
      <c r="A678" t="inlineStr">
        <is>
          <t>API_CARVEDILOL</t>
        </is>
      </c>
      <c r="B678" t="inlineStr">
        <is>
          <t>HBA</t>
        </is>
      </c>
      <c r="C678">
        <v>5</v>
      </c>
      <c r="D678" t="inlineStr">
        <is>
          <t>count</t>
        </is>
      </c>
      <c r="E678"/>
      <c r="F678"/>
      <c r="G678" t="inlineStr">
        <is>
          <t>computed descriptor</t>
        </is>
      </c>
      <c r="H678" t="inlineStr">
        <is>
          <t>S001_PUBCHEM</t>
        </is>
      </c>
      <c r="I678" t="inlineStr">
        <is>
          <t>database-derived</t>
        </is>
      </c>
      <c r="J678">
        <v>0.82</v>
      </c>
      <c r="K678"/>
    </row>
    <row r="679">
      <c r="A679" t="inlineStr">
        <is>
          <t>API_CARVEDILOL</t>
        </is>
      </c>
      <c r="B679" t="inlineStr">
        <is>
          <t>rotatable_bonds</t>
        </is>
      </c>
      <c r="C679">
        <v>10</v>
      </c>
      <c r="D679" t="inlineStr">
        <is>
          <t>count</t>
        </is>
      </c>
      <c r="E679"/>
      <c r="F679"/>
      <c r="G679" t="inlineStr">
        <is>
          <t>computed descriptor</t>
        </is>
      </c>
      <c r="H679" t="inlineStr">
        <is>
          <t>S001_PUBCHEM</t>
        </is>
      </c>
      <c r="I679" t="inlineStr">
        <is>
          <t>database-derived</t>
        </is>
      </c>
      <c r="J679">
        <v>0.82</v>
      </c>
      <c r="K679"/>
    </row>
    <row r="680">
      <c r="A680" t="inlineStr">
        <is>
          <t>API_CARVEDILOL</t>
        </is>
      </c>
      <c r="B680" t="inlineStr">
        <is>
          <t>aromatic_rings</t>
        </is>
      </c>
      <c r="C680">
        <v>3</v>
      </c>
      <c r="D680" t="inlineStr">
        <is>
          <t>count</t>
        </is>
      </c>
      <c r="E680"/>
      <c r="F680"/>
      <c r="G680" t="inlineStr">
        <is>
          <t>manual structural count</t>
        </is>
      </c>
      <c r="H680" t="inlineStr">
        <is>
          <t>S001_PUBCHEM</t>
        </is>
      </c>
      <c r="I680" t="inlineStr">
        <is>
          <t>estimated</t>
        </is>
      </c>
      <c r="J680">
        <v>0.6</v>
      </c>
      <c r="K680"/>
    </row>
    <row r="681">
      <c r="A681" t="inlineStr">
        <is>
          <t>API_CARVEDILOL</t>
        </is>
      </c>
      <c r="B681" t="inlineStr">
        <is>
          <t>BCS_class</t>
        </is>
      </c>
      <c r="C681" t="inlineStr">
        <is>
          <t>II</t>
        </is>
      </c>
      <c r="D681"/>
      <c r="E681"/>
      <c r="F681"/>
      <c r="G681" t="inlineStr">
        <is>
          <t>literature consensus/placeholder</t>
        </is>
      </c>
      <c r="H681" t="inlineStr">
        <is>
          <t>S007_EXCIPIENTS_HANDBOOK</t>
        </is>
      </c>
      <c r="I681" t="inlineStr">
        <is>
          <t>estimated</t>
        </is>
      </c>
      <c r="J681">
        <v>0.4</v>
      </c>
      <c r="K681" t="inlineStr">
        <is>
          <t>Must be curated from API-specific biopharmaceutics sources.</t>
        </is>
      </c>
    </row>
    <row r="682">
      <c r="A682" t="inlineStr">
        <is>
          <t>API_CARVEDILOL</t>
        </is>
      </c>
      <c r="B682" t="inlineStr">
        <is>
          <t>therapeutic_class</t>
        </is>
      </c>
      <c r="C682" t="inlineStr">
        <is>
          <t>beta-blocker</t>
        </is>
      </c>
      <c r="D682"/>
      <c r="E682"/>
      <c r="F682"/>
      <c r="G682" t="inlineStr">
        <is>
          <t>manual therapeutic annotation</t>
        </is>
      </c>
      <c r="H682" t="inlineStr">
        <is>
          <t>S001_PUBCHEM</t>
        </is>
      </c>
      <c r="I682" t="inlineStr">
        <is>
          <t>database-derived</t>
        </is>
      </c>
      <c r="J682">
        <v>0.75</v>
      </c>
      <c r="K682"/>
    </row>
    <row r="683">
      <c r="A683" t="inlineStr">
        <is>
          <t>API_CARVEDILOL</t>
        </is>
      </c>
      <c r="B683" t="inlineStr">
        <is>
          <t>payload_type</t>
        </is>
      </c>
      <c r="C683" t="inlineStr">
        <is>
          <t>small_molecule_API</t>
        </is>
      </c>
      <c r="D683"/>
      <c r="E683"/>
      <c r="F683"/>
      <c r="G683" t="inlineStr">
        <is>
          <t>payload taxonomy</t>
        </is>
      </c>
      <c r="H683" t="inlineStr">
        <is>
          <t>S000_USER_SPEC</t>
        </is>
      </c>
      <c r="I683" t="inlineStr">
        <is>
          <t>curated</t>
        </is>
      </c>
      <c r="J683">
        <v>0.8</v>
      </c>
      <c r="K683"/>
    </row>
    <row r="684">
      <c r="A684" t="inlineStr">
        <is>
          <t>API_CARVEDILOL</t>
        </is>
      </c>
      <c r="B684" t="inlineStr">
        <is>
          <t>route_notes</t>
        </is>
      </c>
      <c r="C684" t="inlineStr">
        <is>
          <t>basic amphiphile; ionization affects zeta/loading</t>
        </is>
      </c>
      <c r="D684"/>
      <c r="E684"/>
      <c r="F684"/>
      <c r="G684" t="inlineStr">
        <is>
          <t>formulation-relevance annotation</t>
        </is>
      </c>
      <c r="H684" t="inlineStr">
        <is>
          <t>S014_AULTON</t>
        </is>
      </c>
      <c r="I684" t="inlineStr">
        <is>
          <t>curated</t>
        </is>
      </c>
      <c r="J684">
        <v>0.7</v>
      </c>
      <c r="K684"/>
    </row>
    <row r="685">
      <c r="A685" t="inlineStr">
        <is>
          <t>API_CARVEDILOL</t>
        </is>
      </c>
      <c r="B685" t="inlineStr">
        <is>
          <t>pKa_base</t>
        </is>
      </c>
      <c r="C685">
        <v>7.8</v>
      </c>
      <c r="D685"/>
      <c r="E685"/>
      <c r="F685"/>
      <c r="G685" t="inlineStr">
        <is>
          <t>literature pKa consensus</t>
        </is>
      </c>
      <c r="H685" t="inlineStr">
        <is>
          <t>S001_PUBCHEM</t>
        </is>
      </c>
      <c r="I685" t="inlineStr">
        <is>
          <t>handbook</t>
        </is>
      </c>
      <c r="J685">
        <v>0.6</v>
      </c>
      <c r="K685" t="inlineStr">
        <is>
          <t>Microstate and medium-dependent; confirm experimentally for model lock.</t>
        </is>
      </c>
    </row>
    <row r="686">
      <c r="A686" t="inlineStr">
        <is>
          <t>API_CARVEDILOL</t>
        </is>
      </c>
      <c r="B686" t="inlineStr">
        <is>
          <t>Hansen_delta_D</t>
        </is>
      </c>
      <c r="C686">
        <v>18.2</v>
      </c>
      <c r="D686" t="inlineStr">
        <is>
          <t>MPa^0.5</t>
        </is>
      </c>
      <c r="E686"/>
      <c r="F686"/>
      <c r="G686" t="inlineStr">
        <is>
          <t>heuristic group-contribution/nearest-neighbour</t>
        </is>
      </c>
      <c r="H686" t="inlineStr">
        <is>
          <t>S013_EST_HSP_HEURISTIC</t>
        </is>
      </c>
      <c r="I686" t="inlineStr">
        <is>
          <t>estimated</t>
        </is>
      </c>
      <c r="J686">
        <v>0.43</v>
      </c>
      <c r="K686" t="inlineStr">
        <is>
          <t>Provisional HSP for screening; replace with experimental/literature value before model lock.</t>
        </is>
      </c>
    </row>
    <row r="687">
      <c r="A687" t="inlineStr">
        <is>
          <t>API_CARVEDILOL</t>
        </is>
      </c>
      <c r="B687" t="inlineStr">
        <is>
          <t>Hansen_delta_P</t>
        </is>
      </c>
      <c r="C687">
        <v>8.0</v>
      </c>
      <c r="D687" t="inlineStr">
        <is>
          <t>MPa^0.5</t>
        </is>
      </c>
      <c r="E687"/>
      <c r="F687"/>
      <c r="G687" t="inlineStr">
        <is>
          <t>heuristic group-contribution/nearest-neighbour</t>
        </is>
      </c>
      <c r="H687" t="inlineStr">
        <is>
          <t>S013_EST_HSP_HEURISTIC</t>
        </is>
      </c>
      <c r="I687" t="inlineStr">
        <is>
          <t>estimated</t>
        </is>
      </c>
      <c r="J687">
        <v>0.43</v>
      </c>
      <c r="K687" t="inlineStr">
        <is>
          <t>Provisional HSP for screening; replace with experimental/literature value before model lock.</t>
        </is>
      </c>
    </row>
    <row r="688">
      <c r="A688" t="inlineStr">
        <is>
          <t>API_CARVEDILOL</t>
        </is>
      </c>
      <c r="B688" t="inlineStr">
        <is>
          <t>Hansen_delta_H</t>
        </is>
      </c>
      <c r="C688">
        <v>10.0</v>
      </c>
      <c r="D688" t="inlineStr">
        <is>
          <t>MPa^0.5</t>
        </is>
      </c>
      <c r="E688"/>
      <c r="F688"/>
      <c r="G688" t="inlineStr">
        <is>
          <t>heuristic group-contribution/nearest-neighbour</t>
        </is>
      </c>
      <c r="H688" t="inlineStr">
        <is>
          <t>S013_EST_HSP_HEURISTIC</t>
        </is>
      </c>
      <c r="I688" t="inlineStr">
        <is>
          <t>estimated</t>
        </is>
      </c>
      <c r="J688">
        <v>0.43</v>
      </c>
      <c r="K688" t="inlineStr">
        <is>
          <t>Provisional HSP for screening; replace with experimental/literature value before model lock.</t>
        </is>
      </c>
    </row>
    <row r="689">
      <c r="A689" t="inlineStr">
        <is>
          <t>API_CARVEDILOL</t>
        </is>
      </c>
      <c r="B689" t="inlineStr">
        <is>
          <t>Hildebrand_delta_T</t>
        </is>
      </c>
      <c r="C689">
        <v>22.25</v>
      </c>
      <c r="D689" t="inlineStr">
        <is>
          <t>MPa^0.5</t>
        </is>
      </c>
      <c r="E689"/>
      <c r="F689"/>
      <c r="G689" t="inlineStr">
        <is>
          <t>sqrt(deltaD^2+deltaP^2+deltaH^2)</t>
        </is>
      </c>
      <c r="H689" t="inlineStr">
        <is>
          <t>S012_CALCULATED</t>
        </is>
      </c>
      <c r="I689" t="inlineStr">
        <is>
          <t>calculated</t>
        </is>
      </c>
      <c r="J689">
        <v>0.48</v>
      </c>
      <c r="K689" t="inlineStr">
        <is>
          <t>Derived from stored Hansen components.</t>
        </is>
      </c>
    </row>
    <row r="690">
      <c r="A690" t="inlineStr">
        <is>
          <t>API_CARVEDILOL</t>
        </is>
      </c>
      <c r="B690" t="inlineStr">
        <is>
          <t>HSP_radius_R0</t>
        </is>
      </c>
      <c r="C690">
        <v>8.5</v>
      </c>
      <c r="D690" t="inlineStr">
        <is>
          <t>MPa^0.5</t>
        </is>
      </c>
      <c r="E690"/>
      <c r="F690"/>
      <c r="G690" t="inlineStr">
        <is>
          <t>literature/heuristic solubility sphere</t>
        </is>
      </c>
      <c r="H690" t="inlineStr">
        <is>
          <t>S013_EST_HSP_HEURISTIC</t>
        </is>
      </c>
      <c r="I690" t="inlineStr">
        <is>
          <t>estimated</t>
        </is>
      </c>
      <c r="J690">
        <v>0.43</v>
      </c>
      <c r="K690" t="inlineStr">
        <is>
          <t>Screening radius only unless experimentally determined.</t>
        </is>
      </c>
    </row>
    <row r="691">
      <c r="A691" t="inlineStr">
        <is>
          <t>API_CARVEDILOL</t>
        </is>
      </c>
      <c r="B691" t="inlineStr">
        <is>
          <t>molar_volume_cm3_mol</t>
        </is>
      </c>
      <c r="C691">
        <v>325.18</v>
      </c>
      <c r="D691" t="inlineStr">
        <is>
          <t>cm3/mol</t>
        </is>
      </c>
      <c r="E691"/>
      <c r="F691"/>
      <c r="G691" t="inlineStr">
        <is>
          <t>MW/density estimate</t>
        </is>
      </c>
      <c r="H691" t="inlineStr">
        <is>
          <t>S012_CALCULATED</t>
        </is>
      </c>
      <c r="I691" t="inlineStr">
        <is>
          <t>estimated</t>
        </is>
      </c>
      <c r="J691">
        <v>0.45</v>
      </c>
      <c r="K691" t="inlineStr">
        <is>
          <t>Estimated from MW/density; replace with measured molar volume or density-specific grade data.</t>
        </is>
      </c>
    </row>
    <row r="692">
      <c r="A692" t="inlineStr">
        <is>
          <t>API_ATORVASTATIN</t>
        </is>
      </c>
      <c r="B692" t="inlineStr">
        <is>
          <t>molecular_weight_g_mol</t>
        </is>
      </c>
      <c r="C692">
        <v>558.64</v>
      </c>
      <c r="D692" t="inlineStr">
        <is>
          <t>g/mol</t>
        </is>
      </c>
      <c r="E692"/>
      <c r="F692"/>
      <c r="G692" t="inlineStr">
        <is>
          <t>PubChem/handbook curation</t>
        </is>
      </c>
      <c r="H692" t="inlineStr">
        <is>
          <t>S001_PUBCHEM</t>
        </is>
      </c>
      <c r="I692" t="inlineStr">
        <is>
          <t>database-derived</t>
        </is>
      </c>
      <c r="J692">
        <v>0.88</v>
      </c>
      <c r="K692"/>
    </row>
    <row r="693">
      <c r="A693" t="inlineStr">
        <is>
          <t>API_ATORVASTATIN</t>
        </is>
      </c>
      <c r="B693" t="inlineStr">
        <is>
          <t>molecular_formula</t>
        </is>
      </c>
      <c r="C693" t="inlineStr">
        <is>
          <t>C33H35FN2O5</t>
        </is>
      </c>
      <c r="D693"/>
      <c r="E693"/>
      <c r="F693"/>
      <c r="G693" t="inlineStr">
        <is>
          <t>PubChem/handbook curation</t>
        </is>
      </c>
      <c r="H693" t="inlineStr">
        <is>
          <t>S001_PUBCHEM</t>
        </is>
      </c>
      <c r="I693" t="inlineStr">
        <is>
          <t>database-derived</t>
        </is>
      </c>
      <c r="J693">
        <v>0.85</v>
      </c>
      <c r="K693"/>
    </row>
    <row r="694">
      <c r="A694" t="inlineStr">
        <is>
          <t>API_ATORVASTATIN</t>
        </is>
      </c>
      <c r="B694" t="inlineStr">
        <is>
          <t>LogP</t>
        </is>
      </c>
      <c r="C694">
        <v>4.5</v>
      </c>
      <c r="D694"/>
      <c r="E694"/>
      <c r="F694"/>
      <c r="G694" t="inlineStr">
        <is>
          <t>computed/curated XLogP or literature consensus</t>
        </is>
      </c>
      <c r="H694" t="inlineStr">
        <is>
          <t>S001_PUBCHEM</t>
        </is>
      </c>
      <c r="I694" t="inlineStr">
        <is>
          <t>database-derived</t>
        </is>
      </c>
      <c r="J694">
        <v>0.72</v>
      </c>
      <c r="K694" t="inlineStr">
        <is>
          <t>Approximate; salt/tautomer state may alter.</t>
        </is>
      </c>
    </row>
    <row r="695">
      <c r="A695" t="inlineStr">
        <is>
          <t>API_ATORVASTATIN</t>
        </is>
      </c>
      <c r="B695" t="inlineStr">
        <is>
          <t>formal_charge</t>
        </is>
      </c>
      <c r="C695">
        <v>0</v>
      </c>
      <c r="D695" t="inlineStr">
        <is>
          <t>e</t>
        </is>
      </c>
      <c r="E695"/>
      <c r="F695"/>
      <c r="G695" t="inlineStr">
        <is>
          <t>canonical neutral parent/salt-free structure</t>
        </is>
      </c>
      <c r="H695" t="inlineStr">
        <is>
          <t>S001_PUBCHEM</t>
        </is>
      </c>
      <c r="I695" t="inlineStr">
        <is>
          <t>database-derived</t>
        </is>
      </c>
      <c r="J695">
        <v>0.82</v>
      </c>
      <c r="K695" t="inlineStr">
        <is>
          <t>Use salt-specific material row for ionic salts.</t>
        </is>
      </c>
    </row>
    <row r="696">
      <c r="A696" t="inlineStr">
        <is>
          <t>API_ATORVASTATIN</t>
        </is>
      </c>
      <c r="B696" t="inlineStr">
        <is>
          <t>water_solubility_mg_ml</t>
        </is>
      </c>
      <c r="C696">
        <v>0.00063</v>
      </c>
      <c r="D696" t="inlineStr">
        <is>
          <t>mg/mL</t>
        </is>
      </c>
      <c r="E696"/>
      <c r="F696"/>
      <c r="G696" t="inlineStr">
        <is>
          <t>literature/aqueous solubility range approximated</t>
        </is>
      </c>
      <c r="H696" t="inlineStr">
        <is>
          <t>S001_PUBCHEM</t>
        </is>
      </c>
      <c r="I696" t="inlineStr">
        <is>
          <t>estimated</t>
        </is>
      </c>
      <c r="J696">
        <v>0.45</v>
      </c>
      <c r="K696" t="inlineStr">
        <is>
          <t>Highly pH- and salt-form-dependent.</t>
        </is>
      </c>
    </row>
    <row r="697">
      <c r="A697" t="inlineStr">
        <is>
          <t>API_ATORVASTATIN</t>
        </is>
      </c>
      <c r="B697" t="inlineStr">
        <is>
          <t>melting_point_C</t>
        </is>
      </c>
      <c r="C697">
        <v>176</v>
      </c>
      <c r="D697" t="inlineStr">
        <is>
          <t>°C</t>
        </is>
      </c>
      <c r="E697"/>
      <c r="F697"/>
      <c r="G697" t="inlineStr">
        <is>
          <t>literature/supplier melting range</t>
        </is>
      </c>
      <c r="H697" t="inlineStr">
        <is>
          <t>S001_PUBCHEM</t>
        </is>
      </c>
      <c r="I697" t="inlineStr">
        <is>
          <t>handbook</t>
        </is>
      </c>
      <c r="J697">
        <v>0.65</v>
      </c>
      <c r="K697" t="inlineStr">
        <is>
          <t>Use polymorph-specific data when available.</t>
        </is>
      </c>
    </row>
    <row r="698">
      <c r="A698" t="inlineStr">
        <is>
          <t>API_ATORVASTATIN</t>
        </is>
      </c>
      <c r="B698" t="inlineStr">
        <is>
          <t>TPSA</t>
        </is>
      </c>
      <c r="C698">
        <v>111.8</v>
      </c>
      <c r="D698" t="inlineStr">
        <is>
          <t>Å²</t>
        </is>
      </c>
      <c r="E698"/>
      <c r="F698"/>
      <c r="G698" t="inlineStr">
        <is>
          <t>computed descriptor</t>
        </is>
      </c>
      <c r="H698" t="inlineStr">
        <is>
          <t>S001_PUBCHEM</t>
        </is>
      </c>
      <c r="I698" t="inlineStr">
        <is>
          <t>database-derived</t>
        </is>
      </c>
      <c r="J698">
        <v>0.82</v>
      </c>
      <c r="K698"/>
    </row>
    <row r="699">
      <c r="A699" t="inlineStr">
        <is>
          <t>API_ATORVASTATIN</t>
        </is>
      </c>
      <c r="B699" t="inlineStr">
        <is>
          <t>HBD</t>
        </is>
      </c>
      <c r="C699">
        <v>4</v>
      </c>
      <c r="D699" t="inlineStr">
        <is>
          <t>count</t>
        </is>
      </c>
      <c r="E699"/>
      <c r="F699"/>
      <c r="G699" t="inlineStr">
        <is>
          <t>computed descriptor</t>
        </is>
      </c>
      <c r="H699" t="inlineStr">
        <is>
          <t>S001_PUBCHEM</t>
        </is>
      </c>
      <c r="I699" t="inlineStr">
        <is>
          <t>database-derived</t>
        </is>
      </c>
      <c r="J699">
        <v>0.82</v>
      </c>
      <c r="K699"/>
    </row>
    <row r="700">
      <c r="A700" t="inlineStr">
        <is>
          <t>API_ATORVASTATIN</t>
        </is>
      </c>
      <c r="B700" t="inlineStr">
        <is>
          <t>HBA</t>
        </is>
      </c>
      <c r="C700">
        <v>7</v>
      </c>
      <c r="D700" t="inlineStr">
        <is>
          <t>count</t>
        </is>
      </c>
      <c r="E700"/>
      <c r="F700"/>
      <c r="G700" t="inlineStr">
        <is>
          <t>computed descriptor</t>
        </is>
      </c>
      <c r="H700" t="inlineStr">
        <is>
          <t>S001_PUBCHEM</t>
        </is>
      </c>
      <c r="I700" t="inlineStr">
        <is>
          <t>database-derived</t>
        </is>
      </c>
      <c r="J700">
        <v>0.82</v>
      </c>
      <c r="K700"/>
    </row>
    <row r="701">
      <c r="A701" t="inlineStr">
        <is>
          <t>API_ATORVASTATIN</t>
        </is>
      </c>
      <c r="B701" t="inlineStr">
        <is>
          <t>rotatable_bonds</t>
        </is>
      </c>
      <c r="C701">
        <v>12</v>
      </c>
      <c r="D701" t="inlineStr">
        <is>
          <t>count</t>
        </is>
      </c>
      <c r="E701"/>
      <c r="F701"/>
      <c r="G701" t="inlineStr">
        <is>
          <t>computed descriptor</t>
        </is>
      </c>
      <c r="H701" t="inlineStr">
        <is>
          <t>S001_PUBCHEM</t>
        </is>
      </c>
      <c r="I701" t="inlineStr">
        <is>
          <t>database-derived</t>
        </is>
      </c>
      <c r="J701">
        <v>0.82</v>
      </c>
      <c r="K701"/>
    </row>
    <row r="702">
      <c r="A702" t="inlineStr">
        <is>
          <t>API_ATORVASTATIN</t>
        </is>
      </c>
      <c r="B702" t="inlineStr">
        <is>
          <t>aromatic_rings</t>
        </is>
      </c>
      <c r="C702">
        <v>5</v>
      </c>
      <c r="D702" t="inlineStr">
        <is>
          <t>count</t>
        </is>
      </c>
      <c r="E702"/>
      <c r="F702"/>
      <c r="G702" t="inlineStr">
        <is>
          <t>manual structural count</t>
        </is>
      </c>
      <c r="H702" t="inlineStr">
        <is>
          <t>S001_PUBCHEM</t>
        </is>
      </c>
      <c r="I702" t="inlineStr">
        <is>
          <t>estimated</t>
        </is>
      </c>
      <c r="J702">
        <v>0.6</v>
      </c>
      <c r="K702"/>
    </row>
    <row r="703">
      <c r="A703" t="inlineStr">
        <is>
          <t>API_ATORVASTATIN</t>
        </is>
      </c>
      <c r="B703" t="inlineStr">
        <is>
          <t>BCS_class</t>
        </is>
      </c>
      <c r="C703" t="inlineStr">
        <is>
          <t>II</t>
        </is>
      </c>
      <c r="D703"/>
      <c r="E703"/>
      <c r="F703"/>
      <c r="G703" t="inlineStr">
        <is>
          <t>literature consensus/placeholder</t>
        </is>
      </c>
      <c r="H703" t="inlineStr">
        <is>
          <t>S007_EXCIPIENTS_HANDBOOK</t>
        </is>
      </c>
      <c r="I703" t="inlineStr">
        <is>
          <t>estimated</t>
        </is>
      </c>
      <c r="J703">
        <v>0.4</v>
      </c>
      <c r="K703" t="inlineStr">
        <is>
          <t>Must be curated from API-specific biopharmaceutics sources.</t>
        </is>
      </c>
    </row>
    <row r="704">
      <c r="A704" t="inlineStr">
        <is>
          <t>API_ATORVASTATIN</t>
        </is>
      </c>
      <c r="B704" t="inlineStr">
        <is>
          <t>therapeutic_class</t>
        </is>
      </c>
      <c r="C704" t="inlineStr">
        <is>
          <t>statin</t>
        </is>
      </c>
      <c r="D704"/>
      <c r="E704"/>
      <c r="F704"/>
      <c r="G704" t="inlineStr">
        <is>
          <t>manual therapeutic annotation</t>
        </is>
      </c>
      <c r="H704" t="inlineStr">
        <is>
          <t>S001_PUBCHEM</t>
        </is>
      </c>
      <c r="I704" t="inlineStr">
        <is>
          <t>database-derived</t>
        </is>
      </c>
      <c r="J704">
        <v>0.75</v>
      </c>
      <c r="K704"/>
    </row>
    <row r="705">
      <c r="A705" t="inlineStr">
        <is>
          <t>API_ATORVASTATIN</t>
        </is>
      </c>
      <c r="B705" t="inlineStr">
        <is>
          <t>payload_type</t>
        </is>
      </c>
      <c r="C705" t="inlineStr">
        <is>
          <t>small_molecule_API</t>
        </is>
      </c>
      <c r="D705"/>
      <c r="E705"/>
      <c r="F705"/>
      <c r="G705" t="inlineStr">
        <is>
          <t>payload taxonomy</t>
        </is>
      </c>
      <c r="H705" t="inlineStr">
        <is>
          <t>S000_USER_SPEC</t>
        </is>
      </c>
      <c r="I705" t="inlineStr">
        <is>
          <t>curated</t>
        </is>
      </c>
      <c r="J705">
        <v>0.8</v>
      </c>
      <c r="K705"/>
    </row>
    <row r="706">
      <c r="A706" t="inlineStr">
        <is>
          <t>API_ATORVASTATIN</t>
        </is>
      </c>
      <c r="B706" t="inlineStr">
        <is>
          <t>route_notes</t>
        </is>
      </c>
      <c r="C706" t="inlineStr">
        <is>
          <t>weak acid; salt form must be explicit</t>
        </is>
      </c>
      <c r="D706"/>
      <c r="E706"/>
      <c r="F706"/>
      <c r="G706" t="inlineStr">
        <is>
          <t>formulation-relevance annotation</t>
        </is>
      </c>
      <c r="H706" t="inlineStr">
        <is>
          <t>S014_AULTON</t>
        </is>
      </c>
      <c r="I706" t="inlineStr">
        <is>
          <t>curated</t>
        </is>
      </c>
      <c r="J706">
        <v>0.7</v>
      </c>
      <c r="K706"/>
    </row>
    <row r="707">
      <c r="A707" t="inlineStr">
        <is>
          <t>API_ATORVASTATIN</t>
        </is>
      </c>
      <c r="B707" t="inlineStr">
        <is>
          <t>pKa_acid</t>
        </is>
      </c>
      <c r="C707">
        <v>4.5</v>
      </c>
      <c r="D707"/>
      <c r="E707"/>
      <c r="F707"/>
      <c r="G707" t="inlineStr">
        <is>
          <t>literature pKa consensus</t>
        </is>
      </c>
      <c r="H707" t="inlineStr">
        <is>
          <t>S001_PUBCHEM</t>
        </is>
      </c>
      <c r="I707" t="inlineStr">
        <is>
          <t>handbook</t>
        </is>
      </c>
      <c r="J707">
        <v>0.6</v>
      </c>
      <c r="K707" t="inlineStr">
        <is>
          <t>Microstate and medium-dependent; confirm experimentally for model lock.</t>
        </is>
      </c>
    </row>
    <row r="708">
      <c r="A708" t="inlineStr">
        <is>
          <t>API_ATORVASTATIN</t>
        </is>
      </c>
      <c r="B708" t="inlineStr">
        <is>
          <t>Hansen_delta_D</t>
        </is>
      </c>
      <c r="C708">
        <v>18.4</v>
      </c>
      <c r="D708" t="inlineStr">
        <is>
          <t>MPa^0.5</t>
        </is>
      </c>
      <c r="E708"/>
      <c r="F708"/>
      <c r="G708" t="inlineStr">
        <is>
          <t>heuristic group-contribution/nearest-neighbour</t>
        </is>
      </c>
      <c r="H708" t="inlineStr">
        <is>
          <t>S013_EST_HSP_HEURISTIC</t>
        </is>
      </c>
      <c r="I708" t="inlineStr">
        <is>
          <t>estimated</t>
        </is>
      </c>
      <c r="J708">
        <v>0.42</v>
      </c>
      <c r="K708" t="inlineStr">
        <is>
          <t>Provisional HSP for screening; replace with experimental/literature value before model lock.</t>
        </is>
      </c>
    </row>
    <row r="709">
      <c r="A709" t="inlineStr">
        <is>
          <t>API_ATORVASTATIN</t>
        </is>
      </c>
      <c r="B709" t="inlineStr">
        <is>
          <t>Hansen_delta_P</t>
        </is>
      </c>
      <c r="C709">
        <v>5.5</v>
      </c>
      <c r="D709" t="inlineStr">
        <is>
          <t>MPa^0.5</t>
        </is>
      </c>
      <c r="E709"/>
      <c r="F709"/>
      <c r="G709" t="inlineStr">
        <is>
          <t>heuristic group-contribution/nearest-neighbour</t>
        </is>
      </c>
      <c r="H709" t="inlineStr">
        <is>
          <t>S013_EST_HSP_HEURISTIC</t>
        </is>
      </c>
      <c r="I709" t="inlineStr">
        <is>
          <t>estimated</t>
        </is>
      </c>
      <c r="J709">
        <v>0.42</v>
      </c>
      <c r="K709" t="inlineStr">
        <is>
          <t>Provisional HSP for screening; replace with experimental/literature value before model lock.</t>
        </is>
      </c>
    </row>
    <row r="710">
      <c r="A710" t="inlineStr">
        <is>
          <t>API_ATORVASTATIN</t>
        </is>
      </c>
      <c r="B710" t="inlineStr">
        <is>
          <t>Hansen_delta_H</t>
        </is>
      </c>
      <c r="C710">
        <v>6.0</v>
      </c>
      <c r="D710" t="inlineStr">
        <is>
          <t>MPa^0.5</t>
        </is>
      </c>
      <c r="E710"/>
      <c r="F710"/>
      <c r="G710" t="inlineStr">
        <is>
          <t>heuristic group-contribution/nearest-neighbour</t>
        </is>
      </c>
      <c r="H710" t="inlineStr">
        <is>
          <t>S013_EST_HSP_HEURISTIC</t>
        </is>
      </c>
      <c r="I710" t="inlineStr">
        <is>
          <t>estimated</t>
        </is>
      </c>
      <c r="J710">
        <v>0.42</v>
      </c>
      <c r="K710" t="inlineStr">
        <is>
          <t>Provisional HSP for screening; replace with experimental/literature value before model lock.</t>
        </is>
      </c>
    </row>
    <row r="711">
      <c r="A711" t="inlineStr">
        <is>
          <t>API_ATORVASTATIN</t>
        </is>
      </c>
      <c r="B711" t="inlineStr">
        <is>
          <t>Hildebrand_delta_T</t>
        </is>
      </c>
      <c r="C711">
        <v>20.12</v>
      </c>
      <c r="D711" t="inlineStr">
        <is>
          <t>MPa^0.5</t>
        </is>
      </c>
      <c r="E711"/>
      <c r="F711"/>
      <c r="G711" t="inlineStr">
        <is>
          <t>sqrt(deltaD^2+deltaP^2+deltaH^2)</t>
        </is>
      </c>
      <c r="H711" t="inlineStr">
        <is>
          <t>S012_CALCULATED</t>
        </is>
      </c>
      <c r="I711" t="inlineStr">
        <is>
          <t>calculated</t>
        </is>
      </c>
      <c r="J711">
        <v>0.47</v>
      </c>
      <c r="K711" t="inlineStr">
        <is>
          <t>Derived from stored Hansen components.</t>
        </is>
      </c>
    </row>
    <row r="712">
      <c r="A712" t="inlineStr">
        <is>
          <t>API_ATORVASTATIN</t>
        </is>
      </c>
      <c r="B712" t="inlineStr">
        <is>
          <t>HSP_radius_R0</t>
        </is>
      </c>
      <c r="C712">
        <v>8.0</v>
      </c>
      <c r="D712" t="inlineStr">
        <is>
          <t>MPa^0.5</t>
        </is>
      </c>
      <c r="E712"/>
      <c r="F712"/>
      <c r="G712" t="inlineStr">
        <is>
          <t>literature/heuristic solubility sphere</t>
        </is>
      </c>
      <c r="H712" t="inlineStr">
        <is>
          <t>S013_EST_HSP_HEURISTIC</t>
        </is>
      </c>
      <c r="I712" t="inlineStr">
        <is>
          <t>estimated</t>
        </is>
      </c>
      <c r="J712">
        <v>0.42</v>
      </c>
      <c r="K712" t="inlineStr">
        <is>
          <t>Screening radius only unless experimentally determined.</t>
        </is>
      </c>
    </row>
    <row r="713">
      <c r="A713" t="inlineStr">
        <is>
          <t>API_ATORVASTATIN</t>
        </is>
      </c>
      <c r="B713" t="inlineStr">
        <is>
          <t>molar_volume_cm3_mol</t>
        </is>
      </c>
      <c r="C713">
        <v>446.91</v>
      </c>
      <c r="D713" t="inlineStr">
        <is>
          <t>cm3/mol</t>
        </is>
      </c>
      <c r="E713"/>
      <c r="F713"/>
      <c r="G713" t="inlineStr">
        <is>
          <t>MW/density estimate</t>
        </is>
      </c>
      <c r="H713" t="inlineStr">
        <is>
          <t>S012_CALCULATED</t>
        </is>
      </c>
      <c r="I713" t="inlineStr">
        <is>
          <t>estimated</t>
        </is>
      </c>
      <c r="J713">
        <v>0.45</v>
      </c>
      <c r="K713" t="inlineStr">
        <is>
          <t>Estimated from MW/density; replace with measured molar volume or density-specific grade data.</t>
        </is>
      </c>
    </row>
    <row r="714">
      <c r="A714" t="inlineStr">
        <is>
          <t>API_SIMVASTATIN</t>
        </is>
      </c>
      <c r="B714" t="inlineStr">
        <is>
          <t>molecular_weight_g_mol</t>
        </is>
      </c>
      <c r="C714">
        <v>418.57</v>
      </c>
      <c r="D714" t="inlineStr">
        <is>
          <t>g/mol</t>
        </is>
      </c>
      <c r="E714"/>
      <c r="F714"/>
      <c r="G714" t="inlineStr">
        <is>
          <t>PubChem/handbook curation</t>
        </is>
      </c>
      <c r="H714" t="inlineStr">
        <is>
          <t>S001_PUBCHEM</t>
        </is>
      </c>
      <c r="I714" t="inlineStr">
        <is>
          <t>database-derived</t>
        </is>
      </c>
      <c r="J714">
        <v>0.88</v>
      </c>
      <c r="K714"/>
    </row>
    <row r="715">
      <c r="A715" t="inlineStr">
        <is>
          <t>API_SIMVASTATIN</t>
        </is>
      </c>
      <c r="B715" t="inlineStr">
        <is>
          <t>molecular_formula</t>
        </is>
      </c>
      <c r="C715" t="inlineStr">
        <is>
          <t>C25H38O5</t>
        </is>
      </c>
      <c r="D715"/>
      <c r="E715"/>
      <c r="F715"/>
      <c r="G715" t="inlineStr">
        <is>
          <t>PubChem/handbook curation</t>
        </is>
      </c>
      <c r="H715" t="inlineStr">
        <is>
          <t>S001_PUBCHEM</t>
        </is>
      </c>
      <c r="I715" t="inlineStr">
        <is>
          <t>database-derived</t>
        </is>
      </c>
      <c r="J715">
        <v>0.85</v>
      </c>
      <c r="K715"/>
    </row>
    <row r="716">
      <c r="A716" t="inlineStr">
        <is>
          <t>API_SIMVASTATIN</t>
        </is>
      </c>
      <c r="B716" t="inlineStr">
        <is>
          <t>LogP</t>
        </is>
      </c>
      <c r="C716">
        <v>4.7</v>
      </c>
      <c r="D716"/>
      <c r="E716"/>
      <c r="F716"/>
      <c r="G716" t="inlineStr">
        <is>
          <t>computed/curated XLogP or literature consensus</t>
        </is>
      </c>
      <c r="H716" t="inlineStr">
        <is>
          <t>S001_PUBCHEM</t>
        </is>
      </c>
      <c r="I716" t="inlineStr">
        <is>
          <t>database-derived</t>
        </is>
      </c>
      <c r="J716">
        <v>0.72</v>
      </c>
      <c r="K716" t="inlineStr">
        <is>
          <t>Approximate; salt/tautomer state may alter.</t>
        </is>
      </c>
    </row>
    <row r="717">
      <c r="A717" t="inlineStr">
        <is>
          <t>API_SIMVASTATIN</t>
        </is>
      </c>
      <c r="B717" t="inlineStr">
        <is>
          <t>formal_charge</t>
        </is>
      </c>
      <c r="C717">
        <v>0</v>
      </c>
      <c r="D717" t="inlineStr">
        <is>
          <t>e</t>
        </is>
      </c>
      <c r="E717"/>
      <c r="F717"/>
      <c r="G717" t="inlineStr">
        <is>
          <t>canonical neutral parent/salt-free structure</t>
        </is>
      </c>
      <c r="H717" t="inlineStr">
        <is>
          <t>S001_PUBCHEM</t>
        </is>
      </c>
      <c r="I717" t="inlineStr">
        <is>
          <t>database-derived</t>
        </is>
      </c>
      <c r="J717">
        <v>0.82</v>
      </c>
      <c r="K717" t="inlineStr">
        <is>
          <t>Use salt-specific material row for ionic salts.</t>
        </is>
      </c>
    </row>
    <row r="718">
      <c r="A718" t="inlineStr">
        <is>
          <t>API_SIMVASTATIN</t>
        </is>
      </c>
      <c r="B718" t="inlineStr">
        <is>
          <t>water_solubility_mg_ml</t>
        </is>
      </c>
      <c r="C718">
        <v>0.03</v>
      </c>
      <c r="D718" t="inlineStr">
        <is>
          <t>mg/mL</t>
        </is>
      </c>
      <c r="E718"/>
      <c r="F718"/>
      <c r="G718" t="inlineStr">
        <is>
          <t>literature/aqueous solubility range approximated</t>
        </is>
      </c>
      <c r="H718" t="inlineStr">
        <is>
          <t>S001_PUBCHEM</t>
        </is>
      </c>
      <c r="I718" t="inlineStr">
        <is>
          <t>estimated</t>
        </is>
      </c>
      <c r="J718">
        <v>0.45</v>
      </c>
      <c r="K718" t="inlineStr">
        <is>
          <t>Highly pH- and salt-form-dependent.</t>
        </is>
      </c>
    </row>
    <row r="719">
      <c r="A719" t="inlineStr">
        <is>
          <t>API_SIMVASTATIN</t>
        </is>
      </c>
      <c r="B719" t="inlineStr">
        <is>
          <t>melting_point_C</t>
        </is>
      </c>
      <c r="C719">
        <v>135</v>
      </c>
      <c r="D719" t="inlineStr">
        <is>
          <t>°C</t>
        </is>
      </c>
      <c r="E719"/>
      <c r="F719"/>
      <c r="G719" t="inlineStr">
        <is>
          <t>literature/supplier melting range</t>
        </is>
      </c>
      <c r="H719" t="inlineStr">
        <is>
          <t>S001_PUBCHEM</t>
        </is>
      </c>
      <c r="I719" t="inlineStr">
        <is>
          <t>handbook</t>
        </is>
      </c>
      <c r="J719">
        <v>0.65</v>
      </c>
      <c r="K719" t="inlineStr">
        <is>
          <t>Use polymorph-specific data when available.</t>
        </is>
      </c>
    </row>
    <row r="720">
      <c r="A720" t="inlineStr">
        <is>
          <t>API_SIMVASTATIN</t>
        </is>
      </c>
      <c r="B720" t="inlineStr">
        <is>
          <t>TPSA</t>
        </is>
      </c>
      <c r="C720">
        <v>72.8</v>
      </c>
      <c r="D720" t="inlineStr">
        <is>
          <t>Å²</t>
        </is>
      </c>
      <c r="E720"/>
      <c r="F720"/>
      <c r="G720" t="inlineStr">
        <is>
          <t>computed descriptor</t>
        </is>
      </c>
      <c r="H720" t="inlineStr">
        <is>
          <t>S001_PUBCHEM</t>
        </is>
      </c>
      <c r="I720" t="inlineStr">
        <is>
          <t>database-derived</t>
        </is>
      </c>
      <c r="J720">
        <v>0.82</v>
      </c>
      <c r="K720"/>
    </row>
    <row r="721">
      <c r="A721" t="inlineStr">
        <is>
          <t>API_SIMVASTATIN</t>
        </is>
      </c>
      <c r="B721" t="inlineStr">
        <is>
          <t>HBD</t>
        </is>
      </c>
      <c r="C721">
        <v>1</v>
      </c>
      <c r="D721" t="inlineStr">
        <is>
          <t>count</t>
        </is>
      </c>
      <c r="E721"/>
      <c r="F721"/>
      <c r="G721" t="inlineStr">
        <is>
          <t>computed descriptor</t>
        </is>
      </c>
      <c r="H721" t="inlineStr">
        <is>
          <t>S001_PUBCHEM</t>
        </is>
      </c>
      <c r="I721" t="inlineStr">
        <is>
          <t>database-derived</t>
        </is>
      </c>
      <c r="J721">
        <v>0.82</v>
      </c>
      <c r="K721"/>
    </row>
    <row r="722">
      <c r="A722" t="inlineStr">
        <is>
          <t>API_SIMVASTATIN</t>
        </is>
      </c>
      <c r="B722" t="inlineStr">
        <is>
          <t>HBA</t>
        </is>
      </c>
      <c r="C722">
        <v>5</v>
      </c>
      <c r="D722" t="inlineStr">
        <is>
          <t>count</t>
        </is>
      </c>
      <c r="E722"/>
      <c r="F722"/>
      <c r="G722" t="inlineStr">
        <is>
          <t>computed descriptor</t>
        </is>
      </c>
      <c r="H722" t="inlineStr">
        <is>
          <t>S001_PUBCHEM</t>
        </is>
      </c>
      <c r="I722" t="inlineStr">
        <is>
          <t>database-derived</t>
        </is>
      </c>
      <c r="J722">
        <v>0.82</v>
      </c>
      <c r="K722"/>
    </row>
    <row r="723">
      <c r="A723" t="inlineStr">
        <is>
          <t>API_SIMVASTATIN</t>
        </is>
      </c>
      <c r="B723" t="inlineStr">
        <is>
          <t>rotatable_bonds</t>
        </is>
      </c>
      <c r="C723">
        <v>7</v>
      </c>
      <c r="D723" t="inlineStr">
        <is>
          <t>count</t>
        </is>
      </c>
      <c r="E723"/>
      <c r="F723"/>
      <c r="G723" t="inlineStr">
        <is>
          <t>computed descriptor</t>
        </is>
      </c>
      <c r="H723" t="inlineStr">
        <is>
          <t>S001_PUBCHEM</t>
        </is>
      </c>
      <c r="I723" t="inlineStr">
        <is>
          <t>database-derived</t>
        </is>
      </c>
      <c r="J723">
        <v>0.82</v>
      </c>
      <c r="K723"/>
    </row>
    <row r="724">
      <c r="A724" t="inlineStr">
        <is>
          <t>API_SIMVASTATIN</t>
        </is>
      </c>
      <c r="B724" t="inlineStr">
        <is>
          <t>aromatic_rings</t>
        </is>
      </c>
      <c r="C724">
        <v>0</v>
      </c>
      <c r="D724" t="inlineStr">
        <is>
          <t>count</t>
        </is>
      </c>
      <c r="E724"/>
      <c r="F724"/>
      <c r="G724" t="inlineStr">
        <is>
          <t>manual structural count</t>
        </is>
      </c>
      <c r="H724" t="inlineStr">
        <is>
          <t>S001_PUBCHEM</t>
        </is>
      </c>
      <c r="I724" t="inlineStr">
        <is>
          <t>estimated</t>
        </is>
      </c>
      <c r="J724">
        <v>0.6</v>
      </c>
      <c r="K724"/>
    </row>
    <row r="725">
      <c r="A725" t="inlineStr">
        <is>
          <t>API_SIMVASTATIN</t>
        </is>
      </c>
      <c r="B725" t="inlineStr">
        <is>
          <t>BCS_class</t>
        </is>
      </c>
      <c r="C725" t="inlineStr">
        <is>
          <t>II</t>
        </is>
      </c>
      <c r="D725"/>
      <c r="E725"/>
      <c r="F725"/>
      <c r="G725" t="inlineStr">
        <is>
          <t>literature consensus/placeholder</t>
        </is>
      </c>
      <c r="H725" t="inlineStr">
        <is>
          <t>S007_EXCIPIENTS_HANDBOOK</t>
        </is>
      </c>
      <c r="I725" t="inlineStr">
        <is>
          <t>estimated</t>
        </is>
      </c>
      <c r="J725">
        <v>0.4</v>
      </c>
      <c r="K725" t="inlineStr">
        <is>
          <t>Must be curated from API-specific biopharmaceutics sources.</t>
        </is>
      </c>
    </row>
    <row r="726">
      <c r="A726" t="inlineStr">
        <is>
          <t>API_SIMVASTATIN</t>
        </is>
      </c>
      <c r="B726" t="inlineStr">
        <is>
          <t>therapeutic_class</t>
        </is>
      </c>
      <c r="C726" t="inlineStr">
        <is>
          <t>statin lactone</t>
        </is>
      </c>
      <c r="D726"/>
      <c r="E726"/>
      <c r="F726"/>
      <c r="G726" t="inlineStr">
        <is>
          <t>manual therapeutic annotation</t>
        </is>
      </c>
      <c r="H726" t="inlineStr">
        <is>
          <t>S001_PUBCHEM</t>
        </is>
      </c>
      <c r="I726" t="inlineStr">
        <is>
          <t>database-derived</t>
        </is>
      </c>
      <c r="J726">
        <v>0.75</v>
      </c>
      <c r="K726"/>
    </row>
    <row r="727">
      <c r="A727" t="inlineStr">
        <is>
          <t>API_SIMVASTATIN</t>
        </is>
      </c>
      <c r="B727" t="inlineStr">
        <is>
          <t>payload_type</t>
        </is>
      </c>
      <c r="C727" t="inlineStr">
        <is>
          <t>small_molecule_API</t>
        </is>
      </c>
      <c r="D727"/>
      <c r="E727"/>
      <c r="F727"/>
      <c r="G727" t="inlineStr">
        <is>
          <t>payload taxonomy</t>
        </is>
      </c>
      <c r="H727" t="inlineStr">
        <is>
          <t>S000_USER_SPEC</t>
        </is>
      </c>
      <c r="I727" t="inlineStr">
        <is>
          <t>curated</t>
        </is>
      </c>
      <c r="J727">
        <v>0.8</v>
      </c>
      <c r="K727"/>
    </row>
    <row r="728">
      <c r="A728" t="inlineStr">
        <is>
          <t>API_SIMVASTATIN</t>
        </is>
      </c>
      <c r="B728" t="inlineStr">
        <is>
          <t>route_notes</t>
        </is>
      </c>
      <c r="C728" t="inlineStr">
        <is>
          <t>neutral lactone prodrug; hydrophobic</t>
        </is>
      </c>
      <c r="D728"/>
      <c r="E728"/>
      <c r="F728"/>
      <c r="G728" t="inlineStr">
        <is>
          <t>formulation-relevance annotation</t>
        </is>
      </c>
      <c r="H728" t="inlineStr">
        <is>
          <t>S014_AULTON</t>
        </is>
      </c>
      <c r="I728" t="inlineStr">
        <is>
          <t>curated</t>
        </is>
      </c>
      <c r="J728">
        <v>0.7</v>
      </c>
      <c r="K728"/>
    </row>
    <row r="729">
      <c r="A729" t="inlineStr">
        <is>
          <t>API_SIMVASTATIN</t>
        </is>
      </c>
      <c r="B729" t="inlineStr">
        <is>
          <t>Hansen_delta_D</t>
        </is>
      </c>
      <c r="C729">
        <v>18.4</v>
      </c>
      <c r="D729" t="inlineStr">
        <is>
          <t>MPa^0.5</t>
        </is>
      </c>
      <c r="E729"/>
      <c r="F729"/>
      <c r="G729" t="inlineStr">
        <is>
          <t>heuristic group-contribution/nearest-neighbour</t>
        </is>
      </c>
      <c r="H729" t="inlineStr">
        <is>
          <t>S013_EST_HSP_HEURISTIC</t>
        </is>
      </c>
      <c r="I729" t="inlineStr">
        <is>
          <t>estimated</t>
        </is>
      </c>
      <c r="J729">
        <v>0.42</v>
      </c>
      <c r="K729" t="inlineStr">
        <is>
          <t>Provisional HSP for screening; replace with experimental/literature value before model lock.</t>
        </is>
      </c>
    </row>
    <row r="730">
      <c r="A730" t="inlineStr">
        <is>
          <t>API_SIMVASTATIN</t>
        </is>
      </c>
      <c r="B730" t="inlineStr">
        <is>
          <t>Hansen_delta_P</t>
        </is>
      </c>
      <c r="C730">
        <v>5.5</v>
      </c>
      <c r="D730" t="inlineStr">
        <is>
          <t>MPa^0.5</t>
        </is>
      </c>
      <c r="E730"/>
      <c r="F730"/>
      <c r="G730" t="inlineStr">
        <is>
          <t>heuristic group-contribution/nearest-neighbour</t>
        </is>
      </c>
      <c r="H730" t="inlineStr">
        <is>
          <t>S013_EST_HSP_HEURISTIC</t>
        </is>
      </c>
      <c r="I730" t="inlineStr">
        <is>
          <t>estimated</t>
        </is>
      </c>
      <c r="J730">
        <v>0.42</v>
      </c>
      <c r="K730" t="inlineStr">
        <is>
          <t>Provisional HSP for screening; replace with experimental/literature value before model lock.</t>
        </is>
      </c>
    </row>
    <row r="731">
      <c r="A731" t="inlineStr">
        <is>
          <t>API_SIMVASTATIN</t>
        </is>
      </c>
      <c r="B731" t="inlineStr">
        <is>
          <t>Hansen_delta_H</t>
        </is>
      </c>
      <c r="C731">
        <v>6.0</v>
      </c>
      <c r="D731" t="inlineStr">
        <is>
          <t>MPa^0.5</t>
        </is>
      </c>
      <c r="E731"/>
      <c r="F731"/>
      <c r="G731" t="inlineStr">
        <is>
          <t>heuristic group-contribution/nearest-neighbour</t>
        </is>
      </c>
      <c r="H731" t="inlineStr">
        <is>
          <t>S013_EST_HSP_HEURISTIC</t>
        </is>
      </c>
      <c r="I731" t="inlineStr">
        <is>
          <t>estimated</t>
        </is>
      </c>
      <c r="J731">
        <v>0.42</v>
      </c>
      <c r="K731" t="inlineStr">
        <is>
          <t>Provisional HSP for screening; replace with experimental/literature value before model lock.</t>
        </is>
      </c>
    </row>
    <row r="732">
      <c r="A732" t="inlineStr">
        <is>
          <t>API_SIMVASTATIN</t>
        </is>
      </c>
      <c r="B732" t="inlineStr">
        <is>
          <t>Hildebrand_delta_T</t>
        </is>
      </c>
      <c r="C732">
        <v>20.12</v>
      </c>
      <c r="D732" t="inlineStr">
        <is>
          <t>MPa^0.5</t>
        </is>
      </c>
      <c r="E732"/>
      <c r="F732"/>
      <c r="G732" t="inlineStr">
        <is>
          <t>sqrt(deltaD^2+deltaP^2+deltaH^2)</t>
        </is>
      </c>
      <c r="H732" t="inlineStr">
        <is>
          <t>S012_CALCULATED</t>
        </is>
      </c>
      <c r="I732" t="inlineStr">
        <is>
          <t>calculated</t>
        </is>
      </c>
      <c r="J732">
        <v>0.47</v>
      </c>
      <c r="K732" t="inlineStr">
        <is>
          <t>Derived from stored Hansen components.</t>
        </is>
      </c>
    </row>
    <row r="733">
      <c r="A733" t="inlineStr">
        <is>
          <t>API_SIMVASTATIN</t>
        </is>
      </c>
      <c r="B733" t="inlineStr">
        <is>
          <t>HSP_radius_R0</t>
        </is>
      </c>
      <c r="C733">
        <v>8.0</v>
      </c>
      <c r="D733" t="inlineStr">
        <is>
          <t>MPa^0.5</t>
        </is>
      </c>
      <c r="E733"/>
      <c r="F733"/>
      <c r="G733" t="inlineStr">
        <is>
          <t>literature/heuristic solubility sphere</t>
        </is>
      </c>
      <c r="H733" t="inlineStr">
        <is>
          <t>S013_EST_HSP_HEURISTIC</t>
        </is>
      </c>
      <c r="I733" t="inlineStr">
        <is>
          <t>estimated</t>
        </is>
      </c>
      <c r="J733">
        <v>0.42</v>
      </c>
      <c r="K733" t="inlineStr">
        <is>
          <t>Screening radius only unless experimentally determined.</t>
        </is>
      </c>
    </row>
    <row r="734">
      <c r="A734" t="inlineStr">
        <is>
          <t>API_SIMVASTATIN</t>
        </is>
      </c>
      <c r="B734" t="inlineStr">
        <is>
          <t>molar_volume_cm3_mol</t>
        </is>
      </c>
      <c r="C734">
        <v>334.86</v>
      </c>
      <c r="D734" t="inlineStr">
        <is>
          <t>cm3/mol</t>
        </is>
      </c>
      <c r="E734"/>
      <c r="F734"/>
      <c r="G734" t="inlineStr">
        <is>
          <t>MW/density estimate</t>
        </is>
      </c>
      <c r="H734" t="inlineStr">
        <is>
          <t>S012_CALCULATED</t>
        </is>
      </c>
      <c r="I734" t="inlineStr">
        <is>
          <t>estimated</t>
        </is>
      </c>
      <c r="J734">
        <v>0.45</v>
      </c>
      <c r="K734" t="inlineStr">
        <is>
          <t>Estimated from MW/density; replace with measured molar volume or density-specific grade data.</t>
        </is>
      </c>
    </row>
    <row r="735">
      <c r="A735" t="inlineStr">
        <is>
          <t>API_FENOFIBRATE</t>
        </is>
      </c>
      <c r="B735" t="inlineStr">
        <is>
          <t>molecular_weight_g_mol</t>
        </is>
      </c>
      <c r="C735">
        <v>360.83</v>
      </c>
      <c r="D735" t="inlineStr">
        <is>
          <t>g/mol</t>
        </is>
      </c>
      <c r="E735"/>
      <c r="F735"/>
      <c r="G735" t="inlineStr">
        <is>
          <t>PubChem/handbook curation</t>
        </is>
      </c>
      <c r="H735" t="inlineStr">
        <is>
          <t>S001_PUBCHEM</t>
        </is>
      </c>
      <c r="I735" t="inlineStr">
        <is>
          <t>database-derived</t>
        </is>
      </c>
      <c r="J735">
        <v>0.88</v>
      </c>
      <c r="K735"/>
    </row>
    <row r="736">
      <c r="A736" t="inlineStr">
        <is>
          <t>API_FENOFIBRATE</t>
        </is>
      </c>
      <c r="B736" t="inlineStr">
        <is>
          <t>molecular_formula</t>
        </is>
      </c>
      <c r="C736" t="inlineStr">
        <is>
          <t>C20H21ClO4</t>
        </is>
      </c>
      <c r="D736"/>
      <c r="E736"/>
      <c r="F736"/>
      <c r="G736" t="inlineStr">
        <is>
          <t>PubChem/handbook curation</t>
        </is>
      </c>
      <c r="H736" t="inlineStr">
        <is>
          <t>S001_PUBCHEM</t>
        </is>
      </c>
      <c r="I736" t="inlineStr">
        <is>
          <t>database-derived</t>
        </is>
      </c>
      <c r="J736">
        <v>0.85</v>
      </c>
      <c r="K736"/>
    </row>
    <row r="737">
      <c r="A737" t="inlineStr">
        <is>
          <t>API_FENOFIBRATE</t>
        </is>
      </c>
      <c r="B737" t="inlineStr">
        <is>
          <t>LogP</t>
        </is>
      </c>
      <c r="C737">
        <v>5.2</v>
      </c>
      <c r="D737"/>
      <c r="E737"/>
      <c r="F737"/>
      <c r="G737" t="inlineStr">
        <is>
          <t>computed/curated XLogP or literature consensus</t>
        </is>
      </c>
      <c r="H737" t="inlineStr">
        <is>
          <t>S001_PUBCHEM</t>
        </is>
      </c>
      <c r="I737" t="inlineStr">
        <is>
          <t>database-derived</t>
        </is>
      </c>
      <c r="J737">
        <v>0.72</v>
      </c>
      <c r="K737" t="inlineStr">
        <is>
          <t>Approximate; salt/tautomer state may alter.</t>
        </is>
      </c>
    </row>
    <row r="738">
      <c r="A738" t="inlineStr">
        <is>
          <t>API_FENOFIBRATE</t>
        </is>
      </c>
      <c r="B738" t="inlineStr">
        <is>
          <t>formal_charge</t>
        </is>
      </c>
      <c r="C738">
        <v>0</v>
      </c>
      <c r="D738" t="inlineStr">
        <is>
          <t>e</t>
        </is>
      </c>
      <c r="E738"/>
      <c r="F738"/>
      <c r="G738" t="inlineStr">
        <is>
          <t>canonical neutral parent/salt-free structure</t>
        </is>
      </c>
      <c r="H738" t="inlineStr">
        <is>
          <t>S001_PUBCHEM</t>
        </is>
      </c>
      <c r="I738" t="inlineStr">
        <is>
          <t>database-derived</t>
        </is>
      </c>
      <c r="J738">
        <v>0.82</v>
      </c>
      <c r="K738" t="inlineStr">
        <is>
          <t>Use salt-specific material row for ionic salts.</t>
        </is>
      </c>
    </row>
    <row r="739">
      <c r="A739" t="inlineStr">
        <is>
          <t>API_FENOFIBRATE</t>
        </is>
      </c>
      <c r="B739" t="inlineStr">
        <is>
          <t>water_solubility_mg_ml</t>
        </is>
      </c>
      <c r="C739">
        <v>0.0008</v>
      </c>
      <c r="D739" t="inlineStr">
        <is>
          <t>mg/mL</t>
        </is>
      </c>
      <c r="E739"/>
      <c r="F739"/>
      <c r="G739" t="inlineStr">
        <is>
          <t>literature/aqueous solubility range approximated</t>
        </is>
      </c>
      <c r="H739" t="inlineStr">
        <is>
          <t>S001_PUBCHEM</t>
        </is>
      </c>
      <c r="I739" t="inlineStr">
        <is>
          <t>estimated</t>
        </is>
      </c>
      <c r="J739">
        <v>0.45</v>
      </c>
      <c r="K739" t="inlineStr">
        <is>
          <t>Highly pH- and salt-form-dependent.</t>
        </is>
      </c>
    </row>
    <row r="740">
      <c r="A740" t="inlineStr">
        <is>
          <t>API_FENOFIBRATE</t>
        </is>
      </c>
      <c r="B740" t="inlineStr">
        <is>
          <t>melting_point_C</t>
        </is>
      </c>
      <c r="C740">
        <v>81</v>
      </c>
      <c r="D740" t="inlineStr">
        <is>
          <t>°C</t>
        </is>
      </c>
      <c r="E740"/>
      <c r="F740"/>
      <c r="G740" t="inlineStr">
        <is>
          <t>literature/supplier melting range</t>
        </is>
      </c>
      <c r="H740" t="inlineStr">
        <is>
          <t>S001_PUBCHEM</t>
        </is>
      </c>
      <c r="I740" t="inlineStr">
        <is>
          <t>handbook</t>
        </is>
      </c>
      <c r="J740">
        <v>0.65</v>
      </c>
      <c r="K740" t="inlineStr">
        <is>
          <t>Use polymorph-specific data when available.</t>
        </is>
      </c>
    </row>
    <row r="741">
      <c r="A741" t="inlineStr">
        <is>
          <t>API_FENOFIBRATE</t>
        </is>
      </c>
      <c r="B741" t="inlineStr">
        <is>
          <t>TPSA</t>
        </is>
      </c>
      <c r="C741">
        <v>52.6</v>
      </c>
      <c r="D741" t="inlineStr">
        <is>
          <t>Å²</t>
        </is>
      </c>
      <c r="E741"/>
      <c r="F741"/>
      <c r="G741" t="inlineStr">
        <is>
          <t>computed descriptor</t>
        </is>
      </c>
      <c r="H741" t="inlineStr">
        <is>
          <t>S001_PUBCHEM</t>
        </is>
      </c>
      <c r="I741" t="inlineStr">
        <is>
          <t>database-derived</t>
        </is>
      </c>
      <c r="J741">
        <v>0.82</v>
      </c>
      <c r="K741"/>
    </row>
    <row r="742">
      <c r="A742" t="inlineStr">
        <is>
          <t>API_FENOFIBRATE</t>
        </is>
      </c>
      <c r="B742" t="inlineStr">
        <is>
          <t>HBD</t>
        </is>
      </c>
      <c r="C742">
        <v>0</v>
      </c>
      <c r="D742" t="inlineStr">
        <is>
          <t>count</t>
        </is>
      </c>
      <c r="E742"/>
      <c r="F742"/>
      <c r="G742" t="inlineStr">
        <is>
          <t>computed descriptor</t>
        </is>
      </c>
      <c r="H742" t="inlineStr">
        <is>
          <t>S001_PUBCHEM</t>
        </is>
      </c>
      <c r="I742" t="inlineStr">
        <is>
          <t>database-derived</t>
        </is>
      </c>
      <c r="J742">
        <v>0.82</v>
      </c>
      <c r="K742"/>
    </row>
    <row r="743">
      <c r="A743" t="inlineStr">
        <is>
          <t>API_FENOFIBRATE</t>
        </is>
      </c>
      <c r="B743" t="inlineStr">
        <is>
          <t>HBA</t>
        </is>
      </c>
      <c r="C743">
        <v>4</v>
      </c>
      <c r="D743" t="inlineStr">
        <is>
          <t>count</t>
        </is>
      </c>
      <c r="E743"/>
      <c r="F743"/>
      <c r="G743" t="inlineStr">
        <is>
          <t>computed descriptor</t>
        </is>
      </c>
      <c r="H743" t="inlineStr">
        <is>
          <t>S001_PUBCHEM</t>
        </is>
      </c>
      <c r="I743" t="inlineStr">
        <is>
          <t>database-derived</t>
        </is>
      </c>
      <c r="J743">
        <v>0.82</v>
      </c>
      <c r="K743"/>
    </row>
    <row r="744">
      <c r="A744" t="inlineStr">
        <is>
          <t>API_FENOFIBRATE</t>
        </is>
      </c>
      <c r="B744" t="inlineStr">
        <is>
          <t>rotatable_bonds</t>
        </is>
      </c>
      <c r="C744">
        <v>7</v>
      </c>
      <c r="D744" t="inlineStr">
        <is>
          <t>count</t>
        </is>
      </c>
      <c r="E744"/>
      <c r="F744"/>
      <c r="G744" t="inlineStr">
        <is>
          <t>computed descriptor</t>
        </is>
      </c>
      <c r="H744" t="inlineStr">
        <is>
          <t>S001_PUBCHEM</t>
        </is>
      </c>
      <c r="I744" t="inlineStr">
        <is>
          <t>database-derived</t>
        </is>
      </c>
      <c r="J744">
        <v>0.82</v>
      </c>
      <c r="K744"/>
    </row>
    <row r="745">
      <c r="A745" t="inlineStr">
        <is>
          <t>API_FENOFIBRATE</t>
        </is>
      </c>
      <c r="B745" t="inlineStr">
        <is>
          <t>aromatic_rings</t>
        </is>
      </c>
      <c r="C745">
        <v>2</v>
      </c>
      <c r="D745" t="inlineStr">
        <is>
          <t>count</t>
        </is>
      </c>
      <c r="E745"/>
      <c r="F745"/>
      <c r="G745" t="inlineStr">
        <is>
          <t>manual structural count</t>
        </is>
      </c>
      <c r="H745" t="inlineStr">
        <is>
          <t>S001_PUBCHEM</t>
        </is>
      </c>
      <c r="I745" t="inlineStr">
        <is>
          <t>estimated</t>
        </is>
      </c>
      <c r="J745">
        <v>0.6</v>
      </c>
      <c r="K745"/>
    </row>
    <row r="746">
      <c r="A746" t="inlineStr">
        <is>
          <t>API_FENOFIBRATE</t>
        </is>
      </c>
      <c r="B746" t="inlineStr">
        <is>
          <t>BCS_class</t>
        </is>
      </c>
      <c r="C746" t="inlineStr">
        <is>
          <t>II</t>
        </is>
      </c>
      <c r="D746"/>
      <c r="E746"/>
      <c r="F746"/>
      <c r="G746" t="inlineStr">
        <is>
          <t>literature consensus/placeholder</t>
        </is>
      </c>
      <c r="H746" t="inlineStr">
        <is>
          <t>S007_EXCIPIENTS_HANDBOOK</t>
        </is>
      </c>
      <c r="I746" t="inlineStr">
        <is>
          <t>estimated</t>
        </is>
      </c>
      <c r="J746">
        <v>0.4</v>
      </c>
      <c r="K746" t="inlineStr">
        <is>
          <t>Must be curated from API-specific biopharmaceutics sources.</t>
        </is>
      </c>
    </row>
    <row r="747">
      <c r="A747" t="inlineStr">
        <is>
          <t>API_FENOFIBRATE</t>
        </is>
      </c>
      <c r="B747" t="inlineStr">
        <is>
          <t>therapeutic_class</t>
        </is>
      </c>
      <c r="C747" t="inlineStr">
        <is>
          <t>fibrate</t>
        </is>
      </c>
      <c r="D747"/>
      <c r="E747"/>
      <c r="F747"/>
      <c r="G747" t="inlineStr">
        <is>
          <t>manual therapeutic annotation</t>
        </is>
      </c>
      <c r="H747" t="inlineStr">
        <is>
          <t>S001_PUBCHEM</t>
        </is>
      </c>
      <c r="I747" t="inlineStr">
        <is>
          <t>database-derived</t>
        </is>
      </c>
      <c r="J747">
        <v>0.75</v>
      </c>
      <c r="K747"/>
    </row>
    <row r="748">
      <c r="A748" t="inlineStr">
        <is>
          <t>API_FENOFIBRATE</t>
        </is>
      </c>
      <c r="B748" t="inlineStr">
        <is>
          <t>payload_type</t>
        </is>
      </c>
      <c r="C748" t="inlineStr">
        <is>
          <t>small_molecule_API</t>
        </is>
      </c>
      <c r="D748"/>
      <c r="E748"/>
      <c r="F748"/>
      <c r="G748" t="inlineStr">
        <is>
          <t>payload taxonomy</t>
        </is>
      </c>
      <c r="H748" t="inlineStr">
        <is>
          <t>S000_USER_SPEC</t>
        </is>
      </c>
      <c r="I748" t="inlineStr">
        <is>
          <t>curated</t>
        </is>
      </c>
      <c r="J748">
        <v>0.8</v>
      </c>
      <c r="K748"/>
    </row>
    <row r="749">
      <c r="A749" t="inlineStr">
        <is>
          <t>API_FENOFIBRATE</t>
        </is>
      </c>
      <c r="B749" t="inlineStr">
        <is>
          <t>route_notes</t>
        </is>
      </c>
      <c r="C749" t="inlineStr">
        <is>
          <t>hydrophobic ester; lipid carrier model drug</t>
        </is>
      </c>
      <c r="D749"/>
      <c r="E749"/>
      <c r="F749"/>
      <c r="G749" t="inlineStr">
        <is>
          <t>formulation-relevance annotation</t>
        </is>
      </c>
      <c r="H749" t="inlineStr">
        <is>
          <t>S014_AULTON</t>
        </is>
      </c>
      <c r="I749" t="inlineStr">
        <is>
          <t>curated</t>
        </is>
      </c>
      <c r="J749">
        <v>0.7</v>
      </c>
      <c r="K749"/>
    </row>
    <row r="750">
      <c r="A750" t="inlineStr">
        <is>
          <t>API_FENOFIBRATE</t>
        </is>
      </c>
      <c r="B750" t="inlineStr">
        <is>
          <t>Hansen_delta_D</t>
        </is>
      </c>
      <c r="C750">
        <v>18.4</v>
      </c>
      <c r="D750" t="inlineStr">
        <is>
          <t>MPa^0.5</t>
        </is>
      </c>
      <c r="E750"/>
      <c r="F750"/>
      <c r="G750" t="inlineStr">
        <is>
          <t>heuristic group-contribution/nearest-neighbour</t>
        </is>
      </c>
      <c r="H750" t="inlineStr">
        <is>
          <t>S013_EST_HSP_HEURISTIC</t>
        </is>
      </c>
      <c r="I750" t="inlineStr">
        <is>
          <t>estimated</t>
        </is>
      </c>
      <c r="J750">
        <v>0.42</v>
      </c>
      <c r="K750" t="inlineStr">
        <is>
          <t>Provisional HSP for screening; replace with experimental/literature value before model lock.</t>
        </is>
      </c>
    </row>
    <row r="751">
      <c r="A751" t="inlineStr">
        <is>
          <t>API_FENOFIBRATE</t>
        </is>
      </c>
      <c r="B751" t="inlineStr">
        <is>
          <t>Hansen_delta_P</t>
        </is>
      </c>
      <c r="C751">
        <v>5.5</v>
      </c>
      <c r="D751" t="inlineStr">
        <is>
          <t>MPa^0.5</t>
        </is>
      </c>
      <c r="E751"/>
      <c r="F751"/>
      <c r="G751" t="inlineStr">
        <is>
          <t>heuristic group-contribution/nearest-neighbour</t>
        </is>
      </c>
      <c r="H751" t="inlineStr">
        <is>
          <t>S013_EST_HSP_HEURISTIC</t>
        </is>
      </c>
      <c r="I751" t="inlineStr">
        <is>
          <t>estimated</t>
        </is>
      </c>
      <c r="J751">
        <v>0.42</v>
      </c>
      <c r="K751" t="inlineStr">
        <is>
          <t>Provisional HSP for screening; replace with experimental/literature value before model lock.</t>
        </is>
      </c>
    </row>
    <row r="752">
      <c r="A752" t="inlineStr">
        <is>
          <t>API_FENOFIBRATE</t>
        </is>
      </c>
      <c r="B752" t="inlineStr">
        <is>
          <t>Hansen_delta_H</t>
        </is>
      </c>
      <c r="C752">
        <v>6.0</v>
      </c>
      <c r="D752" t="inlineStr">
        <is>
          <t>MPa^0.5</t>
        </is>
      </c>
      <c r="E752"/>
      <c r="F752"/>
      <c r="G752" t="inlineStr">
        <is>
          <t>heuristic group-contribution/nearest-neighbour</t>
        </is>
      </c>
      <c r="H752" t="inlineStr">
        <is>
          <t>S013_EST_HSP_HEURISTIC</t>
        </is>
      </c>
      <c r="I752" t="inlineStr">
        <is>
          <t>estimated</t>
        </is>
      </c>
      <c r="J752">
        <v>0.42</v>
      </c>
      <c r="K752" t="inlineStr">
        <is>
          <t>Provisional HSP for screening; replace with experimental/literature value before model lock.</t>
        </is>
      </c>
    </row>
    <row r="753">
      <c r="A753" t="inlineStr">
        <is>
          <t>API_FENOFIBRATE</t>
        </is>
      </c>
      <c r="B753" t="inlineStr">
        <is>
          <t>Hildebrand_delta_T</t>
        </is>
      </c>
      <c r="C753">
        <v>20.12</v>
      </c>
      <c r="D753" t="inlineStr">
        <is>
          <t>MPa^0.5</t>
        </is>
      </c>
      <c r="E753"/>
      <c r="F753"/>
      <c r="G753" t="inlineStr">
        <is>
          <t>sqrt(deltaD^2+deltaP^2+deltaH^2)</t>
        </is>
      </c>
      <c r="H753" t="inlineStr">
        <is>
          <t>S012_CALCULATED</t>
        </is>
      </c>
      <c r="I753" t="inlineStr">
        <is>
          <t>calculated</t>
        </is>
      </c>
      <c r="J753">
        <v>0.47</v>
      </c>
      <c r="K753" t="inlineStr">
        <is>
          <t>Derived from stored Hansen components.</t>
        </is>
      </c>
    </row>
    <row r="754">
      <c r="A754" t="inlineStr">
        <is>
          <t>API_FENOFIBRATE</t>
        </is>
      </c>
      <c r="B754" t="inlineStr">
        <is>
          <t>HSP_radius_R0</t>
        </is>
      </c>
      <c r="C754">
        <v>8.0</v>
      </c>
      <c r="D754" t="inlineStr">
        <is>
          <t>MPa^0.5</t>
        </is>
      </c>
      <c r="E754"/>
      <c r="F754"/>
      <c r="G754" t="inlineStr">
        <is>
          <t>literature/heuristic solubility sphere</t>
        </is>
      </c>
      <c r="H754" t="inlineStr">
        <is>
          <t>S013_EST_HSP_HEURISTIC</t>
        </is>
      </c>
      <c r="I754" t="inlineStr">
        <is>
          <t>estimated</t>
        </is>
      </c>
      <c r="J754">
        <v>0.42</v>
      </c>
      <c r="K754" t="inlineStr">
        <is>
          <t>Screening radius only unless experimentally determined.</t>
        </is>
      </c>
    </row>
    <row r="755">
      <c r="A755" t="inlineStr">
        <is>
          <t>API_FENOFIBRATE</t>
        </is>
      </c>
      <c r="B755" t="inlineStr">
        <is>
          <t>molar_volume_cm3_mol</t>
        </is>
      </c>
      <c r="C755">
        <v>288.66</v>
      </c>
      <c r="D755" t="inlineStr">
        <is>
          <t>cm3/mol</t>
        </is>
      </c>
      <c r="E755"/>
      <c r="F755"/>
      <c r="G755" t="inlineStr">
        <is>
          <t>MW/density estimate</t>
        </is>
      </c>
      <c r="H755" t="inlineStr">
        <is>
          <t>S012_CALCULATED</t>
        </is>
      </c>
      <c r="I755" t="inlineStr">
        <is>
          <t>estimated</t>
        </is>
      </c>
      <c r="J755">
        <v>0.45</v>
      </c>
      <c r="K755" t="inlineStr">
        <is>
          <t>Estimated from MW/density; replace with measured molar volume or density-specific grade data.</t>
        </is>
      </c>
    </row>
    <row r="756">
      <c r="A756" t="inlineStr">
        <is>
          <t>PAY_SIRNA_DUPLEX_PLACEHOLDER</t>
        </is>
      </c>
      <c r="B756" t="inlineStr">
        <is>
          <t>average_MW</t>
        </is>
      </c>
      <c r="C756">
        <v>13500</v>
      </c>
      <c r="D756" t="inlineStr">
        <is>
          <t>g/mol</t>
        </is>
      </c>
      <c r="E756"/>
      <c r="F756"/>
      <c r="G756" t="inlineStr">
        <is>
          <t>placeholder only</t>
        </is>
      </c>
      <c r="H756" t="inlineStr">
        <is>
          <t>S000_USER_SPEC</t>
        </is>
      </c>
      <c r="I756" t="inlineStr">
        <is>
          <t>placeholder</t>
        </is>
      </c>
      <c r="J756">
        <v>0.25</v>
      </c>
      <c r="K756"/>
    </row>
    <row r="757">
      <c r="A757" t="inlineStr">
        <is>
          <t>PAY_SIRNA_DUPLEX_PLACEHOLDER</t>
        </is>
      </c>
      <c r="B757" t="inlineStr">
        <is>
          <t>formal_charge</t>
        </is>
      </c>
      <c r="C757">
        <v>-40</v>
      </c>
      <c r="D757" t="inlineStr">
        <is>
          <t>e</t>
        </is>
      </c>
      <c r="E757"/>
      <c r="F757"/>
      <c r="G757" t="inlineStr">
        <is>
          <t>nominal placeholder</t>
        </is>
      </c>
      <c r="H757" t="inlineStr">
        <is>
          <t>S000_USER_SPEC</t>
        </is>
      </c>
      <c r="I757" t="inlineStr">
        <is>
          <t>placeholder</t>
        </is>
      </c>
      <c r="J757">
        <v>0.25</v>
      </c>
      <c r="K757"/>
    </row>
    <row r="758">
      <c r="A758" t="inlineStr">
        <is>
          <t>PAY_SIRNA_DUPLEX_PLACEHOLDER</t>
        </is>
      </c>
      <c r="B758" t="inlineStr">
        <is>
          <t>payload_type</t>
        </is>
      </c>
      <c r="C758" t="inlineStr">
        <is>
          <t>nucleic-acid payload placeholder</t>
        </is>
      </c>
      <c r="D758"/>
      <c r="E758"/>
      <c r="F758"/>
      <c r="G758" t="inlineStr">
        <is>
          <t>not a real material</t>
        </is>
      </c>
      <c r="H758" t="inlineStr">
        <is>
          <t>S000_USER_SPEC</t>
        </is>
      </c>
      <c r="I758" t="inlineStr">
        <is>
          <t>placeholder</t>
        </is>
      </c>
      <c r="J758">
        <v>0.3</v>
      </c>
      <c r="K758"/>
    </row>
    <row r="759">
      <c r="A759" t="inlineStr">
        <is>
          <t>PAY_SIRNA_DUPLEX_PLACEHOLDER</t>
        </is>
      </c>
      <c r="B759" t="inlineStr">
        <is>
          <t>route_notes</t>
        </is>
      </c>
      <c r="C759" t="inlineStr">
        <is>
          <t>Use sequence-specific MW, GC%, ionizable-lipid N/P ratio, and buffer pH.</t>
        </is>
      </c>
      <c r="D759"/>
      <c r="E759"/>
      <c r="F759"/>
      <c r="G759"/>
      <c r="H759" t="inlineStr">
        <is>
          <t>S000_USER_SPEC</t>
        </is>
      </c>
      <c r="I759" t="inlineStr">
        <is>
          <t>placeholder</t>
        </is>
      </c>
      <c r="J759">
        <v>0.3</v>
      </c>
      <c r="K759"/>
    </row>
    <row r="760">
      <c r="A760" t="inlineStr">
        <is>
          <t>PAY_MRNA_PAYLOAD_PLACEHOLDER</t>
        </is>
      </c>
      <c r="B760" t="inlineStr">
        <is>
          <t>average_MW</t>
        </is>
      </c>
      <c r="C760">
        <v>330000</v>
      </c>
      <c r="D760" t="inlineStr">
        <is>
          <t>g/mol</t>
        </is>
      </c>
      <c r="E760"/>
      <c r="F760"/>
      <c r="G760" t="inlineStr">
        <is>
          <t>placeholder only</t>
        </is>
      </c>
      <c r="H760" t="inlineStr">
        <is>
          <t>S000_USER_SPEC</t>
        </is>
      </c>
      <c r="I760" t="inlineStr">
        <is>
          <t>placeholder</t>
        </is>
      </c>
      <c r="J760">
        <v>0.25</v>
      </c>
      <c r="K760"/>
    </row>
    <row r="761">
      <c r="A761" t="inlineStr">
        <is>
          <t>PAY_MRNA_PAYLOAD_PLACEHOLDER</t>
        </is>
      </c>
      <c r="B761" t="inlineStr">
        <is>
          <t>formal_charge</t>
        </is>
      </c>
      <c r="C761">
        <v>-1000</v>
      </c>
      <c r="D761" t="inlineStr">
        <is>
          <t>e</t>
        </is>
      </c>
      <c r="E761"/>
      <c r="F761"/>
      <c r="G761" t="inlineStr">
        <is>
          <t>nominal placeholder</t>
        </is>
      </c>
      <c r="H761" t="inlineStr">
        <is>
          <t>S000_USER_SPEC</t>
        </is>
      </c>
      <c r="I761" t="inlineStr">
        <is>
          <t>placeholder</t>
        </is>
      </c>
      <c r="J761">
        <v>0.25</v>
      </c>
      <c r="K761"/>
    </row>
    <row r="762">
      <c r="A762" t="inlineStr">
        <is>
          <t>PAY_MRNA_PAYLOAD_PLACEHOLDER</t>
        </is>
      </c>
      <c r="B762" t="inlineStr">
        <is>
          <t>payload_type</t>
        </is>
      </c>
      <c r="C762" t="inlineStr">
        <is>
          <t>nucleic-acid payload placeholder</t>
        </is>
      </c>
      <c r="D762"/>
      <c r="E762"/>
      <c r="F762"/>
      <c r="G762" t="inlineStr">
        <is>
          <t>not a real material</t>
        </is>
      </c>
      <c r="H762" t="inlineStr">
        <is>
          <t>S000_USER_SPEC</t>
        </is>
      </c>
      <c r="I762" t="inlineStr">
        <is>
          <t>placeholder</t>
        </is>
      </c>
      <c r="J762">
        <v>0.3</v>
      </c>
      <c r="K762"/>
    </row>
    <row r="763">
      <c r="A763" t="inlineStr">
        <is>
          <t>PAY_MRNA_PAYLOAD_PLACEHOLDER</t>
        </is>
      </c>
      <c r="B763" t="inlineStr">
        <is>
          <t>route_notes</t>
        </is>
      </c>
      <c r="C763" t="inlineStr">
        <is>
          <t>Use transcript length, cap/polyA/modification and buffer-specific hydrodynamic descriptors.</t>
        </is>
      </c>
      <c r="D763"/>
      <c r="E763"/>
      <c r="F763"/>
      <c r="G763"/>
      <c r="H763" t="inlineStr">
        <is>
          <t>S000_USER_SPEC</t>
        </is>
      </c>
      <c r="I763" t="inlineStr">
        <is>
          <t>placeholder</t>
        </is>
      </c>
      <c r="J763">
        <v>0.3</v>
      </c>
      <c r="K763"/>
    </row>
    <row r="764">
      <c r="A764" t="inlineStr">
        <is>
          <t>PAY_PEPTIDE_PAYLOAD_PLACEHOLDER</t>
        </is>
      </c>
      <c r="B764" t="inlineStr">
        <is>
          <t>average_MW</t>
        </is>
      </c>
      <c r="C764">
        <v>1500</v>
      </c>
      <c r="D764" t="inlineStr">
        <is>
          <t>g/mol</t>
        </is>
      </c>
      <c r="E764"/>
      <c r="F764"/>
      <c r="G764" t="inlineStr">
        <is>
          <t>placeholder only</t>
        </is>
      </c>
      <c r="H764" t="inlineStr">
        <is>
          <t>S000_USER_SPEC</t>
        </is>
      </c>
      <c r="I764" t="inlineStr">
        <is>
          <t>placeholder</t>
        </is>
      </c>
      <c r="J764">
        <v>0.25</v>
      </c>
      <c r="K764"/>
    </row>
    <row r="765">
      <c r="A765" t="inlineStr">
        <is>
          <t>PAY_PEPTIDE_PAYLOAD_PLACEHOLDER</t>
        </is>
      </c>
      <c r="B765" t="inlineStr">
        <is>
          <t>formal_charge</t>
        </is>
      </c>
      <c r="C765">
        <v>0</v>
      </c>
      <c r="D765" t="inlineStr">
        <is>
          <t>e</t>
        </is>
      </c>
      <c r="E765"/>
      <c r="F765"/>
      <c r="G765" t="inlineStr">
        <is>
          <t>nominal placeholder</t>
        </is>
      </c>
      <c r="H765" t="inlineStr">
        <is>
          <t>S000_USER_SPEC</t>
        </is>
      </c>
      <c r="I765" t="inlineStr">
        <is>
          <t>placeholder</t>
        </is>
      </c>
      <c r="J765">
        <v>0.25</v>
      </c>
      <c r="K765"/>
    </row>
    <row r="766">
      <c r="A766" t="inlineStr">
        <is>
          <t>PAY_PEPTIDE_PAYLOAD_PLACEHOLDER</t>
        </is>
      </c>
      <c r="B766" t="inlineStr">
        <is>
          <t>payload_type</t>
        </is>
      </c>
      <c r="C766" t="inlineStr">
        <is>
          <t>peptide payload placeholder</t>
        </is>
      </c>
      <c r="D766"/>
      <c r="E766"/>
      <c r="F766"/>
      <c r="G766" t="inlineStr">
        <is>
          <t>not a real material</t>
        </is>
      </c>
      <c r="H766" t="inlineStr">
        <is>
          <t>S000_USER_SPEC</t>
        </is>
      </c>
      <c r="I766" t="inlineStr">
        <is>
          <t>placeholder</t>
        </is>
      </c>
      <c r="J766">
        <v>0.3</v>
      </c>
      <c r="K766"/>
    </row>
    <row r="767">
      <c r="A767" t="inlineStr">
        <is>
          <t>PAY_PEPTIDE_PAYLOAD_PLACEHOLDER</t>
        </is>
      </c>
      <c r="B767" t="inlineStr">
        <is>
          <t>route_notes</t>
        </is>
      </c>
      <c r="C767" t="inlineStr">
        <is>
          <t>Use sequence-specific pI, net charge, instability motifs, and proteolysis risk.</t>
        </is>
      </c>
      <c r="D767"/>
      <c r="E767"/>
      <c r="F767"/>
      <c r="G767"/>
      <c r="H767" t="inlineStr">
        <is>
          <t>S000_USER_SPEC</t>
        </is>
      </c>
      <c r="I767" t="inlineStr">
        <is>
          <t>placeholder</t>
        </is>
      </c>
      <c r="J767">
        <v>0.3</v>
      </c>
      <c r="K767"/>
    </row>
    <row r="768">
      <c r="A768" t="inlineStr">
        <is>
          <t>SURF_SPAN_20</t>
        </is>
      </c>
      <c r="B768" t="inlineStr">
        <is>
          <t>molecular_weight_g_mol</t>
        </is>
      </c>
      <c r="C768">
        <v>346.46</v>
      </c>
      <c r="D768" t="inlineStr">
        <is>
          <t>g/mol</t>
        </is>
      </c>
      <c r="E768"/>
      <c r="F768"/>
      <c r="G768" t="inlineStr">
        <is>
          <t>supplier/handbook average for mixtures</t>
        </is>
      </c>
      <c r="H768" t="inlineStr">
        <is>
          <t>S011_CRODA_SPAN_TWEEN</t>
        </is>
      </c>
      <c r="I768" t="inlineStr">
        <is>
          <t>supplier-reported</t>
        </is>
      </c>
      <c r="J768">
        <v>0.65</v>
      </c>
      <c r="K768"/>
    </row>
    <row r="769">
      <c r="A769" t="inlineStr">
        <is>
          <t>SURF_SPAN_20</t>
        </is>
      </c>
      <c r="B769" t="inlineStr">
        <is>
          <t>HLB</t>
        </is>
      </c>
      <c r="C769">
        <v>8.6</v>
      </c>
      <c r="D769" t="inlineStr">
        <is>
          <t>HLB</t>
        </is>
      </c>
      <c r="E769"/>
      <c r="F769"/>
      <c r="G769" t="inlineStr">
        <is>
          <t>Griffin/Davies HLB literature/supplier value</t>
        </is>
      </c>
      <c r="H769" t="inlineStr">
        <is>
          <t>S011_CRODA_SPAN_TWEEN</t>
        </is>
      </c>
      <c r="I769" t="inlineStr">
        <is>
          <t>supplier-reported</t>
        </is>
      </c>
      <c r="J769">
        <v>0.75</v>
      </c>
      <c r="K769" t="inlineStr">
        <is>
          <t>Grade-dependent; use supplier CoA when available.</t>
        </is>
      </c>
    </row>
    <row r="770">
      <c r="A770" t="inlineStr">
        <is>
          <t>SURF_SPAN_20</t>
        </is>
      </c>
      <c r="B770" t="inlineStr">
        <is>
          <t>headgroup_type</t>
        </is>
      </c>
      <c r="C770" t="inlineStr">
        <is>
          <t>sorbitan ester</t>
        </is>
      </c>
      <c r="D770"/>
      <c r="E770"/>
      <c r="F770"/>
      <c r="G770" t="inlineStr">
        <is>
          <t>manual class annotation</t>
        </is>
      </c>
      <c r="H770" t="inlineStr">
        <is>
          <t>S011_CRODA_SPAN_TWEEN</t>
        </is>
      </c>
      <c r="I770" t="inlineStr">
        <is>
          <t>curated</t>
        </is>
      </c>
      <c r="J770">
        <v>0.75</v>
      </c>
      <c r="K770"/>
    </row>
    <row r="771">
      <c r="A771" t="inlineStr">
        <is>
          <t>SURF_SPAN_20</t>
        </is>
      </c>
      <c r="B771" t="inlineStr">
        <is>
          <t>tail_chain</t>
        </is>
      </c>
      <c r="C771" t="inlineStr">
        <is>
          <t>C12:0 laurate</t>
        </is>
      </c>
      <c r="D771"/>
      <c r="E771"/>
      <c r="F771"/>
      <c r="G771" t="inlineStr">
        <is>
          <t>fatty-chain annotation</t>
        </is>
      </c>
      <c r="H771" t="inlineStr">
        <is>
          <t>S011_CRODA_SPAN_TWEEN</t>
        </is>
      </c>
      <c r="I771" t="inlineStr">
        <is>
          <t>curated</t>
        </is>
      </c>
      <c r="J771">
        <v>0.8</v>
      </c>
      <c r="K771"/>
    </row>
    <row r="772">
      <c r="A772" t="inlineStr">
        <is>
          <t>SURF_SPAN_20</t>
        </is>
      </c>
      <c r="B772" t="inlineStr">
        <is>
          <t>tail_carbons</t>
        </is>
      </c>
      <c r="C772">
        <v>12</v>
      </c>
      <c r="D772" t="inlineStr">
        <is>
          <t>count</t>
        </is>
      </c>
      <c r="E772"/>
      <c r="F772"/>
      <c r="G772" t="inlineStr">
        <is>
          <t>fatty-chain annotation</t>
        </is>
      </c>
      <c r="H772" t="inlineStr">
        <is>
          <t>S011_CRODA_SPAN_TWEEN</t>
        </is>
      </c>
      <c r="I772" t="inlineStr">
        <is>
          <t>curated</t>
        </is>
      </c>
      <c r="J772">
        <v>0.8</v>
      </c>
      <c r="K772"/>
    </row>
    <row r="773">
      <c r="A773" t="inlineStr">
        <is>
          <t>SURF_SPAN_20</t>
        </is>
      </c>
      <c r="B773" t="inlineStr">
        <is>
          <t>tail_unsaturation</t>
        </is>
      </c>
      <c r="C773">
        <v>0</v>
      </c>
      <c r="D773" t="inlineStr">
        <is>
          <t>double_bonds</t>
        </is>
      </c>
      <c r="E773"/>
      <c r="F773"/>
      <c r="G773" t="inlineStr">
        <is>
          <t>fatty-chain annotation</t>
        </is>
      </c>
      <c r="H773" t="inlineStr">
        <is>
          <t>S011_CRODA_SPAN_TWEEN</t>
        </is>
      </c>
      <c r="I773" t="inlineStr">
        <is>
          <t>curated</t>
        </is>
      </c>
      <c r="J773">
        <v>0.8</v>
      </c>
      <c r="K773"/>
    </row>
    <row r="774">
      <c r="A774" t="inlineStr">
        <is>
          <t>SURF_SPAN_20</t>
        </is>
      </c>
      <c r="B774" t="inlineStr">
        <is>
          <t>number_of_tails</t>
        </is>
      </c>
      <c r="C774">
        <v>1</v>
      </c>
      <c r="D774" t="inlineStr">
        <is>
          <t>count</t>
        </is>
      </c>
      <c r="E774"/>
      <c r="F774"/>
      <c r="G774" t="inlineStr">
        <is>
          <t>fatty-chain annotation</t>
        </is>
      </c>
      <c r="H774" t="inlineStr">
        <is>
          <t>S011_CRODA_SPAN_TWEEN</t>
        </is>
      </c>
      <c r="I774" t="inlineStr">
        <is>
          <t>curated</t>
        </is>
      </c>
      <c r="J774">
        <v>0.8</v>
      </c>
      <c r="K774"/>
    </row>
    <row r="775">
      <c r="A775" t="inlineStr">
        <is>
          <t>SURF_SPAN_20</t>
        </is>
      </c>
      <c r="B775" t="inlineStr">
        <is>
          <t>charge_type</t>
        </is>
      </c>
      <c r="C775" t="inlineStr">
        <is>
          <t>nonionic</t>
        </is>
      </c>
      <c r="D775"/>
      <c r="E775"/>
      <c r="F775"/>
      <c r="G775" t="inlineStr">
        <is>
          <t>ionization class</t>
        </is>
      </c>
      <c r="H775" t="inlineStr">
        <is>
          <t>S011_CRODA_SPAN_TWEEN</t>
        </is>
      </c>
      <c r="I775" t="inlineStr">
        <is>
          <t>curated</t>
        </is>
      </c>
      <c r="J775">
        <v>0.85</v>
      </c>
      <c r="K775"/>
    </row>
    <row r="776">
      <c r="A776" t="inlineStr">
        <is>
          <t>SURF_SPAN_20</t>
        </is>
      </c>
      <c r="B776" t="inlineStr">
        <is>
          <t>formal_charge</t>
        </is>
      </c>
      <c r="C776">
        <v>0</v>
      </c>
      <c r="D776" t="inlineStr">
        <is>
          <t>e</t>
        </is>
      </c>
      <c r="E776"/>
      <c r="F776"/>
      <c r="G776" t="inlineStr">
        <is>
          <t>nominal at neutral pH</t>
        </is>
      </c>
      <c r="H776" t="inlineStr">
        <is>
          <t>S011_CRODA_SPAN_TWEEN</t>
        </is>
      </c>
      <c r="I776" t="inlineStr">
        <is>
          <t>curated</t>
        </is>
      </c>
      <c r="J776">
        <v>0.85</v>
      </c>
      <c r="K776"/>
    </row>
    <row r="777">
      <c r="A777" t="inlineStr">
        <is>
          <t>SURF_SPAN_20</t>
        </is>
      </c>
      <c r="B777" t="inlineStr">
        <is>
          <t>packing_role</t>
        </is>
      </c>
      <c r="C777" t="inlineStr">
        <is>
          <t>edge activator / micellar solubilizer</t>
        </is>
      </c>
      <c r="D777"/>
      <c r="E777"/>
      <c r="F777"/>
      <c r="G777" t="inlineStr">
        <is>
          <t>HLB/chain-rule heuristic</t>
        </is>
      </c>
      <c r="H777" t="inlineStr">
        <is>
          <t>S011_CRODA_SPAN_TWEEN</t>
        </is>
      </c>
      <c r="I777" t="inlineStr">
        <is>
          <t>curated</t>
        </is>
      </c>
      <c r="J777">
        <v>0.65</v>
      </c>
      <c r="K777"/>
    </row>
    <row r="778">
      <c r="A778" t="inlineStr">
        <is>
          <t>SURF_SPAN_20</t>
        </is>
      </c>
      <c r="B778" t="inlineStr">
        <is>
          <t>edge_activator_flag</t>
        </is>
      </c>
      <c r="C778" t="inlineStr">
        <is>
          <t>conditional</t>
        </is>
      </c>
      <c r="D778"/>
      <c r="E778"/>
      <c r="F778"/>
      <c r="G778" t="inlineStr">
        <is>
          <t>HLB/charge heuristic</t>
        </is>
      </c>
      <c r="H778" t="inlineStr">
        <is>
          <t>S011_CRODA_SPAN_TWEEN</t>
        </is>
      </c>
      <c r="I778" t="inlineStr">
        <is>
          <t>curated</t>
        </is>
      </c>
      <c r="J778">
        <v>0.7</v>
      </c>
      <c r="K778"/>
    </row>
    <row r="779">
      <c r="A779" t="inlineStr">
        <is>
          <t>SURF_SPAN_20</t>
        </is>
      </c>
      <c r="B779" t="inlineStr">
        <is>
          <t>vesicle_anchor_flag</t>
        </is>
      </c>
      <c r="C779" t="inlineStr">
        <is>
          <t>yes</t>
        </is>
      </c>
      <c r="D779"/>
      <c r="E779"/>
      <c r="F779"/>
      <c r="G779" t="inlineStr">
        <is>
          <t>chain-length and HLB heuristic</t>
        </is>
      </c>
      <c r="H779" t="inlineStr">
        <is>
          <t>S011_CRODA_SPAN_TWEEN</t>
        </is>
      </c>
      <c r="I779" t="inlineStr">
        <is>
          <t>curated</t>
        </is>
      </c>
      <c r="J779">
        <v>0.7</v>
      </c>
      <c r="K779"/>
    </row>
    <row r="780">
      <c r="A780" t="inlineStr">
        <is>
          <t>SURF_SPAN_20</t>
        </is>
      </c>
      <c r="B780" t="inlineStr">
        <is>
          <t>micellization_risk_flag</t>
        </is>
      </c>
      <c r="C780" t="inlineStr">
        <is>
          <t>low-to-moderate</t>
        </is>
      </c>
      <c r="D780"/>
      <c r="E780"/>
      <c r="F780"/>
      <c r="G780" t="inlineStr">
        <is>
          <t>HLB heuristic</t>
        </is>
      </c>
      <c r="H780" t="inlineStr">
        <is>
          <t>S011_CRODA_SPAN_TWEEN</t>
        </is>
      </c>
      <c r="I780" t="inlineStr">
        <is>
          <t>curated</t>
        </is>
      </c>
      <c r="J780">
        <v>0.65</v>
      </c>
      <c r="K780"/>
    </row>
    <row r="781">
      <c r="A781" t="inlineStr">
        <is>
          <t>SURF_SPAN_20</t>
        </is>
      </c>
      <c r="B781" t="inlineStr">
        <is>
          <t>route_suitability</t>
        </is>
      </c>
      <c r="C781" t="inlineStr">
        <is>
          <t>oral/topical; parenteral/inhalation only if grade and safety justified</t>
        </is>
      </c>
      <c r="D781"/>
      <c r="E781"/>
      <c r="F781"/>
      <c r="G781" t="inlineStr">
        <is>
          <t>route precedent heuristic</t>
        </is>
      </c>
      <c r="H781" t="inlineStr">
        <is>
          <t>S008_FDA_IID</t>
        </is>
      </c>
      <c r="I781" t="inlineStr">
        <is>
          <t>curated</t>
        </is>
      </c>
      <c r="J781">
        <v>0.55</v>
      </c>
      <c r="K781"/>
    </row>
    <row r="782">
      <c r="A782" t="inlineStr">
        <is>
          <t>SURF_SPAN_20</t>
        </is>
      </c>
      <c r="B782" t="inlineStr">
        <is>
          <t>toxicity_or_irritancy_notes</t>
        </is>
      </c>
      <c r="C782" t="inlineStr">
        <is>
          <t>surfactant irritation/hemolysis is concentration-, route-, and grade-dependent; screen cytotoxicity and osmolality</t>
        </is>
      </c>
      <c r="D782"/>
      <c r="E782"/>
      <c r="F782"/>
      <c r="G782"/>
      <c r="H782" t="inlineStr">
        <is>
          <t>S007_EXCIPIENTS_HANDBOOK</t>
        </is>
      </c>
      <c r="I782" t="inlineStr">
        <is>
          <t>curated</t>
        </is>
      </c>
      <c r="J782">
        <v>0.7</v>
      </c>
      <c r="K782"/>
    </row>
    <row r="783">
      <c r="A783" t="inlineStr">
        <is>
          <t>SURF_SPAN_20</t>
        </is>
      </c>
      <c r="B783" t="inlineStr">
        <is>
          <t>melting_point_C</t>
        </is>
      </c>
      <c r="C783">
        <v>28</v>
      </c>
      <c r="D783" t="inlineStr">
        <is>
          <t>°C</t>
        </is>
      </c>
      <c r="E783"/>
      <c r="F783"/>
      <c r="G783" t="inlineStr">
        <is>
          <t>melting/drop point range</t>
        </is>
      </c>
      <c r="H783" t="inlineStr">
        <is>
          <t>S011_CRODA_SPAN_TWEEN</t>
        </is>
      </c>
      <c r="I783" t="inlineStr">
        <is>
          <t>supplier-reported</t>
        </is>
      </c>
      <c r="J783">
        <v>0.6</v>
      </c>
      <c r="K783"/>
    </row>
    <row r="784">
      <c r="A784" t="inlineStr">
        <is>
          <t>SURF_SPAN_20</t>
        </is>
      </c>
      <c r="B784" t="inlineStr">
        <is>
          <t>Hansen_delta_D</t>
        </is>
      </c>
      <c r="C784">
        <v>17.3</v>
      </c>
      <c r="D784" t="inlineStr">
        <is>
          <t>MPa^0.5</t>
        </is>
      </c>
      <c r="E784"/>
      <c r="F784"/>
      <c r="G784" t="inlineStr">
        <is>
          <t>heuristic group-contribution/nearest-neighbour</t>
        </is>
      </c>
      <c r="H784" t="inlineStr">
        <is>
          <t>S013_EST_HSP_HEURISTIC</t>
        </is>
      </c>
      <c r="I784" t="inlineStr">
        <is>
          <t>estimated</t>
        </is>
      </c>
      <c r="J784">
        <v>0.4</v>
      </c>
      <c r="K784" t="inlineStr">
        <is>
          <t>Provisional HSP for screening; replace with experimental/literature value before model lock.</t>
        </is>
      </c>
    </row>
    <row r="785">
      <c r="A785" t="inlineStr">
        <is>
          <t>SURF_SPAN_20</t>
        </is>
      </c>
      <c r="B785" t="inlineStr">
        <is>
          <t>Hansen_delta_P</t>
        </is>
      </c>
      <c r="C785">
        <v>6.5</v>
      </c>
      <c r="D785" t="inlineStr">
        <is>
          <t>MPa^0.5</t>
        </is>
      </c>
      <c r="E785"/>
      <c r="F785"/>
      <c r="G785" t="inlineStr">
        <is>
          <t>heuristic group-contribution/nearest-neighbour</t>
        </is>
      </c>
      <c r="H785" t="inlineStr">
        <is>
          <t>S013_EST_HSP_HEURISTIC</t>
        </is>
      </c>
      <c r="I785" t="inlineStr">
        <is>
          <t>estimated</t>
        </is>
      </c>
      <c r="J785">
        <v>0.4</v>
      </c>
      <c r="K785" t="inlineStr">
        <is>
          <t>Provisional HSP for screening; replace with experimental/literature value before model lock.</t>
        </is>
      </c>
    </row>
    <row r="786">
      <c r="A786" t="inlineStr">
        <is>
          <t>SURF_SPAN_20</t>
        </is>
      </c>
      <c r="B786" t="inlineStr">
        <is>
          <t>Hansen_delta_H</t>
        </is>
      </c>
      <c r="C786">
        <v>10.5</v>
      </c>
      <c r="D786" t="inlineStr">
        <is>
          <t>MPa^0.5</t>
        </is>
      </c>
      <c r="E786"/>
      <c r="F786"/>
      <c r="G786" t="inlineStr">
        <is>
          <t>heuristic group-contribution/nearest-neighbour</t>
        </is>
      </c>
      <c r="H786" t="inlineStr">
        <is>
          <t>S013_EST_HSP_HEURISTIC</t>
        </is>
      </c>
      <c r="I786" t="inlineStr">
        <is>
          <t>estimated</t>
        </is>
      </c>
      <c r="J786">
        <v>0.4</v>
      </c>
      <c r="K786" t="inlineStr">
        <is>
          <t>Provisional HSP for screening; replace with experimental/literature value before model lock.</t>
        </is>
      </c>
    </row>
    <row r="787">
      <c r="A787" t="inlineStr">
        <is>
          <t>SURF_SPAN_20</t>
        </is>
      </c>
      <c r="B787" t="inlineStr">
        <is>
          <t>Hildebrand_delta_T</t>
        </is>
      </c>
      <c r="C787">
        <v>21.26</v>
      </c>
      <c r="D787" t="inlineStr">
        <is>
          <t>MPa^0.5</t>
        </is>
      </c>
      <c r="E787"/>
      <c r="F787"/>
      <c r="G787" t="inlineStr">
        <is>
          <t>sqrt(deltaD^2+deltaP^2+deltaH^2)</t>
        </is>
      </c>
      <c r="H787" t="inlineStr">
        <is>
          <t>S012_CALCULATED</t>
        </is>
      </c>
      <c r="I787" t="inlineStr">
        <is>
          <t>calculated</t>
        </is>
      </c>
      <c r="J787">
        <v>0.45</v>
      </c>
      <c r="K787" t="inlineStr">
        <is>
          <t>Derived from stored Hansen components.</t>
        </is>
      </c>
    </row>
    <row r="788">
      <c r="A788" t="inlineStr">
        <is>
          <t>SURF_SPAN_20</t>
        </is>
      </c>
      <c r="B788" t="inlineStr">
        <is>
          <t>HSP_radius_R0</t>
        </is>
      </c>
      <c r="C788">
        <v>8.0</v>
      </c>
      <c r="D788" t="inlineStr">
        <is>
          <t>MPa^0.5</t>
        </is>
      </c>
      <c r="E788"/>
      <c r="F788"/>
      <c r="G788" t="inlineStr">
        <is>
          <t>literature/heuristic solubility sphere</t>
        </is>
      </c>
      <c r="H788" t="inlineStr">
        <is>
          <t>S013_EST_HSP_HEURISTIC</t>
        </is>
      </c>
      <c r="I788" t="inlineStr">
        <is>
          <t>estimated</t>
        </is>
      </c>
      <c r="J788">
        <v>0.4</v>
      </c>
      <c r="K788" t="inlineStr">
        <is>
          <t>Screening radius only unless experimentally determined.</t>
        </is>
      </c>
    </row>
    <row r="789">
      <c r="A789" t="inlineStr">
        <is>
          <t>SURF_SPAN_20</t>
        </is>
      </c>
      <c r="B789" t="inlineStr">
        <is>
          <t>molar_volume_cm3_mol</t>
        </is>
      </c>
      <c r="C789">
        <v>353.53</v>
      </c>
      <c r="D789" t="inlineStr">
        <is>
          <t>cm3/mol</t>
        </is>
      </c>
      <c r="E789"/>
      <c r="F789"/>
      <c r="G789" t="inlineStr">
        <is>
          <t>MW/density estimate</t>
        </is>
      </c>
      <c r="H789" t="inlineStr">
        <is>
          <t>S012_CALCULATED</t>
        </is>
      </c>
      <c r="I789" t="inlineStr">
        <is>
          <t>estimated</t>
        </is>
      </c>
      <c r="J789">
        <v>0.42</v>
      </c>
      <c r="K789" t="inlineStr">
        <is>
          <t>Estimated from MW/density; replace with measured molar volume or density-specific grade data.</t>
        </is>
      </c>
    </row>
    <row r="790">
      <c r="A790" t="inlineStr">
        <is>
          <t>SURF_SPAN_20</t>
        </is>
      </c>
      <c r="B790" t="inlineStr">
        <is>
          <t>headgroup_area_nm2</t>
        </is>
      </c>
      <c r="C790">
        <v>0.505</v>
      </c>
      <c r="D790" t="inlineStr">
        <is>
          <t>nm2</t>
        </is>
      </c>
      <c r="E790"/>
      <c r="F790"/>
      <c r="G790" t="inlineStr">
        <is>
          <t>CPP screening heuristic</t>
        </is>
      </c>
      <c r="H790" t="inlineStr">
        <is>
          <t>S013_EST_HSP_HEURISTIC</t>
        </is>
      </c>
      <c r="I790" t="inlineStr">
        <is>
          <t>estimated</t>
        </is>
      </c>
      <c r="J790">
        <v>0.35</v>
      </c>
      <c r="K790" t="inlineStr">
        <is>
          <t>Replace with monolayer or MD-derived area per molecule for publication-grade CPP.</t>
        </is>
      </c>
    </row>
    <row r="791">
      <c r="A791" t="inlineStr">
        <is>
          <t>SURF_SPAN_40</t>
        </is>
      </c>
      <c r="B791" t="inlineStr">
        <is>
          <t>molecular_weight_g_mol</t>
        </is>
      </c>
      <c r="C791">
        <v>402.57</v>
      </c>
      <c r="D791" t="inlineStr">
        <is>
          <t>g/mol</t>
        </is>
      </c>
      <c r="E791"/>
      <c r="F791"/>
      <c r="G791" t="inlineStr">
        <is>
          <t>supplier/handbook average for mixtures</t>
        </is>
      </c>
      <c r="H791" t="inlineStr">
        <is>
          <t>S011_CRODA_SPAN_TWEEN</t>
        </is>
      </c>
      <c r="I791" t="inlineStr">
        <is>
          <t>supplier-reported</t>
        </is>
      </c>
      <c r="J791">
        <v>0.65</v>
      </c>
      <c r="K791"/>
    </row>
    <row r="792">
      <c r="A792" t="inlineStr">
        <is>
          <t>SURF_SPAN_40</t>
        </is>
      </c>
      <c r="B792" t="inlineStr">
        <is>
          <t>HLB</t>
        </is>
      </c>
      <c r="C792">
        <v>6.7</v>
      </c>
      <c r="D792" t="inlineStr">
        <is>
          <t>HLB</t>
        </is>
      </c>
      <c r="E792"/>
      <c r="F792"/>
      <c r="G792" t="inlineStr">
        <is>
          <t>Griffin/Davies HLB literature/supplier value</t>
        </is>
      </c>
      <c r="H792" t="inlineStr">
        <is>
          <t>S011_CRODA_SPAN_TWEEN</t>
        </is>
      </c>
      <c r="I792" t="inlineStr">
        <is>
          <t>supplier-reported</t>
        </is>
      </c>
      <c r="J792">
        <v>0.75</v>
      </c>
      <c r="K792" t="inlineStr">
        <is>
          <t>Grade-dependent; use supplier CoA when available.</t>
        </is>
      </c>
    </row>
    <row r="793">
      <c r="A793" t="inlineStr">
        <is>
          <t>SURF_SPAN_40</t>
        </is>
      </c>
      <c r="B793" t="inlineStr">
        <is>
          <t>headgroup_type</t>
        </is>
      </c>
      <c r="C793" t="inlineStr">
        <is>
          <t>sorbitan ester</t>
        </is>
      </c>
      <c r="D793"/>
      <c r="E793"/>
      <c r="F793"/>
      <c r="G793" t="inlineStr">
        <is>
          <t>manual class annotation</t>
        </is>
      </c>
      <c r="H793" t="inlineStr">
        <is>
          <t>S011_CRODA_SPAN_TWEEN</t>
        </is>
      </c>
      <c r="I793" t="inlineStr">
        <is>
          <t>curated</t>
        </is>
      </c>
      <c r="J793">
        <v>0.75</v>
      </c>
      <c r="K793"/>
    </row>
    <row r="794">
      <c r="A794" t="inlineStr">
        <is>
          <t>SURF_SPAN_40</t>
        </is>
      </c>
      <c r="B794" t="inlineStr">
        <is>
          <t>tail_chain</t>
        </is>
      </c>
      <c r="C794" t="inlineStr">
        <is>
          <t>C16:0 palmitate</t>
        </is>
      </c>
      <c r="D794"/>
      <c r="E794"/>
      <c r="F794"/>
      <c r="G794" t="inlineStr">
        <is>
          <t>fatty-chain annotation</t>
        </is>
      </c>
      <c r="H794" t="inlineStr">
        <is>
          <t>S011_CRODA_SPAN_TWEEN</t>
        </is>
      </c>
      <c r="I794" t="inlineStr">
        <is>
          <t>curated</t>
        </is>
      </c>
      <c r="J794">
        <v>0.8</v>
      </c>
      <c r="K794"/>
    </row>
    <row r="795">
      <c r="A795" t="inlineStr">
        <is>
          <t>SURF_SPAN_40</t>
        </is>
      </c>
      <c r="B795" t="inlineStr">
        <is>
          <t>tail_carbons</t>
        </is>
      </c>
      <c r="C795">
        <v>16</v>
      </c>
      <c r="D795" t="inlineStr">
        <is>
          <t>count</t>
        </is>
      </c>
      <c r="E795"/>
      <c r="F795"/>
      <c r="G795" t="inlineStr">
        <is>
          <t>fatty-chain annotation</t>
        </is>
      </c>
      <c r="H795" t="inlineStr">
        <is>
          <t>S011_CRODA_SPAN_TWEEN</t>
        </is>
      </c>
      <c r="I795" t="inlineStr">
        <is>
          <t>curated</t>
        </is>
      </c>
      <c r="J795">
        <v>0.8</v>
      </c>
      <c r="K795"/>
    </row>
    <row r="796">
      <c r="A796" t="inlineStr">
        <is>
          <t>SURF_SPAN_40</t>
        </is>
      </c>
      <c r="B796" t="inlineStr">
        <is>
          <t>tail_unsaturation</t>
        </is>
      </c>
      <c r="C796">
        <v>0</v>
      </c>
      <c r="D796" t="inlineStr">
        <is>
          <t>double_bonds</t>
        </is>
      </c>
      <c r="E796"/>
      <c r="F796"/>
      <c r="G796" t="inlineStr">
        <is>
          <t>fatty-chain annotation</t>
        </is>
      </c>
      <c r="H796" t="inlineStr">
        <is>
          <t>S011_CRODA_SPAN_TWEEN</t>
        </is>
      </c>
      <c r="I796" t="inlineStr">
        <is>
          <t>curated</t>
        </is>
      </c>
      <c r="J796">
        <v>0.8</v>
      </c>
      <c r="K796"/>
    </row>
    <row r="797">
      <c r="A797" t="inlineStr">
        <is>
          <t>SURF_SPAN_40</t>
        </is>
      </c>
      <c r="B797" t="inlineStr">
        <is>
          <t>number_of_tails</t>
        </is>
      </c>
      <c r="C797">
        <v>1</v>
      </c>
      <c r="D797" t="inlineStr">
        <is>
          <t>count</t>
        </is>
      </c>
      <c r="E797"/>
      <c r="F797"/>
      <c r="G797" t="inlineStr">
        <is>
          <t>fatty-chain annotation</t>
        </is>
      </c>
      <c r="H797" t="inlineStr">
        <is>
          <t>S011_CRODA_SPAN_TWEEN</t>
        </is>
      </c>
      <c r="I797" t="inlineStr">
        <is>
          <t>curated</t>
        </is>
      </c>
      <c r="J797">
        <v>0.8</v>
      </c>
      <c r="K797"/>
    </row>
    <row r="798">
      <c r="A798" t="inlineStr">
        <is>
          <t>SURF_SPAN_40</t>
        </is>
      </c>
      <c r="B798" t="inlineStr">
        <is>
          <t>charge_type</t>
        </is>
      </c>
      <c r="C798" t="inlineStr">
        <is>
          <t>nonionic</t>
        </is>
      </c>
      <c r="D798"/>
      <c r="E798"/>
      <c r="F798"/>
      <c r="G798" t="inlineStr">
        <is>
          <t>ionization class</t>
        </is>
      </c>
      <c r="H798" t="inlineStr">
        <is>
          <t>S011_CRODA_SPAN_TWEEN</t>
        </is>
      </c>
      <c r="I798" t="inlineStr">
        <is>
          <t>curated</t>
        </is>
      </c>
      <c r="J798">
        <v>0.85</v>
      </c>
      <c r="K798"/>
    </row>
    <row r="799">
      <c r="A799" t="inlineStr">
        <is>
          <t>SURF_SPAN_40</t>
        </is>
      </c>
      <c r="B799" t="inlineStr">
        <is>
          <t>formal_charge</t>
        </is>
      </c>
      <c r="C799">
        <v>0</v>
      </c>
      <c r="D799" t="inlineStr">
        <is>
          <t>e</t>
        </is>
      </c>
      <c r="E799"/>
      <c r="F799"/>
      <c r="G799" t="inlineStr">
        <is>
          <t>nominal at neutral pH</t>
        </is>
      </c>
      <c r="H799" t="inlineStr">
        <is>
          <t>S011_CRODA_SPAN_TWEEN</t>
        </is>
      </c>
      <c r="I799" t="inlineStr">
        <is>
          <t>curated</t>
        </is>
      </c>
      <c r="J799">
        <v>0.85</v>
      </c>
      <c r="K799"/>
    </row>
    <row r="800">
      <c r="A800" t="inlineStr">
        <is>
          <t>SURF_SPAN_40</t>
        </is>
      </c>
      <c r="B800" t="inlineStr">
        <is>
          <t>packing_role</t>
        </is>
      </c>
      <c r="C800" t="inlineStr">
        <is>
          <t>vesicle bilayer former</t>
        </is>
      </c>
      <c r="D800"/>
      <c r="E800"/>
      <c r="F800"/>
      <c r="G800" t="inlineStr">
        <is>
          <t>HLB/chain-rule heuristic</t>
        </is>
      </c>
      <c r="H800" t="inlineStr">
        <is>
          <t>S011_CRODA_SPAN_TWEEN</t>
        </is>
      </c>
      <c r="I800" t="inlineStr">
        <is>
          <t>curated</t>
        </is>
      </c>
      <c r="J800">
        <v>0.65</v>
      </c>
      <c r="K800"/>
    </row>
    <row r="801">
      <c r="A801" t="inlineStr">
        <is>
          <t>SURF_SPAN_40</t>
        </is>
      </c>
      <c r="B801" t="inlineStr">
        <is>
          <t>edge_activator_flag</t>
        </is>
      </c>
      <c r="C801" t="inlineStr">
        <is>
          <t>conditional</t>
        </is>
      </c>
      <c r="D801"/>
      <c r="E801"/>
      <c r="F801"/>
      <c r="G801" t="inlineStr">
        <is>
          <t>HLB/charge heuristic</t>
        </is>
      </c>
      <c r="H801" t="inlineStr">
        <is>
          <t>S011_CRODA_SPAN_TWEEN</t>
        </is>
      </c>
      <c r="I801" t="inlineStr">
        <is>
          <t>curated</t>
        </is>
      </c>
      <c r="J801">
        <v>0.7</v>
      </c>
      <c r="K801"/>
    </row>
    <row r="802">
      <c r="A802" t="inlineStr">
        <is>
          <t>SURF_SPAN_40</t>
        </is>
      </c>
      <c r="B802" t="inlineStr">
        <is>
          <t>vesicle_anchor_flag</t>
        </is>
      </c>
      <c r="C802" t="inlineStr">
        <is>
          <t>yes</t>
        </is>
      </c>
      <c r="D802"/>
      <c r="E802"/>
      <c r="F802"/>
      <c r="G802" t="inlineStr">
        <is>
          <t>chain-length and HLB heuristic</t>
        </is>
      </c>
      <c r="H802" t="inlineStr">
        <is>
          <t>S011_CRODA_SPAN_TWEEN</t>
        </is>
      </c>
      <c r="I802" t="inlineStr">
        <is>
          <t>curated</t>
        </is>
      </c>
      <c r="J802">
        <v>0.7</v>
      </c>
      <c r="K802"/>
    </row>
    <row r="803">
      <c r="A803" t="inlineStr">
        <is>
          <t>SURF_SPAN_40</t>
        </is>
      </c>
      <c r="B803" t="inlineStr">
        <is>
          <t>micellization_risk_flag</t>
        </is>
      </c>
      <c r="C803" t="inlineStr">
        <is>
          <t>low-to-moderate</t>
        </is>
      </c>
      <c r="D803"/>
      <c r="E803"/>
      <c r="F803"/>
      <c r="G803" t="inlineStr">
        <is>
          <t>HLB heuristic</t>
        </is>
      </c>
      <c r="H803" t="inlineStr">
        <is>
          <t>S011_CRODA_SPAN_TWEEN</t>
        </is>
      </c>
      <c r="I803" t="inlineStr">
        <is>
          <t>curated</t>
        </is>
      </c>
      <c r="J803">
        <v>0.65</v>
      </c>
      <c r="K803"/>
    </row>
    <row r="804">
      <c r="A804" t="inlineStr">
        <is>
          <t>SURF_SPAN_40</t>
        </is>
      </c>
      <c r="B804" t="inlineStr">
        <is>
          <t>route_suitability</t>
        </is>
      </c>
      <c r="C804" t="inlineStr">
        <is>
          <t>oral/topical; parenteral/inhalation only if grade and safety justified</t>
        </is>
      </c>
      <c r="D804"/>
      <c r="E804"/>
      <c r="F804"/>
      <c r="G804" t="inlineStr">
        <is>
          <t>route precedent heuristic</t>
        </is>
      </c>
      <c r="H804" t="inlineStr">
        <is>
          <t>S008_FDA_IID</t>
        </is>
      </c>
      <c r="I804" t="inlineStr">
        <is>
          <t>curated</t>
        </is>
      </c>
      <c r="J804">
        <v>0.55</v>
      </c>
      <c r="K804"/>
    </row>
    <row r="805">
      <c r="A805" t="inlineStr">
        <is>
          <t>SURF_SPAN_40</t>
        </is>
      </c>
      <c r="B805" t="inlineStr">
        <is>
          <t>toxicity_or_irritancy_notes</t>
        </is>
      </c>
      <c r="C805" t="inlineStr">
        <is>
          <t>surfactant irritation/hemolysis is concentration-, route-, and grade-dependent; screen cytotoxicity and osmolality</t>
        </is>
      </c>
      <c r="D805"/>
      <c r="E805"/>
      <c r="F805"/>
      <c r="G805"/>
      <c r="H805" t="inlineStr">
        <is>
          <t>S007_EXCIPIENTS_HANDBOOK</t>
        </is>
      </c>
      <c r="I805" t="inlineStr">
        <is>
          <t>curated</t>
        </is>
      </c>
      <c r="J805">
        <v>0.7</v>
      </c>
      <c r="K805"/>
    </row>
    <row r="806">
      <c r="A806" t="inlineStr">
        <is>
          <t>SURF_SPAN_40</t>
        </is>
      </c>
      <c r="B806" t="inlineStr">
        <is>
          <t>melting_point_C</t>
        </is>
      </c>
      <c r="C806">
        <v>46</v>
      </c>
      <c r="D806" t="inlineStr">
        <is>
          <t>°C</t>
        </is>
      </c>
      <c r="E806"/>
      <c r="F806"/>
      <c r="G806" t="inlineStr">
        <is>
          <t>melting/drop point range</t>
        </is>
      </c>
      <c r="H806" t="inlineStr">
        <is>
          <t>S011_CRODA_SPAN_TWEEN</t>
        </is>
      </c>
      <c r="I806" t="inlineStr">
        <is>
          <t>supplier-reported</t>
        </is>
      </c>
      <c r="J806">
        <v>0.6</v>
      </c>
      <c r="K806"/>
    </row>
    <row r="807">
      <c r="A807" t="inlineStr">
        <is>
          <t>SURF_SPAN_40</t>
        </is>
      </c>
      <c r="B807" t="inlineStr">
        <is>
          <t>Hansen_delta_D</t>
        </is>
      </c>
      <c r="C807">
        <v>17.0</v>
      </c>
      <c r="D807" t="inlineStr">
        <is>
          <t>MPa^0.5</t>
        </is>
      </c>
      <c r="E807"/>
      <c r="F807"/>
      <c r="G807" t="inlineStr">
        <is>
          <t>heuristic group-contribution/nearest-neighbour</t>
        </is>
      </c>
      <c r="H807" t="inlineStr">
        <is>
          <t>S013_EST_HSP_HEURISTIC</t>
        </is>
      </c>
      <c r="I807" t="inlineStr">
        <is>
          <t>estimated</t>
        </is>
      </c>
      <c r="J807">
        <v>0.4</v>
      </c>
      <c r="K807" t="inlineStr">
        <is>
          <t>Provisional HSP for screening; replace with experimental/literature value before model lock.</t>
        </is>
      </c>
    </row>
    <row r="808">
      <c r="A808" t="inlineStr">
        <is>
          <t>SURF_SPAN_40</t>
        </is>
      </c>
      <c r="B808" t="inlineStr">
        <is>
          <t>Hansen_delta_P</t>
        </is>
      </c>
      <c r="C808">
        <v>4.0</v>
      </c>
      <c r="D808" t="inlineStr">
        <is>
          <t>MPa^0.5</t>
        </is>
      </c>
      <c r="E808"/>
      <c r="F808"/>
      <c r="G808" t="inlineStr">
        <is>
          <t>heuristic group-contribution/nearest-neighbour</t>
        </is>
      </c>
      <c r="H808" t="inlineStr">
        <is>
          <t>S013_EST_HSP_HEURISTIC</t>
        </is>
      </c>
      <c r="I808" t="inlineStr">
        <is>
          <t>estimated</t>
        </is>
      </c>
      <c r="J808">
        <v>0.4</v>
      </c>
      <c r="K808" t="inlineStr">
        <is>
          <t>Provisional HSP for screening; replace with experimental/literature value before model lock.</t>
        </is>
      </c>
    </row>
    <row r="809">
      <c r="A809" t="inlineStr">
        <is>
          <t>SURF_SPAN_40</t>
        </is>
      </c>
      <c r="B809" t="inlineStr">
        <is>
          <t>Hansen_delta_H</t>
        </is>
      </c>
      <c r="C809">
        <v>7.0</v>
      </c>
      <c r="D809" t="inlineStr">
        <is>
          <t>MPa^0.5</t>
        </is>
      </c>
      <c r="E809"/>
      <c r="F809"/>
      <c r="G809" t="inlineStr">
        <is>
          <t>heuristic group-contribution/nearest-neighbour</t>
        </is>
      </c>
      <c r="H809" t="inlineStr">
        <is>
          <t>S013_EST_HSP_HEURISTIC</t>
        </is>
      </c>
      <c r="I809" t="inlineStr">
        <is>
          <t>estimated</t>
        </is>
      </c>
      <c r="J809">
        <v>0.4</v>
      </c>
      <c r="K809" t="inlineStr">
        <is>
          <t>Provisional HSP for screening; replace with experimental/literature value before model lock.</t>
        </is>
      </c>
    </row>
    <row r="810">
      <c r="A810" t="inlineStr">
        <is>
          <t>SURF_SPAN_40</t>
        </is>
      </c>
      <c r="B810" t="inlineStr">
        <is>
          <t>Hildebrand_delta_T</t>
        </is>
      </c>
      <c r="C810">
        <v>18.81</v>
      </c>
      <c r="D810" t="inlineStr">
        <is>
          <t>MPa^0.5</t>
        </is>
      </c>
      <c r="E810"/>
      <c r="F810"/>
      <c r="G810" t="inlineStr">
        <is>
          <t>sqrt(deltaD^2+deltaP^2+deltaH^2)</t>
        </is>
      </c>
      <c r="H810" t="inlineStr">
        <is>
          <t>S012_CALCULATED</t>
        </is>
      </c>
      <c r="I810" t="inlineStr">
        <is>
          <t>calculated</t>
        </is>
      </c>
      <c r="J810">
        <v>0.45</v>
      </c>
      <c r="K810" t="inlineStr">
        <is>
          <t>Derived from stored Hansen components.</t>
        </is>
      </c>
    </row>
    <row r="811">
      <c r="A811" t="inlineStr">
        <is>
          <t>SURF_SPAN_40</t>
        </is>
      </c>
      <c r="B811" t="inlineStr">
        <is>
          <t>HSP_radius_R0</t>
        </is>
      </c>
      <c r="C811">
        <v>7.0</v>
      </c>
      <c r="D811" t="inlineStr">
        <is>
          <t>MPa^0.5</t>
        </is>
      </c>
      <c r="E811"/>
      <c r="F811"/>
      <c r="G811" t="inlineStr">
        <is>
          <t>literature/heuristic solubility sphere</t>
        </is>
      </c>
      <c r="H811" t="inlineStr">
        <is>
          <t>S013_EST_HSP_HEURISTIC</t>
        </is>
      </c>
      <c r="I811" t="inlineStr">
        <is>
          <t>estimated</t>
        </is>
      </c>
      <c r="J811">
        <v>0.4</v>
      </c>
      <c r="K811" t="inlineStr">
        <is>
          <t>Screening radius only unless experimentally determined.</t>
        </is>
      </c>
    </row>
    <row r="812">
      <c r="A812" t="inlineStr">
        <is>
          <t>SURF_SPAN_40</t>
        </is>
      </c>
      <c r="B812" t="inlineStr">
        <is>
          <t>molar_volume_cm3_mol</t>
        </is>
      </c>
      <c r="C812">
        <v>410.79</v>
      </c>
      <c r="D812" t="inlineStr">
        <is>
          <t>cm3/mol</t>
        </is>
      </c>
      <c r="E812"/>
      <c r="F812"/>
      <c r="G812" t="inlineStr">
        <is>
          <t>MW/density estimate</t>
        </is>
      </c>
      <c r="H812" t="inlineStr">
        <is>
          <t>S012_CALCULATED</t>
        </is>
      </c>
      <c r="I812" t="inlineStr">
        <is>
          <t>estimated</t>
        </is>
      </c>
      <c r="J812">
        <v>0.42</v>
      </c>
      <c r="K812" t="inlineStr">
        <is>
          <t>Estimated from MW/density; replace with measured molar volume or density-specific grade data.</t>
        </is>
      </c>
    </row>
    <row r="813">
      <c r="A813" t="inlineStr">
        <is>
          <t>SURF_SPAN_40</t>
        </is>
      </c>
      <c r="B813" t="inlineStr">
        <is>
          <t>headgroup_area_nm2</t>
        </is>
      </c>
      <c r="C813">
        <v>0.471</v>
      </c>
      <c r="D813" t="inlineStr">
        <is>
          <t>nm2</t>
        </is>
      </c>
      <c r="E813"/>
      <c r="F813"/>
      <c r="G813" t="inlineStr">
        <is>
          <t>CPP screening heuristic</t>
        </is>
      </c>
      <c r="H813" t="inlineStr">
        <is>
          <t>S013_EST_HSP_HEURISTIC</t>
        </is>
      </c>
      <c r="I813" t="inlineStr">
        <is>
          <t>estimated</t>
        </is>
      </c>
      <c r="J813">
        <v>0.35</v>
      </c>
      <c r="K813" t="inlineStr">
        <is>
          <t>Replace with monolayer or MD-derived area per molecule for publication-grade CPP.</t>
        </is>
      </c>
    </row>
    <row r="814">
      <c r="A814" t="inlineStr">
        <is>
          <t>SURF_SPAN_60</t>
        </is>
      </c>
      <c r="B814" t="inlineStr">
        <is>
          <t>molecular_weight_g_mol</t>
        </is>
      </c>
      <c r="C814">
        <v>430.62</v>
      </c>
      <c r="D814" t="inlineStr">
        <is>
          <t>g/mol</t>
        </is>
      </c>
      <c r="E814"/>
      <c r="F814"/>
      <c r="G814" t="inlineStr">
        <is>
          <t>supplier/handbook average for mixtures</t>
        </is>
      </c>
      <c r="H814" t="inlineStr">
        <is>
          <t>S011_CRODA_SPAN_TWEEN</t>
        </is>
      </c>
      <c r="I814" t="inlineStr">
        <is>
          <t>supplier-reported</t>
        </is>
      </c>
      <c r="J814">
        <v>0.65</v>
      </c>
      <c r="K814"/>
    </row>
    <row r="815">
      <c r="A815" t="inlineStr">
        <is>
          <t>SURF_SPAN_60</t>
        </is>
      </c>
      <c r="B815" t="inlineStr">
        <is>
          <t>HLB</t>
        </is>
      </c>
      <c r="C815">
        <v>4.7</v>
      </c>
      <c r="D815" t="inlineStr">
        <is>
          <t>HLB</t>
        </is>
      </c>
      <c r="E815"/>
      <c r="F815"/>
      <c r="G815" t="inlineStr">
        <is>
          <t>Griffin/Davies HLB literature/supplier value</t>
        </is>
      </c>
      <c r="H815" t="inlineStr">
        <is>
          <t>S011_CRODA_SPAN_TWEEN</t>
        </is>
      </c>
      <c r="I815" t="inlineStr">
        <is>
          <t>supplier-reported</t>
        </is>
      </c>
      <c r="J815">
        <v>0.75</v>
      </c>
      <c r="K815" t="inlineStr">
        <is>
          <t>Grade-dependent; use supplier CoA when available.</t>
        </is>
      </c>
    </row>
    <row r="816">
      <c r="A816" t="inlineStr">
        <is>
          <t>SURF_SPAN_60</t>
        </is>
      </c>
      <c r="B816" t="inlineStr">
        <is>
          <t>headgroup_type</t>
        </is>
      </c>
      <c r="C816" t="inlineStr">
        <is>
          <t>sorbitan ester</t>
        </is>
      </c>
      <c r="D816"/>
      <c r="E816"/>
      <c r="F816"/>
      <c r="G816" t="inlineStr">
        <is>
          <t>manual class annotation</t>
        </is>
      </c>
      <c r="H816" t="inlineStr">
        <is>
          <t>S011_CRODA_SPAN_TWEEN</t>
        </is>
      </c>
      <c r="I816" t="inlineStr">
        <is>
          <t>curated</t>
        </is>
      </c>
      <c r="J816">
        <v>0.75</v>
      </c>
      <c r="K816"/>
    </row>
    <row r="817">
      <c r="A817" t="inlineStr">
        <is>
          <t>SURF_SPAN_60</t>
        </is>
      </c>
      <c r="B817" t="inlineStr">
        <is>
          <t>tail_chain</t>
        </is>
      </c>
      <c r="C817" t="inlineStr">
        <is>
          <t>C18:0 stearate</t>
        </is>
      </c>
      <c r="D817"/>
      <c r="E817"/>
      <c r="F817"/>
      <c r="G817" t="inlineStr">
        <is>
          <t>fatty-chain annotation</t>
        </is>
      </c>
      <c r="H817" t="inlineStr">
        <is>
          <t>S011_CRODA_SPAN_TWEEN</t>
        </is>
      </c>
      <c r="I817" t="inlineStr">
        <is>
          <t>curated</t>
        </is>
      </c>
      <c r="J817">
        <v>0.8</v>
      </c>
      <c r="K817"/>
    </row>
    <row r="818">
      <c r="A818" t="inlineStr">
        <is>
          <t>SURF_SPAN_60</t>
        </is>
      </c>
      <c r="B818" t="inlineStr">
        <is>
          <t>tail_carbons</t>
        </is>
      </c>
      <c r="C818">
        <v>18</v>
      </c>
      <c r="D818" t="inlineStr">
        <is>
          <t>count</t>
        </is>
      </c>
      <c r="E818"/>
      <c r="F818"/>
      <c r="G818" t="inlineStr">
        <is>
          <t>fatty-chain annotation</t>
        </is>
      </c>
      <c r="H818" t="inlineStr">
        <is>
          <t>S011_CRODA_SPAN_TWEEN</t>
        </is>
      </c>
      <c r="I818" t="inlineStr">
        <is>
          <t>curated</t>
        </is>
      </c>
      <c r="J818">
        <v>0.8</v>
      </c>
      <c r="K818"/>
    </row>
    <row r="819">
      <c r="A819" t="inlineStr">
        <is>
          <t>SURF_SPAN_60</t>
        </is>
      </c>
      <c r="B819" t="inlineStr">
        <is>
          <t>tail_unsaturation</t>
        </is>
      </c>
      <c r="C819">
        <v>0</v>
      </c>
      <c r="D819" t="inlineStr">
        <is>
          <t>double_bonds</t>
        </is>
      </c>
      <c r="E819"/>
      <c r="F819"/>
      <c r="G819" t="inlineStr">
        <is>
          <t>fatty-chain annotation</t>
        </is>
      </c>
      <c r="H819" t="inlineStr">
        <is>
          <t>S011_CRODA_SPAN_TWEEN</t>
        </is>
      </c>
      <c r="I819" t="inlineStr">
        <is>
          <t>curated</t>
        </is>
      </c>
      <c r="J819">
        <v>0.8</v>
      </c>
      <c r="K819"/>
    </row>
    <row r="820">
      <c r="A820" t="inlineStr">
        <is>
          <t>SURF_SPAN_60</t>
        </is>
      </c>
      <c r="B820" t="inlineStr">
        <is>
          <t>number_of_tails</t>
        </is>
      </c>
      <c r="C820">
        <v>1</v>
      </c>
      <c r="D820" t="inlineStr">
        <is>
          <t>count</t>
        </is>
      </c>
      <c r="E820"/>
      <c r="F820"/>
      <c r="G820" t="inlineStr">
        <is>
          <t>fatty-chain annotation</t>
        </is>
      </c>
      <c r="H820" t="inlineStr">
        <is>
          <t>S011_CRODA_SPAN_TWEEN</t>
        </is>
      </c>
      <c r="I820" t="inlineStr">
        <is>
          <t>curated</t>
        </is>
      </c>
      <c r="J820">
        <v>0.8</v>
      </c>
      <c r="K820"/>
    </row>
    <row r="821">
      <c r="A821" t="inlineStr">
        <is>
          <t>SURF_SPAN_60</t>
        </is>
      </c>
      <c r="B821" t="inlineStr">
        <is>
          <t>charge_type</t>
        </is>
      </c>
      <c r="C821" t="inlineStr">
        <is>
          <t>nonionic</t>
        </is>
      </c>
      <c r="D821"/>
      <c r="E821"/>
      <c r="F821"/>
      <c r="G821" t="inlineStr">
        <is>
          <t>ionization class</t>
        </is>
      </c>
      <c r="H821" t="inlineStr">
        <is>
          <t>S011_CRODA_SPAN_TWEEN</t>
        </is>
      </c>
      <c r="I821" t="inlineStr">
        <is>
          <t>curated</t>
        </is>
      </c>
      <c r="J821">
        <v>0.85</v>
      </c>
      <c r="K821"/>
    </row>
    <row r="822">
      <c r="A822" t="inlineStr">
        <is>
          <t>SURF_SPAN_60</t>
        </is>
      </c>
      <c r="B822" t="inlineStr">
        <is>
          <t>formal_charge</t>
        </is>
      </c>
      <c r="C822">
        <v>0</v>
      </c>
      <c r="D822" t="inlineStr">
        <is>
          <t>e</t>
        </is>
      </c>
      <c r="E822"/>
      <c r="F822"/>
      <c r="G822" t="inlineStr">
        <is>
          <t>nominal at neutral pH</t>
        </is>
      </c>
      <c r="H822" t="inlineStr">
        <is>
          <t>S011_CRODA_SPAN_TWEEN</t>
        </is>
      </c>
      <c r="I822" t="inlineStr">
        <is>
          <t>curated</t>
        </is>
      </c>
      <c r="J822">
        <v>0.85</v>
      </c>
      <c r="K822"/>
    </row>
    <row r="823">
      <c r="A823" t="inlineStr">
        <is>
          <t>SURF_SPAN_60</t>
        </is>
      </c>
      <c r="B823" t="inlineStr">
        <is>
          <t>packing_role</t>
        </is>
      </c>
      <c r="C823" t="inlineStr">
        <is>
          <t>vesicle bilayer former</t>
        </is>
      </c>
      <c r="D823"/>
      <c r="E823"/>
      <c r="F823"/>
      <c r="G823" t="inlineStr">
        <is>
          <t>HLB/chain-rule heuristic</t>
        </is>
      </c>
      <c r="H823" t="inlineStr">
        <is>
          <t>S011_CRODA_SPAN_TWEEN</t>
        </is>
      </c>
      <c r="I823" t="inlineStr">
        <is>
          <t>curated</t>
        </is>
      </c>
      <c r="J823">
        <v>0.65</v>
      </c>
      <c r="K823"/>
    </row>
    <row r="824">
      <c r="A824" t="inlineStr">
        <is>
          <t>SURF_SPAN_60</t>
        </is>
      </c>
      <c r="B824" t="inlineStr">
        <is>
          <t>edge_activator_flag</t>
        </is>
      </c>
      <c r="C824" t="inlineStr">
        <is>
          <t>conditional</t>
        </is>
      </c>
      <c r="D824"/>
      <c r="E824"/>
      <c r="F824"/>
      <c r="G824" t="inlineStr">
        <is>
          <t>HLB/charge heuristic</t>
        </is>
      </c>
      <c r="H824" t="inlineStr">
        <is>
          <t>S011_CRODA_SPAN_TWEEN</t>
        </is>
      </c>
      <c r="I824" t="inlineStr">
        <is>
          <t>curated</t>
        </is>
      </c>
      <c r="J824">
        <v>0.7</v>
      </c>
      <c r="K824"/>
    </row>
    <row r="825">
      <c r="A825" t="inlineStr">
        <is>
          <t>SURF_SPAN_60</t>
        </is>
      </c>
      <c r="B825" t="inlineStr">
        <is>
          <t>vesicle_anchor_flag</t>
        </is>
      </c>
      <c r="C825" t="inlineStr">
        <is>
          <t>yes</t>
        </is>
      </c>
      <c r="D825"/>
      <c r="E825"/>
      <c r="F825"/>
      <c r="G825" t="inlineStr">
        <is>
          <t>chain-length and HLB heuristic</t>
        </is>
      </c>
      <c r="H825" t="inlineStr">
        <is>
          <t>S011_CRODA_SPAN_TWEEN</t>
        </is>
      </c>
      <c r="I825" t="inlineStr">
        <is>
          <t>curated</t>
        </is>
      </c>
      <c r="J825">
        <v>0.7</v>
      </c>
      <c r="K825"/>
    </row>
    <row r="826">
      <c r="A826" t="inlineStr">
        <is>
          <t>SURF_SPAN_60</t>
        </is>
      </c>
      <c r="B826" t="inlineStr">
        <is>
          <t>micellization_risk_flag</t>
        </is>
      </c>
      <c r="C826" t="inlineStr">
        <is>
          <t>low-to-moderate</t>
        </is>
      </c>
      <c r="D826"/>
      <c r="E826"/>
      <c r="F826"/>
      <c r="G826" t="inlineStr">
        <is>
          <t>HLB heuristic</t>
        </is>
      </c>
      <c r="H826" t="inlineStr">
        <is>
          <t>S011_CRODA_SPAN_TWEEN</t>
        </is>
      </c>
      <c r="I826" t="inlineStr">
        <is>
          <t>curated</t>
        </is>
      </c>
      <c r="J826">
        <v>0.65</v>
      </c>
      <c r="K826"/>
    </row>
    <row r="827">
      <c r="A827" t="inlineStr">
        <is>
          <t>SURF_SPAN_60</t>
        </is>
      </c>
      <c r="B827" t="inlineStr">
        <is>
          <t>route_suitability</t>
        </is>
      </c>
      <c r="C827" t="inlineStr">
        <is>
          <t>oral/topical; parenteral/inhalation only if grade and safety justified</t>
        </is>
      </c>
      <c r="D827"/>
      <c r="E827"/>
      <c r="F827"/>
      <c r="G827" t="inlineStr">
        <is>
          <t>route precedent heuristic</t>
        </is>
      </c>
      <c r="H827" t="inlineStr">
        <is>
          <t>S008_FDA_IID</t>
        </is>
      </c>
      <c r="I827" t="inlineStr">
        <is>
          <t>curated</t>
        </is>
      </c>
      <c r="J827">
        <v>0.55</v>
      </c>
      <c r="K827"/>
    </row>
    <row r="828">
      <c r="A828" t="inlineStr">
        <is>
          <t>SURF_SPAN_60</t>
        </is>
      </c>
      <c r="B828" t="inlineStr">
        <is>
          <t>toxicity_or_irritancy_notes</t>
        </is>
      </c>
      <c r="C828" t="inlineStr">
        <is>
          <t>surfactant irritation/hemolysis is concentration-, route-, and grade-dependent; screen cytotoxicity and osmolality</t>
        </is>
      </c>
      <c r="D828"/>
      <c r="E828"/>
      <c r="F828"/>
      <c r="G828"/>
      <c r="H828" t="inlineStr">
        <is>
          <t>S007_EXCIPIENTS_HANDBOOK</t>
        </is>
      </c>
      <c r="I828" t="inlineStr">
        <is>
          <t>curated</t>
        </is>
      </c>
      <c r="J828">
        <v>0.7</v>
      </c>
      <c r="K828"/>
    </row>
    <row r="829">
      <c r="A829" t="inlineStr">
        <is>
          <t>SURF_SPAN_60</t>
        </is>
      </c>
      <c r="B829" t="inlineStr">
        <is>
          <t>melting_point_C</t>
        </is>
      </c>
      <c r="C829">
        <v>54</v>
      </c>
      <c r="D829" t="inlineStr">
        <is>
          <t>°C</t>
        </is>
      </c>
      <c r="E829"/>
      <c r="F829"/>
      <c r="G829" t="inlineStr">
        <is>
          <t>melting/drop point range</t>
        </is>
      </c>
      <c r="H829" t="inlineStr">
        <is>
          <t>S011_CRODA_SPAN_TWEEN</t>
        </is>
      </c>
      <c r="I829" t="inlineStr">
        <is>
          <t>supplier-reported</t>
        </is>
      </c>
      <c r="J829">
        <v>0.6</v>
      </c>
      <c r="K829"/>
    </row>
    <row r="830">
      <c r="A830" t="inlineStr">
        <is>
          <t>SURF_SPAN_60</t>
        </is>
      </c>
      <c r="B830" t="inlineStr">
        <is>
          <t>Hansen_delta_D</t>
        </is>
      </c>
      <c r="C830">
        <v>17.0</v>
      </c>
      <c r="D830" t="inlineStr">
        <is>
          <t>MPa^0.5</t>
        </is>
      </c>
      <c r="E830"/>
      <c r="F830"/>
      <c r="G830" t="inlineStr">
        <is>
          <t>heuristic group-contribution/nearest-neighbour</t>
        </is>
      </c>
      <c r="H830" t="inlineStr">
        <is>
          <t>S013_EST_HSP_HEURISTIC</t>
        </is>
      </c>
      <c r="I830" t="inlineStr">
        <is>
          <t>estimated</t>
        </is>
      </c>
      <c r="J830">
        <v>0.4</v>
      </c>
      <c r="K830" t="inlineStr">
        <is>
          <t>Provisional HSP for screening; replace with experimental/literature value before model lock.</t>
        </is>
      </c>
    </row>
    <row r="831">
      <c r="A831" t="inlineStr">
        <is>
          <t>SURF_SPAN_60</t>
        </is>
      </c>
      <c r="B831" t="inlineStr">
        <is>
          <t>Hansen_delta_P</t>
        </is>
      </c>
      <c r="C831">
        <v>4.0</v>
      </c>
      <c r="D831" t="inlineStr">
        <is>
          <t>MPa^0.5</t>
        </is>
      </c>
      <c r="E831"/>
      <c r="F831"/>
      <c r="G831" t="inlineStr">
        <is>
          <t>heuristic group-contribution/nearest-neighbour</t>
        </is>
      </c>
      <c r="H831" t="inlineStr">
        <is>
          <t>S013_EST_HSP_HEURISTIC</t>
        </is>
      </c>
      <c r="I831" t="inlineStr">
        <is>
          <t>estimated</t>
        </is>
      </c>
      <c r="J831">
        <v>0.4</v>
      </c>
      <c r="K831" t="inlineStr">
        <is>
          <t>Provisional HSP for screening; replace with experimental/literature value before model lock.</t>
        </is>
      </c>
    </row>
    <row r="832">
      <c r="A832" t="inlineStr">
        <is>
          <t>SURF_SPAN_60</t>
        </is>
      </c>
      <c r="B832" t="inlineStr">
        <is>
          <t>Hansen_delta_H</t>
        </is>
      </c>
      <c r="C832">
        <v>7.0</v>
      </c>
      <c r="D832" t="inlineStr">
        <is>
          <t>MPa^0.5</t>
        </is>
      </c>
      <c r="E832"/>
      <c r="F832"/>
      <c r="G832" t="inlineStr">
        <is>
          <t>heuristic group-contribution/nearest-neighbour</t>
        </is>
      </c>
      <c r="H832" t="inlineStr">
        <is>
          <t>S013_EST_HSP_HEURISTIC</t>
        </is>
      </c>
      <c r="I832" t="inlineStr">
        <is>
          <t>estimated</t>
        </is>
      </c>
      <c r="J832">
        <v>0.4</v>
      </c>
      <c r="K832" t="inlineStr">
        <is>
          <t>Provisional HSP for screening; replace with experimental/literature value before model lock.</t>
        </is>
      </c>
    </row>
    <row r="833">
      <c r="A833" t="inlineStr">
        <is>
          <t>SURF_SPAN_60</t>
        </is>
      </c>
      <c r="B833" t="inlineStr">
        <is>
          <t>Hildebrand_delta_T</t>
        </is>
      </c>
      <c r="C833">
        <v>18.81</v>
      </c>
      <c r="D833" t="inlineStr">
        <is>
          <t>MPa^0.5</t>
        </is>
      </c>
      <c r="E833"/>
      <c r="F833"/>
      <c r="G833" t="inlineStr">
        <is>
          <t>sqrt(deltaD^2+deltaP^2+deltaH^2)</t>
        </is>
      </c>
      <c r="H833" t="inlineStr">
        <is>
          <t>S012_CALCULATED</t>
        </is>
      </c>
      <c r="I833" t="inlineStr">
        <is>
          <t>calculated</t>
        </is>
      </c>
      <c r="J833">
        <v>0.45</v>
      </c>
      <c r="K833" t="inlineStr">
        <is>
          <t>Derived from stored Hansen components.</t>
        </is>
      </c>
    </row>
    <row r="834">
      <c r="A834" t="inlineStr">
        <is>
          <t>SURF_SPAN_60</t>
        </is>
      </c>
      <c r="B834" t="inlineStr">
        <is>
          <t>HSP_radius_R0</t>
        </is>
      </c>
      <c r="C834">
        <v>7.0</v>
      </c>
      <c r="D834" t="inlineStr">
        <is>
          <t>MPa^0.5</t>
        </is>
      </c>
      <c r="E834"/>
      <c r="F834"/>
      <c r="G834" t="inlineStr">
        <is>
          <t>literature/heuristic solubility sphere</t>
        </is>
      </c>
      <c r="H834" t="inlineStr">
        <is>
          <t>S013_EST_HSP_HEURISTIC</t>
        </is>
      </c>
      <c r="I834" t="inlineStr">
        <is>
          <t>estimated</t>
        </is>
      </c>
      <c r="J834">
        <v>0.4</v>
      </c>
      <c r="K834" t="inlineStr">
        <is>
          <t>Screening radius only unless experimentally determined.</t>
        </is>
      </c>
    </row>
    <row r="835">
      <c r="A835" t="inlineStr">
        <is>
          <t>SURF_SPAN_60</t>
        </is>
      </c>
      <c r="B835" t="inlineStr">
        <is>
          <t>molar_volume_cm3_mol</t>
        </is>
      </c>
      <c r="C835">
        <v>439.41</v>
      </c>
      <c r="D835" t="inlineStr">
        <is>
          <t>cm3/mol</t>
        </is>
      </c>
      <c r="E835"/>
      <c r="F835"/>
      <c r="G835" t="inlineStr">
        <is>
          <t>MW/density estimate</t>
        </is>
      </c>
      <c r="H835" t="inlineStr">
        <is>
          <t>S012_CALCULATED</t>
        </is>
      </c>
      <c r="I835" t="inlineStr">
        <is>
          <t>estimated</t>
        </is>
      </c>
      <c r="J835">
        <v>0.42</v>
      </c>
      <c r="K835" t="inlineStr">
        <is>
          <t>Estimated from MW/density; replace with measured molar volume or density-specific grade data.</t>
        </is>
      </c>
    </row>
    <row r="836">
      <c r="A836" t="inlineStr">
        <is>
          <t>SURF_SPAN_60</t>
        </is>
      </c>
      <c r="B836" t="inlineStr">
        <is>
          <t>headgroup_area_nm2</t>
        </is>
      </c>
      <c r="C836">
        <v>0.435</v>
      </c>
      <c r="D836" t="inlineStr">
        <is>
          <t>nm2</t>
        </is>
      </c>
      <c r="E836"/>
      <c r="F836"/>
      <c r="G836" t="inlineStr">
        <is>
          <t>CPP screening heuristic</t>
        </is>
      </c>
      <c r="H836" t="inlineStr">
        <is>
          <t>S013_EST_HSP_HEURISTIC</t>
        </is>
      </c>
      <c r="I836" t="inlineStr">
        <is>
          <t>estimated</t>
        </is>
      </c>
      <c r="J836">
        <v>0.35</v>
      </c>
      <c r="K836" t="inlineStr">
        <is>
          <t>Replace with monolayer or MD-derived area per molecule for publication-grade CPP.</t>
        </is>
      </c>
    </row>
    <row r="837">
      <c r="A837" t="inlineStr">
        <is>
          <t>SURF_SPAN_65</t>
        </is>
      </c>
      <c r="B837" t="inlineStr">
        <is>
          <t>molecular_weight_g_mol</t>
        </is>
      </c>
      <c r="C837">
        <v>963.54</v>
      </c>
      <c r="D837" t="inlineStr">
        <is>
          <t>g/mol</t>
        </is>
      </c>
      <c r="E837"/>
      <c r="F837"/>
      <c r="G837" t="inlineStr">
        <is>
          <t>supplier/handbook average for mixtures</t>
        </is>
      </c>
      <c r="H837" t="inlineStr">
        <is>
          <t>S011_CRODA_SPAN_TWEEN</t>
        </is>
      </c>
      <c r="I837" t="inlineStr">
        <is>
          <t>supplier-reported</t>
        </is>
      </c>
      <c r="J837">
        <v>0.65</v>
      </c>
      <c r="K837"/>
    </row>
    <row r="838">
      <c r="A838" t="inlineStr">
        <is>
          <t>SURF_SPAN_65</t>
        </is>
      </c>
      <c r="B838" t="inlineStr">
        <is>
          <t>HLB</t>
        </is>
      </c>
      <c r="C838">
        <v>2.1</v>
      </c>
      <c r="D838" t="inlineStr">
        <is>
          <t>HLB</t>
        </is>
      </c>
      <c r="E838"/>
      <c r="F838"/>
      <c r="G838" t="inlineStr">
        <is>
          <t>Griffin/Davies HLB literature/supplier value</t>
        </is>
      </c>
      <c r="H838" t="inlineStr">
        <is>
          <t>S011_CRODA_SPAN_TWEEN</t>
        </is>
      </c>
      <c r="I838" t="inlineStr">
        <is>
          <t>supplier-reported</t>
        </is>
      </c>
      <c r="J838">
        <v>0.75</v>
      </c>
      <c r="K838" t="inlineStr">
        <is>
          <t>Grade-dependent; use supplier CoA when available.</t>
        </is>
      </c>
    </row>
    <row r="839">
      <c r="A839" t="inlineStr">
        <is>
          <t>SURF_SPAN_65</t>
        </is>
      </c>
      <c r="B839" t="inlineStr">
        <is>
          <t>headgroup_type</t>
        </is>
      </c>
      <c r="C839" t="inlineStr">
        <is>
          <t>sorbitan triester</t>
        </is>
      </c>
      <c r="D839"/>
      <c r="E839"/>
      <c r="F839"/>
      <c r="G839" t="inlineStr">
        <is>
          <t>manual class annotation</t>
        </is>
      </c>
      <c r="H839" t="inlineStr">
        <is>
          <t>S011_CRODA_SPAN_TWEEN</t>
        </is>
      </c>
      <c r="I839" t="inlineStr">
        <is>
          <t>curated</t>
        </is>
      </c>
      <c r="J839">
        <v>0.75</v>
      </c>
      <c r="K839"/>
    </row>
    <row r="840">
      <c r="A840" t="inlineStr">
        <is>
          <t>SURF_SPAN_65</t>
        </is>
      </c>
      <c r="B840" t="inlineStr">
        <is>
          <t>tail_chain</t>
        </is>
      </c>
      <c r="C840" t="inlineStr">
        <is>
          <t>tri-C18:0 stearate</t>
        </is>
      </c>
      <c r="D840"/>
      <c r="E840"/>
      <c r="F840"/>
      <c r="G840" t="inlineStr">
        <is>
          <t>fatty-chain annotation</t>
        </is>
      </c>
      <c r="H840" t="inlineStr">
        <is>
          <t>S011_CRODA_SPAN_TWEEN</t>
        </is>
      </c>
      <c r="I840" t="inlineStr">
        <is>
          <t>curated</t>
        </is>
      </c>
      <c r="J840">
        <v>0.8</v>
      </c>
      <c r="K840"/>
    </row>
    <row r="841">
      <c r="A841" t="inlineStr">
        <is>
          <t>SURF_SPAN_65</t>
        </is>
      </c>
      <c r="B841" t="inlineStr">
        <is>
          <t>tail_carbons</t>
        </is>
      </c>
      <c r="C841">
        <v>18</v>
      </c>
      <c r="D841" t="inlineStr">
        <is>
          <t>count</t>
        </is>
      </c>
      <c r="E841"/>
      <c r="F841"/>
      <c r="G841" t="inlineStr">
        <is>
          <t>fatty-chain annotation</t>
        </is>
      </c>
      <c r="H841" t="inlineStr">
        <is>
          <t>S011_CRODA_SPAN_TWEEN</t>
        </is>
      </c>
      <c r="I841" t="inlineStr">
        <is>
          <t>curated</t>
        </is>
      </c>
      <c r="J841">
        <v>0.8</v>
      </c>
      <c r="K841"/>
    </row>
    <row r="842">
      <c r="A842" t="inlineStr">
        <is>
          <t>SURF_SPAN_65</t>
        </is>
      </c>
      <c r="B842" t="inlineStr">
        <is>
          <t>tail_unsaturation</t>
        </is>
      </c>
      <c r="C842">
        <v>0</v>
      </c>
      <c r="D842" t="inlineStr">
        <is>
          <t>double_bonds</t>
        </is>
      </c>
      <c r="E842"/>
      <c r="F842"/>
      <c r="G842" t="inlineStr">
        <is>
          <t>fatty-chain annotation</t>
        </is>
      </c>
      <c r="H842" t="inlineStr">
        <is>
          <t>S011_CRODA_SPAN_TWEEN</t>
        </is>
      </c>
      <c r="I842" t="inlineStr">
        <is>
          <t>curated</t>
        </is>
      </c>
      <c r="J842">
        <v>0.8</v>
      </c>
      <c r="K842"/>
    </row>
    <row r="843">
      <c r="A843" t="inlineStr">
        <is>
          <t>SURF_SPAN_65</t>
        </is>
      </c>
      <c r="B843" t="inlineStr">
        <is>
          <t>number_of_tails</t>
        </is>
      </c>
      <c r="C843">
        <v>3</v>
      </c>
      <c r="D843" t="inlineStr">
        <is>
          <t>count</t>
        </is>
      </c>
      <c r="E843"/>
      <c r="F843"/>
      <c r="G843" t="inlineStr">
        <is>
          <t>fatty-chain annotation</t>
        </is>
      </c>
      <c r="H843" t="inlineStr">
        <is>
          <t>S011_CRODA_SPAN_TWEEN</t>
        </is>
      </c>
      <c r="I843" t="inlineStr">
        <is>
          <t>curated</t>
        </is>
      </c>
      <c r="J843">
        <v>0.8</v>
      </c>
      <c r="K843"/>
    </row>
    <row r="844">
      <c r="A844" t="inlineStr">
        <is>
          <t>SURF_SPAN_65</t>
        </is>
      </c>
      <c r="B844" t="inlineStr">
        <is>
          <t>charge_type</t>
        </is>
      </c>
      <c r="C844" t="inlineStr">
        <is>
          <t>nonionic</t>
        </is>
      </c>
      <c r="D844"/>
      <c r="E844"/>
      <c r="F844"/>
      <c r="G844" t="inlineStr">
        <is>
          <t>ionization class</t>
        </is>
      </c>
      <c r="H844" t="inlineStr">
        <is>
          <t>S011_CRODA_SPAN_TWEEN</t>
        </is>
      </c>
      <c r="I844" t="inlineStr">
        <is>
          <t>curated</t>
        </is>
      </c>
      <c r="J844">
        <v>0.85</v>
      </c>
      <c r="K844"/>
    </row>
    <row r="845">
      <c r="A845" t="inlineStr">
        <is>
          <t>SURF_SPAN_65</t>
        </is>
      </c>
      <c r="B845" t="inlineStr">
        <is>
          <t>formal_charge</t>
        </is>
      </c>
      <c r="C845">
        <v>0</v>
      </c>
      <c r="D845" t="inlineStr">
        <is>
          <t>e</t>
        </is>
      </c>
      <c r="E845"/>
      <c r="F845"/>
      <c r="G845" t="inlineStr">
        <is>
          <t>nominal at neutral pH</t>
        </is>
      </c>
      <c r="H845" t="inlineStr">
        <is>
          <t>S011_CRODA_SPAN_TWEEN</t>
        </is>
      </c>
      <c r="I845" t="inlineStr">
        <is>
          <t>curated</t>
        </is>
      </c>
      <c r="J845">
        <v>0.85</v>
      </c>
      <c r="K845"/>
    </row>
    <row r="846">
      <c r="A846" t="inlineStr">
        <is>
          <t>SURF_SPAN_65</t>
        </is>
      </c>
      <c r="B846" t="inlineStr">
        <is>
          <t>packing_role</t>
        </is>
      </c>
      <c r="C846" t="inlineStr">
        <is>
          <t>vesicle bilayer former</t>
        </is>
      </c>
      <c r="D846"/>
      <c r="E846"/>
      <c r="F846"/>
      <c r="G846" t="inlineStr">
        <is>
          <t>HLB/chain-rule heuristic</t>
        </is>
      </c>
      <c r="H846" t="inlineStr">
        <is>
          <t>S011_CRODA_SPAN_TWEEN</t>
        </is>
      </c>
      <c r="I846" t="inlineStr">
        <is>
          <t>curated</t>
        </is>
      </c>
      <c r="J846">
        <v>0.65</v>
      </c>
      <c r="K846"/>
    </row>
    <row r="847">
      <c r="A847" t="inlineStr">
        <is>
          <t>SURF_SPAN_65</t>
        </is>
      </c>
      <c r="B847" t="inlineStr">
        <is>
          <t>edge_activator_flag</t>
        </is>
      </c>
      <c r="C847" t="inlineStr">
        <is>
          <t>conditional</t>
        </is>
      </c>
      <c r="D847"/>
      <c r="E847"/>
      <c r="F847"/>
      <c r="G847" t="inlineStr">
        <is>
          <t>HLB/charge heuristic</t>
        </is>
      </c>
      <c r="H847" t="inlineStr">
        <is>
          <t>S011_CRODA_SPAN_TWEEN</t>
        </is>
      </c>
      <c r="I847" t="inlineStr">
        <is>
          <t>curated</t>
        </is>
      </c>
      <c r="J847">
        <v>0.7</v>
      </c>
      <c r="K847"/>
    </row>
    <row r="848">
      <c r="A848" t="inlineStr">
        <is>
          <t>SURF_SPAN_65</t>
        </is>
      </c>
      <c r="B848" t="inlineStr">
        <is>
          <t>vesicle_anchor_flag</t>
        </is>
      </c>
      <c r="C848" t="inlineStr">
        <is>
          <t>yes</t>
        </is>
      </c>
      <c r="D848"/>
      <c r="E848"/>
      <c r="F848"/>
      <c r="G848" t="inlineStr">
        <is>
          <t>chain-length and HLB heuristic</t>
        </is>
      </c>
      <c r="H848" t="inlineStr">
        <is>
          <t>S011_CRODA_SPAN_TWEEN</t>
        </is>
      </c>
      <c r="I848" t="inlineStr">
        <is>
          <t>curated</t>
        </is>
      </c>
      <c r="J848">
        <v>0.7</v>
      </c>
      <c r="K848"/>
    </row>
    <row r="849">
      <c r="A849" t="inlineStr">
        <is>
          <t>SURF_SPAN_65</t>
        </is>
      </c>
      <c r="B849" t="inlineStr">
        <is>
          <t>micellization_risk_flag</t>
        </is>
      </c>
      <c r="C849" t="inlineStr">
        <is>
          <t>low-to-moderate</t>
        </is>
      </c>
      <c r="D849"/>
      <c r="E849"/>
      <c r="F849"/>
      <c r="G849" t="inlineStr">
        <is>
          <t>HLB heuristic</t>
        </is>
      </c>
      <c r="H849" t="inlineStr">
        <is>
          <t>S011_CRODA_SPAN_TWEEN</t>
        </is>
      </c>
      <c r="I849" t="inlineStr">
        <is>
          <t>curated</t>
        </is>
      </c>
      <c r="J849">
        <v>0.65</v>
      </c>
      <c r="K849"/>
    </row>
    <row r="850">
      <c r="A850" t="inlineStr">
        <is>
          <t>SURF_SPAN_65</t>
        </is>
      </c>
      <c r="B850" t="inlineStr">
        <is>
          <t>route_suitability</t>
        </is>
      </c>
      <c r="C850" t="inlineStr">
        <is>
          <t>oral/topical; parenteral/inhalation only if grade and safety justified</t>
        </is>
      </c>
      <c r="D850"/>
      <c r="E850"/>
      <c r="F850"/>
      <c r="G850" t="inlineStr">
        <is>
          <t>route precedent heuristic</t>
        </is>
      </c>
      <c r="H850" t="inlineStr">
        <is>
          <t>S008_FDA_IID</t>
        </is>
      </c>
      <c r="I850" t="inlineStr">
        <is>
          <t>curated</t>
        </is>
      </c>
      <c r="J850">
        <v>0.55</v>
      </c>
      <c r="K850"/>
    </row>
    <row r="851">
      <c r="A851" t="inlineStr">
        <is>
          <t>SURF_SPAN_65</t>
        </is>
      </c>
      <c r="B851" t="inlineStr">
        <is>
          <t>toxicity_or_irritancy_notes</t>
        </is>
      </c>
      <c r="C851" t="inlineStr">
        <is>
          <t>surfactant irritation/hemolysis is concentration-, route-, and grade-dependent; screen cytotoxicity and osmolality</t>
        </is>
      </c>
      <c r="D851"/>
      <c r="E851"/>
      <c r="F851"/>
      <c r="G851"/>
      <c r="H851" t="inlineStr">
        <is>
          <t>S007_EXCIPIENTS_HANDBOOK</t>
        </is>
      </c>
      <c r="I851" t="inlineStr">
        <is>
          <t>curated</t>
        </is>
      </c>
      <c r="J851">
        <v>0.7</v>
      </c>
      <c r="K851"/>
    </row>
    <row r="852">
      <c r="A852" t="inlineStr">
        <is>
          <t>SURF_SPAN_65</t>
        </is>
      </c>
      <c r="B852" t="inlineStr">
        <is>
          <t>melting_point_C</t>
        </is>
      </c>
      <c r="C852">
        <v>55</v>
      </c>
      <c r="D852" t="inlineStr">
        <is>
          <t>°C</t>
        </is>
      </c>
      <c r="E852"/>
      <c r="F852"/>
      <c r="G852" t="inlineStr">
        <is>
          <t>melting/drop point range</t>
        </is>
      </c>
      <c r="H852" t="inlineStr">
        <is>
          <t>S011_CRODA_SPAN_TWEEN</t>
        </is>
      </c>
      <c r="I852" t="inlineStr">
        <is>
          <t>supplier-reported</t>
        </is>
      </c>
      <c r="J852">
        <v>0.6</v>
      </c>
      <c r="K852"/>
    </row>
    <row r="853">
      <c r="A853" t="inlineStr">
        <is>
          <t>SURF_SPAN_65</t>
        </is>
      </c>
      <c r="B853" t="inlineStr">
        <is>
          <t>Hansen_delta_D</t>
        </is>
      </c>
      <c r="C853">
        <v>17.0</v>
      </c>
      <c r="D853" t="inlineStr">
        <is>
          <t>MPa^0.5</t>
        </is>
      </c>
      <c r="E853"/>
      <c r="F853"/>
      <c r="G853" t="inlineStr">
        <is>
          <t>heuristic group-contribution/nearest-neighbour</t>
        </is>
      </c>
      <c r="H853" t="inlineStr">
        <is>
          <t>S013_EST_HSP_HEURISTIC</t>
        </is>
      </c>
      <c r="I853" t="inlineStr">
        <is>
          <t>estimated</t>
        </is>
      </c>
      <c r="J853">
        <v>0.4</v>
      </c>
      <c r="K853" t="inlineStr">
        <is>
          <t>Provisional HSP for screening; replace with experimental/literature value before model lock.</t>
        </is>
      </c>
    </row>
    <row r="854">
      <c r="A854" t="inlineStr">
        <is>
          <t>SURF_SPAN_65</t>
        </is>
      </c>
      <c r="B854" t="inlineStr">
        <is>
          <t>Hansen_delta_P</t>
        </is>
      </c>
      <c r="C854">
        <v>4.0</v>
      </c>
      <c r="D854" t="inlineStr">
        <is>
          <t>MPa^0.5</t>
        </is>
      </c>
      <c r="E854"/>
      <c r="F854"/>
      <c r="G854" t="inlineStr">
        <is>
          <t>heuristic group-contribution/nearest-neighbour</t>
        </is>
      </c>
      <c r="H854" t="inlineStr">
        <is>
          <t>S013_EST_HSP_HEURISTIC</t>
        </is>
      </c>
      <c r="I854" t="inlineStr">
        <is>
          <t>estimated</t>
        </is>
      </c>
      <c r="J854">
        <v>0.4</v>
      </c>
      <c r="K854" t="inlineStr">
        <is>
          <t>Provisional HSP for screening; replace with experimental/literature value before model lock.</t>
        </is>
      </c>
    </row>
    <row r="855">
      <c r="A855" t="inlineStr">
        <is>
          <t>SURF_SPAN_65</t>
        </is>
      </c>
      <c r="B855" t="inlineStr">
        <is>
          <t>Hansen_delta_H</t>
        </is>
      </c>
      <c r="C855">
        <v>7.0</v>
      </c>
      <c r="D855" t="inlineStr">
        <is>
          <t>MPa^0.5</t>
        </is>
      </c>
      <c r="E855"/>
      <c r="F855"/>
      <c r="G855" t="inlineStr">
        <is>
          <t>heuristic group-contribution/nearest-neighbour</t>
        </is>
      </c>
      <c r="H855" t="inlineStr">
        <is>
          <t>S013_EST_HSP_HEURISTIC</t>
        </is>
      </c>
      <c r="I855" t="inlineStr">
        <is>
          <t>estimated</t>
        </is>
      </c>
      <c r="J855">
        <v>0.4</v>
      </c>
      <c r="K855" t="inlineStr">
        <is>
          <t>Provisional HSP for screening; replace with experimental/literature value before model lock.</t>
        </is>
      </c>
    </row>
    <row r="856">
      <c r="A856" t="inlineStr">
        <is>
          <t>SURF_SPAN_65</t>
        </is>
      </c>
      <c r="B856" t="inlineStr">
        <is>
          <t>Hildebrand_delta_T</t>
        </is>
      </c>
      <c r="C856">
        <v>18.81</v>
      </c>
      <c r="D856" t="inlineStr">
        <is>
          <t>MPa^0.5</t>
        </is>
      </c>
      <c r="E856"/>
      <c r="F856"/>
      <c r="G856" t="inlineStr">
        <is>
          <t>sqrt(deltaD^2+deltaP^2+deltaH^2)</t>
        </is>
      </c>
      <c r="H856" t="inlineStr">
        <is>
          <t>S012_CALCULATED</t>
        </is>
      </c>
      <c r="I856" t="inlineStr">
        <is>
          <t>calculated</t>
        </is>
      </c>
      <c r="J856">
        <v>0.45</v>
      </c>
      <c r="K856" t="inlineStr">
        <is>
          <t>Derived from stored Hansen components.</t>
        </is>
      </c>
    </row>
    <row r="857">
      <c r="A857" t="inlineStr">
        <is>
          <t>SURF_SPAN_65</t>
        </is>
      </c>
      <c r="B857" t="inlineStr">
        <is>
          <t>HSP_radius_R0</t>
        </is>
      </c>
      <c r="C857">
        <v>7.0</v>
      </c>
      <c r="D857" t="inlineStr">
        <is>
          <t>MPa^0.5</t>
        </is>
      </c>
      <c r="E857"/>
      <c r="F857"/>
      <c r="G857" t="inlineStr">
        <is>
          <t>literature/heuristic solubility sphere</t>
        </is>
      </c>
      <c r="H857" t="inlineStr">
        <is>
          <t>S013_EST_HSP_HEURISTIC</t>
        </is>
      </c>
      <c r="I857" t="inlineStr">
        <is>
          <t>estimated</t>
        </is>
      </c>
      <c r="J857">
        <v>0.4</v>
      </c>
      <c r="K857" t="inlineStr">
        <is>
          <t>Screening radius only unless experimentally determined.</t>
        </is>
      </c>
    </row>
    <row r="858">
      <c r="A858" t="inlineStr">
        <is>
          <t>SURF_SPAN_65</t>
        </is>
      </c>
      <c r="B858" t="inlineStr">
        <is>
          <t>molar_volume_cm3_mol</t>
        </is>
      </c>
      <c r="C858">
        <v>983.2</v>
      </c>
      <c r="D858" t="inlineStr">
        <is>
          <t>cm3/mol</t>
        </is>
      </c>
      <c r="E858"/>
      <c r="F858"/>
      <c r="G858" t="inlineStr">
        <is>
          <t>MW/density estimate</t>
        </is>
      </c>
      <c r="H858" t="inlineStr">
        <is>
          <t>S012_CALCULATED</t>
        </is>
      </c>
      <c r="I858" t="inlineStr">
        <is>
          <t>estimated</t>
        </is>
      </c>
      <c r="J858">
        <v>0.42</v>
      </c>
      <c r="K858" t="inlineStr">
        <is>
          <t>Estimated from MW/density; replace with measured molar volume or density-specific grade data.</t>
        </is>
      </c>
    </row>
    <row r="859">
      <c r="A859" t="inlineStr">
        <is>
          <t>SURF_SPAN_65</t>
        </is>
      </c>
      <c r="B859" t="inlineStr">
        <is>
          <t>headgroup_area_nm2</t>
        </is>
      </c>
      <c r="C859">
        <v>0.388</v>
      </c>
      <c r="D859" t="inlineStr">
        <is>
          <t>nm2</t>
        </is>
      </c>
      <c r="E859"/>
      <c r="F859"/>
      <c r="G859" t="inlineStr">
        <is>
          <t>CPP screening heuristic</t>
        </is>
      </c>
      <c r="H859" t="inlineStr">
        <is>
          <t>S013_EST_HSP_HEURISTIC</t>
        </is>
      </c>
      <c r="I859" t="inlineStr">
        <is>
          <t>estimated</t>
        </is>
      </c>
      <c r="J859">
        <v>0.35</v>
      </c>
      <c r="K859" t="inlineStr">
        <is>
          <t>Replace with monolayer or MD-derived area per molecule for publication-grade CPP.</t>
        </is>
      </c>
    </row>
    <row r="860">
      <c r="A860" t="inlineStr">
        <is>
          <t>SURF_SPAN_80</t>
        </is>
      </c>
      <c r="B860" t="inlineStr">
        <is>
          <t>molecular_weight_g_mol</t>
        </is>
      </c>
      <c r="C860">
        <v>428.6</v>
      </c>
      <c r="D860" t="inlineStr">
        <is>
          <t>g/mol</t>
        </is>
      </c>
      <c r="E860"/>
      <c r="F860"/>
      <c r="G860" t="inlineStr">
        <is>
          <t>supplier/handbook average for mixtures</t>
        </is>
      </c>
      <c r="H860" t="inlineStr">
        <is>
          <t>S011_CRODA_SPAN_TWEEN</t>
        </is>
      </c>
      <c r="I860" t="inlineStr">
        <is>
          <t>supplier-reported</t>
        </is>
      </c>
      <c r="J860">
        <v>0.65</v>
      </c>
      <c r="K860"/>
    </row>
    <row r="861">
      <c r="A861" t="inlineStr">
        <is>
          <t>SURF_SPAN_80</t>
        </is>
      </c>
      <c r="B861" t="inlineStr">
        <is>
          <t>HLB</t>
        </is>
      </c>
      <c r="C861">
        <v>4.3</v>
      </c>
      <c r="D861" t="inlineStr">
        <is>
          <t>HLB</t>
        </is>
      </c>
      <c r="E861"/>
      <c r="F861"/>
      <c r="G861" t="inlineStr">
        <is>
          <t>Griffin/Davies HLB literature/supplier value</t>
        </is>
      </c>
      <c r="H861" t="inlineStr">
        <is>
          <t>S011_CRODA_SPAN_TWEEN</t>
        </is>
      </c>
      <c r="I861" t="inlineStr">
        <is>
          <t>supplier-reported</t>
        </is>
      </c>
      <c r="J861">
        <v>0.75</v>
      </c>
      <c r="K861" t="inlineStr">
        <is>
          <t>Grade-dependent; use supplier CoA when available.</t>
        </is>
      </c>
    </row>
    <row r="862">
      <c r="A862" t="inlineStr">
        <is>
          <t>SURF_SPAN_80</t>
        </is>
      </c>
      <c r="B862" t="inlineStr">
        <is>
          <t>headgroup_type</t>
        </is>
      </c>
      <c r="C862" t="inlineStr">
        <is>
          <t>sorbitan ester</t>
        </is>
      </c>
      <c r="D862"/>
      <c r="E862"/>
      <c r="F862"/>
      <c r="G862" t="inlineStr">
        <is>
          <t>manual class annotation</t>
        </is>
      </c>
      <c r="H862" t="inlineStr">
        <is>
          <t>S011_CRODA_SPAN_TWEEN</t>
        </is>
      </c>
      <c r="I862" t="inlineStr">
        <is>
          <t>curated</t>
        </is>
      </c>
      <c r="J862">
        <v>0.75</v>
      </c>
      <c r="K862"/>
    </row>
    <row r="863">
      <c r="A863" t="inlineStr">
        <is>
          <t>SURF_SPAN_80</t>
        </is>
      </c>
      <c r="B863" t="inlineStr">
        <is>
          <t>tail_chain</t>
        </is>
      </c>
      <c r="C863" t="inlineStr">
        <is>
          <t>C18:1 oleate</t>
        </is>
      </c>
      <c r="D863"/>
      <c r="E863"/>
      <c r="F863"/>
      <c r="G863" t="inlineStr">
        <is>
          <t>fatty-chain annotation</t>
        </is>
      </c>
      <c r="H863" t="inlineStr">
        <is>
          <t>S011_CRODA_SPAN_TWEEN</t>
        </is>
      </c>
      <c r="I863" t="inlineStr">
        <is>
          <t>curated</t>
        </is>
      </c>
      <c r="J863">
        <v>0.8</v>
      </c>
      <c r="K863"/>
    </row>
    <row r="864">
      <c r="A864" t="inlineStr">
        <is>
          <t>SURF_SPAN_80</t>
        </is>
      </c>
      <c r="B864" t="inlineStr">
        <is>
          <t>tail_carbons</t>
        </is>
      </c>
      <c r="C864">
        <v>18</v>
      </c>
      <c r="D864" t="inlineStr">
        <is>
          <t>count</t>
        </is>
      </c>
      <c r="E864"/>
      <c r="F864"/>
      <c r="G864" t="inlineStr">
        <is>
          <t>fatty-chain annotation</t>
        </is>
      </c>
      <c r="H864" t="inlineStr">
        <is>
          <t>S011_CRODA_SPAN_TWEEN</t>
        </is>
      </c>
      <c r="I864" t="inlineStr">
        <is>
          <t>curated</t>
        </is>
      </c>
      <c r="J864">
        <v>0.8</v>
      </c>
      <c r="K864"/>
    </row>
    <row r="865">
      <c r="A865" t="inlineStr">
        <is>
          <t>SURF_SPAN_80</t>
        </is>
      </c>
      <c r="B865" t="inlineStr">
        <is>
          <t>tail_unsaturation</t>
        </is>
      </c>
      <c r="C865">
        <v>1</v>
      </c>
      <c r="D865" t="inlineStr">
        <is>
          <t>double_bonds</t>
        </is>
      </c>
      <c r="E865"/>
      <c r="F865"/>
      <c r="G865" t="inlineStr">
        <is>
          <t>fatty-chain annotation</t>
        </is>
      </c>
      <c r="H865" t="inlineStr">
        <is>
          <t>S011_CRODA_SPAN_TWEEN</t>
        </is>
      </c>
      <c r="I865" t="inlineStr">
        <is>
          <t>curated</t>
        </is>
      </c>
      <c r="J865">
        <v>0.8</v>
      </c>
      <c r="K865"/>
    </row>
    <row r="866">
      <c r="A866" t="inlineStr">
        <is>
          <t>SURF_SPAN_80</t>
        </is>
      </c>
      <c r="B866" t="inlineStr">
        <is>
          <t>number_of_tails</t>
        </is>
      </c>
      <c r="C866">
        <v>1</v>
      </c>
      <c r="D866" t="inlineStr">
        <is>
          <t>count</t>
        </is>
      </c>
      <c r="E866"/>
      <c r="F866"/>
      <c r="G866" t="inlineStr">
        <is>
          <t>fatty-chain annotation</t>
        </is>
      </c>
      <c r="H866" t="inlineStr">
        <is>
          <t>S011_CRODA_SPAN_TWEEN</t>
        </is>
      </c>
      <c r="I866" t="inlineStr">
        <is>
          <t>curated</t>
        </is>
      </c>
      <c r="J866">
        <v>0.8</v>
      </c>
      <c r="K866"/>
    </row>
    <row r="867">
      <c r="A867" t="inlineStr">
        <is>
          <t>SURF_SPAN_80</t>
        </is>
      </c>
      <c r="B867" t="inlineStr">
        <is>
          <t>charge_type</t>
        </is>
      </c>
      <c r="C867" t="inlineStr">
        <is>
          <t>nonionic</t>
        </is>
      </c>
      <c r="D867"/>
      <c r="E867"/>
      <c r="F867"/>
      <c r="G867" t="inlineStr">
        <is>
          <t>ionization class</t>
        </is>
      </c>
      <c r="H867" t="inlineStr">
        <is>
          <t>S011_CRODA_SPAN_TWEEN</t>
        </is>
      </c>
      <c r="I867" t="inlineStr">
        <is>
          <t>curated</t>
        </is>
      </c>
      <c r="J867">
        <v>0.85</v>
      </c>
      <c r="K867"/>
    </row>
    <row r="868">
      <c r="A868" t="inlineStr">
        <is>
          <t>SURF_SPAN_80</t>
        </is>
      </c>
      <c r="B868" t="inlineStr">
        <is>
          <t>formal_charge</t>
        </is>
      </c>
      <c r="C868">
        <v>0</v>
      </c>
      <c r="D868" t="inlineStr">
        <is>
          <t>e</t>
        </is>
      </c>
      <c r="E868"/>
      <c r="F868"/>
      <c r="G868" t="inlineStr">
        <is>
          <t>nominal at neutral pH</t>
        </is>
      </c>
      <c r="H868" t="inlineStr">
        <is>
          <t>S011_CRODA_SPAN_TWEEN</t>
        </is>
      </c>
      <c r="I868" t="inlineStr">
        <is>
          <t>curated</t>
        </is>
      </c>
      <c r="J868">
        <v>0.85</v>
      </c>
      <c r="K868"/>
    </row>
    <row r="869">
      <c r="A869" t="inlineStr">
        <is>
          <t>SURF_SPAN_80</t>
        </is>
      </c>
      <c r="B869" t="inlineStr">
        <is>
          <t>packing_role</t>
        </is>
      </c>
      <c r="C869" t="inlineStr">
        <is>
          <t>vesicle bilayer former</t>
        </is>
      </c>
      <c r="D869"/>
      <c r="E869"/>
      <c r="F869"/>
      <c r="G869" t="inlineStr">
        <is>
          <t>HLB/chain-rule heuristic</t>
        </is>
      </c>
      <c r="H869" t="inlineStr">
        <is>
          <t>S011_CRODA_SPAN_TWEEN</t>
        </is>
      </c>
      <c r="I869" t="inlineStr">
        <is>
          <t>curated</t>
        </is>
      </c>
      <c r="J869">
        <v>0.65</v>
      </c>
      <c r="K869"/>
    </row>
    <row r="870">
      <c r="A870" t="inlineStr">
        <is>
          <t>SURF_SPAN_80</t>
        </is>
      </c>
      <c r="B870" t="inlineStr">
        <is>
          <t>edge_activator_flag</t>
        </is>
      </c>
      <c r="C870" t="inlineStr">
        <is>
          <t>conditional</t>
        </is>
      </c>
      <c r="D870"/>
      <c r="E870"/>
      <c r="F870"/>
      <c r="G870" t="inlineStr">
        <is>
          <t>HLB/charge heuristic</t>
        </is>
      </c>
      <c r="H870" t="inlineStr">
        <is>
          <t>S011_CRODA_SPAN_TWEEN</t>
        </is>
      </c>
      <c r="I870" t="inlineStr">
        <is>
          <t>curated</t>
        </is>
      </c>
      <c r="J870">
        <v>0.7</v>
      </c>
      <c r="K870"/>
    </row>
    <row r="871">
      <c r="A871" t="inlineStr">
        <is>
          <t>SURF_SPAN_80</t>
        </is>
      </c>
      <c r="B871" t="inlineStr">
        <is>
          <t>vesicle_anchor_flag</t>
        </is>
      </c>
      <c r="C871" t="inlineStr">
        <is>
          <t>yes</t>
        </is>
      </c>
      <c r="D871"/>
      <c r="E871"/>
      <c r="F871"/>
      <c r="G871" t="inlineStr">
        <is>
          <t>chain-length and HLB heuristic</t>
        </is>
      </c>
      <c r="H871" t="inlineStr">
        <is>
          <t>S011_CRODA_SPAN_TWEEN</t>
        </is>
      </c>
      <c r="I871" t="inlineStr">
        <is>
          <t>curated</t>
        </is>
      </c>
      <c r="J871">
        <v>0.7</v>
      </c>
      <c r="K871"/>
    </row>
    <row r="872">
      <c r="A872" t="inlineStr">
        <is>
          <t>SURF_SPAN_80</t>
        </is>
      </c>
      <c r="B872" t="inlineStr">
        <is>
          <t>micellization_risk_flag</t>
        </is>
      </c>
      <c r="C872" t="inlineStr">
        <is>
          <t>low-to-moderate</t>
        </is>
      </c>
      <c r="D872"/>
      <c r="E872"/>
      <c r="F872"/>
      <c r="G872" t="inlineStr">
        <is>
          <t>HLB heuristic</t>
        </is>
      </c>
      <c r="H872" t="inlineStr">
        <is>
          <t>S011_CRODA_SPAN_TWEEN</t>
        </is>
      </c>
      <c r="I872" t="inlineStr">
        <is>
          <t>curated</t>
        </is>
      </c>
      <c r="J872">
        <v>0.65</v>
      </c>
      <c r="K872"/>
    </row>
    <row r="873">
      <c r="A873" t="inlineStr">
        <is>
          <t>SURF_SPAN_80</t>
        </is>
      </c>
      <c r="B873" t="inlineStr">
        <is>
          <t>route_suitability</t>
        </is>
      </c>
      <c r="C873" t="inlineStr">
        <is>
          <t>oral/topical; parenteral/inhalation only if grade and safety justified</t>
        </is>
      </c>
      <c r="D873"/>
      <c r="E873"/>
      <c r="F873"/>
      <c r="G873" t="inlineStr">
        <is>
          <t>route precedent heuristic</t>
        </is>
      </c>
      <c r="H873" t="inlineStr">
        <is>
          <t>S008_FDA_IID</t>
        </is>
      </c>
      <c r="I873" t="inlineStr">
        <is>
          <t>curated</t>
        </is>
      </c>
      <c r="J873">
        <v>0.55</v>
      </c>
      <c r="K873"/>
    </row>
    <row r="874">
      <c r="A874" t="inlineStr">
        <is>
          <t>SURF_SPAN_80</t>
        </is>
      </c>
      <c r="B874" t="inlineStr">
        <is>
          <t>toxicity_or_irritancy_notes</t>
        </is>
      </c>
      <c r="C874" t="inlineStr">
        <is>
          <t>surfactant irritation/hemolysis is concentration-, route-, and grade-dependent; screen cytotoxicity and osmolality</t>
        </is>
      </c>
      <c r="D874"/>
      <c r="E874"/>
      <c r="F874"/>
      <c r="G874"/>
      <c r="H874" t="inlineStr">
        <is>
          <t>S007_EXCIPIENTS_HANDBOOK</t>
        </is>
      </c>
      <c r="I874" t="inlineStr">
        <is>
          <t>curated</t>
        </is>
      </c>
      <c r="J874">
        <v>0.7</v>
      </c>
      <c r="K874"/>
    </row>
    <row r="875">
      <c r="A875" t="inlineStr">
        <is>
          <t>SURF_SPAN_80</t>
        </is>
      </c>
      <c r="B875" t="inlineStr">
        <is>
          <t>Hansen_delta_D</t>
        </is>
      </c>
      <c r="C875">
        <v>17.0</v>
      </c>
      <c r="D875" t="inlineStr">
        <is>
          <t>MPa^0.5</t>
        </is>
      </c>
      <c r="E875"/>
      <c r="F875"/>
      <c r="G875" t="inlineStr">
        <is>
          <t>heuristic group-contribution/nearest-neighbour</t>
        </is>
      </c>
      <c r="H875" t="inlineStr">
        <is>
          <t>S013_EST_HSP_HEURISTIC</t>
        </is>
      </c>
      <c r="I875" t="inlineStr">
        <is>
          <t>estimated</t>
        </is>
      </c>
      <c r="J875">
        <v>0.4</v>
      </c>
      <c r="K875" t="inlineStr">
        <is>
          <t>Provisional HSP for screening; replace with experimental/literature value before model lock.</t>
        </is>
      </c>
    </row>
    <row r="876">
      <c r="A876" t="inlineStr">
        <is>
          <t>SURF_SPAN_80</t>
        </is>
      </c>
      <c r="B876" t="inlineStr">
        <is>
          <t>Hansen_delta_P</t>
        </is>
      </c>
      <c r="C876">
        <v>4.0</v>
      </c>
      <c r="D876" t="inlineStr">
        <is>
          <t>MPa^0.5</t>
        </is>
      </c>
      <c r="E876"/>
      <c r="F876"/>
      <c r="G876" t="inlineStr">
        <is>
          <t>heuristic group-contribution/nearest-neighbour</t>
        </is>
      </c>
      <c r="H876" t="inlineStr">
        <is>
          <t>S013_EST_HSP_HEURISTIC</t>
        </is>
      </c>
      <c r="I876" t="inlineStr">
        <is>
          <t>estimated</t>
        </is>
      </c>
      <c r="J876">
        <v>0.4</v>
      </c>
      <c r="K876" t="inlineStr">
        <is>
          <t>Provisional HSP for screening; replace with experimental/literature value before model lock.</t>
        </is>
      </c>
    </row>
    <row r="877">
      <c r="A877" t="inlineStr">
        <is>
          <t>SURF_SPAN_80</t>
        </is>
      </c>
      <c r="B877" t="inlineStr">
        <is>
          <t>Hansen_delta_H</t>
        </is>
      </c>
      <c r="C877">
        <v>7.0</v>
      </c>
      <c r="D877" t="inlineStr">
        <is>
          <t>MPa^0.5</t>
        </is>
      </c>
      <c r="E877"/>
      <c r="F877"/>
      <c r="G877" t="inlineStr">
        <is>
          <t>heuristic group-contribution/nearest-neighbour</t>
        </is>
      </c>
      <c r="H877" t="inlineStr">
        <is>
          <t>S013_EST_HSP_HEURISTIC</t>
        </is>
      </c>
      <c r="I877" t="inlineStr">
        <is>
          <t>estimated</t>
        </is>
      </c>
      <c r="J877">
        <v>0.4</v>
      </c>
      <c r="K877" t="inlineStr">
        <is>
          <t>Provisional HSP for screening; replace with experimental/literature value before model lock.</t>
        </is>
      </c>
    </row>
    <row r="878">
      <c r="A878" t="inlineStr">
        <is>
          <t>SURF_SPAN_80</t>
        </is>
      </c>
      <c r="B878" t="inlineStr">
        <is>
          <t>Hildebrand_delta_T</t>
        </is>
      </c>
      <c r="C878">
        <v>18.81</v>
      </c>
      <c r="D878" t="inlineStr">
        <is>
          <t>MPa^0.5</t>
        </is>
      </c>
      <c r="E878"/>
      <c r="F878"/>
      <c r="G878" t="inlineStr">
        <is>
          <t>sqrt(deltaD^2+deltaP^2+deltaH^2)</t>
        </is>
      </c>
      <c r="H878" t="inlineStr">
        <is>
          <t>S012_CALCULATED</t>
        </is>
      </c>
      <c r="I878" t="inlineStr">
        <is>
          <t>calculated</t>
        </is>
      </c>
      <c r="J878">
        <v>0.45</v>
      </c>
      <c r="K878" t="inlineStr">
        <is>
          <t>Derived from stored Hansen components.</t>
        </is>
      </c>
    </row>
    <row r="879">
      <c r="A879" t="inlineStr">
        <is>
          <t>SURF_SPAN_80</t>
        </is>
      </c>
      <c r="B879" t="inlineStr">
        <is>
          <t>HSP_radius_R0</t>
        </is>
      </c>
      <c r="C879">
        <v>7.0</v>
      </c>
      <c r="D879" t="inlineStr">
        <is>
          <t>MPa^0.5</t>
        </is>
      </c>
      <c r="E879"/>
      <c r="F879"/>
      <c r="G879" t="inlineStr">
        <is>
          <t>literature/heuristic solubility sphere</t>
        </is>
      </c>
      <c r="H879" t="inlineStr">
        <is>
          <t>S013_EST_HSP_HEURISTIC</t>
        </is>
      </c>
      <c r="I879" t="inlineStr">
        <is>
          <t>estimated</t>
        </is>
      </c>
      <c r="J879">
        <v>0.4</v>
      </c>
      <c r="K879" t="inlineStr">
        <is>
          <t>Screening radius only unless experimentally determined.</t>
        </is>
      </c>
    </row>
    <row r="880">
      <c r="A880" t="inlineStr">
        <is>
          <t>SURF_SPAN_80</t>
        </is>
      </c>
      <c r="B880" t="inlineStr">
        <is>
          <t>molar_volume_cm3_mol</t>
        </is>
      </c>
      <c r="C880">
        <v>437.35</v>
      </c>
      <c r="D880" t="inlineStr">
        <is>
          <t>cm3/mol</t>
        </is>
      </c>
      <c r="E880"/>
      <c r="F880"/>
      <c r="G880" t="inlineStr">
        <is>
          <t>MW/density estimate</t>
        </is>
      </c>
      <c r="H880" t="inlineStr">
        <is>
          <t>S012_CALCULATED</t>
        </is>
      </c>
      <c r="I880" t="inlineStr">
        <is>
          <t>estimated</t>
        </is>
      </c>
      <c r="J880">
        <v>0.42</v>
      </c>
      <c r="K880" t="inlineStr">
        <is>
          <t>Estimated from MW/density; replace with measured molar volume or density-specific grade data.</t>
        </is>
      </c>
    </row>
    <row r="881">
      <c r="A881" t="inlineStr">
        <is>
          <t>SURF_SPAN_80</t>
        </is>
      </c>
      <c r="B881" t="inlineStr">
        <is>
          <t>headgroup_area_nm2</t>
        </is>
      </c>
      <c r="C881">
        <v>0.427</v>
      </c>
      <c r="D881" t="inlineStr">
        <is>
          <t>nm2</t>
        </is>
      </c>
      <c r="E881"/>
      <c r="F881"/>
      <c r="G881" t="inlineStr">
        <is>
          <t>CPP screening heuristic</t>
        </is>
      </c>
      <c r="H881" t="inlineStr">
        <is>
          <t>S013_EST_HSP_HEURISTIC</t>
        </is>
      </c>
      <c r="I881" t="inlineStr">
        <is>
          <t>estimated</t>
        </is>
      </c>
      <c r="J881">
        <v>0.35</v>
      </c>
      <c r="K881" t="inlineStr">
        <is>
          <t>Replace with monolayer or MD-derived area per molecule for publication-grade CPP.</t>
        </is>
      </c>
    </row>
    <row r="882">
      <c r="A882" t="inlineStr">
        <is>
          <t>SURF_SPAN_85</t>
        </is>
      </c>
      <c r="B882" t="inlineStr">
        <is>
          <t>molecular_weight_g_mol</t>
        </is>
      </c>
      <c r="C882">
        <v>957.46</v>
      </c>
      <c r="D882" t="inlineStr">
        <is>
          <t>g/mol</t>
        </is>
      </c>
      <c r="E882"/>
      <c r="F882"/>
      <c r="G882" t="inlineStr">
        <is>
          <t>supplier/handbook average for mixtures</t>
        </is>
      </c>
      <c r="H882" t="inlineStr">
        <is>
          <t>S011_CRODA_SPAN_TWEEN</t>
        </is>
      </c>
      <c r="I882" t="inlineStr">
        <is>
          <t>supplier-reported</t>
        </is>
      </c>
      <c r="J882">
        <v>0.65</v>
      </c>
      <c r="K882"/>
    </row>
    <row r="883">
      <c r="A883" t="inlineStr">
        <is>
          <t>SURF_SPAN_85</t>
        </is>
      </c>
      <c r="B883" t="inlineStr">
        <is>
          <t>HLB</t>
        </is>
      </c>
      <c r="C883">
        <v>1.8</v>
      </c>
      <c r="D883" t="inlineStr">
        <is>
          <t>HLB</t>
        </is>
      </c>
      <c r="E883"/>
      <c r="F883"/>
      <c r="G883" t="inlineStr">
        <is>
          <t>Griffin/Davies HLB literature/supplier value</t>
        </is>
      </c>
      <c r="H883" t="inlineStr">
        <is>
          <t>S011_CRODA_SPAN_TWEEN</t>
        </is>
      </c>
      <c r="I883" t="inlineStr">
        <is>
          <t>supplier-reported</t>
        </is>
      </c>
      <c r="J883">
        <v>0.75</v>
      </c>
      <c r="K883" t="inlineStr">
        <is>
          <t>Grade-dependent; use supplier CoA when available.</t>
        </is>
      </c>
    </row>
    <row r="884">
      <c r="A884" t="inlineStr">
        <is>
          <t>SURF_SPAN_85</t>
        </is>
      </c>
      <c r="B884" t="inlineStr">
        <is>
          <t>headgroup_type</t>
        </is>
      </c>
      <c r="C884" t="inlineStr">
        <is>
          <t>sorbitan triester</t>
        </is>
      </c>
      <c r="D884"/>
      <c r="E884"/>
      <c r="F884"/>
      <c r="G884" t="inlineStr">
        <is>
          <t>manual class annotation</t>
        </is>
      </c>
      <c r="H884" t="inlineStr">
        <is>
          <t>S011_CRODA_SPAN_TWEEN</t>
        </is>
      </c>
      <c r="I884" t="inlineStr">
        <is>
          <t>curated</t>
        </is>
      </c>
      <c r="J884">
        <v>0.75</v>
      </c>
      <c r="K884"/>
    </row>
    <row r="885">
      <c r="A885" t="inlineStr">
        <is>
          <t>SURF_SPAN_85</t>
        </is>
      </c>
      <c r="B885" t="inlineStr">
        <is>
          <t>tail_chain</t>
        </is>
      </c>
      <c r="C885" t="inlineStr">
        <is>
          <t>tri-C18:1 oleate</t>
        </is>
      </c>
      <c r="D885"/>
      <c r="E885"/>
      <c r="F885"/>
      <c r="G885" t="inlineStr">
        <is>
          <t>fatty-chain annotation</t>
        </is>
      </c>
      <c r="H885" t="inlineStr">
        <is>
          <t>S011_CRODA_SPAN_TWEEN</t>
        </is>
      </c>
      <c r="I885" t="inlineStr">
        <is>
          <t>curated</t>
        </is>
      </c>
      <c r="J885">
        <v>0.8</v>
      </c>
      <c r="K885"/>
    </row>
    <row r="886">
      <c r="A886" t="inlineStr">
        <is>
          <t>SURF_SPAN_85</t>
        </is>
      </c>
      <c r="B886" t="inlineStr">
        <is>
          <t>tail_carbons</t>
        </is>
      </c>
      <c r="C886">
        <v>18</v>
      </c>
      <c r="D886" t="inlineStr">
        <is>
          <t>count</t>
        </is>
      </c>
      <c r="E886"/>
      <c r="F886"/>
      <c r="G886" t="inlineStr">
        <is>
          <t>fatty-chain annotation</t>
        </is>
      </c>
      <c r="H886" t="inlineStr">
        <is>
          <t>S011_CRODA_SPAN_TWEEN</t>
        </is>
      </c>
      <c r="I886" t="inlineStr">
        <is>
          <t>curated</t>
        </is>
      </c>
      <c r="J886">
        <v>0.8</v>
      </c>
      <c r="K886"/>
    </row>
    <row r="887">
      <c r="A887" t="inlineStr">
        <is>
          <t>SURF_SPAN_85</t>
        </is>
      </c>
      <c r="B887" t="inlineStr">
        <is>
          <t>tail_unsaturation</t>
        </is>
      </c>
      <c r="C887">
        <v>1</v>
      </c>
      <c r="D887" t="inlineStr">
        <is>
          <t>double_bonds</t>
        </is>
      </c>
      <c r="E887"/>
      <c r="F887"/>
      <c r="G887" t="inlineStr">
        <is>
          <t>fatty-chain annotation</t>
        </is>
      </c>
      <c r="H887" t="inlineStr">
        <is>
          <t>S011_CRODA_SPAN_TWEEN</t>
        </is>
      </c>
      <c r="I887" t="inlineStr">
        <is>
          <t>curated</t>
        </is>
      </c>
      <c r="J887">
        <v>0.8</v>
      </c>
      <c r="K887"/>
    </row>
    <row r="888">
      <c r="A888" t="inlineStr">
        <is>
          <t>SURF_SPAN_85</t>
        </is>
      </c>
      <c r="B888" t="inlineStr">
        <is>
          <t>number_of_tails</t>
        </is>
      </c>
      <c r="C888">
        <v>3</v>
      </c>
      <c r="D888" t="inlineStr">
        <is>
          <t>count</t>
        </is>
      </c>
      <c r="E888"/>
      <c r="F888"/>
      <c r="G888" t="inlineStr">
        <is>
          <t>fatty-chain annotation</t>
        </is>
      </c>
      <c r="H888" t="inlineStr">
        <is>
          <t>S011_CRODA_SPAN_TWEEN</t>
        </is>
      </c>
      <c r="I888" t="inlineStr">
        <is>
          <t>curated</t>
        </is>
      </c>
      <c r="J888">
        <v>0.8</v>
      </c>
      <c r="K888"/>
    </row>
    <row r="889">
      <c r="A889" t="inlineStr">
        <is>
          <t>SURF_SPAN_85</t>
        </is>
      </c>
      <c r="B889" t="inlineStr">
        <is>
          <t>charge_type</t>
        </is>
      </c>
      <c r="C889" t="inlineStr">
        <is>
          <t>nonionic</t>
        </is>
      </c>
      <c r="D889"/>
      <c r="E889"/>
      <c r="F889"/>
      <c r="G889" t="inlineStr">
        <is>
          <t>ionization class</t>
        </is>
      </c>
      <c r="H889" t="inlineStr">
        <is>
          <t>S011_CRODA_SPAN_TWEEN</t>
        </is>
      </c>
      <c r="I889" t="inlineStr">
        <is>
          <t>curated</t>
        </is>
      </c>
      <c r="J889">
        <v>0.85</v>
      </c>
      <c r="K889"/>
    </row>
    <row r="890">
      <c r="A890" t="inlineStr">
        <is>
          <t>SURF_SPAN_85</t>
        </is>
      </c>
      <c r="B890" t="inlineStr">
        <is>
          <t>formal_charge</t>
        </is>
      </c>
      <c r="C890">
        <v>0</v>
      </c>
      <c r="D890" t="inlineStr">
        <is>
          <t>e</t>
        </is>
      </c>
      <c r="E890"/>
      <c r="F890"/>
      <c r="G890" t="inlineStr">
        <is>
          <t>nominal at neutral pH</t>
        </is>
      </c>
      <c r="H890" t="inlineStr">
        <is>
          <t>S011_CRODA_SPAN_TWEEN</t>
        </is>
      </c>
      <c r="I890" t="inlineStr">
        <is>
          <t>curated</t>
        </is>
      </c>
      <c r="J890">
        <v>0.85</v>
      </c>
      <c r="K890"/>
    </row>
    <row r="891">
      <c r="A891" t="inlineStr">
        <is>
          <t>SURF_SPAN_85</t>
        </is>
      </c>
      <c r="B891" t="inlineStr">
        <is>
          <t>packing_role</t>
        </is>
      </c>
      <c r="C891" t="inlineStr">
        <is>
          <t>vesicle bilayer former</t>
        </is>
      </c>
      <c r="D891"/>
      <c r="E891"/>
      <c r="F891"/>
      <c r="G891" t="inlineStr">
        <is>
          <t>HLB/chain-rule heuristic</t>
        </is>
      </c>
      <c r="H891" t="inlineStr">
        <is>
          <t>S011_CRODA_SPAN_TWEEN</t>
        </is>
      </c>
      <c r="I891" t="inlineStr">
        <is>
          <t>curated</t>
        </is>
      </c>
      <c r="J891">
        <v>0.65</v>
      </c>
      <c r="K891"/>
    </row>
    <row r="892">
      <c r="A892" t="inlineStr">
        <is>
          <t>SURF_SPAN_85</t>
        </is>
      </c>
      <c r="B892" t="inlineStr">
        <is>
          <t>edge_activator_flag</t>
        </is>
      </c>
      <c r="C892" t="inlineStr">
        <is>
          <t>conditional</t>
        </is>
      </c>
      <c r="D892"/>
      <c r="E892"/>
      <c r="F892"/>
      <c r="G892" t="inlineStr">
        <is>
          <t>HLB/charge heuristic</t>
        </is>
      </c>
      <c r="H892" t="inlineStr">
        <is>
          <t>S011_CRODA_SPAN_TWEEN</t>
        </is>
      </c>
      <c r="I892" t="inlineStr">
        <is>
          <t>curated</t>
        </is>
      </c>
      <c r="J892">
        <v>0.7</v>
      </c>
      <c r="K892"/>
    </row>
    <row r="893">
      <c r="A893" t="inlineStr">
        <is>
          <t>SURF_SPAN_85</t>
        </is>
      </c>
      <c r="B893" t="inlineStr">
        <is>
          <t>vesicle_anchor_flag</t>
        </is>
      </c>
      <c r="C893" t="inlineStr">
        <is>
          <t>yes</t>
        </is>
      </c>
      <c r="D893"/>
      <c r="E893"/>
      <c r="F893"/>
      <c r="G893" t="inlineStr">
        <is>
          <t>chain-length and HLB heuristic</t>
        </is>
      </c>
      <c r="H893" t="inlineStr">
        <is>
          <t>S011_CRODA_SPAN_TWEEN</t>
        </is>
      </c>
      <c r="I893" t="inlineStr">
        <is>
          <t>curated</t>
        </is>
      </c>
      <c r="J893">
        <v>0.7</v>
      </c>
      <c r="K893"/>
    </row>
    <row r="894">
      <c r="A894" t="inlineStr">
        <is>
          <t>SURF_SPAN_85</t>
        </is>
      </c>
      <c r="B894" t="inlineStr">
        <is>
          <t>micellization_risk_flag</t>
        </is>
      </c>
      <c r="C894" t="inlineStr">
        <is>
          <t>low-to-moderate</t>
        </is>
      </c>
      <c r="D894"/>
      <c r="E894"/>
      <c r="F894"/>
      <c r="G894" t="inlineStr">
        <is>
          <t>HLB heuristic</t>
        </is>
      </c>
      <c r="H894" t="inlineStr">
        <is>
          <t>S011_CRODA_SPAN_TWEEN</t>
        </is>
      </c>
      <c r="I894" t="inlineStr">
        <is>
          <t>curated</t>
        </is>
      </c>
      <c r="J894">
        <v>0.65</v>
      </c>
      <c r="K894"/>
    </row>
    <row r="895">
      <c r="A895" t="inlineStr">
        <is>
          <t>SURF_SPAN_85</t>
        </is>
      </c>
      <c r="B895" t="inlineStr">
        <is>
          <t>route_suitability</t>
        </is>
      </c>
      <c r="C895" t="inlineStr">
        <is>
          <t>oral/topical; parenteral/inhalation only if grade and safety justified</t>
        </is>
      </c>
      <c r="D895"/>
      <c r="E895"/>
      <c r="F895"/>
      <c r="G895" t="inlineStr">
        <is>
          <t>route precedent heuristic</t>
        </is>
      </c>
      <c r="H895" t="inlineStr">
        <is>
          <t>S008_FDA_IID</t>
        </is>
      </c>
      <c r="I895" t="inlineStr">
        <is>
          <t>curated</t>
        </is>
      </c>
      <c r="J895">
        <v>0.55</v>
      </c>
      <c r="K895"/>
    </row>
    <row r="896">
      <c r="A896" t="inlineStr">
        <is>
          <t>SURF_SPAN_85</t>
        </is>
      </c>
      <c r="B896" t="inlineStr">
        <is>
          <t>toxicity_or_irritancy_notes</t>
        </is>
      </c>
      <c r="C896" t="inlineStr">
        <is>
          <t>surfactant irritation/hemolysis is concentration-, route-, and grade-dependent; screen cytotoxicity and osmolality</t>
        </is>
      </c>
      <c r="D896"/>
      <c r="E896"/>
      <c r="F896"/>
      <c r="G896"/>
      <c r="H896" t="inlineStr">
        <is>
          <t>S007_EXCIPIENTS_HANDBOOK</t>
        </is>
      </c>
      <c r="I896" t="inlineStr">
        <is>
          <t>curated</t>
        </is>
      </c>
      <c r="J896">
        <v>0.7</v>
      </c>
      <c r="K896"/>
    </row>
    <row r="897">
      <c r="A897" t="inlineStr">
        <is>
          <t>SURF_SPAN_85</t>
        </is>
      </c>
      <c r="B897" t="inlineStr">
        <is>
          <t>Hansen_delta_D</t>
        </is>
      </c>
      <c r="C897">
        <v>17.0</v>
      </c>
      <c r="D897" t="inlineStr">
        <is>
          <t>MPa^0.5</t>
        </is>
      </c>
      <c r="E897"/>
      <c r="F897"/>
      <c r="G897" t="inlineStr">
        <is>
          <t>heuristic group-contribution/nearest-neighbour</t>
        </is>
      </c>
      <c r="H897" t="inlineStr">
        <is>
          <t>S013_EST_HSP_HEURISTIC</t>
        </is>
      </c>
      <c r="I897" t="inlineStr">
        <is>
          <t>estimated</t>
        </is>
      </c>
      <c r="J897">
        <v>0.4</v>
      </c>
      <c r="K897" t="inlineStr">
        <is>
          <t>Provisional HSP for screening; replace with experimental/literature value before model lock.</t>
        </is>
      </c>
    </row>
    <row r="898">
      <c r="A898" t="inlineStr">
        <is>
          <t>SURF_SPAN_85</t>
        </is>
      </c>
      <c r="B898" t="inlineStr">
        <is>
          <t>Hansen_delta_P</t>
        </is>
      </c>
      <c r="C898">
        <v>4.0</v>
      </c>
      <c r="D898" t="inlineStr">
        <is>
          <t>MPa^0.5</t>
        </is>
      </c>
      <c r="E898"/>
      <c r="F898"/>
      <c r="G898" t="inlineStr">
        <is>
          <t>heuristic group-contribution/nearest-neighbour</t>
        </is>
      </c>
      <c r="H898" t="inlineStr">
        <is>
          <t>S013_EST_HSP_HEURISTIC</t>
        </is>
      </c>
      <c r="I898" t="inlineStr">
        <is>
          <t>estimated</t>
        </is>
      </c>
      <c r="J898">
        <v>0.4</v>
      </c>
      <c r="K898" t="inlineStr">
        <is>
          <t>Provisional HSP for screening; replace with experimental/literature value before model lock.</t>
        </is>
      </c>
    </row>
    <row r="899">
      <c r="A899" t="inlineStr">
        <is>
          <t>SURF_SPAN_85</t>
        </is>
      </c>
      <c r="B899" t="inlineStr">
        <is>
          <t>Hansen_delta_H</t>
        </is>
      </c>
      <c r="C899">
        <v>7.0</v>
      </c>
      <c r="D899" t="inlineStr">
        <is>
          <t>MPa^0.5</t>
        </is>
      </c>
      <c r="E899"/>
      <c r="F899"/>
      <c r="G899" t="inlineStr">
        <is>
          <t>heuristic group-contribution/nearest-neighbour</t>
        </is>
      </c>
      <c r="H899" t="inlineStr">
        <is>
          <t>S013_EST_HSP_HEURISTIC</t>
        </is>
      </c>
      <c r="I899" t="inlineStr">
        <is>
          <t>estimated</t>
        </is>
      </c>
      <c r="J899">
        <v>0.4</v>
      </c>
      <c r="K899" t="inlineStr">
        <is>
          <t>Provisional HSP for screening; replace with experimental/literature value before model lock.</t>
        </is>
      </c>
    </row>
    <row r="900">
      <c r="A900" t="inlineStr">
        <is>
          <t>SURF_SPAN_85</t>
        </is>
      </c>
      <c r="B900" t="inlineStr">
        <is>
          <t>Hildebrand_delta_T</t>
        </is>
      </c>
      <c r="C900">
        <v>18.81</v>
      </c>
      <c r="D900" t="inlineStr">
        <is>
          <t>MPa^0.5</t>
        </is>
      </c>
      <c r="E900"/>
      <c r="F900"/>
      <c r="G900" t="inlineStr">
        <is>
          <t>sqrt(deltaD^2+deltaP^2+deltaH^2)</t>
        </is>
      </c>
      <c r="H900" t="inlineStr">
        <is>
          <t>S012_CALCULATED</t>
        </is>
      </c>
      <c r="I900" t="inlineStr">
        <is>
          <t>calculated</t>
        </is>
      </c>
      <c r="J900">
        <v>0.45</v>
      </c>
      <c r="K900" t="inlineStr">
        <is>
          <t>Derived from stored Hansen components.</t>
        </is>
      </c>
    </row>
    <row r="901">
      <c r="A901" t="inlineStr">
        <is>
          <t>SURF_SPAN_85</t>
        </is>
      </c>
      <c r="B901" t="inlineStr">
        <is>
          <t>HSP_radius_R0</t>
        </is>
      </c>
      <c r="C901">
        <v>7.0</v>
      </c>
      <c r="D901" t="inlineStr">
        <is>
          <t>MPa^0.5</t>
        </is>
      </c>
      <c r="E901"/>
      <c r="F901"/>
      <c r="G901" t="inlineStr">
        <is>
          <t>literature/heuristic solubility sphere</t>
        </is>
      </c>
      <c r="H901" t="inlineStr">
        <is>
          <t>S013_EST_HSP_HEURISTIC</t>
        </is>
      </c>
      <c r="I901" t="inlineStr">
        <is>
          <t>estimated</t>
        </is>
      </c>
      <c r="J901">
        <v>0.4</v>
      </c>
      <c r="K901" t="inlineStr">
        <is>
          <t>Screening radius only unless experimentally determined.</t>
        </is>
      </c>
    </row>
    <row r="902">
      <c r="A902" t="inlineStr">
        <is>
          <t>SURF_SPAN_85</t>
        </is>
      </c>
      <c r="B902" t="inlineStr">
        <is>
          <t>molar_volume_cm3_mol</t>
        </is>
      </c>
      <c r="C902">
        <v>977.0</v>
      </c>
      <c r="D902" t="inlineStr">
        <is>
          <t>cm3/mol</t>
        </is>
      </c>
      <c r="E902"/>
      <c r="F902"/>
      <c r="G902" t="inlineStr">
        <is>
          <t>MW/density estimate</t>
        </is>
      </c>
      <c r="H902" t="inlineStr">
        <is>
          <t>S012_CALCULATED</t>
        </is>
      </c>
      <c r="I902" t="inlineStr">
        <is>
          <t>estimated</t>
        </is>
      </c>
      <c r="J902">
        <v>0.42</v>
      </c>
      <c r="K902" t="inlineStr">
        <is>
          <t>Estimated from MW/density; replace with measured molar volume or density-specific grade data.</t>
        </is>
      </c>
    </row>
    <row r="903">
      <c r="A903" t="inlineStr">
        <is>
          <t>SURF_SPAN_85</t>
        </is>
      </c>
      <c r="B903" t="inlineStr">
        <is>
          <t>headgroup_area_nm2</t>
        </is>
      </c>
      <c r="C903">
        <v>0.382</v>
      </c>
      <c r="D903" t="inlineStr">
        <is>
          <t>nm2</t>
        </is>
      </c>
      <c r="E903"/>
      <c r="F903"/>
      <c r="G903" t="inlineStr">
        <is>
          <t>CPP screening heuristic</t>
        </is>
      </c>
      <c r="H903" t="inlineStr">
        <is>
          <t>S013_EST_HSP_HEURISTIC</t>
        </is>
      </c>
      <c r="I903" t="inlineStr">
        <is>
          <t>estimated</t>
        </is>
      </c>
      <c r="J903">
        <v>0.35</v>
      </c>
      <c r="K903" t="inlineStr">
        <is>
          <t>Replace with monolayer or MD-derived area per molecule for publication-grade CPP.</t>
        </is>
      </c>
    </row>
    <row r="904">
      <c r="A904" t="inlineStr">
        <is>
          <t>SURF_TWEEN_20</t>
        </is>
      </c>
      <c r="B904" t="inlineStr">
        <is>
          <t>molecular_weight_g_mol</t>
        </is>
      </c>
      <c r="C904">
        <v>1227.5</v>
      </c>
      <c r="D904" t="inlineStr">
        <is>
          <t>g/mol</t>
        </is>
      </c>
      <c r="E904"/>
      <c r="F904"/>
      <c r="G904" t="inlineStr">
        <is>
          <t>supplier/handbook average for mixtures</t>
        </is>
      </c>
      <c r="H904" t="inlineStr">
        <is>
          <t>S011_CRODA_SPAN_TWEEN</t>
        </is>
      </c>
      <c r="I904" t="inlineStr">
        <is>
          <t>supplier-reported</t>
        </is>
      </c>
      <c r="J904">
        <v>0.65</v>
      </c>
      <c r="K904"/>
    </row>
    <row r="905">
      <c r="A905" t="inlineStr">
        <is>
          <t>SURF_TWEEN_20</t>
        </is>
      </c>
      <c r="B905" t="inlineStr">
        <is>
          <t>HLB</t>
        </is>
      </c>
      <c r="C905">
        <v>16.7</v>
      </c>
      <c r="D905" t="inlineStr">
        <is>
          <t>HLB</t>
        </is>
      </c>
      <c r="E905"/>
      <c r="F905"/>
      <c r="G905" t="inlineStr">
        <is>
          <t>Griffin/Davies HLB literature/supplier value</t>
        </is>
      </c>
      <c r="H905" t="inlineStr">
        <is>
          <t>S011_CRODA_SPAN_TWEEN</t>
        </is>
      </c>
      <c r="I905" t="inlineStr">
        <is>
          <t>supplier-reported</t>
        </is>
      </c>
      <c r="J905">
        <v>0.75</v>
      </c>
      <c r="K905" t="inlineStr">
        <is>
          <t>Grade-dependent; use supplier CoA when available.</t>
        </is>
      </c>
    </row>
    <row r="906">
      <c r="A906" t="inlineStr">
        <is>
          <t>SURF_TWEEN_20</t>
        </is>
      </c>
      <c r="B906" t="inlineStr">
        <is>
          <t>headgroup_type</t>
        </is>
      </c>
      <c r="C906" t="inlineStr">
        <is>
          <t>polyoxyethylene sorbitan ester</t>
        </is>
      </c>
      <c r="D906"/>
      <c r="E906"/>
      <c r="F906"/>
      <c r="G906" t="inlineStr">
        <is>
          <t>manual class annotation</t>
        </is>
      </c>
      <c r="H906" t="inlineStr">
        <is>
          <t>S011_CRODA_SPAN_TWEEN</t>
        </is>
      </c>
      <c r="I906" t="inlineStr">
        <is>
          <t>curated</t>
        </is>
      </c>
      <c r="J906">
        <v>0.75</v>
      </c>
      <c r="K906"/>
    </row>
    <row r="907">
      <c r="A907" t="inlineStr">
        <is>
          <t>SURF_TWEEN_20</t>
        </is>
      </c>
      <c r="B907" t="inlineStr">
        <is>
          <t>tail_chain</t>
        </is>
      </c>
      <c r="C907" t="inlineStr">
        <is>
          <t>C12:0 laurate + POE</t>
        </is>
      </c>
      <c r="D907"/>
      <c r="E907"/>
      <c r="F907"/>
      <c r="G907" t="inlineStr">
        <is>
          <t>fatty-chain annotation</t>
        </is>
      </c>
      <c r="H907" t="inlineStr">
        <is>
          <t>S011_CRODA_SPAN_TWEEN</t>
        </is>
      </c>
      <c r="I907" t="inlineStr">
        <is>
          <t>curated</t>
        </is>
      </c>
      <c r="J907">
        <v>0.8</v>
      </c>
      <c r="K907"/>
    </row>
    <row r="908">
      <c r="A908" t="inlineStr">
        <is>
          <t>SURF_TWEEN_20</t>
        </is>
      </c>
      <c r="B908" t="inlineStr">
        <is>
          <t>tail_carbons</t>
        </is>
      </c>
      <c r="C908">
        <v>12</v>
      </c>
      <c r="D908" t="inlineStr">
        <is>
          <t>count</t>
        </is>
      </c>
      <c r="E908"/>
      <c r="F908"/>
      <c r="G908" t="inlineStr">
        <is>
          <t>fatty-chain annotation</t>
        </is>
      </c>
      <c r="H908" t="inlineStr">
        <is>
          <t>S011_CRODA_SPAN_TWEEN</t>
        </is>
      </c>
      <c r="I908" t="inlineStr">
        <is>
          <t>curated</t>
        </is>
      </c>
      <c r="J908">
        <v>0.8</v>
      </c>
      <c r="K908"/>
    </row>
    <row r="909">
      <c r="A909" t="inlineStr">
        <is>
          <t>SURF_TWEEN_20</t>
        </is>
      </c>
      <c r="B909" t="inlineStr">
        <is>
          <t>tail_unsaturation</t>
        </is>
      </c>
      <c r="C909">
        <v>0</v>
      </c>
      <c r="D909" t="inlineStr">
        <is>
          <t>double_bonds</t>
        </is>
      </c>
      <c r="E909"/>
      <c r="F909"/>
      <c r="G909" t="inlineStr">
        <is>
          <t>fatty-chain annotation</t>
        </is>
      </c>
      <c r="H909" t="inlineStr">
        <is>
          <t>S011_CRODA_SPAN_TWEEN</t>
        </is>
      </c>
      <c r="I909" t="inlineStr">
        <is>
          <t>curated</t>
        </is>
      </c>
      <c r="J909">
        <v>0.8</v>
      </c>
      <c r="K909"/>
    </row>
    <row r="910">
      <c r="A910" t="inlineStr">
        <is>
          <t>SURF_TWEEN_20</t>
        </is>
      </c>
      <c r="B910" t="inlineStr">
        <is>
          <t>number_of_tails</t>
        </is>
      </c>
      <c r="C910">
        <v>1</v>
      </c>
      <c r="D910" t="inlineStr">
        <is>
          <t>count</t>
        </is>
      </c>
      <c r="E910"/>
      <c r="F910"/>
      <c r="G910" t="inlineStr">
        <is>
          <t>fatty-chain annotation</t>
        </is>
      </c>
      <c r="H910" t="inlineStr">
        <is>
          <t>S011_CRODA_SPAN_TWEEN</t>
        </is>
      </c>
      <c r="I910" t="inlineStr">
        <is>
          <t>curated</t>
        </is>
      </c>
      <c r="J910">
        <v>0.8</v>
      </c>
      <c r="K910"/>
    </row>
    <row r="911">
      <c r="A911" t="inlineStr">
        <is>
          <t>SURF_TWEEN_20</t>
        </is>
      </c>
      <c r="B911" t="inlineStr">
        <is>
          <t>charge_type</t>
        </is>
      </c>
      <c r="C911" t="inlineStr">
        <is>
          <t>nonionic</t>
        </is>
      </c>
      <c r="D911"/>
      <c r="E911"/>
      <c r="F911"/>
      <c r="G911" t="inlineStr">
        <is>
          <t>ionization class</t>
        </is>
      </c>
      <c r="H911" t="inlineStr">
        <is>
          <t>S011_CRODA_SPAN_TWEEN</t>
        </is>
      </c>
      <c r="I911" t="inlineStr">
        <is>
          <t>curated</t>
        </is>
      </c>
      <c r="J911">
        <v>0.85</v>
      </c>
      <c r="K911"/>
    </row>
    <row r="912">
      <c r="A912" t="inlineStr">
        <is>
          <t>SURF_TWEEN_20</t>
        </is>
      </c>
      <c r="B912" t="inlineStr">
        <is>
          <t>formal_charge</t>
        </is>
      </c>
      <c r="C912">
        <v>0</v>
      </c>
      <c r="D912" t="inlineStr">
        <is>
          <t>e</t>
        </is>
      </c>
      <c r="E912"/>
      <c r="F912"/>
      <c r="G912" t="inlineStr">
        <is>
          <t>nominal at neutral pH</t>
        </is>
      </c>
      <c r="H912" t="inlineStr">
        <is>
          <t>S011_CRODA_SPAN_TWEEN</t>
        </is>
      </c>
      <c r="I912" t="inlineStr">
        <is>
          <t>curated</t>
        </is>
      </c>
      <c r="J912">
        <v>0.85</v>
      </c>
      <c r="K912"/>
    </row>
    <row r="913">
      <c r="A913" t="inlineStr">
        <is>
          <t>SURF_TWEEN_20</t>
        </is>
      </c>
      <c r="B913" t="inlineStr">
        <is>
          <t>packing_role</t>
        </is>
      </c>
      <c r="C913" t="inlineStr">
        <is>
          <t>edge activator / micellar solubilizer</t>
        </is>
      </c>
      <c r="D913"/>
      <c r="E913"/>
      <c r="F913"/>
      <c r="G913" t="inlineStr">
        <is>
          <t>HLB/chain-rule heuristic</t>
        </is>
      </c>
      <c r="H913" t="inlineStr">
        <is>
          <t>S011_CRODA_SPAN_TWEEN</t>
        </is>
      </c>
      <c r="I913" t="inlineStr">
        <is>
          <t>curated</t>
        </is>
      </c>
      <c r="J913">
        <v>0.65</v>
      </c>
      <c r="K913"/>
    </row>
    <row r="914">
      <c r="A914" t="inlineStr">
        <is>
          <t>SURF_TWEEN_20</t>
        </is>
      </c>
      <c r="B914" t="inlineStr">
        <is>
          <t>edge_activator_flag</t>
        </is>
      </c>
      <c r="C914" t="inlineStr">
        <is>
          <t>yes</t>
        </is>
      </c>
      <c r="D914"/>
      <c r="E914"/>
      <c r="F914"/>
      <c r="G914" t="inlineStr">
        <is>
          <t>HLB/charge heuristic</t>
        </is>
      </c>
      <c r="H914" t="inlineStr">
        <is>
          <t>S011_CRODA_SPAN_TWEEN</t>
        </is>
      </c>
      <c r="I914" t="inlineStr">
        <is>
          <t>curated</t>
        </is>
      </c>
      <c r="J914">
        <v>0.7</v>
      </c>
      <c r="K914"/>
    </row>
    <row r="915">
      <c r="A915" t="inlineStr">
        <is>
          <t>SURF_TWEEN_20</t>
        </is>
      </c>
      <c r="B915" t="inlineStr">
        <is>
          <t>vesicle_anchor_flag</t>
        </is>
      </c>
      <c r="C915" t="inlineStr">
        <is>
          <t>weak/conditional</t>
        </is>
      </c>
      <c r="D915"/>
      <c r="E915"/>
      <c r="F915"/>
      <c r="G915" t="inlineStr">
        <is>
          <t>chain-length and HLB heuristic</t>
        </is>
      </c>
      <c r="H915" t="inlineStr">
        <is>
          <t>S011_CRODA_SPAN_TWEEN</t>
        </is>
      </c>
      <c r="I915" t="inlineStr">
        <is>
          <t>curated</t>
        </is>
      </c>
      <c r="J915">
        <v>0.7</v>
      </c>
      <c r="K915"/>
    </row>
    <row r="916">
      <c r="A916" t="inlineStr">
        <is>
          <t>SURF_TWEEN_20</t>
        </is>
      </c>
      <c r="B916" t="inlineStr">
        <is>
          <t>micellization_risk_flag</t>
        </is>
      </c>
      <c r="C916" t="inlineStr">
        <is>
          <t>high</t>
        </is>
      </c>
      <c r="D916"/>
      <c r="E916"/>
      <c r="F916"/>
      <c r="G916" t="inlineStr">
        <is>
          <t>HLB heuristic</t>
        </is>
      </c>
      <c r="H916" t="inlineStr">
        <is>
          <t>S011_CRODA_SPAN_TWEEN</t>
        </is>
      </c>
      <c r="I916" t="inlineStr">
        <is>
          <t>curated</t>
        </is>
      </c>
      <c r="J916">
        <v>0.65</v>
      </c>
      <c r="K916"/>
    </row>
    <row r="917">
      <c r="A917" t="inlineStr">
        <is>
          <t>SURF_TWEEN_20</t>
        </is>
      </c>
      <c r="B917" t="inlineStr">
        <is>
          <t>route_suitability</t>
        </is>
      </c>
      <c r="C917" t="inlineStr">
        <is>
          <t>oral/topical; parenteral/inhalation only if grade and safety justified</t>
        </is>
      </c>
      <c r="D917"/>
      <c r="E917"/>
      <c r="F917"/>
      <c r="G917" t="inlineStr">
        <is>
          <t>route precedent heuristic</t>
        </is>
      </c>
      <c r="H917" t="inlineStr">
        <is>
          <t>S008_FDA_IID</t>
        </is>
      </c>
      <c r="I917" t="inlineStr">
        <is>
          <t>curated</t>
        </is>
      </c>
      <c r="J917">
        <v>0.55</v>
      </c>
      <c r="K917"/>
    </row>
    <row r="918">
      <c r="A918" t="inlineStr">
        <is>
          <t>SURF_TWEEN_20</t>
        </is>
      </c>
      <c r="B918" t="inlineStr">
        <is>
          <t>toxicity_or_irritancy_notes</t>
        </is>
      </c>
      <c r="C918" t="inlineStr">
        <is>
          <t>surfactant irritation/hemolysis is concentration-, route-, and grade-dependent; screen cytotoxicity and osmolality</t>
        </is>
      </c>
      <c r="D918"/>
      <c r="E918"/>
      <c r="F918"/>
      <c r="G918"/>
      <c r="H918" t="inlineStr">
        <is>
          <t>S007_EXCIPIENTS_HANDBOOK</t>
        </is>
      </c>
      <c r="I918" t="inlineStr">
        <is>
          <t>curated</t>
        </is>
      </c>
      <c r="J918">
        <v>0.7</v>
      </c>
      <c r="K918"/>
    </row>
    <row r="919">
      <c r="A919" t="inlineStr">
        <is>
          <t>SURF_TWEEN_20</t>
        </is>
      </c>
      <c r="B919" t="inlineStr">
        <is>
          <t>Hansen_delta_D</t>
        </is>
      </c>
      <c r="C919">
        <v>17.2</v>
      </c>
      <c r="D919" t="inlineStr">
        <is>
          <t>MPa^0.5</t>
        </is>
      </c>
      <c r="E919"/>
      <c r="F919"/>
      <c r="G919" t="inlineStr">
        <is>
          <t>heuristic group-contribution/nearest-neighbour</t>
        </is>
      </c>
      <c r="H919" t="inlineStr">
        <is>
          <t>S013_EST_HSP_HEURISTIC</t>
        </is>
      </c>
      <c r="I919" t="inlineStr">
        <is>
          <t>estimated</t>
        </is>
      </c>
      <c r="J919">
        <v>0.4</v>
      </c>
      <c r="K919" t="inlineStr">
        <is>
          <t>Provisional HSP for screening; replace with experimental/literature value before model lock.</t>
        </is>
      </c>
    </row>
    <row r="920">
      <c r="A920" t="inlineStr">
        <is>
          <t>SURF_TWEEN_20</t>
        </is>
      </c>
      <c r="B920" t="inlineStr">
        <is>
          <t>Hansen_delta_P</t>
        </is>
      </c>
      <c r="C920">
        <v>8.5</v>
      </c>
      <c r="D920" t="inlineStr">
        <is>
          <t>MPa^0.5</t>
        </is>
      </c>
      <c r="E920"/>
      <c r="F920"/>
      <c r="G920" t="inlineStr">
        <is>
          <t>heuristic group-contribution/nearest-neighbour</t>
        </is>
      </c>
      <c r="H920" t="inlineStr">
        <is>
          <t>S013_EST_HSP_HEURISTIC</t>
        </is>
      </c>
      <c r="I920" t="inlineStr">
        <is>
          <t>estimated</t>
        </is>
      </c>
      <c r="J920">
        <v>0.4</v>
      </c>
      <c r="K920" t="inlineStr">
        <is>
          <t>Provisional HSP for screening; replace with experimental/literature value before model lock.</t>
        </is>
      </c>
    </row>
    <row r="921">
      <c r="A921" t="inlineStr">
        <is>
          <t>SURF_TWEEN_20</t>
        </is>
      </c>
      <c r="B921" t="inlineStr">
        <is>
          <t>Hansen_delta_H</t>
        </is>
      </c>
      <c r="C921">
        <v>14.0</v>
      </c>
      <c r="D921" t="inlineStr">
        <is>
          <t>MPa^0.5</t>
        </is>
      </c>
      <c r="E921"/>
      <c r="F921"/>
      <c r="G921" t="inlineStr">
        <is>
          <t>heuristic group-contribution/nearest-neighbour</t>
        </is>
      </c>
      <c r="H921" t="inlineStr">
        <is>
          <t>S013_EST_HSP_HEURISTIC</t>
        </is>
      </c>
      <c r="I921" t="inlineStr">
        <is>
          <t>estimated</t>
        </is>
      </c>
      <c r="J921">
        <v>0.4</v>
      </c>
      <c r="K921" t="inlineStr">
        <is>
          <t>Provisional HSP for screening; replace with experimental/literature value before model lock.</t>
        </is>
      </c>
    </row>
    <row r="922">
      <c r="A922" t="inlineStr">
        <is>
          <t>SURF_TWEEN_20</t>
        </is>
      </c>
      <c r="B922" t="inlineStr">
        <is>
          <t>Hildebrand_delta_T</t>
        </is>
      </c>
      <c r="C922">
        <v>23.75</v>
      </c>
      <c r="D922" t="inlineStr">
        <is>
          <t>MPa^0.5</t>
        </is>
      </c>
      <c r="E922"/>
      <c r="F922"/>
      <c r="G922" t="inlineStr">
        <is>
          <t>sqrt(deltaD^2+deltaP^2+deltaH^2)</t>
        </is>
      </c>
      <c r="H922" t="inlineStr">
        <is>
          <t>S012_CALCULATED</t>
        </is>
      </c>
      <c r="I922" t="inlineStr">
        <is>
          <t>calculated</t>
        </is>
      </c>
      <c r="J922">
        <v>0.45</v>
      </c>
      <c r="K922" t="inlineStr">
        <is>
          <t>Derived from stored Hansen components.</t>
        </is>
      </c>
    </row>
    <row r="923">
      <c r="A923" t="inlineStr">
        <is>
          <t>SURF_TWEEN_20</t>
        </is>
      </c>
      <c r="B923" t="inlineStr">
        <is>
          <t>HSP_radius_R0</t>
        </is>
      </c>
      <c r="C923">
        <v>9.0</v>
      </c>
      <c r="D923" t="inlineStr">
        <is>
          <t>MPa^0.5</t>
        </is>
      </c>
      <c r="E923"/>
      <c r="F923"/>
      <c r="G923" t="inlineStr">
        <is>
          <t>literature/heuristic solubility sphere</t>
        </is>
      </c>
      <c r="H923" t="inlineStr">
        <is>
          <t>S013_EST_HSP_HEURISTIC</t>
        </is>
      </c>
      <c r="I923" t="inlineStr">
        <is>
          <t>estimated</t>
        </is>
      </c>
      <c r="J923">
        <v>0.4</v>
      </c>
      <c r="K923" t="inlineStr">
        <is>
          <t>Screening radius only unless experimentally determined.</t>
        </is>
      </c>
    </row>
    <row r="924">
      <c r="A924" t="inlineStr">
        <is>
          <t>SURF_TWEEN_20</t>
        </is>
      </c>
      <c r="B924" t="inlineStr">
        <is>
          <t>molar_volume_cm3_mol</t>
        </is>
      </c>
      <c r="C924">
        <v>1169.05</v>
      </c>
      <c r="D924" t="inlineStr">
        <is>
          <t>cm3/mol</t>
        </is>
      </c>
      <c r="E924"/>
      <c r="F924"/>
      <c r="G924" t="inlineStr">
        <is>
          <t>MW/density estimate</t>
        </is>
      </c>
      <c r="H924" t="inlineStr">
        <is>
          <t>S012_CALCULATED</t>
        </is>
      </c>
      <c r="I924" t="inlineStr">
        <is>
          <t>estimated</t>
        </is>
      </c>
      <c r="J924">
        <v>0.42</v>
      </c>
      <c r="K924" t="inlineStr">
        <is>
          <t>Estimated from MW/density; replace with measured molar volume or density-specific grade data.</t>
        </is>
      </c>
    </row>
    <row r="925">
      <c r="A925" t="inlineStr">
        <is>
          <t>SURF_TWEEN_20</t>
        </is>
      </c>
      <c r="B925" t="inlineStr">
        <is>
          <t>headgroup_area_nm2</t>
        </is>
      </c>
      <c r="C925">
        <v>0.731</v>
      </c>
      <c r="D925" t="inlineStr">
        <is>
          <t>nm2</t>
        </is>
      </c>
      <c r="E925"/>
      <c r="F925"/>
      <c r="G925" t="inlineStr">
        <is>
          <t>CPP screening heuristic</t>
        </is>
      </c>
      <c r="H925" t="inlineStr">
        <is>
          <t>S013_EST_HSP_HEURISTIC</t>
        </is>
      </c>
      <c r="I925" t="inlineStr">
        <is>
          <t>estimated</t>
        </is>
      </c>
      <c r="J925">
        <v>0.35</v>
      </c>
      <c r="K925" t="inlineStr">
        <is>
          <t>Replace with monolayer or MD-derived area per molecule for publication-grade CPP.</t>
        </is>
      </c>
    </row>
    <row r="926">
      <c r="A926" t="inlineStr">
        <is>
          <t>SURF_TWEEN_21</t>
        </is>
      </c>
      <c r="B926" t="inlineStr">
        <is>
          <t>molecular_weight_g_mol</t>
        </is>
      </c>
      <c r="C926">
        <v>970</v>
      </c>
      <c r="D926" t="inlineStr">
        <is>
          <t>g/mol</t>
        </is>
      </c>
      <c r="E926"/>
      <c r="F926"/>
      <c r="G926" t="inlineStr">
        <is>
          <t>supplier/handbook average for mixtures</t>
        </is>
      </c>
      <c r="H926" t="inlineStr">
        <is>
          <t>S011_CRODA_SPAN_TWEEN</t>
        </is>
      </c>
      <c r="I926" t="inlineStr">
        <is>
          <t>supplier-reported</t>
        </is>
      </c>
      <c r="J926">
        <v>0.65</v>
      </c>
      <c r="K926"/>
    </row>
    <row r="927">
      <c r="A927" t="inlineStr">
        <is>
          <t>SURF_TWEEN_21</t>
        </is>
      </c>
      <c r="B927" t="inlineStr">
        <is>
          <t>HLB</t>
        </is>
      </c>
      <c r="C927">
        <v>13.3</v>
      </c>
      <c r="D927" t="inlineStr">
        <is>
          <t>HLB</t>
        </is>
      </c>
      <c r="E927"/>
      <c r="F927"/>
      <c r="G927" t="inlineStr">
        <is>
          <t>Griffin/Davies HLB literature/supplier value</t>
        </is>
      </c>
      <c r="H927" t="inlineStr">
        <is>
          <t>S011_CRODA_SPAN_TWEEN</t>
        </is>
      </c>
      <c r="I927" t="inlineStr">
        <is>
          <t>supplier-reported</t>
        </is>
      </c>
      <c r="J927">
        <v>0.75</v>
      </c>
      <c r="K927" t="inlineStr">
        <is>
          <t>Grade-dependent; use supplier CoA when available.</t>
        </is>
      </c>
    </row>
    <row r="928">
      <c r="A928" t="inlineStr">
        <is>
          <t>SURF_TWEEN_21</t>
        </is>
      </c>
      <c r="B928" t="inlineStr">
        <is>
          <t>headgroup_type</t>
        </is>
      </c>
      <c r="C928" t="inlineStr">
        <is>
          <t>polyoxyethylene sorbitan ester</t>
        </is>
      </c>
      <c r="D928"/>
      <c r="E928"/>
      <c r="F928"/>
      <c r="G928" t="inlineStr">
        <is>
          <t>manual class annotation</t>
        </is>
      </c>
      <c r="H928" t="inlineStr">
        <is>
          <t>S011_CRODA_SPAN_TWEEN</t>
        </is>
      </c>
      <c r="I928" t="inlineStr">
        <is>
          <t>curated</t>
        </is>
      </c>
      <c r="J928">
        <v>0.75</v>
      </c>
      <c r="K928"/>
    </row>
    <row r="929">
      <c r="A929" t="inlineStr">
        <is>
          <t>SURF_TWEEN_21</t>
        </is>
      </c>
      <c r="B929" t="inlineStr">
        <is>
          <t>tail_chain</t>
        </is>
      </c>
      <c r="C929" t="inlineStr">
        <is>
          <t>C12:0 laurate + POE</t>
        </is>
      </c>
      <c r="D929"/>
      <c r="E929"/>
      <c r="F929"/>
      <c r="G929" t="inlineStr">
        <is>
          <t>fatty-chain annotation</t>
        </is>
      </c>
      <c r="H929" t="inlineStr">
        <is>
          <t>S011_CRODA_SPAN_TWEEN</t>
        </is>
      </c>
      <c r="I929" t="inlineStr">
        <is>
          <t>curated</t>
        </is>
      </c>
      <c r="J929">
        <v>0.8</v>
      </c>
      <c r="K929"/>
    </row>
    <row r="930">
      <c r="A930" t="inlineStr">
        <is>
          <t>SURF_TWEEN_21</t>
        </is>
      </c>
      <c r="B930" t="inlineStr">
        <is>
          <t>tail_carbons</t>
        </is>
      </c>
      <c r="C930">
        <v>12</v>
      </c>
      <c r="D930" t="inlineStr">
        <is>
          <t>count</t>
        </is>
      </c>
      <c r="E930"/>
      <c r="F930"/>
      <c r="G930" t="inlineStr">
        <is>
          <t>fatty-chain annotation</t>
        </is>
      </c>
      <c r="H930" t="inlineStr">
        <is>
          <t>S011_CRODA_SPAN_TWEEN</t>
        </is>
      </c>
      <c r="I930" t="inlineStr">
        <is>
          <t>curated</t>
        </is>
      </c>
      <c r="J930">
        <v>0.8</v>
      </c>
      <c r="K930"/>
    </row>
    <row r="931">
      <c r="A931" t="inlineStr">
        <is>
          <t>SURF_TWEEN_21</t>
        </is>
      </c>
      <c r="B931" t="inlineStr">
        <is>
          <t>tail_unsaturation</t>
        </is>
      </c>
      <c r="C931">
        <v>0</v>
      </c>
      <c r="D931" t="inlineStr">
        <is>
          <t>double_bonds</t>
        </is>
      </c>
      <c r="E931"/>
      <c r="F931"/>
      <c r="G931" t="inlineStr">
        <is>
          <t>fatty-chain annotation</t>
        </is>
      </c>
      <c r="H931" t="inlineStr">
        <is>
          <t>S011_CRODA_SPAN_TWEEN</t>
        </is>
      </c>
      <c r="I931" t="inlineStr">
        <is>
          <t>curated</t>
        </is>
      </c>
      <c r="J931">
        <v>0.8</v>
      </c>
      <c r="K931"/>
    </row>
    <row r="932">
      <c r="A932" t="inlineStr">
        <is>
          <t>SURF_TWEEN_21</t>
        </is>
      </c>
      <c r="B932" t="inlineStr">
        <is>
          <t>number_of_tails</t>
        </is>
      </c>
      <c r="C932">
        <v>1</v>
      </c>
      <c r="D932" t="inlineStr">
        <is>
          <t>count</t>
        </is>
      </c>
      <c r="E932"/>
      <c r="F932"/>
      <c r="G932" t="inlineStr">
        <is>
          <t>fatty-chain annotation</t>
        </is>
      </c>
      <c r="H932" t="inlineStr">
        <is>
          <t>S011_CRODA_SPAN_TWEEN</t>
        </is>
      </c>
      <c r="I932" t="inlineStr">
        <is>
          <t>curated</t>
        </is>
      </c>
      <c r="J932">
        <v>0.8</v>
      </c>
      <c r="K932"/>
    </row>
    <row r="933">
      <c r="A933" t="inlineStr">
        <is>
          <t>SURF_TWEEN_21</t>
        </is>
      </c>
      <c r="B933" t="inlineStr">
        <is>
          <t>charge_type</t>
        </is>
      </c>
      <c r="C933" t="inlineStr">
        <is>
          <t>nonionic</t>
        </is>
      </c>
      <c r="D933"/>
      <c r="E933"/>
      <c r="F933"/>
      <c r="G933" t="inlineStr">
        <is>
          <t>ionization class</t>
        </is>
      </c>
      <c r="H933" t="inlineStr">
        <is>
          <t>S011_CRODA_SPAN_TWEEN</t>
        </is>
      </c>
      <c r="I933" t="inlineStr">
        <is>
          <t>curated</t>
        </is>
      </c>
      <c r="J933">
        <v>0.85</v>
      </c>
      <c r="K933"/>
    </row>
    <row r="934">
      <c r="A934" t="inlineStr">
        <is>
          <t>SURF_TWEEN_21</t>
        </is>
      </c>
      <c r="B934" t="inlineStr">
        <is>
          <t>formal_charge</t>
        </is>
      </c>
      <c r="C934">
        <v>0</v>
      </c>
      <c r="D934" t="inlineStr">
        <is>
          <t>e</t>
        </is>
      </c>
      <c r="E934"/>
      <c r="F934"/>
      <c r="G934" t="inlineStr">
        <is>
          <t>nominal at neutral pH</t>
        </is>
      </c>
      <c r="H934" t="inlineStr">
        <is>
          <t>S011_CRODA_SPAN_TWEEN</t>
        </is>
      </c>
      <c r="I934" t="inlineStr">
        <is>
          <t>curated</t>
        </is>
      </c>
      <c r="J934">
        <v>0.85</v>
      </c>
      <c r="K934"/>
    </row>
    <row r="935">
      <c r="A935" t="inlineStr">
        <is>
          <t>SURF_TWEEN_21</t>
        </is>
      </c>
      <c r="B935" t="inlineStr">
        <is>
          <t>packing_role</t>
        </is>
      </c>
      <c r="C935" t="inlineStr">
        <is>
          <t>edge activator / micellar solubilizer</t>
        </is>
      </c>
      <c r="D935"/>
      <c r="E935"/>
      <c r="F935"/>
      <c r="G935" t="inlineStr">
        <is>
          <t>HLB/chain-rule heuristic</t>
        </is>
      </c>
      <c r="H935" t="inlineStr">
        <is>
          <t>S011_CRODA_SPAN_TWEEN</t>
        </is>
      </c>
      <c r="I935" t="inlineStr">
        <is>
          <t>curated</t>
        </is>
      </c>
      <c r="J935">
        <v>0.65</v>
      </c>
      <c r="K935"/>
    </row>
    <row r="936">
      <c r="A936" t="inlineStr">
        <is>
          <t>SURF_TWEEN_21</t>
        </is>
      </c>
      <c r="B936" t="inlineStr">
        <is>
          <t>edge_activator_flag</t>
        </is>
      </c>
      <c r="C936" t="inlineStr">
        <is>
          <t>yes</t>
        </is>
      </c>
      <c r="D936"/>
      <c r="E936"/>
      <c r="F936"/>
      <c r="G936" t="inlineStr">
        <is>
          <t>HLB/charge heuristic</t>
        </is>
      </c>
      <c r="H936" t="inlineStr">
        <is>
          <t>S011_CRODA_SPAN_TWEEN</t>
        </is>
      </c>
      <c r="I936" t="inlineStr">
        <is>
          <t>curated</t>
        </is>
      </c>
      <c r="J936">
        <v>0.7</v>
      </c>
      <c r="K936"/>
    </row>
    <row r="937">
      <c r="A937" t="inlineStr">
        <is>
          <t>SURF_TWEEN_21</t>
        </is>
      </c>
      <c r="B937" t="inlineStr">
        <is>
          <t>vesicle_anchor_flag</t>
        </is>
      </c>
      <c r="C937" t="inlineStr">
        <is>
          <t>weak/conditional</t>
        </is>
      </c>
      <c r="D937"/>
      <c r="E937"/>
      <c r="F937"/>
      <c r="G937" t="inlineStr">
        <is>
          <t>chain-length and HLB heuristic</t>
        </is>
      </c>
      <c r="H937" t="inlineStr">
        <is>
          <t>S011_CRODA_SPAN_TWEEN</t>
        </is>
      </c>
      <c r="I937" t="inlineStr">
        <is>
          <t>curated</t>
        </is>
      </c>
      <c r="J937">
        <v>0.7</v>
      </c>
      <c r="K937"/>
    </row>
    <row r="938">
      <c r="A938" t="inlineStr">
        <is>
          <t>SURF_TWEEN_21</t>
        </is>
      </c>
      <c r="B938" t="inlineStr">
        <is>
          <t>micellization_risk_flag</t>
        </is>
      </c>
      <c r="C938" t="inlineStr">
        <is>
          <t>high</t>
        </is>
      </c>
      <c r="D938"/>
      <c r="E938"/>
      <c r="F938"/>
      <c r="G938" t="inlineStr">
        <is>
          <t>HLB heuristic</t>
        </is>
      </c>
      <c r="H938" t="inlineStr">
        <is>
          <t>S011_CRODA_SPAN_TWEEN</t>
        </is>
      </c>
      <c r="I938" t="inlineStr">
        <is>
          <t>curated</t>
        </is>
      </c>
      <c r="J938">
        <v>0.65</v>
      </c>
      <c r="K938"/>
    </row>
    <row r="939">
      <c r="A939" t="inlineStr">
        <is>
          <t>SURF_TWEEN_21</t>
        </is>
      </c>
      <c r="B939" t="inlineStr">
        <is>
          <t>route_suitability</t>
        </is>
      </c>
      <c r="C939" t="inlineStr">
        <is>
          <t>oral/topical; parenteral/inhalation only if grade and safety justified</t>
        </is>
      </c>
      <c r="D939"/>
      <c r="E939"/>
      <c r="F939"/>
      <c r="G939" t="inlineStr">
        <is>
          <t>route precedent heuristic</t>
        </is>
      </c>
      <c r="H939" t="inlineStr">
        <is>
          <t>S008_FDA_IID</t>
        </is>
      </c>
      <c r="I939" t="inlineStr">
        <is>
          <t>curated</t>
        </is>
      </c>
      <c r="J939">
        <v>0.55</v>
      </c>
      <c r="K939"/>
    </row>
    <row r="940">
      <c r="A940" t="inlineStr">
        <is>
          <t>SURF_TWEEN_21</t>
        </is>
      </c>
      <c r="B940" t="inlineStr">
        <is>
          <t>toxicity_or_irritancy_notes</t>
        </is>
      </c>
      <c r="C940" t="inlineStr">
        <is>
          <t>surfactant irritation/hemolysis is concentration-, route-, and grade-dependent; screen cytotoxicity and osmolality</t>
        </is>
      </c>
      <c r="D940"/>
      <c r="E940"/>
      <c r="F940"/>
      <c r="G940"/>
      <c r="H940" t="inlineStr">
        <is>
          <t>S007_EXCIPIENTS_HANDBOOK</t>
        </is>
      </c>
      <c r="I940" t="inlineStr">
        <is>
          <t>curated</t>
        </is>
      </c>
      <c r="J940">
        <v>0.7</v>
      </c>
      <c r="K940"/>
    </row>
    <row r="941">
      <c r="A941" t="inlineStr">
        <is>
          <t>SURF_TWEEN_21</t>
        </is>
      </c>
      <c r="B941" t="inlineStr">
        <is>
          <t>Hansen_delta_D</t>
        </is>
      </c>
      <c r="C941">
        <v>17.3</v>
      </c>
      <c r="D941" t="inlineStr">
        <is>
          <t>MPa^0.5</t>
        </is>
      </c>
      <c r="E941"/>
      <c r="F941"/>
      <c r="G941" t="inlineStr">
        <is>
          <t>heuristic group-contribution/nearest-neighbour</t>
        </is>
      </c>
      <c r="H941" t="inlineStr">
        <is>
          <t>S013_EST_HSP_HEURISTIC</t>
        </is>
      </c>
      <c r="I941" t="inlineStr">
        <is>
          <t>estimated</t>
        </is>
      </c>
      <c r="J941">
        <v>0.4</v>
      </c>
      <c r="K941" t="inlineStr">
        <is>
          <t>Provisional HSP for screening; replace with experimental/literature value before model lock.</t>
        </is>
      </c>
    </row>
    <row r="942">
      <c r="A942" t="inlineStr">
        <is>
          <t>SURF_TWEEN_21</t>
        </is>
      </c>
      <c r="B942" t="inlineStr">
        <is>
          <t>Hansen_delta_P</t>
        </is>
      </c>
      <c r="C942">
        <v>6.5</v>
      </c>
      <c r="D942" t="inlineStr">
        <is>
          <t>MPa^0.5</t>
        </is>
      </c>
      <c r="E942"/>
      <c r="F942"/>
      <c r="G942" t="inlineStr">
        <is>
          <t>heuristic group-contribution/nearest-neighbour</t>
        </is>
      </c>
      <c r="H942" t="inlineStr">
        <is>
          <t>S013_EST_HSP_HEURISTIC</t>
        </is>
      </c>
      <c r="I942" t="inlineStr">
        <is>
          <t>estimated</t>
        </is>
      </c>
      <c r="J942">
        <v>0.4</v>
      </c>
      <c r="K942" t="inlineStr">
        <is>
          <t>Provisional HSP for screening; replace with experimental/literature value before model lock.</t>
        </is>
      </c>
    </row>
    <row r="943">
      <c r="A943" t="inlineStr">
        <is>
          <t>SURF_TWEEN_21</t>
        </is>
      </c>
      <c r="B943" t="inlineStr">
        <is>
          <t>Hansen_delta_H</t>
        </is>
      </c>
      <c r="C943">
        <v>10.5</v>
      </c>
      <c r="D943" t="inlineStr">
        <is>
          <t>MPa^0.5</t>
        </is>
      </c>
      <c r="E943"/>
      <c r="F943"/>
      <c r="G943" t="inlineStr">
        <is>
          <t>heuristic group-contribution/nearest-neighbour</t>
        </is>
      </c>
      <c r="H943" t="inlineStr">
        <is>
          <t>S013_EST_HSP_HEURISTIC</t>
        </is>
      </c>
      <c r="I943" t="inlineStr">
        <is>
          <t>estimated</t>
        </is>
      </c>
      <c r="J943">
        <v>0.4</v>
      </c>
      <c r="K943" t="inlineStr">
        <is>
          <t>Provisional HSP for screening; replace with experimental/literature value before model lock.</t>
        </is>
      </c>
    </row>
    <row r="944">
      <c r="A944" t="inlineStr">
        <is>
          <t>SURF_TWEEN_21</t>
        </is>
      </c>
      <c r="B944" t="inlineStr">
        <is>
          <t>Hildebrand_delta_T</t>
        </is>
      </c>
      <c r="C944">
        <v>21.26</v>
      </c>
      <c r="D944" t="inlineStr">
        <is>
          <t>MPa^0.5</t>
        </is>
      </c>
      <c r="E944"/>
      <c r="F944"/>
      <c r="G944" t="inlineStr">
        <is>
          <t>sqrt(deltaD^2+deltaP^2+deltaH^2)</t>
        </is>
      </c>
      <c r="H944" t="inlineStr">
        <is>
          <t>S012_CALCULATED</t>
        </is>
      </c>
      <c r="I944" t="inlineStr">
        <is>
          <t>calculated</t>
        </is>
      </c>
      <c r="J944">
        <v>0.45</v>
      </c>
      <c r="K944" t="inlineStr">
        <is>
          <t>Derived from stored Hansen components.</t>
        </is>
      </c>
    </row>
    <row r="945">
      <c r="A945" t="inlineStr">
        <is>
          <t>SURF_TWEEN_21</t>
        </is>
      </c>
      <c r="B945" t="inlineStr">
        <is>
          <t>HSP_radius_R0</t>
        </is>
      </c>
      <c r="C945">
        <v>8.0</v>
      </c>
      <c r="D945" t="inlineStr">
        <is>
          <t>MPa^0.5</t>
        </is>
      </c>
      <c r="E945"/>
      <c r="F945"/>
      <c r="G945" t="inlineStr">
        <is>
          <t>literature/heuristic solubility sphere</t>
        </is>
      </c>
      <c r="H945" t="inlineStr">
        <is>
          <t>S013_EST_HSP_HEURISTIC</t>
        </is>
      </c>
      <c r="I945" t="inlineStr">
        <is>
          <t>estimated</t>
        </is>
      </c>
      <c r="J945">
        <v>0.4</v>
      </c>
      <c r="K945" t="inlineStr">
        <is>
          <t>Screening radius only unless experimentally determined.</t>
        </is>
      </c>
    </row>
    <row r="946">
      <c r="A946" t="inlineStr">
        <is>
          <t>SURF_TWEEN_21</t>
        </is>
      </c>
      <c r="B946" t="inlineStr">
        <is>
          <t>molar_volume_cm3_mol</t>
        </is>
      </c>
      <c r="C946">
        <v>923.81</v>
      </c>
      <c r="D946" t="inlineStr">
        <is>
          <t>cm3/mol</t>
        </is>
      </c>
      <c r="E946"/>
      <c r="F946"/>
      <c r="G946" t="inlineStr">
        <is>
          <t>MW/density estimate</t>
        </is>
      </c>
      <c r="H946" t="inlineStr">
        <is>
          <t>S012_CALCULATED</t>
        </is>
      </c>
      <c r="I946" t="inlineStr">
        <is>
          <t>estimated</t>
        </is>
      </c>
      <c r="J946">
        <v>0.42</v>
      </c>
      <c r="K946" t="inlineStr">
        <is>
          <t>Estimated from MW/density; replace with measured molar volume or density-specific grade data.</t>
        </is>
      </c>
    </row>
    <row r="947">
      <c r="A947" t="inlineStr">
        <is>
          <t>SURF_TWEEN_21</t>
        </is>
      </c>
      <c r="B947" t="inlineStr">
        <is>
          <t>headgroup_area_nm2</t>
        </is>
      </c>
      <c r="C947">
        <v>0.669</v>
      </c>
      <c r="D947" t="inlineStr">
        <is>
          <t>nm2</t>
        </is>
      </c>
      <c r="E947"/>
      <c r="F947"/>
      <c r="G947" t="inlineStr">
        <is>
          <t>CPP screening heuristic</t>
        </is>
      </c>
      <c r="H947" t="inlineStr">
        <is>
          <t>S013_EST_HSP_HEURISTIC</t>
        </is>
      </c>
      <c r="I947" t="inlineStr">
        <is>
          <t>estimated</t>
        </is>
      </c>
      <c r="J947">
        <v>0.35</v>
      </c>
      <c r="K947" t="inlineStr">
        <is>
          <t>Replace with monolayer or MD-derived area per molecule for publication-grade CPP.</t>
        </is>
      </c>
    </row>
    <row r="948">
      <c r="A948" t="inlineStr">
        <is>
          <t>SURF_TWEEN_40</t>
        </is>
      </c>
      <c r="B948" t="inlineStr">
        <is>
          <t>molecular_weight_g_mol</t>
        </is>
      </c>
      <c r="C948">
        <v>1284</v>
      </c>
      <c r="D948" t="inlineStr">
        <is>
          <t>g/mol</t>
        </is>
      </c>
      <c r="E948"/>
      <c r="F948"/>
      <c r="G948" t="inlineStr">
        <is>
          <t>supplier/handbook average for mixtures</t>
        </is>
      </c>
      <c r="H948" t="inlineStr">
        <is>
          <t>S011_CRODA_SPAN_TWEEN</t>
        </is>
      </c>
      <c r="I948" t="inlineStr">
        <is>
          <t>supplier-reported</t>
        </is>
      </c>
      <c r="J948">
        <v>0.65</v>
      </c>
      <c r="K948"/>
    </row>
    <row r="949">
      <c r="A949" t="inlineStr">
        <is>
          <t>SURF_TWEEN_40</t>
        </is>
      </c>
      <c r="B949" t="inlineStr">
        <is>
          <t>HLB</t>
        </is>
      </c>
      <c r="C949">
        <v>15.6</v>
      </c>
      <c r="D949" t="inlineStr">
        <is>
          <t>HLB</t>
        </is>
      </c>
      <c r="E949"/>
      <c r="F949"/>
      <c r="G949" t="inlineStr">
        <is>
          <t>Griffin/Davies HLB literature/supplier value</t>
        </is>
      </c>
      <c r="H949" t="inlineStr">
        <is>
          <t>S011_CRODA_SPAN_TWEEN</t>
        </is>
      </c>
      <c r="I949" t="inlineStr">
        <is>
          <t>supplier-reported</t>
        </is>
      </c>
      <c r="J949">
        <v>0.75</v>
      </c>
      <c r="K949" t="inlineStr">
        <is>
          <t>Grade-dependent; use supplier CoA when available.</t>
        </is>
      </c>
    </row>
    <row r="950">
      <c r="A950" t="inlineStr">
        <is>
          <t>SURF_TWEEN_40</t>
        </is>
      </c>
      <c r="B950" t="inlineStr">
        <is>
          <t>headgroup_type</t>
        </is>
      </c>
      <c r="C950" t="inlineStr">
        <is>
          <t>polyoxyethylene sorbitan ester</t>
        </is>
      </c>
      <c r="D950"/>
      <c r="E950"/>
      <c r="F950"/>
      <c r="G950" t="inlineStr">
        <is>
          <t>manual class annotation</t>
        </is>
      </c>
      <c r="H950" t="inlineStr">
        <is>
          <t>S011_CRODA_SPAN_TWEEN</t>
        </is>
      </c>
      <c r="I950" t="inlineStr">
        <is>
          <t>curated</t>
        </is>
      </c>
      <c r="J950">
        <v>0.75</v>
      </c>
      <c r="K950"/>
    </row>
    <row r="951">
      <c r="A951" t="inlineStr">
        <is>
          <t>SURF_TWEEN_40</t>
        </is>
      </c>
      <c r="B951" t="inlineStr">
        <is>
          <t>tail_chain</t>
        </is>
      </c>
      <c r="C951" t="inlineStr">
        <is>
          <t>C16:0 palmitate + POE</t>
        </is>
      </c>
      <c r="D951"/>
      <c r="E951"/>
      <c r="F951"/>
      <c r="G951" t="inlineStr">
        <is>
          <t>fatty-chain annotation</t>
        </is>
      </c>
      <c r="H951" t="inlineStr">
        <is>
          <t>S011_CRODA_SPAN_TWEEN</t>
        </is>
      </c>
      <c r="I951" t="inlineStr">
        <is>
          <t>curated</t>
        </is>
      </c>
      <c r="J951">
        <v>0.8</v>
      </c>
      <c r="K951"/>
    </row>
    <row r="952">
      <c r="A952" t="inlineStr">
        <is>
          <t>SURF_TWEEN_40</t>
        </is>
      </c>
      <c r="B952" t="inlineStr">
        <is>
          <t>tail_carbons</t>
        </is>
      </c>
      <c r="C952">
        <v>16</v>
      </c>
      <c r="D952" t="inlineStr">
        <is>
          <t>count</t>
        </is>
      </c>
      <c r="E952"/>
      <c r="F952"/>
      <c r="G952" t="inlineStr">
        <is>
          <t>fatty-chain annotation</t>
        </is>
      </c>
      <c r="H952" t="inlineStr">
        <is>
          <t>S011_CRODA_SPAN_TWEEN</t>
        </is>
      </c>
      <c r="I952" t="inlineStr">
        <is>
          <t>curated</t>
        </is>
      </c>
      <c r="J952">
        <v>0.8</v>
      </c>
      <c r="K952"/>
    </row>
    <row r="953">
      <c r="A953" t="inlineStr">
        <is>
          <t>SURF_TWEEN_40</t>
        </is>
      </c>
      <c r="B953" t="inlineStr">
        <is>
          <t>tail_unsaturation</t>
        </is>
      </c>
      <c r="C953">
        <v>0</v>
      </c>
      <c r="D953" t="inlineStr">
        <is>
          <t>double_bonds</t>
        </is>
      </c>
      <c r="E953"/>
      <c r="F953"/>
      <c r="G953" t="inlineStr">
        <is>
          <t>fatty-chain annotation</t>
        </is>
      </c>
      <c r="H953" t="inlineStr">
        <is>
          <t>S011_CRODA_SPAN_TWEEN</t>
        </is>
      </c>
      <c r="I953" t="inlineStr">
        <is>
          <t>curated</t>
        </is>
      </c>
      <c r="J953">
        <v>0.8</v>
      </c>
      <c r="K953"/>
    </row>
    <row r="954">
      <c r="A954" t="inlineStr">
        <is>
          <t>SURF_TWEEN_40</t>
        </is>
      </c>
      <c r="B954" t="inlineStr">
        <is>
          <t>number_of_tails</t>
        </is>
      </c>
      <c r="C954">
        <v>1</v>
      </c>
      <c r="D954" t="inlineStr">
        <is>
          <t>count</t>
        </is>
      </c>
      <c r="E954"/>
      <c r="F954"/>
      <c r="G954" t="inlineStr">
        <is>
          <t>fatty-chain annotation</t>
        </is>
      </c>
      <c r="H954" t="inlineStr">
        <is>
          <t>S011_CRODA_SPAN_TWEEN</t>
        </is>
      </c>
      <c r="I954" t="inlineStr">
        <is>
          <t>curated</t>
        </is>
      </c>
      <c r="J954">
        <v>0.8</v>
      </c>
      <c r="K954"/>
    </row>
    <row r="955">
      <c r="A955" t="inlineStr">
        <is>
          <t>SURF_TWEEN_40</t>
        </is>
      </c>
      <c r="B955" t="inlineStr">
        <is>
          <t>charge_type</t>
        </is>
      </c>
      <c r="C955" t="inlineStr">
        <is>
          <t>nonionic</t>
        </is>
      </c>
      <c r="D955"/>
      <c r="E955"/>
      <c r="F955"/>
      <c r="G955" t="inlineStr">
        <is>
          <t>ionization class</t>
        </is>
      </c>
      <c r="H955" t="inlineStr">
        <is>
          <t>S011_CRODA_SPAN_TWEEN</t>
        </is>
      </c>
      <c r="I955" t="inlineStr">
        <is>
          <t>curated</t>
        </is>
      </c>
      <c r="J955">
        <v>0.85</v>
      </c>
      <c r="K955"/>
    </row>
    <row r="956">
      <c r="A956" t="inlineStr">
        <is>
          <t>SURF_TWEEN_40</t>
        </is>
      </c>
      <c r="B956" t="inlineStr">
        <is>
          <t>formal_charge</t>
        </is>
      </c>
      <c r="C956">
        <v>0</v>
      </c>
      <c r="D956" t="inlineStr">
        <is>
          <t>e</t>
        </is>
      </c>
      <c r="E956"/>
      <c r="F956"/>
      <c r="G956" t="inlineStr">
        <is>
          <t>nominal at neutral pH</t>
        </is>
      </c>
      <c r="H956" t="inlineStr">
        <is>
          <t>S011_CRODA_SPAN_TWEEN</t>
        </is>
      </c>
      <c r="I956" t="inlineStr">
        <is>
          <t>curated</t>
        </is>
      </c>
      <c r="J956">
        <v>0.85</v>
      </c>
      <c r="K956"/>
    </row>
    <row r="957">
      <c r="A957" t="inlineStr">
        <is>
          <t>SURF_TWEEN_40</t>
        </is>
      </c>
      <c r="B957" t="inlineStr">
        <is>
          <t>packing_role</t>
        </is>
      </c>
      <c r="C957" t="inlineStr">
        <is>
          <t>edge activator / micellar solubilizer</t>
        </is>
      </c>
      <c r="D957"/>
      <c r="E957"/>
      <c r="F957"/>
      <c r="G957" t="inlineStr">
        <is>
          <t>HLB/chain-rule heuristic</t>
        </is>
      </c>
      <c r="H957" t="inlineStr">
        <is>
          <t>S011_CRODA_SPAN_TWEEN</t>
        </is>
      </c>
      <c r="I957" t="inlineStr">
        <is>
          <t>curated</t>
        </is>
      </c>
      <c r="J957">
        <v>0.65</v>
      </c>
      <c r="K957"/>
    </row>
    <row r="958">
      <c r="A958" t="inlineStr">
        <is>
          <t>SURF_TWEEN_40</t>
        </is>
      </c>
      <c r="B958" t="inlineStr">
        <is>
          <t>edge_activator_flag</t>
        </is>
      </c>
      <c r="C958" t="inlineStr">
        <is>
          <t>yes</t>
        </is>
      </c>
      <c r="D958"/>
      <c r="E958"/>
      <c r="F958"/>
      <c r="G958" t="inlineStr">
        <is>
          <t>HLB/charge heuristic</t>
        </is>
      </c>
      <c r="H958" t="inlineStr">
        <is>
          <t>S011_CRODA_SPAN_TWEEN</t>
        </is>
      </c>
      <c r="I958" t="inlineStr">
        <is>
          <t>curated</t>
        </is>
      </c>
      <c r="J958">
        <v>0.7</v>
      </c>
      <c r="K958"/>
    </row>
    <row r="959">
      <c r="A959" t="inlineStr">
        <is>
          <t>SURF_TWEEN_40</t>
        </is>
      </c>
      <c r="B959" t="inlineStr">
        <is>
          <t>vesicle_anchor_flag</t>
        </is>
      </c>
      <c r="C959" t="inlineStr">
        <is>
          <t>weak/conditional</t>
        </is>
      </c>
      <c r="D959"/>
      <c r="E959"/>
      <c r="F959"/>
      <c r="G959" t="inlineStr">
        <is>
          <t>chain-length and HLB heuristic</t>
        </is>
      </c>
      <c r="H959" t="inlineStr">
        <is>
          <t>S011_CRODA_SPAN_TWEEN</t>
        </is>
      </c>
      <c r="I959" t="inlineStr">
        <is>
          <t>curated</t>
        </is>
      </c>
      <c r="J959">
        <v>0.7</v>
      </c>
      <c r="K959"/>
    </row>
    <row r="960">
      <c r="A960" t="inlineStr">
        <is>
          <t>SURF_TWEEN_40</t>
        </is>
      </c>
      <c r="B960" t="inlineStr">
        <is>
          <t>micellization_risk_flag</t>
        </is>
      </c>
      <c r="C960" t="inlineStr">
        <is>
          <t>high</t>
        </is>
      </c>
      <c r="D960"/>
      <c r="E960"/>
      <c r="F960"/>
      <c r="G960" t="inlineStr">
        <is>
          <t>HLB heuristic</t>
        </is>
      </c>
      <c r="H960" t="inlineStr">
        <is>
          <t>S011_CRODA_SPAN_TWEEN</t>
        </is>
      </c>
      <c r="I960" t="inlineStr">
        <is>
          <t>curated</t>
        </is>
      </c>
      <c r="J960">
        <v>0.65</v>
      </c>
      <c r="K960"/>
    </row>
    <row r="961">
      <c r="A961" t="inlineStr">
        <is>
          <t>SURF_TWEEN_40</t>
        </is>
      </c>
      <c r="B961" t="inlineStr">
        <is>
          <t>route_suitability</t>
        </is>
      </c>
      <c r="C961" t="inlineStr">
        <is>
          <t>oral/topical; parenteral/inhalation only if grade and safety justified</t>
        </is>
      </c>
      <c r="D961"/>
      <c r="E961"/>
      <c r="F961"/>
      <c r="G961" t="inlineStr">
        <is>
          <t>route precedent heuristic</t>
        </is>
      </c>
      <c r="H961" t="inlineStr">
        <is>
          <t>S008_FDA_IID</t>
        </is>
      </c>
      <c r="I961" t="inlineStr">
        <is>
          <t>curated</t>
        </is>
      </c>
      <c r="J961">
        <v>0.55</v>
      </c>
      <c r="K961"/>
    </row>
    <row r="962">
      <c r="A962" t="inlineStr">
        <is>
          <t>SURF_TWEEN_40</t>
        </is>
      </c>
      <c r="B962" t="inlineStr">
        <is>
          <t>toxicity_or_irritancy_notes</t>
        </is>
      </c>
      <c r="C962" t="inlineStr">
        <is>
          <t>surfactant irritation/hemolysis is concentration-, route-, and grade-dependent; screen cytotoxicity and osmolality</t>
        </is>
      </c>
      <c r="D962"/>
      <c r="E962"/>
      <c r="F962"/>
      <c r="G962"/>
      <c r="H962" t="inlineStr">
        <is>
          <t>S007_EXCIPIENTS_HANDBOOK</t>
        </is>
      </c>
      <c r="I962" t="inlineStr">
        <is>
          <t>curated</t>
        </is>
      </c>
      <c r="J962">
        <v>0.7</v>
      </c>
      <c r="K962"/>
    </row>
    <row r="963">
      <c r="A963" t="inlineStr">
        <is>
          <t>SURF_TWEEN_40</t>
        </is>
      </c>
      <c r="B963" t="inlineStr">
        <is>
          <t>Hansen_delta_D</t>
        </is>
      </c>
      <c r="C963">
        <v>17.2</v>
      </c>
      <c r="D963" t="inlineStr">
        <is>
          <t>MPa^0.5</t>
        </is>
      </c>
      <c r="E963"/>
      <c r="F963"/>
      <c r="G963" t="inlineStr">
        <is>
          <t>heuristic group-contribution/nearest-neighbour</t>
        </is>
      </c>
      <c r="H963" t="inlineStr">
        <is>
          <t>S013_EST_HSP_HEURISTIC</t>
        </is>
      </c>
      <c r="I963" t="inlineStr">
        <is>
          <t>estimated</t>
        </is>
      </c>
      <c r="J963">
        <v>0.4</v>
      </c>
      <c r="K963" t="inlineStr">
        <is>
          <t>Provisional HSP for screening; replace with experimental/literature value before model lock.</t>
        </is>
      </c>
    </row>
    <row r="964">
      <c r="A964" t="inlineStr">
        <is>
          <t>SURF_TWEEN_40</t>
        </is>
      </c>
      <c r="B964" t="inlineStr">
        <is>
          <t>Hansen_delta_P</t>
        </is>
      </c>
      <c r="C964">
        <v>8.5</v>
      </c>
      <c r="D964" t="inlineStr">
        <is>
          <t>MPa^0.5</t>
        </is>
      </c>
      <c r="E964"/>
      <c r="F964"/>
      <c r="G964" t="inlineStr">
        <is>
          <t>heuristic group-contribution/nearest-neighbour</t>
        </is>
      </c>
      <c r="H964" t="inlineStr">
        <is>
          <t>S013_EST_HSP_HEURISTIC</t>
        </is>
      </c>
      <c r="I964" t="inlineStr">
        <is>
          <t>estimated</t>
        </is>
      </c>
      <c r="J964">
        <v>0.4</v>
      </c>
      <c r="K964" t="inlineStr">
        <is>
          <t>Provisional HSP for screening; replace with experimental/literature value before model lock.</t>
        </is>
      </c>
    </row>
    <row r="965">
      <c r="A965" t="inlineStr">
        <is>
          <t>SURF_TWEEN_40</t>
        </is>
      </c>
      <c r="B965" t="inlineStr">
        <is>
          <t>Hansen_delta_H</t>
        </is>
      </c>
      <c r="C965">
        <v>14.0</v>
      </c>
      <c r="D965" t="inlineStr">
        <is>
          <t>MPa^0.5</t>
        </is>
      </c>
      <c r="E965"/>
      <c r="F965"/>
      <c r="G965" t="inlineStr">
        <is>
          <t>heuristic group-contribution/nearest-neighbour</t>
        </is>
      </c>
      <c r="H965" t="inlineStr">
        <is>
          <t>S013_EST_HSP_HEURISTIC</t>
        </is>
      </c>
      <c r="I965" t="inlineStr">
        <is>
          <t>estimated</t>
        </is>
      </c>
      <c r="J965">
        <v>0.4</v>
      </c>
      <c r="K965" t="inlineStr">
        <is>
          <t>Provisional HSP for screening; replace with experimental/literature value before model lock.</t>
        </is>
      </c>
    </row>
    <row r="966">
      <c r="A966" t="inlineStr">
        <is>
          <t>SURF_TWEEN_40</t>
        </is>
      </c>
      <c r="B966" t="inlineStr">
        <is>
          <t>Hildebrand_delta_T</t>
        </is>
      </c>
      <c r="C966">
        <v>23.75</v>
      </c>
      <c r="D966" t="inlineStr">
        <is>
          <t>MPa^0.5</t>
        </is>
      </c>
      <c r="E966"/>
      <c r="F966"/>
      <c r="G966" t="inlineStr">
        <is>
          <t>sqrt(deltaD^2+deltaP^2+deltaH^2)</t>
        </is>
      </c>
      <c r="H966" t="inlineStr">
        <is>
          <t>S012_CALCULATED</t>
        </is>
      </c>
      <c r="I966" t="inlineStr">
        <is>
          <t>calculated</t>
        </is>
      </c>
      <c r="J966">
        <v>0.45</v>
      </c>
      <c r="K966" t="inlineStr">
        <is>
          <t>Derived from stored Hansen components.</t>
        </is>
      </c>
    </row>
    <row r="967">
      <c r="A967" t="inlineStr">
        <is>
          <t>SURF_TWEEN_40</t>
        </is>
      </c>
      <c r="B967" t="inlineStr">
        <is>
          <t>HSP_radius_R0</t>
        </is>
      </c>
      <c r="C967">
        <v>9.0</v>
      </c>
      <c r="D967" t="inlineStr">
        <is>
          <t>MPa^0.5</t>
        </is>
      </c>
      <c r="E967"/>
      <c r="F967"/>
      <c r="G967" t="inlineStr">
        <is>
          <t>literature/heuristic solubility sphere</t>
        </is>
      </c>
      <c r="H967" t="inlineStr">
        <is>
          <t>S013_EST_HSP_HEURISTIC</t>
        </is>
      </c>
      <c r="I967" t="inlineStr">
        <is>
          <t>estimated</t>
        </is>
      </c>
      <c r="J967">
        <v>0.4</v>
      </c>
      <c r="K967" t="inlineStr">
        <is>
          <t>Screening radius only unless experimentally determined.</t>
        </is>
      </c>
    </row>
    <row r="968">
      <c r="A968" t="inlineStr">
        <is>
          <t>SURF_TWEEN_40</t>
        </is>
      </c>
      <c r="B968" t="inlineStr">
        <is>
          <t>molar_volume_cm3_mol</t>
        </is>
      </c>
      <c r="C968">
        <v>1222.86</v>
      </c>
      <c r="D968" t="inlineStr">
        <is>
          <t>cm3/mol</t>
        </is>
      </c>
      <c r="E968"/>
      <c r="F968"/>
      <c r="G968" t="inlineStr">
        <is>
          <t>MW/density estimate</t>
        </is>
      </c>
      <c r="H968" t="inlineStr">
        <is>
          <t>S012_CALCULATED</t>
        </is>
      </c>
      <c r="I968" t="inlineStr">
        <is>
          <t>estimated</t>
        </is>
      </c>
      <c r="J968">
        <v>0.42</v>
      </c>
      <c r="K968" t="inlineStr">
        <is>
          <t>Estimated from MW/density; replace with measured molar volume or density-specific grade data.</t>
        </is>
      </c>
    </row>
    <row r="969">
      <c r="A969" t="inlineStr">
        <is>
          <t>SURF_TWEEN_40</t>
        </is>
      </c>
      <c r="B969" t="inlineStr">
        <is>
          <t>headgroup_area_nm2</t>
        </is>
      </c>
      <c r="C969">
        <v>0.711</v>
      </c>
      <c r="D969" t="inlineStr">
        <is>
          <t>nm2</t>
        </is>
      </c>
      <c r="E969"/>
      <c r="F969"/>
      <c r="G969" t="inlineStr">
        <is>
          <t>CPP screening heuristic</t>
        </is>
      </c>
      <c r="H969" t="inlineStr">
        <is>
          <t>S013_EST_HSP_HEURISTIC</t>
        </is>
      </c>
      <c r="I969" t="inlineStr">
        <is>
          <t>estimated</t>
        </is>
      </c>
      <c r="J969">
        <v>0.35</v>
      </c>
      <c r="K969" t="inlineStr">
        <is>
          <t>Replace with monolayer or MD-derived area per molecule for publication-grade CPP.</t>
        </is>
      </c>
    </row>
    <row r="970">
      <c r="A970" t="inlineStr">
        <is>
          <t>SURF_TWEEN_60</t>
        </is>
      </c>
      <c r="B970" t="inlineStr">
        <is>
          <t>molecular_weight_g_mol</t>
        </is>
      </c>
      <c r="C970">
        <v>1311.7</v>
      </c>
      <c r="D970" t="inlineStr">
        <is>
          <t>g/mol</t>
        </is>
      </c>
      <c r="E970"/>
      <c r="F970"/>
      <c r="G970" t="inlineStr">
        <is>
          <t>supplier/handbook average for mixtures</t>
        </is>
      </c>
      <c r="H970" t="inlineStr">
        <is>
          <t>S011_CRODA_SPAN_TWEEN</t>
        </is>
      </c>
      <c r="I970" t="inlineStr">
        <is>
          <t>supplier-reported</t>
        </is>
      </c>
      <c r="J970">
        <v>0.65</v>
      </c>
      <c r="K970"/>
    </row>
    <row r="971">
      <c r="A971" t="inlineStr">
        <is>
          <t>SURF_TWEEN_60</t>
        </is>
      </c>
      <c r="B971" t="inlineStr">
        <is>
          <t>HLB</t>
        </is>
      </c>
      <c r="C971">
        <v>14.9</v>
      </c>
      <c r="D971" t="inlineStr">
        <is>
          <t>HLB</t>
        </is>
      </c>
      <c r="E971"/>
      <c r="F971"/>
      <c r="G971" t="inlineStr">
        <is>
          <t>Griffin/Davies HLB literature/supplier value</t>
        </is>
      </c>
      <c r="H971" t="inlineStr">
        <is>
          <t>S011_CRODA_SPAN_TWEEN</t>
        </is>
      </c>
      <c r="I971" t="inlineStr">
        <is>
          <t>supplier-reported</t>
        </is>
      </c>
      <c r="J971">
        <v>0.75</v>
      </c>
      <c r="K971" t="inlineStr">
        <is>
          <t>Grade-dependent; use supplier CoA when available.</t>
        </is>
      </c>
    </row>
    <row r="972">
      <c r="A972" t="inlineStr">
        <is>
          <t>SURF_TWEEN_60</t>
        </is>
      </c>
      <c r="B972" t="inlineStr">
        <is>
          <t>headgroup_type</t>
        </is>
      </c>
      <c r="C972" t="inlineStr">
        <is>
          <t>polyoxyethylene sorbitan ester</t>
        </is>
      </c>
      <c r="D972"/>
      <c r="E972"/>
      <c r="F972"/>
      <c r="G972" t="inlineStr">
        <is>
          <t>manual class annotation</t>
        </is>
      </c>
      <c r="H972" t="inlineStr">
        <is>
          <t>S011_CRODA_SPAN_TWEEN</t>
        </is>
      </c>
      <c r="I972" t="inlineStr">
        <is>
          <t>curated</t>
        </is>
      </c>
      <c r="J972">
        <v>0.75</v>
      </c>
      <c r="K972"/>
    </row>
    <row r="973">
      <c r="A973" t="inlineStr">
        <is>
          <t>SURF_TWEEN_60</t>
        </is>
      </c>
      <c r="B973" t="inlineStr">
        <is>
          <t>tail_chain</t>
        </is>
      </c>
      <c r="C973" t="inlineStr">
        <is>
          <t>C18:0 stearate + POE</t>
        </is>
      </c>
      <c r="D973"/>
      <c r="E973"/>
      <c r="F973"/>
      <c r="G973" t="inlineStr">
        <is>
          <t>fatty-chain annotation</t>
        </is>
      </c>
      <c r="H973" t="inlineStr">
        <is>
          <t>S011_CRODA_SPAN_TWEEN</t>
        </is>
      </c>
      <c r="I973" t="inlineStr">
        <is>
          <t>curated</t>
        </is>
      </c>
      <c r="J973">
        <v>0.8</v>
      </c>
      <c r="K973"/>
    </row>
    <row r="974">
      <c r="A974" t="inlineStr">
        <is>
          <t>SURF_TWEEN_60</t>
        </is>
      </c>
      <c r="B974" t="inlineStr">
        <is>
          <t>tail_carbons</t>
        </is>
      </c>
      <c r="C974">
        <v>18</v>
      </c>
      <c r="D974" t="inlineStr">
        <is>
          <t>count</t>
        </is>
      </c>
      <c r="E974"/>
      <c r="F974"/>
      <c r="G974" t="inlineStr">
        <is>
          <t>fatty-chain annotation</t>
        </is>
      </c>
      <c r="H974" t="inlineStr">
        <is>
          <t>S011_CRODA_SPAN_TWEEN</t>
        </is>
      </c>
      <c r="I974" t="inlineStr">
        <is>
          <t>curated</t>
        </is>
      </c>
      <c r="J974">
        <v>0.8</v>
      </c>
      <c r="K974"/>
    </row>
    <row r="975">
      <c r="A975" t="inlineStr">
        <is>
          <t>SURF_TWEEN_60</t>
        </is>
      </c>
      <c r="B975" t="inlineStr">
        <is>
          <t>tail_unsaturation</t>
        </is>
      </c>
      <c r="C975">
        <v>0</v>
      </c>
      <c r="D975" t="inlineStr">
        <is>
          <t>double_bonds</t>
        </is>
      </c>
      <c r="E975"/>
      <c r="F975"/>
      <c r="G975" t="inlineStr">
        <is>
          <t>fatty-chain annotation</t>
        </is>
      </c>
      <c r="H975" t="inlineStr">
        <is>
          <t>S011_CRODA_SPAN_TWEEN</t>
        </is>
      </c>
      <c r="I975" t="inlineStr">
        <is>
          <t>curated</t>
        </is>
      </c>
      <c r="J975">
        <v>0.8</v>
      </c>
      <c r="K975"/>
    </row>
    <row r="976">
      <c r="A976" t="inlineStr">
        <is>
          <t>SURF_TWEEN_60</t>
        </is>
      </c>
      <c r="B976" t="inlineStr">
        <is>
          <t>number_of_tails</t>
        </is>
      </c>
      <c r="C976">
        <v>1</v>
      </c>
      <c r="D976" t="inlineStr">
        <is>
          <t>count</t>
        </is>
      </c>
      <c r="E976"/>
      <c r="F976"/>
      <c r="G976" t="inlineStr">
        <is>
          <t>fatty-chain annotation</t>
        </is>
      </c>
      <c r="H976" t="inlineStr">
        <is>
          <t>S011_CRODA_SPAN_TWEEN</t>
        </is>
      </c>
      <c r="I976" t="inlineStr">
        <is>
          <t>curated</t>
        </is>
      </c>
      <c r="J976">
        <v>0.8</v>
      </c>
      <c r="K976"/>
    </row>
    <row r="977">
      <c r="A977" t="inlineStr">
        <is>
          <t>SURF_TWEEN_60</t>
        </is>
      </c>
      <c r="B977" t="inlineStr">
        <is>
          <t>charge_type</t>
        </is>
      </c>
      <c r="C977" t="inlineStr">
        <is>
          <t>nonionic</t>
        </is>
      </c>
      <c r="D977"/>
      <c r="E977"/>
      <c r="F977"/>
      <c r="G977" t="inlineStr">
        <is>
          <t>ionization class</t>
        </is>
      </c>
      <c r="H977" t="inlineStr">
        <is>
          <t>S011_CRODA_SPAN_TWEEN</t>
        </is>
      </c>
      <c r="I977" t="inlineStr">
        <is>
          <t>curated</t>
        </is>
      </c>
      <c r="J977">
        <v>0.85</v>
      </c>
      <c r="K977"/>
    </row>
    <row r="978">
      <c r="A978" t="inlineStr">
        <is>
          <t>SURF_TWEEN_60</t>
        </is>
      </c>
      <c r="B978" t="inlineStr">
        <is>
          <t>formal_charge</t>
        </is>
      </c>
      <c r="C978">
        <v>0</v>
      </c>
      <c r="D978" t="inlineStr">
        <is>
          <t>e</t>
        </is>
      </c>
      <c r="E978"/>
      <c r="F978"/>
      <c r="G978" t="inlineStr">
        <is>
          <t>nominal at neutral pH</t>
        </is>
      </c>
      <c r="H978" t="inlineStr">
        <is>
          <t>S011_CRODA_SPAN_TWEEN</t>
        </is>
      </c>
      <c r="I978" t="inlineStr">
        <is>
          <t>curated</t>
        </is>
      </c>
      <c r="J978">
        <v>0.85</v>
      </c>
      <c r="K978"/>
    </row>
    <row r="979">
      <c r="A979" t="inlineStr">
        <is>
          <t>SURF_TWEEN_60</t>
        </is>
      </c>
      <c r="B979" t="inlineStr">
        <is>
          <t>packing_role</t>
        </is>
      </c>
      <c r="C979" t="inlineStr">
        <is>
          <t>edge activator / micellar solubilizer</t>
        </is>
      </c>
      <c r="D979"/>
      <c r="E979"/>
      <c r="F979"/>
      <c r="G979" t="inlineStr">
        <is>
          <t>HLB/chain-rule heuristic</t>
        </is>
      </c>
      <c r="H979" t="inlineStr">
        <is>
          <t>S011_CRODA_SPAN_TWEEN</t>
        </is>
      </c>
      <c r="I979" t="inlineStr">
        <is>
          <t>curated</t>
        </is>
      </c>
      <c r="J979">
        <v>0.65</v>
      </c>
      <c r="K979"/>
    </row>
    <row r="980">
      <c r="A980" t="inlineStr">
        <is>
          <t>SURF_TWEEN_60</t>
        </is>
      </c>
      <c r="B980" t="inlineStr">
        <is>
          <t>edge_activator_flag</t>
        </is>
      </c>
      <c r="C980" t="inlineStr">
        <is>
          <t>yes</t>
        </is>
      </c>
      <c r="D980"/>
      <c r="E980"/>
      <c r="F980"/>
      <c r="G980" t="inlineStr">
        <is>
          <t>HLB/charge heuristic</t>
        </is>
      </c>
      <c r="H980" t="inlineStr">
        <is>
          <t>S011_CRODA_SPAN_TWEEN</t>
        </is>
      </c>
      <c r="I980" t="inlineStr">
        <is>
          <t>curated</t>
        </is>
      </c>
      <c r="J980">
        <v>0.7</v>
      </c>
      <c r="K980"/>
    </row>
    <row r="981">
      <c r="A981" t="inlineStr">
        <is>
          <t>SURF_TWEEN_60</t>
        </is>
      </c>
      <c r="B981" t="inlineStr">
        <is>
          <t>vesicle_anchor_flag</t>
        </is>
      </c>
      <c r="C981" t="inlineStr">
        <is>
          <t>weak/conditional</t>
        </is>
      </c>
      <c r="D981"/>
      <c r="E981"/>
      <c r="F981"/>
      <c r="G981" t="inlineStr">
        <is>
          <t>chain-length and HLB heuristic</t>
        </is>
      </c>
      <c r="H981" t="inlineStr">
        <is>
          <t>S011_CRODA_SPAN_TWEEN</t>
        </is>
      </c>
      <c r="I981" t="inlineStr">
        <is>
          <t>curated</t>
        </is>
      </c>
      <c r="J981">
        <v>0.7</v>
      </c>
      <c r="K981"/>
    </row>
    <row r="982">
      <c r="A982" t="inlineStr">
        <is>
          <t>SURF_TWEEN_60</t>
        </is>
      </c>
      <c r="B982" t="inlineStr">
        <is>
          <t>micellization_risk_flag</t>
        </is>
      </c>
      <c r="C982" t="inlineStr">
        <is>
          <t>high</t>
        </is>
      </c>
      <c r="D982"/>
      <c r="E982"/>
      <c r="F982"/>
      <c r="G982" t="inlineStr">
        <is>
          <t>HLB heuristic</t>
        </is>
      </c>
      <c r="H982" t="inlineStr">
        <is>
          <t>S011_CRODA_SPAN_TWEEN</t>
        </is>
      </c>
      <c r="I982" t="inlineStr">
        <is>
          <t>curated</t>
        </is>
      </c>
      <c r="J982">
        <v>0.65</v>
      </c>
      <c r="K982"/>
    </row>
    <row r="983">
      <c r="A983" t="inlineStr">
        <is>
          <t>SURF_TWEEN_60</t>
        </is>
      </c>
      <c r="B983" t="inlineStr">
        <is>
          <t>route_suitability</t>
        </is>
      </c>
      <c r="C983" t="inlineStr">
        <is>
          <t>oral/topical; parenteral/inhalation only if grade and safety justified</t>
        </is>
      </c>
      <c r="D983"/>
      <c r="E983"/>
      <c r="F983"/>
      <c r="G983" t="inlineStr">
        <is>
          <t>route precedent heuristic</t>
        </is>
      </c>
      <c r="H983" t="inlineStr">
        <is>
          <t>S008_FDA_IID</t>
        </is>
      </c>
      <c r="I983" t="inlineStr">
        <is>
          <t>curated</t>
        </is>
      </c>
      <c r="J983">
        <v>0.55</v>
      </c>
      <c r="K983"/>
    </row>
    <row r="984">
      <c r="A984" t="inlineStr">
        <is>
          <t>SURF_TWEEN_60</t>
        </is>
      </c>
      <c r="B984" t="inlineStr">
        <is>
          <t>toxicity_or_irritancy_notes</t>
        </is>
      </c>
      <c r="C984" t="inlineStr">
        <is>
          <t>surfactant irritation/hemolysis is concentration-, route-, and grade-dependent; screen cytotoxicity and osmolality</t>
        </is>
      </c>
      <c r="D984"/>
      <c r="E984"/>
      <c r="F984"/>
      <c r="G984"/>
      <c r="H984" t="inlineStr">
        <is>
          <t>S007_EXCIPIENTS_HANDBOOK</t>
        </is>
      </c>
      <c r="I984" t="inlineStr">
        <is>
          <t>curated</t>
        </is>
      </c>
      <c r="J984">
        <v>0.7</v>
      </c>
      <c r="K984"/>
    </row>
    <row r="985">
      <c r="A985" t="inlineStr">
        <is>
          <t>SURF_TWEEN_60</t>
        </is>
      </c>
      <c r="B985" t="inlineStr">
        <is>
          <t>melting_point_C</t>
        </is>
      </c>
      <c r="C985">
        <v>45</v>
      </c>
      <c r="D985" t="inlineStr">
        <is>
          <t>°C</t>
        </is>
      </c>
      <c r="E985"/>
      <c r="F985"/>
      <c r="G985" t="inlineStr">
        <is>
          <t>melting/drop point range</t>
        </is>
      </c>
      <c r="H985" t="inlineStr">
        <is>
          <t>S011_CRODA_SPAN_TWEEN</t>
        </is>
      </c>
      <c r="I985" t="inlineStr">
        <is>
          <t>supplier-reported</t>
        </is>
      </c>
      <c r="J985">
        <v>0.6</v>
      </c>
      <c r="K985"/>
    </row>
    <row r="986">
      <c r="A986" t="inlineStr">
        <is>
          <t>SURF_TWEEN_60</t>
        </is>
      </c>
      <c r="B986" t="inlineStr">
        <is>
          <t>Hansen_delta_D</t>
        </is>
      </c>
      <c r="C986">
        <v>17.2</v>
      </c>
      <c r="D986" t="inlineStr">
        <is>
          <t>MPa^0.5</t>
        </is>
      </c>
      <c r="E986"/>
      <c r="F986"/>
      <c r="G986" t="inlineStr">
        <is>
          <t>heuristic group-contribution/nearest-neighbour</t>
        </is>
      </c>
      <c r="H986" t="inlineStr">
        <is>
          <t>S013_EST_HSP_HEURISTIC</t>
        </is>
      </c>
      <c r="I986" t="inlineStr">
        <is>
          <t>estimated</t>
        </is>
      </c>
      <c r="J986">
        <v>0.4</v>
      </c>
      <c r="K986" t="inlineStr">
        <is>
          <t>Provisional HSP for screening; replace with experimental/literature value before model lock.</t>
        </is>
      </c>
    </row>
    <row r="987">
      <c r="A987" t="inlineStr">
        <is>
          <t>SURF_TWEEN_60</t>
        </is>
      </c>
      <c r="B987" t="inlineStr">
        <is>
          <t>Hansen_delta_P</t>
        </is>
      </c>
      <c r="C987">
        <v>8.5</v>
      </c>
      <c r="D987" t="inlineStr">
        <is>
          <t>MPa^0.5</t>
        </is>
      </c>
      <c r="E987"/>
      <c r="F987"/>
      <c r="G987" t="inlineStr">
        <is>
          <t>heuristic group-contribution/nearest-neighbour</t>
        </is>
      </c>
      <c r="H987" t="inlineStr">
        <is>
          <t>S013_EST_HSP_HEURISTIC</t>
        </is>
      </c>
      <c r="I987" t="inlineStr">
        <is>
          <t>estimated</t>
        </is>
      </c>
      <c r="J987">
        <v>0.4</v>
      </c>
      <c r="K987" t="inlineStr">
        <is>
          <t>Provisional HSP for screening; replace with experimental/literature value before model lock.</t>
        </is>
      </c>
    </row>
    <row r="988">
      <c r="A988" t="inlineStr">
        <is>
          <t>SURF_TWEEN_60</t>
        </is>
      </c>
      <c r="B988" t="inlineStr">
        <is>
          <t>Hansen_delta_H</t>
        </is>
      </c>
      <c r="C988">
        <v>14.0</v>
      </c>
      <c r="D988" t="inlineStr">
        <is>
          <t>MPa^0.5</t>
        </is>
      </c>
      <c r="E988"/>
      <c r="F988"/>
      <c r="G988" t="inlineStr">
        <is>
          <t>heuristic group-contribution/nearest-neighbour</t>
        </is>
      </c>
      <c r="H988" t="inlineStr">
        <is>
          <t>S013_EST_HSP_HEURISTIC</t>
        </is>
      </c>
      <c r="I988" t="inlineStr">
        <is>
          <t>estimated</t>
        </is>
      </c>
      <c r="J988">
        <v>0.4</v>
      </c>
      <c r="K988" t="inlineStr">
        <is>
          <t>Provisional HSP for screening; replace with experimental/literature value before model lock.</t>
        </is>
      </c>
    </row>
    <row r="989">
      <c r="A989" t="inlineStr">
        <is>
          <t>SURF_TWEEN_60</t>
        </is>
      </c>
      <c r="B989" t="inlineStr">
        <is>
          <t>Hildebrand_delta_T</t>
        </is>
      </c>
      <c r="C989">
        <v>23.75</v>
      </c>
      <c r="D989" t="inlineStr">
        <is>
          <t>MPa^0.5</t>
        </is>
      </c>
      <c r="E989"/>
      <c r="F989"/>
      <c r="G989" t="inlineStr">
        <is>
          <t>sqrt(deltaD^2+deltaP^2+deltaH^2)</t>
        </is>
      </c>
      <c r="H989" t="inlineStr">
        <is>
          <t>S012_CALCULATED</t>
        </is>
      </c>
      <c r="I989" t="inlineStr">
        <is>
          <t>calculated</t>
        </is>
      </c>
      <c r="J989">
        <v>0.45</v>
      </c>
      <c r="K989" t="inlineStr">
        <is>
          <t>Derived from stored Hansen components.</t>
        </is>
      </c>
    </row>
    <row r="990">
      <c r="A990" t="inlineStr">
        <is>
          <t>SURF_TWEEN_60</t>
        </is>
      </c>
      <c r="B990" t="inlineStr">
        <is>
          <t>HSP_radius_R0</t>
        </is>
      </c>
      <c r="C990">
        <v>9.0</v>
      </c>
      <c r="D990" t="inlineStr">
        <is>
          <t>MPa^0.5</t>
        </is>
      </c>
      <c r="E990"/>
      <c r="F990"/>
      <c r="G990" t="inlineStr">
        <is>
          <t>literature/heuristic solubility sphere</t>
        </is>
      </c>
      <c r="H990" t="inlineStr">
        <is>
          <t>S013_EST_HSP_HEURISTIC</t>
        </is>
      </c>
      <c r="I990" t="inlineStr">
        <is>
          <t>estimated</t>
        </is>
      </c>
      <c r="J990">
        <v>0.4</v>
      </c>
      <c r="K990" t="inlineStr">
        <is>
          <t>Screening radius only unless experimentally determined.</t>
        </is>
      </c>
    </row>
    <row r="991">
      <c r="A991" t="inlineStr">
        <is>
          <t>SURF_TWEEN_60</t>
        </is>
      </c>
      <c r="B991" t="inlineStr">
        <is>
          <t>molar_volume_cm3_mol</t>
        </is>
      </c>
      <c r="C991">
        <v>1249.24</v>
      </c>
      <c r="D991" t="inlineStr">
        <is>
          <t>cm3/mol</t>
        </is>
      </c>
      <c r="E991"/>
      <c r="F991"/>
      <c r="G991" t="inlineStr">
        <is>
          <t>MW/density estimate</t>
        </is>
      </c>
      <c r="H991" t="inlineStr">
        <is>
          <t>S012_CALCULATED</t>
        </is>
      </c>
      <c r="I991" t="inlineStr">
        <is>
          <t>estimated</t>
        </is>
      </c>
      <c r="J991">
        <v>0.42</v>
      </c>
      <c r="K991" t="inlineStr">
        <is>
          <t>Estimated from MW/density; replace with measured molar volume or density-specific grade data.</t>
        </is>
      </c>
    </row>
    <row r="992">
      <c r="A992" t="inlineStr">
        <is>
          <t>SURF_TWEEN_60</t>
        </is>
      </c>
      <c r="B992" t="inlineStr">
        <is>
          <t>headgroup_area_nm2</t>
        </is>
      </c>
      <c r="C992">
        <v>0.698</v>
      </c>
      <c r="D992" t="inlineStr">
        <is>
          <t>nm2</t>
        </is>
      </c>
      <c r="E992"/>
      <c r="F992"/>
      <c r="G992" t="inlineStr">
        <is>
          <t>CPP screening heuristic</t>
        </is>
      </c>
      <c r="H992" t="inlineStr">
        <is>
          <t>S013_EST_HSP_HEURISTIC</t>
        </is>
      </c>
      <c r="I992" t="inlineStr">
        <is>
          <t>estimated</t>
        </is>
      </c>
      <c r="J992">
        <v>0.35</v>
      </c>
      <c r="K992" t="inlineStr">
        <is>
          <t>Replace with monolayer or MD-derived area per molecule for publication-grade CPP.</t>
        </is>
      </c>
    </row>
    <row r="993">
      <c r="A993" t="inlineStr">
        <is>
          <t>SURF_TWEEN_61</t>
        </is>
      </c>
      <c r="B993" t="inlineStr">
        <is>
          <t>molecular_weight_g_mol</t>
        </is>
      </c>
      <c r="C993">
        <v>1095</v>
      </c>
      <c r="D993" t="inlineStr">
        <is>
          <t>g/mol</t>
        </is>
      </c>
      <c r="E993"/>
      <c r="F993"/>
      <c r="G993" t="inlineStr">
        <is>
          <t>supplier/handbook average for mixtures</t>
        </is>
      </c>
      <c r="H993" t="inlineStr">
        <is>
          <t>S011_CRODA_SPAN_TWEEN</t>
        </is>
      </c>
      <c r="I993" t="inlineStr">
        <is>
          <t>supplier-reported</t>
        </is>
      </c>
      <c r="J993">
        <v>0.65</v>
      </c>
      <c r="K993"/>
    </row>
    <row r="994">
      <c r="A994" t="inlineStr">
        <is>
          <t>SURF_TWEEN_61</t>
        </is>
      </c>
      <c r="B994" t="inlineStr">
        <is>
          <t>HLB</t>
        </is>
      </c>
      <c r="C994">
        <v>9.6</v>
      </c>
      <c r="D994" t="inlineStr">
        <is>
          <t>HLB</t>
        </is>
      </c>
      <c r="E994"/>
      <c r="F994"/>
      <c r="G994" t="inlineStr">
        <is>
          <t>Griffin/Davies HLB literature/supplier value</t>
        </is>
      </c>
      <c r="H994" t="inlineStr">
        <is>
          <t>S011_CRODA_SPAN_TWEEN</t>
        </is>
      </c>
      <c r="I994" t="inlineStr">
        <is>
          <t>supplier-reported</t>
        </is>
      </c>
      <c r="J994">
        <v>0.75</v>
      </c>
      <c r="K994" t="inlineStr">
        <is>
          <t>Grade-dependent; use supplier CoA when available.</t>
        </is>
      </c>
    </row>
    <row r="995">
      <c r="A995" t="inlineStr">
        <is>
          <t>SURF_TWEEN_61</t>
        </is>
      </c>
      <c r="B995" t="inlineStr">
        <is>
          <t>headgroup_type</t>
        </is>
      </c>
      <c r="C995" t="inlineStr">
        <is>
          <t>polyoxyethylene sorbitan ester</t>
        </is>
      </c>
      <c r="D995"/>
      <c r="E995"/>
      <c r="F995"/>
      <c r="G995" t="inlineStr">
        <is>
          <t>manual class annotation</t>
        </is>
      </c>
      <c r="H995" t="inlineStr">
        <is>
          <t>S011_CRODA_SPAN_TWEEN</t>
        </is>
      </c>
      <c r="I995" t="inlineStr">
        <is>
          <t>curated</t>
        </is>
      </c>
      <c r="J995">
        <v>0.75</v>
      </c>
      <c r="K995"/>
    </row>
    <row r="996">
      <c r="A996" t="inlineStr">
        <is>
          <t>SURF_TWEEN_61</t>
        </is>
      </c>
      <c r="B996" t="inlineStr">
        <is>
          <t>tail_chain</t>
        </is>
      </c>
      <c r="C996" t="inlineStr">
        <is>
          <t>C18:0 stearate + lower POE</t>
        </is>
      </c>
      <c r="D996"/>
      <c r="E996"/>
      <c r="F996"/>
      <c r="G996" t="inlineStr">
        <is>
          <t>fatty-chain annotation</t>
        </is>
      </c>
      <c r="H996" t="inlineStr">
        <is>
          <t>S011_CRODA_SPAN_TWEEN</t>
        </is>
      </c>
      <c r="I996" t="inlineStr">
        <is>
          <t>curated</t>
        </is>
      </c>
      <c r="J996">
        <v>0.8</v>
      </c>
      <c r="K996"/>
    </row>
    <row r="997">
      <c r="A997" t="inlineStr">
        <is>
          <t>SURF_TWEEN_61</t>
        </is>
      </c>
      <c r="B997" t="inlineStr">
        <is>
          <t>tail_carbons</t>
        </is>
      </c>
      <c r="C997">
        <v>18</v>
      </c>
      <c r="D997" t="inlineStr">
        <is>
          <t>count</t>
        </is>
      </c>
      <c r="E997"/>
      <c r="F997"/>
      <c r="G997" t="inlineStr">
        <is>
          <t>fatty-chain annotation</t>
        </is>
      </c>
      <c r="H997" t="inlineStr">
        <is>
          <t>S011_CRODA_SPAN_TWEEN</t>
        </is>
      </c>
      <c r="I997" t="inlineStr">
        <is>
          <t>curated</t>
        </is>
      </c>
      <c r="J997">
        <v>0.8</v>
      </c>
      <c r="K997"/>
    </row>
    <row r="998">
      <c r="A998" t="inlineStr">
        <is>
          <t>SURF_TWEEN_61</t>
        </is>
      </c>
      <c r="B998" t="inlineStr">
        <is>
          <t>tail_unsaturation</t>
        </is>
      </c>
      <c r="C998">
        <v>0</v>
      </c>
      <c r="D998" t="inlineStr">
        <is>
          <t>double_bonds</t>
        </is>
      </c>
      <c r="E998"/>
      <c r="F998"/>
      <c r="G998" t="inlineStr">
        <is>
          <t>fatty-chain annotation</t>
        </is>
      </c>
      <c r="H998" t="inlineStr">
        <is>
          <t>S011_CRODA_SPAN_TWEEN</t>
        </is>
      </c>
      <c r="I998" t="inlineStr">
        <is>
          <t>curated</t>
        </is>
      </c>
      <c r="J998">
        <v>0.8</v>
      </c>
      <c r="K998"/>
    </row>
    <row r="999">
      <c r="A999" t="inlineStr">
        <is>
          <t>SURF_TWEEN_61</t>
        </is>
      </c>
      <c r="B999" t="inlineStr">
        <is>
          <t>number_of_tails</t>
        </is>
      </c>
      <c r="C999">
        <v>1</v>
      </c>
      <c r="D999" t="inlineStr">
        <is>
          <t>count</t>
        </is>
      </c>
      <c r="E999"/>
      <c r="F999"/>
      <c r="G999" t="inlineStr">
        <is>
          <t>fatty-chain annotation</t>
        </is>
      </c>
      <c r="H999" t="inlineStr">
        <is>
          <t>S011_CRODA_SPAN_TWEEN</t>
        </is>
      </c>
      <c r="I999" t="inlineStr">
        <is>
          <t>curated</t>
        </is>
      </c>
      <c r="J999">
        <v>0.8</v>
      </c>
      <c r="K999"/>
    </row>
    <row r="1000">
      <c r="A1000" t="inlineStr">
        <is>
          <t>SURF_TWEEN_61</t>
        </is>
      </c>
      <c r="B1000" t="inlineStr">
        <is>
          <t>charge_type</t>
        </is>
      </c>
      <c r="C1000" t="inlineStr">
        <is>
          <t>nonionic</t>
        </is>
      </c>
      <c r="D1000"/>
      <c r="E1000"/>
      <c r="F1000"/>
      <c r="G1000" t="inlineStr">
        <is>
          <t>ionization class</t>
        </is>
      </c>
      <c r="H1000" t="inlineStr">
        <is>
          <t>S011_CRODA_SPAN_TWEEN</t>
        </is>
      </c>
      <c r="I1000" t="inlineStr">
        <is>
          <t>curated</t>
        </is>
      </c>
      <c r="J1000">
        <v>0.85</v>
      </c>
      <c r="K1000"/>
    </row>
    <row r="1001">
      <c r="A1001" t="inlineStr">
        <is>
          <t>SURF_TWEEN_61</t>
        </is>
      </c>
      <c r="B1001" t="inlineStr">
        <is>
          <t>formal_charge</t>
        </is>
      </c>
      <c r="C1001">
        <v>0</v>
      </c>
      <c r="D1001" t="inlineStr">
        <is>
          <t>e</t>
        </is>
      </c>
      <c r="E1001"/>
      <c r="F1001"/>
      <c r="G1001" t="inlineStr">
        <is>
          <t>nominal at neutral pH</t>
        </is>
      </c>
      <c r="H1001" t="inlineStr">
        <is>
          <t>S011_CRODA_SPAN_TWEEN</t>
        </is>
      </c>
      <c r="I1001" t="inlineStr">
        <is>
          <t>curated</t>
        </is>
      </c>
      <c r="J1001">
        <v>0.85</v>
      </c>
      <c r="K1001"/>
    </row>
    <row r="1002">
      <c r="A1002" t="inlineStr">
        <is>
          <t>SURF_TWEEN_61</t>
        </is>
      </c>
      <c r="B1002" t="inlineStr">
        <is>
          <t>packing_role</t>
        </is>
      </c>
      <c r="C1002" t="inlineStr">
        <is>
          <t>edge activator / micellar solubilizer</t>
        </is>
      </c>
      <c r="D1002"/>
      <c r="E1002"/>
      <c r="F1002"/>
      <c r="G1002" t="inlineStr">
        <is>
          <t>HLB/chain-rule heuristic</t>
        </is>
      </c>
      <c r="H1002" t="inlineStr">
        <is>
          <t>S011_CRODA_SPAN_TWEEN</t>
        </is>
      </c>
      <c r="I1002" t="inlineStr">
        <is>
          <t>curated</t>
        </is>
      </c>
      <c r="J1002">
        <v>0.65</v>
      </c>
      <c r="K1002"/>
    </row>
    <row r="1003">
      <c r="A1003" t="inlineStr">
        <is>
          <t>SURF_TWEEN_61</t>
        </is>
      </c>
      <c r="B1003" t="inlineStr">
        <is>
          <t>edge_activator_flag</t>
        </is>
      </c>
      <c r="C1003" t="inlineStr">
        <is>
          <t>conditional</t>
        </is>
      </c>
      <c r="D1003"/>
      <c r="E1003"/>
      <c r="F1003"/>
      <c r="G1003" t="inlineStr">
        <is>
          <t>HLB/charge heuristic</t>
        </is>
      </c>
      <c r="H1003" t="inlineStr">
        <is>
          <t>S011_CRODA_SPAN_TWEEN</t>
        </is>
      </c>
      <c r="I1003" t="inlineStr">
        <is>
          <t>curated</t>
        </is>
      </c>
      <c r="J1003">
        <v>0.7</v>
      </c>
      <c r="K1003"/>
    </row>
    <row r="1004">
      <c r="A1004" t="inlineStr">
        <is>
          <t>SURF_TWEEN_61</t>
        </is>
      </c>
      <c r="B1004" t="inlineStr">
        <is>
          <t>vesicle_anchor_flag</t>
        </is>
      </c>
      <c r="C1004" t="inlineStr">
        <is>
          <t>yes</t>
        </is>
      </c>
      <c r="D1004"/>
      <c r="E1004"/>
      <c r="F1004"/>
      <c r="G1004" t="inlineStr">
        <is>
          <t>chain-length and HLB heuristic</t>
        </is>
      </c>
      <c r="H1004" t="inlineStr">
        <is>
          <t>S011_CRODA_SPAN_TWEEN</t>
        </is>
      </c>
      <c r="I1004" t="inlineStr">
        <is>
          <t>curated</t>
        </is>
      </c>
      <c r="J1004">
        <v>0.7</v>
      </c>
      <c r="K1004"/>
    </row>
    <row r="1005">
      <c r="A1005" t="inlineStr">
        <is>
          <t>SURF_TWEEN_61</t>
        </is>
      </c>
      <c r="B1005" t="inlineStr">
        <is>
          <t>micellization_risk_flag</t>
        </is>
      </c>
      <c r="C1005" t="inlineStr">
        <is>
          <t>low-to-moderate</t>
        </is>
      </c>
      <c r="D1005"/>
      <c r="E1005"/>
      <c r="F1005"/>
      <c r="G1005" t="inlineStr">
        <is>
          <t>HLB heuristic</t>
        </is>
      </c>
      <c r="H1005" t="inlineStr">
        <is>
          <t>S011_CRODA_SPAN_TWEEN</t>
        </is>
      </c>
      <c r="I1005" t="inlineStr">
        <is>
          <t>curated</t>
        </is>
      </c>
      <c r="J1005">
        <v>0.65</v>
      </c>
      <c r="K1005"/>
    </row>
    <row r="1006">
      <c r="A1006" t="inlineStr">
        <is>
          <t>SURF_TWEEN_61</t>
        </is>
      </c>
      <c r="B1006" t="inlineStr">
        <is>
          <t>route_suitability</t>
        </is>
      </c>
      <c r="C1006" t="inlineStr">
        <is>
          <t>oral/topical; parenteral/inhalation only if grade and safety justified</t>
        </is>
      </c>
      <c r="D1006"/>
      <c r="E1006"/>
      <c r="F1006"/>
      <c r="G1006" t="inlineStr">
        <is>
          <t>route precedent heuristic</t>
        </is>
      </c>
      <c r="H1006" t="inlineStr">
        <is>
          <t>S008_FDA_IID</t>
        </is>
      </c>
      <c r="I1006" t="inlineStr">
        <is>
          <t>curated</t>
        </is>
      </c>
      <c r="J1006">
        <v>0.55</v>
      </c>
      <c r="K1006"/>
    </row>
    <row r="1007">
      <c r="A1007" t="inlineStr">
        <is>
          <t>SURF_TWEEN_61</t>
        </is>
      </c>
      <c r="B1007" t="inlineStr">
        <is>
          <t>toxicity_or_irritancy_notes</t>
        </is>
      </c>
      <c r="C1007" t="inlineStr">
        <is>
          <t>surfactant irritation/hemolysis is concentration-, route-, and grade-dependent; screen cytotoxicity and osmolality</t>
        </is>
      </c>
      <c r="D1007"/>
      <c r="E1007"/>
      <c r="F1007"/>
      <c r="G1007"/>
      <c r="H1007" t="inlineStr">
        <is>
          <t>S007_EXCIPIENTS_HANDBOOK</t>
        </is>
      </c>
      <c r="I1007" t="inlineStr">
        <is>
          <t>curated</t>
        </is>
      </c>
      <c r="J1007">
        <v>0.7</v>
      </c>
      <c r="K1007"/>
    </row>
    <row r="1008">
      <c r="A1008" t="inlineStr">
        <is>
          <t>SURF_TWEEN_61</t>
        </is>
      </c>
      <c r="B1008" t="inlineStr">
        <is>
          <t>melting_point_C</t>
        </is>
      </c>
      <c r="C1008">
        <v>37</v>
      </c>
      <c r="D1008" t="inlineStr">
        <is>
          <t>°C</t>
        </is>
      </c>
      <c r="E1008"/>
      <c r="F1008"/>
      <c r="G1008" t="inlineStr">
        <is>
          <t>melting/drop point range</t>
        </is>
      </c>
      <c r="H1008" t="inlineStr">
        <is>
          <t>S011_CRODA_SPAN_TWEEN</t>
        </is>
      </c>
      <c r="I1008" t="inlineStr">
        <is>
          <t>supplier-reported</t>
        </is>
      </c>
      <c r="J1008">
        <v>0.6</v>
      </c>
      <c r="K1008"/>
    </row>
    <row r="1009">
      <c r="A1009" t="inlineStr">
        <is>
          <t>SURF_TWEEN_61</t>
        </is>
      </c>
      <c r="B1009" t="inlineStr">
        <is>
          <t>Hansen_delta_D</t>
        </is>
      </c>
      <c r="C1009">
        <v>17.3</v>
      </c>
      <c r="D1009" t="inlineStr">
        <is>
          <t>MPa^0.5</t>
        </is>
      </c>
      <c r="E1009"/>
      <c r="F1009"/>
      <c r="G1009" t="inlineStr">
        <is>
          <t>heuristic group-contribution/nearest-neighbour</t>
        </is>
      </c>
      <c r="H1009" t="inlineStr">
        <is>
          <t>S013_EST_HSP_HEURISTIC</t>
        </is>
      </c>
      <c r="I1009" t="inlineStr">
        <is>
          <t>estimated</t>
        </is>
      </c>
      <c r="J1009">
        <v>0.4</v>
      </c>
      <c r="K1009" t="inlineStr">
        <is>
          <t>Provisional HSP for screening; replace with experimental/literature value before model lock.</t>
        </is>
      </c>
    </row>
    <row r="1010">
      <c r="A1010" t="inlineStr">
        <is>
          <t>SURF_TWEEN_61</t>
        </is>
      </c>
      <c r="B1010" t="inlineStr">
        <is>
          <t>Hansen_delta_P</t>
        </is>
      </c>
      <c r="C1010">
        <v>6.5</v>
      </c>
      <c r="D1010" t="inlineStr">
        <is>
          <t>MPa^0.5</t>
        </is>
      </c>
      <c r="E1010"/>
      <c r="F1010"/>
      <c r="G1010" t="inlineStr">
        <is>
          <t>heuristic group-contribution/nearest-neighbour</t>
        </is>
      </c>
      <c r="H1010" t="inlineStr">
        <is>
          <t>S013_EST_HSP_HEURISTIC</t>
        </is>
      </c>
      <c r="I1010" t="inlineStr">
        <is>
          <t>estimated</t>
        </is>
      </c>
      <c r="J1010">
        <v>0.4</v>
      </c>
      <c r="K1010" t="inlineStr">
        <is>
          <t>Provisional HSP for screening; replace with experimental/literature value before model lock.</t>
        </is>
      </c>
    </row>
    <row r="1011">
      <c r="A1011" t="inlineStr">
        <is>
          <t>SURF_TWEEN_61</t>
        </is>
      </c>
      <c r="B1011" t="inlineStr">
        <is>
          <t>Hansen_delta_H</t>
        </is>
      </c>
      <c r="C1011">
        <v>10.5</v>
      </c>
      <c r="D1011" t="inlineStr">
        <is>
          <t>MPa^0.5</t>
        </is>
      </c>
      <c r="E1011"/>
      <c r="F1011"/>
      <c r="G1011" t="inlineStr">
        <is>
          <t>heuristic group-contribution/nearest-neighbour</t>
        </is>
      </c>
      <c r="H1011" t="inlineStr">
        <is>
          <t>S013_EST_HSP_HEURISTIC</t>
        </is>
      </c>
      <c r="I1011" t="inlineStr">
        <is>
          <t>estimated</t>
        </is>
      </c>
      <c r="J1011">
        <v>0.4</v>
      </c>
      <c r="K1011" t="inlineStr">
        <is>
          <t>Provisional HSP for screening; replace with experimental/literature value before model lock.</t>
        </is>
      </c>
    </row>
    <row r="1012">
      <c r="A1012" t="inlineStr">
        <is>
          <t>SURF_TWEEN_61</t>
        </is>
      </c>
      <c r="B1012" t="inlineStr">
        <is>
          <t>Hildebrand_delta_T</t>
        </is>
      </c>
      <c r="C1012">
        <v>21.26</v>
      </c>
      <c r="D1012" t="inlineStr">
        <is>
          <t>MPa^0.5</t>
        </is>
      </c>
      <c r="E1012"/>
      <c r="F1012"/>
      <c r="G1012" t="inlineStr">
        <is>
          <t>sqrt(deltaD^2+deltaP^2+deltaH^2)</t>
        </is>
      </c>
      <c r="H1012" t="inlineStr">
        <is>
          <t>S012_CALCULATED</t>
        </is>
      </c>
      <c r="I1012" t="inlineStr">
        <is>
          <t>calculated</t>
        </is>
      </c>
      <c r="J1012">
        <v>0.45</v>
      </c>
      <c r="K1012" t="inlineStr">
        <is>
          <t>Derived from stored Hansen components.</t>
        </is>
      </c>
    </row>
    <row r="1013">
      <c r="A1013" t="inlineStr">
        <is>
          <t>SURF_TWEEN_61</t>
        </is>
      </c>
      <c r="B1013" t="inlineStr">
        <is>
          <t>HSP_radius_R0</t>
        </is>
      </c>
      <c r="C1013">
        <v>8.0</v>
      </c>
      <c r="D1013" t="inlineStr">
        <is>
          <t>MPa^0.5</t>
        </is>
      </c>
      <c r="E1013"/>
      <c r="F1013"/>
      <c r="G1013" t="inlineStr">
        <is>
          <t>literature/heuristic solubility sphere</t>
        </is>
      </c>
      <c r="H1013" t="inlineStr">
        <is>
          <t>S013_EST_HSP_HEURISTIC</t>
        </is>
      </c>
      <c r="I1013" t="inlineStr">
        <is>
          <t>estimated</t>
        </is>
      </c>
      <c r="J1013">
        <v>0.4</v>
      </c>
      <c r="K1013" t="inlineStr">
        <is>
          <t>Screening radius only unless experimentally determined.</t>
        </is>
      </c>
    </row>
    <row r="1014">
      <c r="A1014" t="inlineStr">
        <is>
          <t>SURF_TWEEN_61</t>
        </is>
      </c>
      <c r="B1014" t="inlineStr">
        <is>
          <t>molar_volume_cm3_mol</t>
        </is>
      </c>
      <c r="C1014">
        <v>1117.35</v>
      </c>
      <c r="D1014" t="inlineStr">
        <is>
          <t>cm3/mol</t>
        </is>
      </c>
      <c r="E1014"/>
      <c r="F1014"/>
      <c r="G1014" t="inlineStr">
        <is>
          <t>MW/density estimate</t>
        </is>
      </c>
      <c r="H1014" t="inlineStr">
        <is>
          <t>S012_CALCULATED</t>
        </is>
      </c>
      <c r="I1014" t="inlineStr">
        <is>
          <t>estimated</t>
        </is>
      </c>
      <c r="J1014">
        <v>0.42</v>
      </c>
      <c r="K1014" t="inlineStr">
        <is>
          <t>Estimated from MW/density; replace with measured molar volume or density-specific grade data.</t>
        </is>
      </c>
    </row>
    <row r="1015">
      <c r="A1015" t="inlineStr">
        <is>
          <t>SURF_TWEEN_61</t>
        </is>
      </c>
      <c r="B1015" t="inlineStr">
        <is>
          <t>headgroup_area_nm2</t>
        </is>
      </c>
      <c r="C1015">
        <v>0.603</v>
      </c>
      <c r="D1015" t="inlineStr">
        <is>
          <t>nm2</t>
        </is>
      </c>
      <c r="E1015"/>
      <c r="F1015"/>
      <c r="G1015" t="inlineStr">
        <is>
          <t>CPP screening heuristic</t>
        </is>
      </c>
      <c r="H1015" t="inlineStr">
        <is>
          <t>S013_EST_HSP_HEURISTIC</t>
        </is>
      </c>
      <c r="I1015" t="inlineStr">
        <is>
          <t>estimated</t>
        </is>
      </c>
      <c r="J1015">
        <v>0.35</v>
      </c>
      <c r="K1015" t="inlineStr">
        <is>
          <t>Replace with monolayer or MD-derived area per molecule for publication-grade CPP.</t>
        </is>
      </c>
    </row>
    <row r="1016">
      <c r="A1016" t="inlineStr">
        <is>
          <t>SURF_TWEEN_65</t>
        </is>
      </c>
      <c r="B1016" t="inlineStr">
        <is>
          <t>molecular_weight_g_mol</t>
        </is>
      </c>
      <c r="C1016">
        <v>1844</v>
      </c>
      <c r="D1016" t="inlineStr">
        <is>
          <t>g/mol</t>
        </is>
      </c>
      <c r="E1016"/>
      <c r="F1016"/>
      <c r="G1016" t="inlineStr">
        <is>
          <t>supplier/handbook average for mixtures</t>
        </is>
      </c>
      <c r="H1016" t="inlineStr">
        <is>
          <t>S011_CRODA_SPAN_TWEEN</t>
        </is>
      </c>
      <c r="I1016" t="inlineStr">
        <is>
          <t>supplier-reported</t>
        </is>
      </c>
      <c r="J1016">
        <v>0.65</v>
      </c>
      <c r="K1016"/>
    </row>
    <row r="1017">
      <c r="A1017" t="inlineStr">
        <is>
          <t>SURF_TWEEN_65</t>
        </is>
      </c>
      <c r="B1017" t="inlineStr">
        <is>
          <t>HLB</t>
        </is>
      </c>
      <c r="C1017">
        <v>10.5</v>
      </c>
      <c r="D1017" t="inlineStr">
        <is>
          <t>HLB</t>
        </is>
      </c>
      <c r="E1017"/>
      <c r="F1017"/>
      <c r="G1017" t="inlineStr">
        <is>
          <t>Griffin/Davies HLB literature/supplier value</t>
        </is>
      </c>
      <c r="H1017" t="inlineStr">
        <is>
          <t>S011_CRODA_SPAN_TWEEN</t>
        </is>
      </c>
      <c r="I1017" t="inlineStr">
        <is>
          <t>supplier-reported</t>
        </is>
      </c>
      <c r="J1017">
        <v>0.75</v>
      </c>
      <c r="K1017" t="inlineStr">
        <is>
          <t>Grade-dependent; use supplier CoA when available.</t>
        </is>
      </c>
    </row>
    <row r="1018">
      <c r="A1018" t="inlineStr">
        <is>
          <t>SURF_TWEEN_65</t>
        </is>
      </c>
      <c r="B1018" t="inlineStr">
        <is>
          <t>headgroup_type</t>
        </is>
      </c>
      <c r="C1018" t="inlineStr">
        <is>
          <t>polyoxyethylene sorbitan triester</t>
        </is>
      </c>
      <c r="D1018"/>
      <c r="E1018"/>
      <c r="F1018"/>
      <c r="G1018" t="inlineStr">
        <is>
          <t>manual class annotation</t>
        </is>
      </c>
      <c r="H1018" t="inlineStr">
        <is>
          <t>S011_CRODA_SPAN_TWEEN</t>
        </is>
      </c>
      <c r="I1018" t="inlineStr">
        <is>
          <t>curated</t>
        </is>
      </c>
      <c r="J1018">
        <v>0.75</v>
      </c>
      <c r="K1018"/>
    </row>
    <row r="1019">
      <c r="A1019" t="inlineStr">
        <is>
          <t>SURF_TWEEN_65</t>
        </is>
      </c>
      <c r="B1019" t="inlineStr">
        <is>
          <t>tail_chain</t>
        </is>
      </c>
      <c r="C1019" t="inlineStr">
        <is>
          <t>tri-C18:0 stearate + POE</t>
        </is>
      </c>
      <c r="D1019"/>
      <c r="E1019"/>
      <c r="F1019"/>
      <c r="G1019" t="inlineStr">
        <is>
          <t>fatty-chain annotation</t>
        </is>
      </c>
      <c r="H1019" t="inlineStr">
        <is>
          <t>S011_CRODA_SPAN_TWEEN</t>
        </is>
      </c>
      <c r="I1019" t="inlineStr">
        <is>
          <t>curated</t>
        </is>
      </c>
      <c r="J1019">
        <v>0.8</v>
      </c>
      <c r="K1019"/>
    </row>
    <row r="1020">
      <c r="A1020" t="inlineStr">
        <is>
          <t>SURF_TWEEN_65</t>
        </is>
      </c>
      <c r="B1020" t="inlineStr">
        <is>
          <t>tail_carbons</t>
        </is>
      </c>
      <c r="C1020">
        <v>18</v>
      </c>
      <c r="D1020" t="inlineStr">
        <is>
          <t>count</t>
        </is>
      </c>
      <c r="E1020"/>
      <c r="F1020"/>
      <c r="G1020" t="inlineStr">
        <is>
          <t>fatty-chain annotation</t>
        </is>
      </c>
      <c r="H1020" t="inlineStr">
        <is>
          <t>S011_CRODA_SPAN_TWEEN</t>
        </is>
      </c>
      <c r="I1020" t="inlineStr">
        <is>
          <t>curated</t>
        </is>
      </c>
      <c r="J1020">
        <v>0.8</v>
      </c>
      <c r="K1020"/>
    </row>
    <row r="1021">
      <c r="A1021" t="inlineStr">
        <is>
          <t>SURF_TWEEN_65</t>
        </is>
      </c>
      <c r="B1021" t="inlineStr">
        <is>
          <t>tail_unsaturation</t>
        </is>
      </c>
      <c r="C1021">
        <v>0</v>
      </c>
      <c r="D1021" t="inlineStr">
        <is>
          <t>double_bonds</t>
        </is>
      </c>
      <c r="E1021"/>
      <c r="F1021"/>
      <c r="G1021" t="inlineStr">
        <is>
          <t>fatty-chain annotation</t>
        </is>
      </c>
      <c r="H1021" t="inlineStr">
        <is>
          <t>S011_CRODA_SPAN_TWEEN</t>
        </is>
      </c>
      <c r="I1021" t="inlineStr">
        <is>
          <t>curated</t>
        </is>
      </c>
      <c r="J1021">
        <v>0.8</v>
      </c>
      <c r="K1021"/>
    </row>
    <row r="1022">
      <c r="A1022" t="inlineStr">
        <is>
          <t>SURF_TWEEN_65</t>
        </is>
      </c>
      <c r="B1022" t="inlineStr">
        <is>
          <t>number_of_tails</t>
        </is>
      </c>
      <c r="C1022">
        <v>3</v>
      </c>
      <c r="D1022" t="inlineStr">
        <is>
          <t>count</t>
        </is>
      </c>
      <c r="E1022"/>
      <c r="F1022"/>
      <c r="G1022" t="inlineStr">
        <is>
          <t>fatty-chain annotation</t>
        </is>
      </c>
      <c r="H1022" t="inlineStr">
        <is>
          <t>S011_CRODA_SPAN_TWEEN</t>
        </is>
      </c>
      <c r="I1022" t="inlineStr">
        <is>
          <t>curated</t>
        </is>
      </c>
      <c r="J1022">
        <v>0.8</v>
      </c>
      <c r="K1022"/>
    </row>
    <row r="1023">
      <c r="A1023" t="inlineStr">
        <is>
          <t>SURF_TWEEN_65</t>
        </is>
      </c>
      <c r="B1023" t="inlineStr">
        <is>
          <t>charge_type</t>
        </is>
      </c>
      <c r="C1023" t="inlineStr">
        <is>
          <t>nonionic</t>
        </is>
      </c>
      <c r="D1023"/>
      <c r="E1023"/>
      <c r="F1023"/>
      <c r="G1023" t="inlineStr">
        <is>
          <t>ionization class</t>
        </is>
      </c>
      <c r="H1023" t="inlineStr">
        <is>
          <t>S011_CRODA_SPAN_TWEEN</t>
        </is>
      </c>
      <c r="I1023" t="inlineStr">
        <is>
          <t>curated</t>
        </is>
      </c>
      <c r="J1023">
        <v>0.85</v>
      </c>
      <c r="K1023"/>
    </row>
    <row r="1024">
      <c r="A1024" t="inlineStr">
        <is>
          <t>SURF_TWEEN_65</t>
        </is>
      </c>
      <c r="B1024" t="inlineStr">
        <is>
          <t>formal_charge</t>
        </is>
      </c>
      <c r="C1024">
        <v>0</v>
      </c>
      <c r="D1024" t="inlineStr">
        <is>
          <t>e</t>
        </is>
      </c>
      <c r="E1024"/>
      <c r="F1024"/>
      <c r="G1024" t="inlineStr">
        <is>
          <t>nominal at neutral pH</t>
        </is>
      </c>
      <c r="H1024" t="inlineStr">
        <is>
          <t>S011_CRODA_SPAN_TWEEN</t>
        </is>
      </c>
      <c r="I1024" t="inlineStr">
        <is>
          <t>curated</t>
        </is>
      </c>
      <c r="J1024">
        <v>0.85</v>
      </c>
      <c r="K1024"/>
    </row>
    <row r="1025">
      <c r="A1025" t="inlineStr">
        <is>
          <t>SURF_TWEEN_65</t>
        </is>
      </c>
      <c r="B1025" t="inlineStr">
        <is>
          <t>packing_role</t>
        </is>
      </c>
      <c r="C1025" t="inlineStr">
        <is>
          <t>edge activator / micellar solubilizer</t>
        </is>
      </c>
      <c r="D1025"/>
      <c r="E1025"/>
      <c r="F1025"/>
      <c r="G1025" t="inlineStr">
        <is>
          <t>HLB/chain-rule heuristic</t>
        </is>
      </c>
      <c r="H1025" t="inlineStr">
        <is>
          <t>S011_CRODA_SPAN_TWEEN</t>
        </is>
      </c>
      <c r="I1025" t="inlineStr">
        <is>
          <t>curated</t>
        </is>
      </c>
      <c r="J1025">
        <v>0.65</v>
      </c>
      <c r="K1025"/>
    </row>
    <row r="1026">
      <c r="A1026" t="inlineStr">
        <is>
          <t>SURF_TWEEN_65</t>
        </is>
      </c>
      <c r="B1026" t="inlineStr">
        <is>
          <t>edge_activator_flag</t>
        </is>
      </c>
      <c r="C1026" t="inlineStr">
        <is>
          <t>yes</t>
        </is>
      </c>
      <c r="D1026"/>
      <c r="E1026"/>
      <c r="F1026"/>
      <c r="G1026" t="inlineStr">
        <is>
          <t>HLB/charge heuristic</t>
        </is>
      </c>
      <c r="H1026" t="inlineStr">
        <is>
          <t>S011_CRODA_SPAN_TWEEN</t>
        </is>
      </c>
      <c r="I1026" t="inlineStr">
        <is>
          <t>curated</t>
        </is>
      </c>
      <c r="J1026">
        <v>0.7</v>
      </c>
      <c r="K1026"/>
    </row>
    <row r="1027">
      <c r="A1027" t="inlineStr">
        <is>
          <t>SURF_TWEEN_65</t>
        </is>
      </c>
      <c r="B1027" t="inlineStr">
        <is>
          <t>vesicle_anchor_flag</t>
        </is>
      </c>
      <c r="C1027" t="inlineStr">
        <is>
          <t>yes</t>
        </is>
      </c>
      <c r="D1027"/>
      <c r="E1027"/>
      <c r="F1027"/>
      <c r="G1027" t="inlineStr">
        <is>
          <t>chain-length and HLB heuristic</t>
        </is>
      </c>
      <c r="H1027" t="inlineStr">
        <is>
          <t>S011_CRODA_SPAN_TWEEN</t>
        </is>
      </c>
      <c r="I1027" t="inlineStr">
        <is>
          <t>curated</t>
        </is>
      </c>
      <c r="J1027">
        <v>0.7</v>
      </c>
      <c r="K1027"/>
    </row>
    <row r="1028">
      <c r="A1028" t="inlineStr">
        <is>
          <t>SURF_TWEEN_65</t>
        </is>
      </c>
      <c r="B1028" t="inlineStr">
        <is>
          <t>micellization_risk_flag</t>
        </is>
      </c>
      <c r="C1028" t="inlineStr">
        <is>
          <t>low-to-moderate</t>
        </is>
      </c>
      <c r="D1028"/>
      <c r="E1028"/>
      <c r="F1028"/>
      <c r="G1028" t="inlineStr">
        <is>
          <t>HLB heuristic</t>
        </is>
      </c>
      <c r="H1028" t="inlineStr">
        <is>
          <t>S011_CRODA_SPAN_TWEEN</t>
        </is>
      </c>
      <c r="I1028" t="inlineStr">
        <is>
          <t>curated</t>
        </is>
      </c>
      <c r="J1028">
        <v>0.65</v>
      </c>
      <c r="K1028"/>
    </row>
    <row r="1029">
      <c r="A1029" t="inlineStr">
        <is>
          <t>SURF_TWEEN_65</t>
        </is>
      </c>
      <c r="B1029" t="inlineStr">
        <is>
          <t>route_suitability</t>
        </is>
      </c>
      <c r="C1029" t="inlineStr">
        <is>
          <t>oral/topical; parenteral/inhalation only if grade and safety justified</t>
        </is>
      </c>
      <c r="D1029"/>
      <c r="E1029"/>
      <c r="F1029"/>
      <c r="G1029" t="inlineStr">
        <is>
          <t>route precedent heuristic</t>
        </is>
      </c>
      <c r="H1029" t="inlineStr">
        <is>
          <t>S008_FDA_IID</t>
        </is>
      </c>
      <c r="I1029" t="inlineStr">
        <is>
          <t>curated</t>
        </is>
      </c>
      <c r="J1029">
        <v>0.55</v>
      </c>
      <c r="K1029"/>
    </row>
    <row r="1030">
      <c r="A1030" t="inlineStr">
        <is>
          <t>SURF_TWEEN_65</t>
        </is>
      </c>
      <c r="B1030" t="inlineStr">
        <is>
          <t>toxicity_or_irritancy_notes</t>
        </is>
      </c>
      <c r="C1030" t="inlineStr">
        <is>
          <t>surfactant irritation/hemolysis is concentration-, route-, and grade-dependent; screen cytotoxicity and osmolality</t>
        </is>
      </c>
      <c r="D1030"/>
      <c r="E1030"/>
      <c r="F1030"/>
      <c r="G1030"/>
      <c r="H1030" t="inlineStr">
        <is>
          <t>S007_EXCIPIENTS_HANDBOOK</t>
        </is>
      </c>
      <c r="I1030" t="inlineStr">
        <is>
          <t>curated</t>
        </is>
      </c>
      <c r="J1030">
        <v>0.7</v>
      </c>
      <c r="K1030"/>
    </row>
    <row r="1031">
      <c r="A1031" t="inlineStr">
        <is>
          <t>SURF_TWEEN_65</t>
        </is>
      </c>
      <c r="B1031" t="inlineStr">
        <is>
          <t>melting_point_C</t>
        </is>
      </c>
      <c r="C1031">
        <v>32</v>
      </c>
      <c r="D1031" t="inlineStr">
        <is>
          <t>°C</t>
        </is>
      </c>
      <c r="E1031"/>
      <c r="F1031"/>
      <c r="G1031" t="inlineStr">
        <is>
          <t>melting/drop point range</t>
        </is>
      </c>
      <c r="H1031" t="inlineStr">
        <is>
          <t>S011_CRODA_SPAN_TWEEN</t>
        </is>
      </c>
      <c r="I1031" t="inlineStr">
        <is>
          <t>supplier-reported</t>
        </is>
      </c>
      <c r="J1031">
        <v>0.6</v>
      </c>
      <c r="K1031"/>
    </row>
    <row r="1032">
      <c r="A1032" t="inlineStr">
        <is>
          <t>SURF_TWEEN_65</t>
        </is>
      </c>
      <c r="B1032" t="inlineStr">
        <is>
          <t>Hansen_delta_D</t>
        </is>
      </c>
      <c r="C1032">
        <v>17.3</v>
      </c>
      <c r="D1032" t="inlineStr">
        <is>
          <t>MPa^0.5</t>
        </is>
      </c>
      <c r="E1032"/>
      <c r="F1032"/>
      <c r="G1032" t="inlineStr">
        <is>
          <t>heuristic group-contribution/nearest-neighbour</t>
        </is>
      </c>
      <c r="H1032" t="inlineStr">
        <is>
          <t>S013_EST_HSP_HEURISTIC</t>
        </is>
      </c>
      <c r="I1032" t="inlineStr">
        <is>
          <t>estimated</t>
        </is>
      </c>
      <c r="J1032">
        <v>0.4</v>
      </c>
      <c r="K1032" t="inlineStr">
        <is>
          <t>Provisional HSP for screening; replace with experimental/literature value before model lock.</t>
        </is>
      </c>
    </row>
    <row r="1033">
      <c r="A1033" t="inlineStr">
        <is>
          <t>SURF_TWEEN_65</t>
        </is>
      </c>
      <c r="B1033" t="inlineStr">
        <is>
          <t>Hansen_delta_P</t>
        </is>
      </c>
      <c r="C1033">
        <v>6.5</v>
      </c>
      <c r="D1033" t="inlineStr">
        <is>
          <t>MPa^0.5</t>
        </is>
      </c>
      <c r="E1033"/>
      <c r="F1033"/>
      <c r="G1033" t="inlineStr">
        <is>
          <t>heuristic group-contribution/nearest-neighbour</t>
        </is>
      </c>
      <c r="H1033" t="inlineStr">
        <is>
          <t>S013_EST_HSP_HEURISTIC</t>
        </is>
      </c>
      <c r="I1033" t="inlineStr">
        <is>
          <t>estimated</t>
        </is>
      </c>
      <c r="J1033">
        <v>0.4</v>
      </c>
      <c r="K1033" t="inlineStr">
        <is>
          <t>Provisional HSP for screening; replace with experimental/literature value before model lock.</t>
        </is>
      </c>
    </row>
    <row r="1034">
      <c r="A1034" t="inlineStr">
        <is>
          <t>SURF_TWEEN_65</t>
        </is>
      </c>
      <c r="B1034" t="inlineStr">
        <is>
          <t>Hansen_delta_H</t>
        </is>
      </c>
      <c r="C1034">
        <v>10.5</v>
      </c>
      <c r="D1034" t="inlineStr">
        <is>
          <t>MPa^0.5</t>
        </is>
      </c>
      <c r="E1034"/>
      <c r="F1034"/>
      <c r="G1034" t="inlineStr">
        <is>
          <t>heuristic group-contribution/nearest-neighbour</t>
        </is>
      </c>
      <c r="H1034" t="inlineStr">
        <is>
          <t>S013_EST_HSP_HEURISTIC</t>
        </is>
      </c>
      <c r="I1034" t="inlineStr">
        <is>
          <t>estimated</t>
        </is>
      </c>
      <c r="J1034">
        <v>0.4</v>
      </c>
      <c r="K1034" t="inlineStr">
        <is>
          <t>Provisional HSP for screening; replace with experimental/literature value before model lock.</t>
        </is>
      </c>
    </row>
    <row r="1035">
      <c r="A1035" t="inlineStr">
        <is>
          <t>SURF_TWEEN_65</t>
        </is>
      </c>
      <c r="B1035" t="inlineStr">
        <is>
          <t>Hildebrand_delta_T</t>
        </is>
      </c>
      <c r="C1035">
        <v>21.26</v>
      </c>
      <c r="D1035" t="inlineStr">
        <is>
          <t>MPa^0.5</t>
        </is>
      </c>
      <c r="E1035"/>
      <c r="F1035"/>
      <c r="G1035" t="inlineStr">
        <is>
          <t>sqrt(deltaD^2+deltaP^2+deltaH^2)</t>
        </is>
      </c>
      <c r="H1035" t="inlineStr">
        <is>
          <t>S012_CALCULATED</t>
        </is>
      </c>
      <c r="I1035" t="inlineStr">
        <is>
          <t>calculated</t>
        </is>
      </c>
      <c r="J1035">
        <v>0.45</v>
      </c>
      <c r="K1035" t="inlineStr">
        <is>
          <t>Derived from stored Hansen components.</t>
        </is>
      </c>
    </row>
    <row r="1036">
      <c r="A1036" t="inlineStr">
        <is>
          <t>SURF_TWEEN_65</t>
        </is>
      </c>
      <c r="B1036" t="inlineStr">
        <is>
          <t>HSP_radius_R0</t>
        </is>
      </c>
      <c r="C1036">
        <v>8.0</v>
      </c>
      <c r="D1036" t="inlineStr">
        <is>
          <t>MPa^0.5</t>
        </is>
      </c>
      <c r="E1036"/>
      <c r="F1036"/>
      <c r="G1036" t="inlineStr">
        <is>
          <t>literature/heuristic solubility sphere</t>
        </is>
      </c>
      <c r="H1036" t="inlineStr">
        <is>
          <t>S013_EST_HSP_HEURISTIC</t>
        </is>
      </c>
      <c r="I1036" t="inlineStr">
        <is>
          <t>estimated</t>
        </is>
      </c>
      <c r="J1036">
        <v>0.4</v>
      </c>
      <c r="K1036" t="inlineStr">
        <is>
          <t>Screening radius only unless experimentally determined.</t>
        </is>
      </c>
    </row>
    <row r="1037">
      <c r="A1037" t="inlineStr">
        <is>
          <t>SURF_TWEEN_65</t>
        </is>
      </c>
      <c r="B1037" t="inlineStr">
        <is>
          <t>molar_volume_cm3_mol</t>
        </is>
      </c>
      <c r="C1037">
        <v>1756.19</v>
      </c>
      <c r="D1037" t="inlineStr">
        <is>
          <t>cm3/mol</t>
        </is>
      </c>
      <c r="E1037"/>
      <c r="F1037"/>
      <c r="G1037" t="inlineStr">
        <is>
          <t>MW/density estimate</t>
        </is>
      </c>
      <c r="H1037" t="inlineStr">
        <is>
          <t>S012_CALCULATED</t>
        </is>
      </c>
      <c r="I1037" t="inlineStr">
        <is>
          <t>estimated</t>
        </is>
      </c>
      <c r="J1037">
        <v>0.42</v>
      </c>
      <c r="K1037" t="inlineStr">
        <is>
          <t>Estimated from MW/density; replace with measured molar volume or density-specific grade data.</t>
        </is>
      </c>
    </row>
    <row r="1038">
      <c r="A1038" t="inlineStr">
        <is>
          <t>SURF_TWEEN_65</t>
        </is>
      </c>
      <c r="B1038" t="inlineStr">
        <is>
          <t>headgroup_area_nm2</t>
        </is>
      </c>
      <c r="C1038">
        <v>0.619</v>
      </c>
      <c r="D1038" t="inlineStr">
        <is>
          <t>nm2</t>
        </is>
      </c>
      <c r="E1038"/>
      <c r="F1038"/>
      <c r="G1038" t="inlineStr">
        <is>
          <t>CPP screening heuristic</t>
        </is>
      </c>
      <c r="H1038" t="inlineStr">
        <is>
          <t>S013_EST_HSP_HEURISTIC</t>
        </is>
      </c>
      <c r="I1038" t="inlineStr">
        <is>
          <t>estimated</t>
        </is>
      </c>
      <c r="J1038">
        <v>0.35</v>
      </c>
      <c r="K1038" t="inlineStr">
        <is>
          <t>Replace with monolayer or MD-derived area per molecule for publication-grade CPP.</t>
        </is>
      </c>
    </row>
    <row r="1039">
      <c r="A1039" t="inlineStr">
        <is>
          <t>SURF_TWEEN_80</t>
        </is>
      </c>
      <c r="B1039" t="inlineStr">
        <is>
          <t>molecular_weight_g_mol</t>
        </is>
      </c>
      <c r="C1039">
        <v>1310</v>
      </c>
      <c r="D1039" t="inlineStr">
        <is>
          <t>g/mol</t>
        </is>
      </c>
      <c r="E1039"/>
      <c r="F1039"/>
      <c r="G1039" t="inlineStr">
        <is>
          <t>supplier/handbook average for mixtures</t>
        </is>
      </c>
      <c r="H1039" t="inlineStr">
        <is>
          <t>S011_CRODA_SPAN_TWEEN</t>
        </is>
      </c>
      <c r="I1039" t="inlineStr">
        <is>
          <t>supplier-reported</t>
        </is>
      </c>
      <c r="J1039">
        <v>0.65</v>
      </c>
      <c r="K1039"/>
    </row>
    <row r="1040">
      <c r="A1040" t="inlineStr">
        <is>
          <t>SURF_TWEEN_80</t>
        </is>
      </c>
      <c r="B1040" t="inlineStr">
        <is>
          <t>HLB</t>
        </is>
      </c>
      <c r="C1040">
        <v>15.0</v>
      </c>
      <c r="D1040" t="inlineStr">
        <is>
          <t>HLB</t>
        </is>
      </c>
      <c r="E1040"/>
      <c r="F1040"/>
      <c r="G1040" t="inlineStr">
        <is>
          <t>Griffin/Davies HLB literature/supplier value</t>
        </is>
      </c>
      <c r="H1040" t="inlineStr">
        <is>
          <t>S011_CRODA_SPAN_TWEEN</t>
        </is>
      </c>
      <c r="I1040" t="inlineStr">
        <is>
          <t>supplier-reported</t>
        </is>
      </c>
      <c r="J1040">
        <v>0.75</v>
      </c>
      <c r="K1040" t="inlineStr">
        <is>
          <t>Grade-dependent; use supplier CoA when available.</t>
        </is>
      </c>
    </row>
    <row r="1041">
      <c r="A1041" t="inlineStr">
        <is>
          <t>SURF_TWEEN_80</t>
        </is>
      </c>
      <c r="B1041" t="inlineStr">
        <is>
          <t>headgroup_type</t>
        </is>
      </c>
      <c r="C1041" t="inlineStr">
        <is>
          <t>polyoxyethylene sorbitan ester</t>
        </is>
      </c>
      <c r="D1041"/>
      <c r="E1041"/>
      <c r="F1041"/>
      <c r="G1041" t="inlineStr">
        <is>
          <t>manual class annotation</t>
        </is>
      </c>
      <c r="H1041" t="inlineStr">
        <is>
          <t>S011_CRODA_SPAN_TWEEN</t>
        </is>
      </c>
      <c r="I1041" t="inlineStr">
        <is>
          <t>curated</t>
        </is>
      </c>
      <c r="J1041">
        <v>0.75</v>
      </c>
      <c r="K1041"/>
    </row>
    <row r="1042">
      <c r="A1042" t="inlineStr">
        <is>
          <t>SURF_TWEEN_80</t>
        </is>
      </c>
      <c r="B1042" t="inlineStr">
        <is>
          <t>tail_chain</t>
        </is>
      </c>
      <c r="C1042" t="inlineStr">
        <is>
          <t>C18:1 oleate + POE</t>
        </is>
      </c>
      <c r="D1042"/>
      <c r="E1042"/>
      <c r="F1042"/>
      <c r="G1042" t="inlineStr">
        <is>
          <t>fatty-chain annotation</t>
        </is>
      </c>
      <c r="H1042" t="inlineStr">
        <is>
          <t>S011_CRODA_SPAN_TWEEN</t>
        </is>
      </c>
      <c r="I1042" t="inlineStr">
        <is>
          <t>curated</t>
        </is>
      </c>
      <c r="J1042">
        <v>0.8</v>
      </c>
      <c r="K1042"/>
    </row>
    <row r="1043">
      <c r="A1043" t="inlineStr">
        <is>
          <t>SURF_TWEEN_80</t>
        </is>
      </c>
      <c r="B1043" t="inlineStr">
        <is>
          <t>tail_carbons</t>
        </is>
      </c>
      <c r="C1043">
        <v>18</v>
      </c>
      <c r="D1043" t="inlineStr">
        <is>
          <t>count</t>
        </is>
      </c>
      <c r="E1043"/>
      <c r="F1043"/>
      <c r="G1043" t="inlineStr">
        <is>
          <t>fatty-chain annotation</t>
        </is>
      </c>
      <c r="H1043" t="inlineStr">
        <is>
          <t>S011_CRODA_SPAN_TWEEN</t>
        </is>
      </c>
      <c r="I1043" t="inlineStr">
        <is>
          <t>curated</t>
        </is>
      </c>
      <c r="J1043">
        <v>0.8</v>
      </c>
      <c r="K1043"/>
    </row>
    <row r="1044">
      <c r="A1044" t="inlineStr">
        <is>
          <t>SURF_TWEEN_80</t>
        </is>
      </c>
      <c r="B1044" t="inlineStr">
        <is>
          <t>tail_unsaturation</t>
        </is>
      </c>
      <c r="C1044">
        <v>1</v>
      </c>
      <c r="D1044" t="inlineStr">
        <is>
          <t>double_bonds</t>
        </is>
      </c>
      <c r="E1044"/>
      <c r="F1044"/>
      <c r="G1044" t="inlineStr">
        <is>
          <t>fatty-chain annotation</t>
        </is>
      </c>
      <c r="H1044" t="inlineStr">
        <is>
          <t>S011_CRODA_SPAN_TWEEN</t>
        </is>
      </c>
      <c r="I1044" t="inlineStr">
        <is>
          <t>curated</t>
        </is>
      </c>
      <c r="J1044">
        <v>0.8</v>
      </c>
      <c r="K1044"/>
    </row>
    <row r="1045">
      <c r="A1045" t="inlineStr">
        <is>
          <t>SURF_TWEEN_80</t>
        </is>
      </c>
      <c r="B1045" t="inlineStr">
        <is>
          <t>number_of_tails</t>
        </is>
      </c>
      <c r="C1045">
        <v>1</v>
      </c>
      <c r="D1045" t="inlineStr">
        <is>
          <t>count</t>
        </is>
      </c>
      <c r="E1045"/>
      <c r="F1045"/>
      <c r="G1045" t="inlineStr">
        <is>
          <t>fatty-chain annotation</t>
        </is>
      </c>
      <c r="H1045" t="inlineStr">
        <is>
          <t>S011_CRODA_SPAN_TWEEN</t>
        </is>
      </c>
      <c r="I1045" t="inlineStr">
        <is>
          <t>curated</t>
        </is>
      </c>
      <c r="J1045">
        <v>0.8</v>
      </c>
      <c r="K1045"/>
    </row>
    <row r="1046">
      <c r="A1046" t="inlineStr">
        <is>
          <t>SURF_TWEEN_80</t>
        </is>
      </c>
      <c r="B1046" t="inlineStr">
        <is>
          <t>charge_type</t>
        </is>
      </c>
      <c r="C1046" t="inlineStr">
        <is>
          <t>nonionic</t>
        </is>
      </c>
      <c r="D1046"/>
      <c r="E1046"/>
      <c r="F1046"/>
      <c r="G1046" t="inlineStr">
        <is>
          <t>ionization class</t>
        </is>
      </c>
      <c r="H1046" t="inlineStr">
        <is>
          <t>S011_CRODA_SPAN_TWEEN</t>
        </is>
      </c>
      <c r="I1046" t="inlineStr">
        <is>
          <t>curated</t>
        </is>
      </c>
      <c r="J1046">
        <v>0.85</v>
      </c>
      <c r="K1046"/>
    </row>
    <row r="1047">
      <c r="A1047" t="inlineStr">
        <is>
          <t>SURF_TWEEN_80</t>
        </is>
      </c>
      <c r="B1047" t="inlineStr">
        <is>
          <t>formal_charge</t>
        </is>
      </c>
      <c r="C1047">
        <v>0</v>
      </c>
      <c r="D1047" t="inlineStr">
        <is>
          <t>e</t>
        </is>
      </c>
      <c r="E1047"/>
      <c r="F1047"/>
      <c r="G1047" t="inlineStr">
        <is>
          <t>nominal at neutral pH</t>
        </is>
      </c>
      <c r="H1047" t="inlineStr">
        <is>
          <t>S011_CRODA_SPAN_TWEEN</t>
        </is>
      </c>
      <c r="I1047" t="inlineStr">
        <is>
          <t>curated</t>
        </is>
      </c>
      <c r="J1047">
        <v>0.85</v>
      </c>
      <c r="K1047"/>
    </row>
    <row r="1048">
      <c r="A1048" t="inlineStr">
        <is>
          <t>SURF_TWEEN_80</t>
        </is>
      </c>
      <c r="B1048" t="inlineStr">
        <is>
          <t>packing_role</t>
        </is>
      </c>
      <c r="C1048" t="inlineStr">
        <is>
          <t>edge activator / micellar solubilizer</t>
        </is>
      </c>
      <c r="D1048"/>
      <c r="E1048"/>
      <c r="F1048"/>
      <c r="G1048" t="inlineStr">
        <is>
          <t>HLB/chain-rule heuristic</t>
        </is>
      </c>
      <c r="H1048" t="inlineStr">
        <is>
          <t>S011_CRODA_SPAN_TWEEN</t>
        </is>
      </c>
      <c r="I1048" t="inlineStr">
        <is>
          <t>curated</t>
        </is>
      </c>
      <c r="J1048">
        <v>0.65</v>
      </c>
      <c r="K1048"/>
    </row>
    <row r="1049">
      <c r="A1049" t="inlineStr">
        <is>
          <t>SURF_TWEEN_80</t>
        </is>
      </c>
      <c r="B1049" t="inlineStr">
        <is>
          <t>edge_activator_flag</t>
        </is>
      </c>
      <c r="C1049" t="inlineStr">
        <is>
          <t>yes</t>
        </is>
      </c>
      <c r="D1049"/>
      <c r="E1049"/>
      <c r="F1049"/>
      <c r="G1049" t="inlineStr">
        <is>
          <t>HLB/charge heuristic</t>
        </is>
      </c>
      <c r="H1049" t="inlineStr">
        <is>
          <t>S011_CRODA_SPAN_TWEEN</t>
        </is>
      </c>
      <c r="I1049" t="inlineStr">
        <is>
          <t>curated</t>
        </is>
      </c>
      <c r="J1049">
        <v>0.7</v>
      </c>
      <c r="K1049"/>
    </row>
    <row r="1050">
      <c r="A1050" t="inlineStr">
        <is>
          <t>SURF_TWEEN_80</t>
        </is>
      </c>
      <c r="B1050" t="inlineStr">
        <is>
          <t>vesicle_anchor_flag</t>
        </is>
      </c>
      <c r="C1050" t="inlineStr">
        <is>
          <t>weak/conditional</t>
        </is>
      </c>
      <c r="D1050"/>
      <c r="E1050"/>
      <c r="F1050"/>
      <c r="G1050" t="inlineStr">
        <is>
          <t>chain-length and HLB heuristic</t>
        </is>
      </c>
      <c r="H1050" t="inlineStr">
        <is>
          <t>S011_CRODA_SPAN_TWEEN</t>
        </is>
      </c>
      <c r="I1050" t="inlineStr">
        <is>
          <t>curated</t>
        </is>
      </c>
      <c r="J1050">
        <v>0.7</v>
      </c>
      <c r="K1050"/>
    </row>
    <row r="1051">
      <c r="A1051" t="inlineStr">
        <is>
          <t>SURF_TWEEN_80</t>
        </is>
      </c>
      <c r="B1051" t="inlineStr">
        <is>
          <t>micellization_risk_flag</t>
        </is>
      </c>
      <c r="C1051" t="inlineStr">
        <is>
          <t>high</t>
        </is>
      </c>
      <c r="D1051"/>
      <c r="E1051"/>
      <c r="F1051"/>
      <c r="G1051" t="inlineStr">
        <is>
          <t>HLB heuristic</t>
        </is>
      </c>
      <c r="H1051" t="inlineStr">
        <is>
          <t>S011_CRODA_SPAN_TWEEN</t>
        </is>
      </c>
      <c r="I1051" t="inlineStr">
        <is>
          <t>curated</t>
        </is>
      </c>
      <c r="J1051">
        <v>0.65</v>
      </c>
      <c r="K1051"/>
    </row>
    <row r="1052">
      <c r="A1052" t="inlineStr">
        <is>
          <t>SURF_TWEEN_80</t>
        </is>
      </c>
      <c r="B1052" t="inlineStr">
        <is>
          <t>route_suitability</t>
        </is>
      </c>
      <c r="C1052" t="inlineStr">
        <is>
          <t>oral/topical; parenteral/inhalation only if grade and safety justified</t>
        </is>
      </c>
      <c r="D1052"/>
      <c r="E1052"/>
      <c r="F1052"/>
      <c r="G1052" t="inlineStr">
        <is>
          <t>route precedent heuristic</t>
        </is>
      </c>
      <c r="H1052" t="inlineStr">
        <is>
          <t>S008_FDA_IID</t>
        </is>
      </c>
      <c r="I1052" t="inlineStr">
        <is>
          <t>curated</t>
        </is>
      </c>
      <c r="J1052">
        <v>0.55</v>
      </c>
      <c r="K1052"/>
    </row>
    <row r="1053">
      <c r="A1053" t="inlineStr">
        <is>
          <t>SURF_TWEEN_80</t>
        </is>
      </c>
      <c r="B1053" t="inlineStr">
        <is>
          <t>toxicity_or_irritancy_notes</t>
        </is>
      </c>
      <c r="C1053" t="inlineStr">
        <is>
          <t>surfactant irritation/hemolysis is concentration-, route-, and grade-dependent; screen cytotoxicity and osmolality</t>
        </is>
      </c>
      <c r="D1053"/>
      <c r="E1053"/>
      <c r="F1053"/>
      <c r="G1053"/>
      <c r="H1053" t="inlineStr">
        <is>
          <t>S007_EXCIPIENTS_HANDBOOK</t>
        </is>
      </c>
      <c r="I1053" t="inlineStr">
        <is>
          <t>curated</t>
        </is>
      </c>
      <c r="J1053">
        <v>0.7</v>
      </c>
      <c r="K1053"/>
    </row>
    <row r="1054">
      <c r="A1054" t="inlineStr">
        <is>
          <t>SURF_TWEEN_80</t>
        </is>
      </c>
      <c r="B1054" t="inlineStr">
        <is>
          <t>Hansen_delta_D</t>
        </is>
      </c>
      <c r="C1054">
        <v>17.2</v>
      </c>
      <c r="D1054" t="inlineStr">
        <is>
          <t>MPa^0.5</t>
        </is>
      </c>
      <c r="E1054"/>
      <c r="F1054"/>
      <c r="G1054" t="inlineStr">
        <is>
          <t>heuristic group-contribution/nearest-neighbour</t>
        </is>
      </c>
      <c r="H1054" t="inlineStr">
        <is>
          <t>S013_EST_HSP_HEURISTIC</t>
        </is>
      </c>
      <c r="I1054" t="inlineStr">
        <is>
          <t>estimated</t>
        </is>
      </c>
      <c r="J1054">
        <v>0.4</v>
      </c>
      <c r="K1054" t="inlineStr">
        <is>
          <t>Provisional HSP for screening; replace with experimental/literature value before model lock.</t>
        </is>
      </c>
    </row>
    <row r="1055">
      <c r="A1055" t="inlineStr">
        <is>
          <t>SURF_TWEEN_80</t>
        </is>
      </c>
      <c r="B1055" t="inlineStr">
        <is>
          <t>Hansen_delta_P</t>
        </is>
      </c>
      <c r="C1055">
        <v>8.5</v>
      </c>
      <c r="D1055" t="inlineStr">
        <is>
          <t>MPa^0.5</t>
        </is>
      </c>
      <c r="E1055"/>
      <c r="F1055"/>
      <c r="G1055" t="inlineStr">
        <is>
          <t>heuristic group-contribution/nearest-neighbour</t>
        </is>
      </c>
      <c r="H1055" t="inlineStr">
        <is>
          <t>S013_EST_HSP_HEURISTIC</t>
        </is>
      </c>
      <c r="I1055" t="inlineStr">
        <is>
          <t>estimated</t>
        </is>
      </c>
      <c r="J1055">
        <v>0.4</v>
      </c>
      <c r="K1055" t="inlineStr">
        <is>
          <t>Provisional HSP for screening; replace with experimental/literature value before model lock.</t>
        </is>
      </c>
    </row>
    <row r="1056">
      <c r="A1056" t="inlineStr">
        <is>
          <t>SURF_TWEEN_80</t>
        </is>
      </c>
      <c r="B1056" t="inlineStr">
        <is>
          <t>Hansen_delta_H</t>
        </is>
      </c>
      <c r="C1056">
        <v>14.0</v>
      </c>
      <c r="D1056" t="inlineStr">
        <is>
          <t>MPa^0.5</t>
        </is>
      </c>
      <c r="E1056"/>
      <c r="F1056"/>
      <c r="G1056" t="inlineStr">
        <is>
          <t>heuristic group-contribution/nearest-neighbour</t>
        </is>
      </c>
      <c r="H1056" t="inlineStr">
        <is>
          <t>S013_EST_HSP_HEURISTIC</t>
        </is>
      </c>
      <c r="I1056" t="inlineStr">
        <is>
          <t>estimated</t>
        </is>
      </c>
      <c r="J1056">
        <v>0.4</v>
      </c>
      <c r="K1056" t="inlineStr">
        <is>
          <t>Provisional HSP for screening; replace with experimental/literature value before model lock.</t>
        </is>
      </c>
    </row>
    <row r="1057">
      <c r="A1057" t="inlineStr">
        <is>
          <t>SURF_TWEEN_80</t>
        </is>
      </c>
      <c r="B1057" t="inlineStr">
        <is>
          <t>Hildebrand_delta_T</t>
        </is>
      </c>
      <c r="C1057">
        <v>23.75</v>
      </c>
      <c r="D1057" t="inlineStr">
        <is>
          <t>MPa^0.5</t>
        </is>
      </c>
      <c r="E1057"/>
      <c r="F1057"/>
      <c r="G1057" t="inlineStr">
        <is>
          <t>sqrt(deltaD^2+deltaP^2+deltaH^2)</t>
        </is>
      </c>
      <c r="H1057" t="inlineStr">
        <is>
          <t>S012_CALCULATED</t>
        </is>
      </c>
      <c r="I1057" t="inlineStr">
        <is>
          <t>calculated</t>
        </is>
      </c>
      <c r="J1057">
        <v>0.45</v>
      </c>
      <c r="K1057" t="inlineStr">
        <is>
          <t>Derived from stored Hansen components.</t>
        </is>
      </c>
    </row>
    <row r="1058">
      <c r="A1058" t="inlineStr">
        <is>
          <t>SURF_TWEEN_80</t>
        </is>
      </c>
      <c r="B1058" t="inlineStr">
        <is>
          <t>HSP_radius_R0</t>
        </is>
      </c>
      <c r="C1058">
        <v>9.0</v>
      </c>
      <c r="D1058" t="inlineStr">
        <is>
          <t>MPa^0.5</t>
        </is>
      </c>
      <c r="E1058"/>
      <c r="F1058"/>
      <c r="G1058" t="inlineStr">
        <is>
          <t>literature/heuristic solubility sphere</t>
        </is>
      </c>
      <c r="H1058" t="inlineStr">
        <is>
          <t>S013_EST_HSP_HEURISTIC</t>
        </is>
      </c>
      <c r="I1058" t="inlineStr">
        <is>
          <t>estimated</t>
        </is>
      </c>
      <c r="J1058">
        <v>0.4</v>
      </c>
      <c r="K1058" t="inlineStr">
        <is>
          <t>Screening radius only unless experimentally determined.</t>
        </is>
      </c>
    </row>
    <row r="1059">
      <c r="A1059" t="inlineStr">
        <is>
          <t>SURF_TWEEN_80</t>
        </is>
      </c>
      <c r="B1059" t="inlineStr">
        <is>
          <t>molar_volume_cm3_mol</t>
        </is>
      </c>
      <c r="C1059">
        <v>1247.62</v>
      </c>
      <c r="D1059" t="inlineStr">
        <is>
          <t>cm3/mol</t>
        </is>
      </c>
      <c r="E1059"/>
      <c r="F1059"/>
      <c r="G1059" t="inlineStr">
        <is>
          <t>MW/density estimate</t>
        </is>
      </c>
      <c r="H1059" t="inlineStr">
        <is>
          <t>S012_CALCULATED</t>
        </is>
      </c>
      <c r="I1059" t="inlineStr">
        <is>
          <t>estimated</t>
        </is>
      </c>
      <c r="J1059">
        <v>0.42</v>
      </c>
      <c r="K1059" t="inlineStr">
        <is>
          <t>Estimated from MW/density; replace with measured molar volume or density-specific grade data.</t>
        </is>
      </c>
    </row>
    <row r="1060">
      <c r="A1060" t="inlineStr">
        <is>
          <t>SURF_TWEEN_80</t>
        </is>
      </c>
      <c r="B1060" t="inlineStr">
        <is>
          <t>headgroup_area_nm2</t>
        </is>
      </c>
      <c r="C1060">
        <v>0.7</v>
      </c>
      <c r="D1060" t="inlineStr">
        <is>
          <t>nm2</t>
        </is>
      </c>
      <c r="E1060"/>
      <c r="F1060"/>
      <c r="G1060" t="inlineStr">
        <is>
          <t>CPP screening heuristic</t>
        </is>
      </c>
      <c r="H1060" t="inlineStr">
        <is>
          <t>S013_EST_HSP_HEURISTIC</t>
        </is>
      </c>
      <c r="I1060" t="inlineStr">
        <is>
          <t>estimated</t>
        </is>
      </c>
      <c r="J1060">
        <v>0.35</v>
      </c>
      <c r="K1060" t="inlineStr">
        <is>
          <t>Replace with monolayer or MD-derived area per molecule for publication-grade CPP.</t>
        </is>
      </c>
    </row>
    <row r="1061">
      <c r="A1061" t="inlineStr">
        <is>
          <t>SURF_TWEEN_81</t>
        </is>
      </c>
      <c r="B1061" t="inlineStr">
        <is>
          <t>molecular_weight_g_mol</t>
        </is>
      </c>
      <c r="C1061">
        <v>1090</v>
      </c>
      <c r="D1061" t="inlineStr">
        <is>
          <t>g/mol</t>
        </is>
      </c>
      <c r="E1061"/>
      <c r="F1061"/>
      <c r="G1061" t="inlineStr">
        <is>
          <t>supplier/handbook average for mixtures</t>
        </is>
      </c>
      <c r="H1061" t="inlineStr">
        <is>
          <t>S011_CRODA_SPAN_TWEEN</t>
        </is>
      </c>
      <c r="I1061" t="inlineStr">
        <is>
          <t>supplier-reported</t>
        </is>
      </c>
      <c r="J1061">
        <v>0.65</v>
      </c>
      <c r="K1061"/>
    </row>
    <row r="1062">
      <c r="A1062" t="inlineStr">
        <is>
          <t>SURF_TWEEN_81</t>
        </is>
      </c>
      <c r="B1062" t="inlineStr">
        <is>
          <t>HLB</t>
        </is>
      </c>
      <c r="C1062">
        <v>10.0</v>
      </c>
      <c r="D1062" t="inlineStr">
        <is>
          <t>HLB</t>
        </is>
      </c>
      <c r="E1062"/>
      <c r="F1062"/>
      <c r="G1062" t="inlineStr">
        <is>
          <t>Griffin/Davies HLB literature/supplier value</t>
        </is>
      </c>
      <c r="H1062" t="inlineStr">
        <is>
          <t>S011_CRODA_SPAN_TWEEN</t>
        </is>
      </c>
      <c r="I1062" t="inlineStr">
        <is>
          <t>supplier-reported</t>
        </is>
      </c>
      <c r="J1062">
        <v>0.75</v>
      </c>
      <c r="K1062" t="inlineStr">
        <is>
          <t>Grade-dependent; use supplier CoA when available.</t>
        </is>
      </c>
    </row>
    <row r="1063">
      <c r="A1063" t="inlineStr">
        <is>
          <t>SURF_TWEEN_81</t>
        </is>
      </c>
      <c r="B1063" t="inlineStr">
        <is>
          <t>headgroup_type</t>
        </is>
      </c>
      <c r="C1063" t="inlineStr">
        <is>
          <t>polyoxyethylene sorbitan ester</t>
        </is>
      </c>
      <c r="D1063"/>
      <c r="E1063"/>
      <c r="F1063"/>
      <c r="G1063" t="inlineStr">
        <is>
          <t>manual class annotation</t>
        </is>
      </c>
      <c r="H1063" t="inlineStr">
        <is>
          <t>S011_CRODA_SPAN_TWEEN</t>
        </is>
      </c>
      <c r="I1063" t="inlineStr">
        <is>
          <t>curated</t>
        </is>
      </c>
      <c r="J1063">
        <v>0.75</v>
      </c>
      <c r="K1063"/>
    </row>
    <row r="1064">
      <c r="A1064" t="inlineStr">
        <is>
          <t>SURF_TWEEN_81</t>
        </is>
      </c>
      <c r="B1064" t="inlineStr">
        <is>
          <t>tail_chain</t>
        </is>
      </c>
      <c r="C1064" t="inlineStr">
        <is>
          <t>C18:1 oleate + lower POE</t>
        </is>
      </c>
      <c r="D1064"/>
      <c r="E1064"/>
      <c r="F1064"/>
      <c r="G1064" t="inlineStr">
        <is>
          <t>fatty-chain annotation</t>
        </is>
      </c>
      <c r="H1064" t="inlineStr">
        <is>
          <t>S011_CRODA_SPAN_TWEEN</t>
        </is>
      </c>
      <c r="I1064" t="inlineStr">
        <is>
          <t>curated</t>
        </is>
      </c>
      <c r="J1064">
        <v>0.8</v>
      </c>
      <c r="K1064"/>
    </row>
    <row r="1065">
      <c r="A1065" t="inlineStr">
        <is>
          <t>SURF_TWEEN_81</t>
        </is>
      </c>
      <c r="B1065" t="inlineStr">
        <is>
          <t>tail_carbons</t>
        </is>
      </c>
      <c r="C1065">
        <v>18</v>
      </c>
      <c r="D1065" t="inlineStr">
        <is>
          <t>count</t>
        </is>
      </c>
      <c r="E1065"/>
      <c r="F1065"/>
      <c r="G1065" t="inlineStr">
        <is>
          <t>fatty-chain annotation</t>
        </is>
      </c>
      <c r="H1065" t="inlineStr">
        <is>
          <t>S011_CRODA_SPAN_TWEEN</t>
        </is>
      </c>
      <c r="I1065" t="inlineStr">
        <is>
          <t>curated</t>
        </is>
      </c>
      <c r="J1065">
        <v>0.8</v>
      </c>
      <c r="K1065"/>
    </row>
    <row r="1066">
      <c r="A1066" t="inlineStr">
        <is>
          <t>SURF_TWEEN_81</t>
        </is>
      </c>
      <c r="B1066" t="inlineStr">
        <is>
          <t>tail_unsaturation</t>
        </is>
      </c>
      <c r="C1066">
        <v>1</v>
      </c>
      <c r="D1066" t="inlineStr">
        <is>
          <t>double_bonds</t>
        </is>
      </c>
      <c r="E1066"/>
      <c r="F1066"/>
      <c r="G1066" t="inlineStr">
        <is>
          <t>fatty-chain annotation</t>
        </is>
      </c>
      <c r="H1066" t="inlineStr">
        <is>
          <t>S011_CRODA_SPAN_TWEEN</t>
        </is>
      </c>
      <c r="I1066" t="inlineStr">
        <is>
          <t>curated</t>
        </is>
      </c>
      <c r="J1066">
        <v>0.8</v>
      </c>
      <c r="K1066"/>
    </row>
    <row r="1067">
      <c r="A1067" t="inlineStr">
        <is>
          <t>SURF_TWEEN_81</t>
        </is>
      </c>
      <c r="B1067" t="inlineStr">
        <is>
          <t>number_of_tails</t>
        </is>
      </c>
      <c r="C1067">
        <v>1</v>
      </c>
      <c r="D1067" t="inlineStr">
        <is>
          <t>count</t>
        </is>
      </c>
      <c r="E1067"/>
      <c r="F1067"/>
      <c r="G1067" t="inlineStr">
        <is>
          <t>fatty-chain annotation</t>
        </is>
      </c>
      <c r="H1067" t="inlineStr">
        <is>
          <t>S011_CRODA_SPAN_TWEEN</t>
        </is>
      </c>
      <c r="I1067" t="inlineStr">
        <is>
          <t>curated</t>
        </is>
      </c>
      <c r="J1067">
        <v>0.8</v>
      </c>
      <c r="K1067"/>
    </row>
    <row r="1068">
      <c r="A1068" t="inlineStr">
        <is>
          <t>SURF_TWEEN_81</t>
        </is>
      </c>
      <c r="B1068" t="inlineStr">
        <is>
          <t>charge_type</t>
        </is>
      </c>
      <c r="C1068" t="inlineStr">
        <is>
          <t>nonionic</t>
        </is>
      </c>
      <c r="D1068"/>
      <c r="E1068"/>
      <c r="F1068"/>
      <c r="G1068" t="inlineStr">
        <is>
          <t>ionization class</t>
        </is>
      </c>
      <c r="H1068" t="inlineStr">
        <is>
          <t>S011_CRODA_SPAN_TWEEN</t>
        </is>
      </c>
      <c r="I1068" t="inlineStr">
        <is>
          <t>curated</t>
        </is>
      </c>
      <c r="J1068">
        <v>0.85</v>
      </c>
      <c r="K1068"/>
    </row>
    <row r="1069">
      <c r="A1069" t="inlineStr">
        <is>
          <t>SURF_TWEEN_81</t>
        </is>
      </c>
      <c r="B1069" t="inlineStr">
        <is>
          <t>formal_charge</t>
        </is>
      </c>
      <c r="C1069">
        <v>0</v>
      </c>
      <c r="D1069" t="inlineStr">
        <is>
          <t>e</t>
        </is>
      </c>
      <c r="E1069"/>
      <c r="F1069"/>
      <c r="G1069" t="inlineStr">
        <is>
          <t>nominal at neutral pH</t>
        </is>
      </c>
      <c r="H1069" t="inlineStr">
        <is>
          <t>S011_CRODA_SPAN_TWEEN</t>
        </is>
      </c>
      <c r="I1069" t="inlineStr">
        <is>
          <t>curated</t>
        </is>
      </c>
      <c r="J1069">
        <v>0.85</v>
      </c>
      <c r="K1069"/>
    </row>
    <row r="1070">
      <c r="A1070" t="inlineStr">
        <is>
          <t>SURF_TWEEN_81</t>
        </is>
      </c>
      <c r="B1070" t="inlineStr">
        <is>
          <t>packing_role</t>
        </is>
      </c>
      <c r="C1070" t="inlineStr">
        <is>
          <t>edge activator / micellar solubilizer</t>
        </is>
      </c>
      <c r="D1070"/>
      <c r="E1070"/>
      <c r="F1070"/>
      <c r="G1070" t="inlineStr">
        <is>
          <t>HLB/chain-rule heuristic</t>
        </is>
      </c>
      <c r="H1070" t="inlineStr">
        <is>
          <t>S011_CRODA_SPAN_TWEEN</t>
        </is>
      </c>
      <c r="I1070" t="inlineStr">
        <is>
          <t>curated</t>
        </is>
      </c>
      <c r="J1070">
        <v>0.65</v>
      </c>
      <c r="K1070"/>
    </row>
    <row r="1071">
      <c r="A1071" t="inlineStr">
        <is>
          <t>SURF_TWEEN_81</t>
        </is>
      </c>
      <c r="B1071" t="inlineStr">
        <is>
          <t>edge_activator_flag</t>
        </is>
      </c>
      <c r="C1071" t="inlineStr">
        <is>
          <t>yes</t>
        </is>
      </c>
      <c r="D1071"/>
      <c r="E1071"/>
      <c r="F1071"/>
      <c r="G1071" t="inlineStr">
        <is>
          <t>HLB/charge heuristic</t>
        </is>
      </c>
      <c r="H1071" t="inlineStr">
        <is>
          <t>S011_CRODA_SPAN_TWEEN</t>
        </is>
      </c>
      <c r="I1071" t="inlineStr">
        <is>
          <t>curated</t>
        </is>
      </c>
      <c r="J1071">
        <v>0.7</v>
      </c>
      <c r="K1071"/>
    </row>
    <row r="1072">
      <c r="A1072" t="inlineStr">
        <is>
          <t>SURF_TWEEN_81</t>
        </is>
      </c>
      <c r="B1072" t="inlineStr">
        <is>
          <t>vesicle_anchor_flag</t>
        </is>
      </c>
      <c r="C1072" t="inlineStr">
        <is>
          <t>yes</t>
        </is>
      </c>
      <c r="D1072"/>
      <c r="E1072"/>
      <c r="F1072"/>
      <c r="G1072" t="inlineStr">
        <is>
          <t>chain-length and HLB heuristic</t>
        </is>
      </c>
      <c r="H1072" t="inlineStr">
        <is>
          <t>S011_CRODA_SPAN_TWEEN</t>
        </is>
      </c>
      <c r="I1072" t="inlineStr">
        <is>
          <t>curated</t>
        </is>
      </c>
      <c r="J1072">
        <v>0.7</v>
      </c>
      <c r="K1072"/>
    </row>
    <row r="1073">
      <c r="A1073" t="inlineStr">
        <is>
          <t>SURF_TWEEN_81</t>
        </is>
      </c>
      <c r="B1073" t="inlineStr">
        <is>
          <t>micellization_risk_flag</t>
        </is>
      </c>
      <c r="C1073" t="inlineStr">
        <is>
          <t>low-to-moderate</t>
        </is>
      </c>
      <c r="D1073"/>
      <c r="E1073"/>
      <c r="F1073"/>
      <c r="G1073" t="inlineStr">
        <is>
          <t>HLB heuristic</t>
        </is>
      </c>
      <c r="H1073" t="inlineStr">
        <is>
          <t>S011_CRODA_SPAN_TWEEN</t>
        </is>
      </c>
      <c r="I1073" t="inlineStr">
        <is>
          <t>curated</t>
        </is>
      </c>
      <c r="J1073">
        <v>0.65</v>
      </c>
      <c r="K1073"/>
    </row>
    <row r="1074">
      <c r="A1074" t="inlineStr">
        <is>
          <t>SURF_TWEEN_81</t>
        </is>
      </c>
      <c r="B1074" t="inlineStr">
        <is>
          <t>route_suitability</t>
        </is>
      </c>
      <c r="C1074" t="inlineStr">
        <is>
          <t>oral/topical; parenteral/inhalation only if grade and safety justified</t>
        </is>
      </c>
      <c r="D1074"/>
      <c r="E1074"/>
      <c r="F1074"/>
      <c r="G1074" t="inlineStr">
        <is>
          <t>route precedent heuristic</t>
        </is>
      </c>
      <c r="H1074" t="inlineStr">
        <is>
          <t>S008_FDA_IID</t>
        </is>
      </c>
      <c r="I1074" t="inlineStr">
        <is>
          <t>curated</t>
        </is>
      </c>
      <c r="J1074">
        <v>0.55</v>
      </c>
      <c r="K1074"/>
    </row>
    <row r="1075">
      <c r="A1075" t="inlineStr">
        <is>
          <t>SURF_TWEEN_81</t>
        </is>
      </c>
      <c r="B1075" t="inlineStr">
        <is>
          <t>toxicity_or_irritancy_notes</t>
        </is>
      </c>
      <c r="C1075" t="inlineStr">
        <is>
          <t>surfactant irritation/hemolysis is concentration-, route-, and grade-dependent; screen cytotoxicity and osmolality</t>
        </is>
      </c>
      <c r="D1075"/>
      <c r="E1075"/>
      <c r="F1075"/>
      <c r="G1075"/>
      <c r="H1075" t="inlineStr">
        <is>
          <t>S007_EXCIPIENTS_HANDBOOK</t>
        </is>
      </c>
      <c r="I1075" t="inlineStr">
        <is>
          <t>curated</t>
        </is>
      </c>
      <c r="J1075">
        <v>0.7</v>
      </c>
      <c r="K1075"/>
    </row>
    <row r="1076">
      <c r="A1076" t="inlineStr">
        <is>
          <t>SURF_TWEEN_81</t>
        </is>
      </c>
      <c r="B1076" t="inlineStr">
        <is>
          <t>Hansen_delta_D</t>
        </is>
      </c>
      <c r="C1076">
        <v>17.3</v>
      </c>
      <c r="D1076" t="inlineStr">
        <is>
          <t>MPa^0.5</t>
        </is>
      </c>
      <c r="E1076"/>
      <c r="F1076"/>
      <c r="G1076" t="inlineStr">
        <is>
          <t>heuristic group-contribution/nearest-neighbour</t>
        </is>
      </c>
      <c r="H1076" t="inlineStr">
        <is>
          <t>S013_EST_HSP_HEURISTIC</t>
        </is>
      </c>
      <c r="I1076" t="inlineStr">
        <is>
          <t>estimated</t>
        </is>
      </c>
      <c r="J1076">
        <v>0.4</v>
      </c>
      <c r="K1076" t="inlineStr">
        <is>
          <t>Provisional HSP for screening; replace with experimental/literature value before model lock.</t>
        </is>
      </c>
    </row>
    <row r="1077">
      <c r="A1077" t="inlineStr">
        <is>
          <t>SURF_TWEEN_81</t>
        </is>
      </c>
      <c r="B1077" t="inlineStr">
        <is>
          <t>Hansen_delta_P</t>
        </is>
      </c>
      <c r="C1077">
        <v>6.5</v>
      </c>
      <c r="D1077" t="inlineStr">
        <is>
          <t>MPa^0.5</t>
        </is>
      </c>
      <c r="E1077"/>
      <c r="F1077"/>
      <c r="G1077" t="inlineStr">
        <is>
          <t>heuristic group-contribution/nearest-neighbour</t>
        </is>
      </c>
      <c r="H1077" t="inlineStr">
        <is>
          <t>S013_EST_HSP_HEURISTIC</t>
        </is>
      </c>
      <c r="I1077" t="inlineStr">
        <is>
          <t>estimated</t>
        </is>
      </c>
      <c r="J1077">
        <v>0.4</v>
      </c>
      <c r="K1077" t="inlineStr">
        <is>
          <t>Provisional HSP for screening; replace with experimental/literature value before model lock.</t>
        </is>
      </c>
    </row>
    <row r="1078">
      <c r="A1078" t="inlineStr">
        <is>
          <t>SURF_TWEEN_81</t>
        </is>
      </c>
      <c r="B1078" t="inlineStr">
        <is>
          <t>Hansen_delta_H</t>
        </is>
      </c>
      <c r="C1078">
        <v>10.5</v>
      </c>
      <c r="D1078" t="inlineStr">
        <is>
          <t>MPa^0.5</t>
        </is>
      </c>
      <c r="E1078"/>
      <c r="F1078"/>
      <c r="G1078" t="inlineStr">
        <is>
          <t>heuristic group-contribution/nearest-neighbour</t>
        </is>
      </c>
      <c r="H1078" t="inlineStr">
        <is>
          <t>S013_EST_HSP_HEURISTIC</t>
        </is>
      </c>
      <c r="I1078" t="inlineStr">
        <is>
          <t>estimated</t>
        </is>
      </c>
      <c r="J1078">
        <v>0.4</v>
      </c>
      <c r="K1078" t="inlineStr">
        <is>
          <t>Provisional HSP for screening; replace with experimental/literature value before model lock.</t>
        </is>
      </c>
    </row>
    <row r="1079">
      <c r="A1079" t="inlineStr">
        <is>
          <t>SURF_TWEEN_81</t>
        </is>
      </c>
      <c r="B1079" t="inlineStr">
        <is>
          <t>Hildebrand_delta_T</t>
        </is>
      </c>
      <c r="C1079">
        <v>21.26</v>
      </c>
      <c r="D1079" t="inlineStr">
        <is>
          <t>MPa^0.5</t>
        </is>
      </c>
      <c r="E1079"/>
      <c r="F1079"/>
      <c r="G1079" t="inlineStr">
        <is>
          <t>sqrt(deltaD^2+deltaP^2+deltaH^2)</t>
        </is>
      </c>
      <c r="H1079" t="inlineStr">
        <is>
          <t>S012_CALCULATED</t>
        </is>
      </c>
      <c r="I1079" t="inlineStr">
        <is>
          <t>calculated</t>
        </is>
      </c>
      <c r="J1079">
        <v>0.45</v>
      </c>
      <c r="K1079" t="inlineStr">
        <is>
          <t>Derived from stored Hansen components.</t>
        </is>
      </c>
    </row>
    <row r="1080">
      <c r="A1080" t="inlineStr">
        <is>
          <t>SURF_TWEEN_81</t>
        </is>
      </c>
      <c r="B1080" t="inlineStr">
        <is>
          <t>HSP_radius_R0</t>
        </is>
      </c>
      <c r="C1080">
        <v>8.0</v>
      </c>
      <c r="D1080" t="inlineStr">
        <is>
          <t>MPa^0.5</t>
        </is>
      </c>
      <c r="E1080"/>
      <c r="F1080"/>
      <c r="G1080" t="inlineStr">
        <is>
          <t>literature/heuristic solubility sphere</t>
        </is>
      </c>
      <c r="H1080" t="inlineStr">
        <is>
          <t>S013_EST_HSP_HEURISTIC</t>
        </is>
      </c>
      <c r="I1080" t="inlineStr">
        <is>
          <t>estimated</t>
        </is>
      </c>
      <c r="J1080">
        <v>0.4</v>
      </c>
      <c r="K1080" t="inlineStr">
        <is>
          <t>Screening radius only unless experimentally determined.</t>
        </is>
      </c>
    </row>
    <row r="1081">
      <c r="A1081" t="inlineStr">
        <is>
          <t>SURF_TWEEN_81</t>
        </is>
      </c>
      <c r="B1081" t="inlineStr">
        <is>
          <t>molar_volume_cm3_mol</t>
        </is>
      </c>
      <c r="C1081">
        <v>1038.1</v>
      </c>
      <c r="D1081" t="inlineStr">
        <is>
          <t>cm3/mol</t>
        </is>
      </c>
      <c r="E1081"/>
      <c r="F1081"/>
      <c r="G1081" t="inlineStr">
        <is>
          <t>MW/density estimate</t>
        </is>
      </c>
      <c r="H1081" t="inlineStr">
        <is>
          <t>S012_CALCULATED</t>
        </is>
      </c>
      <c r="I1081" t="inlineStr">
        <is>
          <t>estimated</t>
        </is>
      </c>
      <c r="J1081">
        <v>0.42</v>
      </c>
      <c r="K1081" t="inlineStr">
        <is>
          <t>Estimated from MW/density; replace with measured molar volume or density-specific grade data.</t>
        </is>
      </c>
    </row>
    <row r="1082">
      <c r="A1082" t="inlineStr">
        <is>
          <t>SURF_TWEEN_81</t>
        </is>
      </c>
      <c r="B1082" t="inlineStr">
        <is>
          <t>headgroup_area_nm2</t>
        </is>
      </c>
      <c r="C1082">
        <v>0.61</v>
      </c>
      <c r="D1082" t="inlineStr">
        <is>
          <t>nm2</t>
        </is>
      </c>
      <c r="E1082"/>
      <c r="F1082"/>
      <c r="G1082" t="inlineStr">
        <is>
          <t>CPP screening heuristic</t>
        </is>
      </c>
      <c r="H1082" t="inlineStr">
        <is>
          <t>S013_EST_HSP_HEURISTIC</t>
        </is>
      </c>
      <c r="I1082" t="inlineStr">
        <is>
          <t>estimated</t>
        </is>
      </c>
      <c r="J1082">
        <v>0.35</v>
      </c>
      <c r="K1082" t="inlineStr">
        <is>
          <t>Replace with monolayer or MD-derived area per molecule for publication-grade CPP.</t>
        </is>
      </c>
    </row>
    <row r="1083">
      <c r="A1083" t="inlineStr">
        <is>
          <t>SURF_TWEEN_85</t>
        </is>
      </c>
      <c r="B1083" t="inlineStr">
        <is>
          <t>molecular_weight_g_mol</t>
        </is>
      </c>
      <c r="C1083">
        <v>1838</v>
      </c>
      <c r="D1083" t="inlineStr">
        <is>
          <t>g/mol</t>
        </is>
      </c>
      <c r="E1083"/>
      <c r="F1083"/>
      <c r="G1083" t="inlineStr">
        <is>
          <t>supplier/handbook average for mixtures</t>
        </is>
      </c>
      <c r="H1083" t="inlineStr">
        <is>
          <t>S011_CRODA_SPAN_TWEEN</t>
        </is>
      </c>
      <c r="I1083" t="inlineStr">
        <is>
          <t>supplier-reported</t>
        </is>
      </c>
      <c r="J1083">
        <v>0.65</v>
      </c>
      <c r="K1083"/>
    </row>
    <row r="1084">
      <c r="A1084" t="inlineStr">
        <is>
          <t>SURF_TWEEN_85</t>
        </is>
      </c>
      <c r="B1084" t="inlineStr">
        <is>
          <t>HLB</t>
        </is>
      </c>
      <c r="C1084">
        <v>11.0</v>
      </c>
      <c r="D1084" t="inlineStr">
        <is>
          <t>HLB</t>
        </is>
      </c>
      <c r="E1084"/>
      <c r="F1084"/>
      <c r="G1084" t="inlineStr">
        <is>
          <t>Griffin/Davies HLB literature/supplier value</t>
        </is>
      </c>
      <c r="H1084" t="inlineStr">
        <is>
          <t>S011_CRODA_SPAN_TWEEN</t>
        </is>
      </c>
      <c r="I1084" t="inlineStr">
        <is>
          <t>supplier-reported</t>
        </is>
      </c>
      <c r="J1084">
        <v>0.75</v>
      </c>
      <c r="K1084" t="inlineStr">
        <is>
          <t>Grade-dependent; use supplier CoA when available.</t>
        </is>
      </c>
    </row>
    <row r="1085">
      <c r="A1085" t="inlineStr">
        <is>
          <t>SURF_TWEEN_85</t>
        </is>
      </c>
      <c r="B1085" t="inlineStr">
        <is>
          <t>headgroup_type</t>
        </is>
      </c>
      <c r="C1085" t="inlineStr">
        <is>
          <t>polyoxyethylene sorbitan triester</t>
        </is>
      </c>
      <c r="D1085"/>
      <c r="E1085"/>
      <c r="F1085"/>
      <c r="G1085" t="inlineStr">
        <is>
          <t>manual class annotation</t>
        </is>
      </c>
      <c r="H1085" t="inlineStr">
        <is>
          <t>S011_CRODA_SPAN_TWEEN</t>
        </is>
      </c>
      <c r="I1085" t="inlineStr">
        <is>
          <t>curated</t>
        </is>
      </c>
      <c r="J1085">
        <v>0.75</v>
      </c>
      <c r="K1085"/>
    </row>
    <row r="1086">
      <c r="A1086" t="inlineStr">
        <is>
          <t>SURF_TWEEN_85</t>
        </is>
      </c>
      <c r="B1086" t="inlineStr">
        <is>
          <t>tail_chain</t>
        </is>
      </c>
      <c r="C1086" t="inlineStr">
        <is>
          <t>tri-C18:1 oleate + POE</t>
        </is>
      </c>
      <c r="D1086"/>
      <c r="E1086"/>
      <c r="F1086"/>
      <c r="G1086" t="inlineStr">
        <is>
          <t>fatty-chain annotation</t>
        </is>
      </c>
      <c r="H1086" t="inlineStr">
        <is>
          <t>S011_CRODA_SPAN_TWEEN</t>
        </is>
      </c>
      <c r="I1086" t="inlineStr">
        <is>
          <t>curated</t>
        </is>
      </c>
      <c r="J1086">
        <v>0.8</v>
      </c>
      <c r="K1086"/>
    </row>
    <row r="1087">
      <c r="A1087" t="inlineStr">
        <is>
          <t>SURF_TWEEN_85</t>
        </is>
      </c>
      <c r="B1087" t="inlineStr">
        <is>
          <t>tail_carbons</t>
        </is>
      </c>
      <c r="C1087">
        <v>18</v>
      </c>
      <c r="D1087" t="inlineStr">
        <is>
          <t>count</t>
        </is>
      </c>
      <c r="E1087"/>
      <c r="F1087"/>
      <c r="G1087" t="inlineStr">
        <is>
          <t>fatty-chain annotation</t>
        </is>
      </c>
      <c r="H1087" t="inlineStr">
        <is>
          <t>S011_CRODA_SPAN_TWEEN</t>
        </is>
      </c>
      <c r="I1087" t="inlineStr">
        <is>
          <t>curated</t>
        </is>
      </c>
      <c r="J1087">
        <v>0.8</v>
      </c>
      <c r="K1087"/>
    </row>
    <row r="1088">
      <c r="A1088" t="inlineStr">
        <is>
          <t>SURF_TWEEN_85</t>
        </is>
      </c>
      <c r="B1088" t="inlineStr">
        <is>
          <t>tail_unsaturation</t>
        </is>
      </c>
      <c r="C1088">
        <v>1</v>
      </c>
      <c r="D1088" t="inlineStr">
        <is>
          <t>double_bonds</t>
        </is>
      </c>
      <c r="E1088"/>
      <c r="F1088"/>
      <c r="G1088" t="inlineStr">
        <is>
          <t>fatty-chain annotation</t>
        </is>
      </c>
      <c r="H1088" t="inlineStr">
        <is>
          <t>S011_CRODA_SPAN_TWEEN</t>
        </is>
      </c>
      <c r="I1088" t="inlineStr">
        <is>
          <t>curated</t>
        </is>
      </c>
      <c r="J1088">
        <v>0.8</v>
      </c>
      <c r="K1088"/>
    </row>
    <row r="1089">
      <c r="A1089" t="inlineStr">
        <is>
          <t>SURF_TWEEN_85</t>
        </is>
      </c>
      <c r="B1089" t="inlineStr">
        <is>
          <t>number_of_tails</t>
        </is>
      </c>
      <c r="C1089">
        <v>3</v>
      </c>
      <c r="D1089" t="inlineStr">
        <is>
          <t>count</t>
        </is>
      </c>
      <c r="E1089"/>
      <c r="F1089"/>
      <c r="G1089" t="inlineStr">
        <is>
          <t>fatty-chain annotation</t>
        </is>
      </c>
      <c r="H1089" t="inlineStr">
        <is>
          <t>S011_CRODA_SPAN_TWEEN</t>
        </is>
      </c>
      <c r="I1089" t="inlineStr">
        <is>
          <t>curated</t>
        </is>
      </c>
      <c r="J1089">
        <v>0.8</v>
      </c>
      <c r="K1089"/>
    </row>
    <row r="1090">
      <c r="A1090" t="inlineStr">
        <is>
          <t>SURF_TWEEN_85</t>
        </is>
      </c>
      <c r="B1090" t="inlineStr">
        <is>
          <t>charge_type</t>
        </is>
      </c>
      <c r="C1090" t="inlineStr">
        <is>
          <t>nonionic</t>
        </is>
      </c>
      <c r="D1090"/>
      <c r="E1090"/>
      <c r="F1090"/>
      <c r="G1090" t="inlineStr">
        <is>
          <t>ionization class</t>
        </is>
      </c>
      <c r="H1090" t="inlineStr">
        <is>
          <t>S011_CRODA_SPAN_TWEEN</t>
        </is>
      </c>
      <c r="I1090" t="inlineStr">
        <is>
          <t>curated</t>
        </is>
      </c>
      <c r="J1090">
        <v>0.85</v>
      </c>
      <c r="K1090"/>
    </row>
    <row r="1091">
      <c r="A1091" t="inlineStr">
        <is>
          <t>SURF_TWEEN_85</t>
        </is>
      </c>
      <c r="B1091" t="inlineStr">
        <is>
          <t>formal_charge</t>
        </is>
      </c>
      <c r="C1091">
        <v>0</v>
      </c>
      <c r="D1091" t="inlineStr">
        <is>
          <t>e</t>
        </is>
      </c>
      <c r="E1091"/>
      <c r="F1091"/>
      <c r="G1091" t="inlineStr">
        <is>
          <t>nominal at neutral pH</t>
        </is>
      </c>
      <c r="H1091" t="inlineStr">
        <is>
          <t>S011_CRODA_SPAN_TWEEN</t>
        </is>
      </c>
      <c r="I1091" t="inlineStr">
        <is>
          <t>curated</t>
        </is>
      </c>
      <c r="J1091">
        <v>0.85</v>
      </c>
      <c r="K1091"/>
    </row>
    <row r="1092">
      <c r="A1092" t="inlineStr">
        <is>
          <t>SURF_TWEEN_85</t>
        </is>
      </c>
      <c r="B1092" t="inlineStr">
        <is>
          <t>packing_role</t>
        </is>
      </c>
      <c r="C1092" t="inlineStr">
        <is>
          <t>edge activator / micellar solubilizer</t>
        </is>
      </c>
      <c r="D1092"/>
      <c r="E1092"/>
      <c r="F1092"/>
      <c r="G1092" t="inlineStr">
        <is>
          <t>HLB/chain-rule heuristic</t>
        </is>
      </c>
      <c r="H1092" t="inlineStr">
        <is>
          <t>S011_CRODA_SPAN_TWEEN</t>
        </is>
      </c>
      <c r="I1092" t="inlineStr">
        <is>
          <t>curated</t>
        </is>
      </c>
      <c r="J1092">
        <v>0.65</v>
      </c>
      <c r="K1092"/>
    </row>
    <row r="1093">
      <c r="A1093" t="inlineStr">
        <is>
          <t>SURF_TWEEN_85</t>
        </is>
      </c>
      <c r="B1093" t="inlineStr">
        <is>
          <t>edge_activator_flag</t>
        </is>
      </c>
      <c r="C1093" t="inlineStr">
        <is>
          <t>yes</t>
        </is>
      </c>
      <c r="D1093"/>
      <c r="E1093"/>
      <c r="F1093"/>
      <c r="G1093" t="inlineStr">
        <is>
          <t>HLB/charge heuristic</t>
        </is>
      </c>
      <c r="H1093" t="inlineStr">
        <is>
          <t>S011_CRODA_SPAN_TWEEN</t>
        </is>
      </c>
      <c r="I1093" t="inlineStr">
        <is>
          <t>curated</t>
        </is>
      </c>
      <c r="J1093">
        <v>0.7</v>
      </c>
      <c r="K1093"/>
    </row>
    <row r="1094">
      <c r="A1094" t="inlineStr">
        <is>
          <t>SURF_TWEEN_85</t>
        </is>
      </c>
      <c r="B1094" t="inlineStr">
        <is>
          <t>vesicle_anchor_flag</t>
        </is>
      </c>
      <c r="C1094" t="inlineStr">
        <is>
          <t>yes</t>
        </is>
      </c>
      <c r="D1094"/>
      <c r="E1094"/>
      <c r="F1094"/>
      <c r="G1094" t="inlineStr">
        <is>
          <t>chain-length and HLB heuristic</t>
        </is>
      </c>
      <c r="H1094" t="inlineStr">
        <is>
          <t>S011_CRODA_SPAN_TWEEN</t>
        </is>
      </c>
      <c r="I1094" t="inlineStr">
        <is>
          <t>curated</t>
        </is>
      </c>
      <c r="J1094">
        <v>0.7</v>
      </c>
      <c r="K1094"/>
    </row>
    <row r="1095">
      <c r="A1095" t="inlineStr">
        <is>
          <t>SURF_TWEEN_85</t>
        </is>
      </c>
      <c r="B1095" t="inlineStr">
        <is>
          <t>micellization_risk_flag</t>
        </is>
      </c>
      <c r="C1095" t="inlineStr">
        <is>
          <t>low-to-moderate</t>
        </is>
      </c>
      <c r="D1095"/>
      <c r="E1095"/>
      <c r="F1095"/>
      <c r="G1095" t="inlineStr">
        <is>
          <t>HLB heuristic</t>
        </is>
      </c>
      <c r="H1095" t="inlineStr">
        <is>
          <t>S011_CRODA_SPAN_TWEEN</t>
        </is>
      </c>
      <c r="I1095" t="inlineStr">
        <is>
          <t>curated</t>
        </is>
      </c>
      <c r="J1095">
        <v>0.65</v>
      </c>
      <c r="K1095"/>
    </row>
    <row r="1096">
      <c r="A1096" t="inlineStr">
        <is>
          <t>SURF_TWEEN_85</t>
        </is>
      </c>
      <c r="B1096" t="inlineStr">
        <is>
          <t>route_suitability</t>
        </is>
      </c>
      <c r="C1096" t="inlineStr">
        <is>
          <t>oral/topical; parenteral/inhalation only if grade and safety justified</t>
        </is>
      </c>
      <c r="D1096"/>
      <c r="E1096"/>
      <c r="F1096"/>
      <c r="G1096" t="inlineStr">
        <is>
          <t>route precedent heuristic</t>
        </is>
      </c>
      <c r="H1096" t="inlineStr">
        <is>
          <t>S008_FDA_IID</t>
        </is>
      </c>
      <c r="I1096" t="inlineStr">
        <is>
          <t>curated</t>
        </is>
      </c>
      <c r="J1096">
        <v>0.55</v>
      </c>
      <c r="K1096"/>
    </row>
    <row r="1097">
      <c r="A1097" t="inlineStr">
        <is>
          <t>SURF_TWEEN_85</t>
        </is>
      </c>
      <c r="B1097" t="inlineStr">
        <is>
          <t>toxicity_or_irritancy_notes</t>
        </is>
      </c>
      <c r="C1097" t="inlineStr">
        <is>
          <t>surfactant irritation/hemolysis is concentration-, route-, and grade-dependent; screen cytotoxicity and osmolality</t>
        </is>
      </c>
      <c r="D1097"/>
      <c r="E1097"/>
      <c r="F1097"/>
      <c r="G1097"/>
      <c r="H1097" t="inlineStr">
        <is>
          <t>S007_EXCIPIENTS_HANDBOOK</t>
        </is>
      </c>
      <c r="I1097" t="inlineStr">
        <is>
          <t>curated</t>
        </is>
      </c>
      <c r="J1097">
        <v>0.7</v>
      </c>
      <c r="K1097"/>
    </row>
    <row r="1098">
      <c r="A1098" t="inlineStr">
        <is>
          <t>SURF_TWEEN_85</t>
        </is>
      </c>
      <c r="B1098" t="inlineStr">
        <is>
          <t>Hansen_delta_D</t>
        </is>
      </c>
      <c r="C1098">
        <v>17.3</v>
      </c>
      <c r="D1098" t="inlineStr">
        <is>
          <t>MPa^0.5</t>
        </is>
      </c>
      <c r="E1098"/>
      <c r="F1098"/>
      <c r="G1098" t="inlineStr">
        <is>
          <t>heuristic group-contribution/nearest-neighbour</t>
        </is>
      </c>
      <c r="H1098" t="inlineStr">
        <is>
          <t>S013_EST_HSP_HEURISTIC</t>
        </is>
      </c>
      <c r="I1098" t="inlineStr">
        <is>
          <t>estimated</t>
        </is>
      </c>
      <c r="J1098">
        <v>0.4</v>
      </c>
      <c r="K1098" t="inlineStr">
        <is>
          <t>Provisional HSP for screening; replace with experimental/literature value before model lock.</t>
        </is>
      </c>
    </row>
    <row r="1099">
      <c r="A1099" t="inlineStr">
        <is>
          <t>SURF_TWEEN_85</t>
        </is>
      </c>
      <c r="B1099" t="inlineStr">
        <is>
          <t>Hansen_delta_P</t>
        </is>
      </c>
      <c r="C1099">
        <v>6.5</v>
      </c>
      <c r="D1099" t="inlineStr">
        <is>
          <t>MPa^0.5</t>
        </is>
      </c>
      <c r="E1099"/>
      <c r="F1099"/>
      <c r="G1099" t="inlineStr">
        <is>
          <t>heuristic group-contribution/nearest-neighbour</t>
        </is>
      </c>
      <c r="H1099" t="inlineStr">
        <is>
          <t>S013_EST_HSP_HEURISTIC</t>
        </is>
      </c>
      <c r="I1099" t="inlineStr">
        <is>
          <t>estimated</t>
        </is>
      </c>
      <c r="J1099">
        <v>0.4</v>
      </c>
      <c r="K1099" t="inlineStr">
        <is>
          <t>Provisional HSP for screening; replace with experimental/literature value before model lock.</t>
        </is>
      </c>
    </row>
    <row r="1100">
      <c r="A1100" t="inlineStr">
        <is>
          <t>SURF_TWEEN_85</t>
        </is>
      </c>
      <c r="B1100" t="inlineStr">
        <is>
          <t>Hansen_delta_H</t>
        </is>
      </c>
      <c r="C1100">
        <v>10.5</v>
      </c>
      <c r="D1100" t="inlineStr">
        <is>
          <t>MPa^0.5</t>
        </is>
      </c>
      <c r="E1100"/>
      <c r="F1100"/>
      <c r="G1100" t="inlineStr">
        <is>
          <t>heuristic group-contribution/nearest-neighbour</t>
        </is>
      </c>
      <c r="H1100" t="inlineStr">
        <is>
          <t>S013_EST_HSP_HEURISTIC</t>
        </is>
      </c>
      <c r="I1100" t="inlineStr">
        <is>
          <t>estimated</t>
        </is>
      </c>
      <c r="J1100">
        <v>0.4</v>
      </c>
      <c r="K1100" t="inlineStr">
        <is>
          <t>Provisional HSP for screening; replace with experimental/literature value before model lock.</t>
        </is>
      </c>
    </row>
    <row r="1101">
      <c r="A1101" t="inlineStr">
        <is>
          <t>SURF_TWEEN_85</t>
        </is>
      </c>
      <c r="B1101" t="inlineStr">
        <is>
          <t>Hildebrand_delta_T</t>
        </is>
      </c>
      <c r="C1101">
        <v>21.26</v>
      </c>
      <c r="D1101" t="inlineStr">
        <is>
          <t>MPa^0.5</t>
        </is>
      </c>
      <c r="E1101"/>
      <c r="F1101"/>
      <c r="G1101" t="inlineStr">
        <is>
          <t>sqrt(deltaD^2+deltaP^2+deltaH^2)</t>
        </is>
      </c>
      <c r="H1101" t="inlineStr">
        <is>
          <t>S012_CALCULATED</t>
        </is>
      </c>
      <c r="I1101" t="inlineStr">
        <is>
          <t>calculated</t>
        </is>
      </c>
      <c r="J1101">
        <v>0.45</v>
      </c>
      <c r="K1101" t="inlineStr">
        <is>
          <t>Derived from stored Hansen components.</t>
        </is>
      </c>
    </row>
    <row r="1102">
      <c r="A1102" t="inlineStr">
        <is>
          <t>SURF_TWEEN_85</t>
        </is>
      </c>
      <c r="B1102" t="inlineStr">
        <is>
          <t>HSP_radius_R0</t>
        </is>
      </c>
      <c r="C1102">
        <v>8.0</v>
      </c>
      <c r="D1102" t="inlineStr">
        <is>
          <t>MPa^0.5</t>
        </is>
      </c>
      <c r="E1102"/>
      <c r="F1102"/>
      <c r="G1102" t="inlineStr">
        <is>
          <t>literature/heuristic solubility sphere</t>
        </is>
      </c>
      <c r="H1102" t="inlineStr">
        <is>
          <t>S013_EST_HSP_HEURISTIC</t>
        </is>
      </c>
      <c r="I1102" t="inlineStr">
        <is>
          <t>estimated</t>
        </is>
      </c>
      <c r="J1102">
        <v>0.4</v>
      </c>
      <c r="K1102" t="inlineStr">
        <is>
          <t>Screening radius only unless experimentally determined.</t>
        </is>
      </c>
    </row>
    <row r="1103">
      <c r="A1103" t="inlineStr">
        <is>
          <t>SURF_TWEEN_85</t>
        </is>
      </c>
      <c r="B1103" t="inlineStr">
        <is>
          <t>molar_volume_cm3_mol</t>
        </is>
      </c>
      <c r="C1103">
        <v>1750.48</v>
      </c>
      <c r="D1103" t="inlineStr">
        <is>
          <t>cm3/mol</t>
        </is>
      </c>
      <c r="E1103"/>
      <c r="F1103"/>
      <c r="G1103" t="inlineStr">
        <is>
          <t>MW/density estimate</t>
        </is>
      </c>
      <c r="H1103" t="inlineStr">
        <is>
          <t>S012_CALCULATED</t>
        </is>
      </c>
      <c r="I1103" t="inlineStr">
        <is>
          <t>estimated</t>
        </is>
      </c>
      <c r="J1103">
        <v>0.42</v>
      </c>
      <c r="K1103" t="inlineStr">
        <is>
          <t>Estimated from MW/density; replace with measured molar volume or density-specific grade data.</t>
        </is>
      </c>
    </row>
    <row r="1104">
      <c r="A1104" t="inlineStr">
        <is>
          <t>SURF_TWEEN_85</t>
        </is>
      </c>
      <c r="B1104" t="inlineStr">
        <is>
          <t>headgroup_area_nm2</t>
        </is>
      </c>
      <c r="C1104">
        <v>0.628</v>
      </c>
      <c r="D1104" t="inlineStr">
        <is>
          <t>nm2</t>
        </is>
      </c>
      <c r="E1104"/>
      <c r="F1104"/>
      <c r="G1104" t="inlineStr">
        <is>
          <t>CPP screening heuristic</t>
        </is>
      </c>
      <c r="H1104" t="inlineStr">
        <is>
          <t>S013_EST_HSP_HEURISTIC</t>
        </is>
      </c>
      <c r="I1104" t="inlineStr">
        <is>
          <t>estimated</t>
        </is>
      </c>
      <c r="J1104">
        <v>0.35</v>
      </c>
      <c r="K1104" t="inlineStr">
        <is>
          <t>Replace with monolayer or MD-derived area per molecule for publication-grade CPP.</t>
        </is>
      </c>
    </row>
    <row r="1105">
      <c r="A1105" t="inlineStr">
        <is>
          <t>SURF_BRIJ_30</t>
        </is>
      </c>
      <c r="B1105" t="inlineStr">
        <is>
          <t>molecular_weight_g_mol</t>
        </is>
      </c>
      <c r="C1105">
        <v>362</v>
      </c>
      <c r="D1105" t="inlineStr">
        <is>
          <t>g/mol</t>
        </is>
      </c>
      <c r="E1105"/>
      <c r="F1105"/>
      <c r="G1105" t="inlineStr">
        <is>
          <t>supplier/handbook average for mixtures</t>
        </is>
      </c>
      <c r="H1105" t="inlineStr">
        <is>
          <t>S007_EXCIPIENTS_HANDBOOK</t>
        </is>
      </c>
      <c r="I1105" t="inlineStr">
        <is>
          <t>supplier-reported</t>
        </is>
      </c>
      <c r="J1105">
        <v>0.65</v>
      </c>
      <c r="K1105"/>
    </row>
    <row r="1106">
      <c r="A1106" t="inlineStr">
        <is>
          <t>SURF_BRIJ_30</t>
        </is>
      </c>
      <c r="B1106" t="inlineStr">
        <is>
          <t>HLB</t>
        </is>
      </c>
      <c r="C1106">
        <v>9.7</v>
      </c>
      <c r="D1106" t="inlineStr">
        <is>
          <t>HLB</t>
        </is>
      </c>
      <c r="E1106"/>
      <c r="F1106"/>
      <c r="G1106" t="inlineStr">
        <is>
          <t>Griffin/Davies HLB literature/supplier value</t>
        </is>
      </c>
      <c r="H1106" t="inlineStr">
        <is>
          <t>S007_EXCIPIENTS_HANDBOOK</t>
        </is>
      </c>
      <c r="I1106" t="inlineStr">
        <is>
          <t>supplier-reported</t>
        </is>
      </c>
      <c r="J1106">
        <v>0.75</v>
      </c>
      <c r="K1106" t="inlineStr">
        <is>
          <t>Grade-dependent; use supplier CoA when available.</t>
        </is>
      </c>
    </row>
    <row r="1107">
      <c r="A1107" t="inlineStr">
        <is>
          <t>SURF_BRIJ_30</t>
        </is>
      </c>
      <c r="B1107" t="inlineStr">
        <is>
          <t>headgroup_type</t>
        </is>
      </c>
      <c r="C1107" t="inlineStr">
        <is>
          <t>polyoxyethylene fatty alcohol</t>
        </is>
      </c>
      <c r="D1107"/>
      <c r="E1107"/>
      <c r="F1107"/>
      <c r="G1107" t="inlineStr">
        <is>
          <t>manual class annotation</t>
        </is>
      </c>
      <c r="H1107" t="inlineStr">
        <is>
          <t>S007_EXCIPIENTS_HANDBOOK</t>
        </is>
      </c>
      <c r="I1107" t="inlineStr">
        <is>
          <t>curated</t>
        </is>
      </c>
      <c r="J1107">
        <v>0.75</v>
      </c>
      <c r="K1107"/>
    </row>
    <row r="1108">
      <c r="A1108" t="inlineStr">
        <is>
          <t>SURF_BRIJ_30</t>
        </is>
      </c>
      <c r="B1108" t="inlineStr">
        <is>
          <t>tail_chain</t>
        </is>
      </c>
      <c r="C1108" t="inlineStr">
        <is>
          <t>C12:0 lauryl + EO4</t>
        </is>
      </c>
      <c r="D1108"/>
      <c r="E1108"/>
      <c r="F1108"/>
      <c r="G1108" t="inlineStr">
        <is>
          <t>fatty-chain annotation</t>
        </is>
      </c>
      <c r="H1108" t="inlineStr">
        <is>
          <t>S007_EXCIPIENTS_HANDBOOK</t>
        </is>
      </c>
      <c r="I1108" t="inlineStr">
        <is>
          <t>curated</t>
        </is>
      </c>
      <c r="J1108">
        <v>0.8</v>
      </c>
      <c r="K1108"/>
    </row>
    <row r="1109">
      <c r="A1109" t="inlineStr">
        <is>
          <t>SURF_BRIJ_30</t>
        </is>
      </c>
      <c r="B1109" t="inlineStr">
        <is>
          <t>tail_carbons</t>
        </is>
      </c>
      <c r="C1109">
        <v>12</v>
      </c>
      <c r="D1109" t="inlineStr">
        <is>
          <t>count</t>
        </is>
      </c>
      <c r="E1109"/>
      <c r="F1109"/>
      <c r="G1109" t="inlineStr">
        <is>
          <t>fatty-chain annotation</t>
        </is>
      </c>
      <c r="H1109" t="inlineStr">
        <is>
          <t>S007_EXCIPIENTS_HANDBOOK</t>
        </is>
      </c>
      <c r="I1109" t="inlineStr">
        <is>
          <t>curated</t>
        </is>
      </c>
      <c r="J1109">
        <v>0.8</v>
      </c>
      <c r="K1109"/>
    </row>
    <row r="1110">
      <c r="A1110" t="inlineStr">
        <is>
          <t>SURF_BRIJ_30</t>
        </is>
      </c>
      <c r="B1110" t="inlineStr">
        <is>
          <t>tail_unsaturation</t>
        </is>
      </c>
      <c r="C1110">
        <v>0</v>
      </c>
      <c r="D1110" t="inlineStr">
        <is>
          <t>double_bonds</t>
        </is>
      </c>
      <c r="E1110"/>
      <c r="F1110"/>
      <c r="G1110" t="inlineStr">
        <is>
          <t>fatty-chain annotation</t>
        </is>
      </c>
      <c r="H1110" t="inlineStr">
        <is>
          <t>S007_EXCIPIENTS_HANDBOOK</t>
        </is>
      </c>
      <c r="I1110" t="inlineStr">
        <is>
          <t>curated</t>
        </is>
      </c>
      <c r="J1110">
        <v>0.8</v>
      </c>
      <c r="K1110"/>
    </row>
    <row r="1111">
      <c r="A1111" t="inlineStr">
        <is>
          <t>SURF_BRIJ_30</t>
        </is>
      </c>
      <c r="B1111" t="inlineStr">
        <is>
          <t>number_of_tails</t>
        </is>
      </c>
      <c r="C1111">
        <v>1</v>
      </c>
      <c r="D1111" t="inlineStr">
        <is>
          <t>count</t>
        </is>
      </c>
      <c r="E1111"/>
      <c r="F1111"/>
      <c r="G1111" t="inlineStr">
        <is>
          <t>fatty-chain annotation</t>
        </is>
      </c>
      <c r="H1111" t="inlineStr">
        <is>
          <t>S007_EXCIPIENTS_HANDBOOK</t>
        </is>
      </c>
      <c r="I1111" t="inlineStr">
        <is>
          <t>curated</t>
        </is>
      </c>
      <c r="J1111">
        <v>0.8</v>
      </c>
      <c r="K1111"/>
    </row>
    <row r="1112">
      <c r="A1112" t="inlineStr">
        <is>
          <t>SURF_BRIJ_30</t>
        </is>
      </c>
      <c r="B1112" t="inlineStr">
        <is>
          <t>charge_type</t>
        </is>
      </c>
      <c r="C1112" t="inlineStr">
        <is>
          <t>nonionic</t>
        </is>
      </c>
      <c r="D1112"/>
      <c r="E1112"/>
      <c r="F1112"/>
      <c r="G1112" t="inlineStr">
        <is>
          <t>ionization class</t>
        </is>
      </c>
      <c r="H1112" t="inlineStr">
        <is>
          <t>S007_EXCIPIENTS_HANDBOOK</t>
        </is>
      </c>
      <c r="I1112" t="inlineStr">
        <is>
          <t>curated</t>
        </is>
      </c>
      <c r="J1112">
        <v>0.85</v>
      </c>
      <c r="K1112"/>
    </row>
    <row r="1113">
      <c r="A1113" t="inlineStr">
        <is>
          <t>SURF_BRIJ_30</t>
        </is>
      </c>
      <c r="B1113" t="inlineStr">
        <is>
          <t>formal_charge</t>
        </is>
      </c>
      <c r="C1113">
        <v>0</v>
      </c>
      <c r="D1113" t="inlineStr">
        <is>
          <t>e</t>
        </is>
      </c>
      <c r="E1113"/>
      <c r="F1113"/>
      <c r="G1113" t="inlineStr">
        <is>
          <t>nominal at neutral pH</t>
        </is>
      </c>
      <c r="H1113" t="inlineStr">
        <is>
          <t>S007_EXCIPIENTS_HANDBOOK</t>
        </is>
      </c>
      <c r="I1113" t="inlineStr">
        <is>
          <t>curated</t>
        </is>
      </c>
      <c r="J1113">
        <v>0.85</v>
      </c>
      <c r="K1113"/>
    </row>
    <row r="1114">
      <c r="A1114" t="inlineStr">
        <is>
          <t>SURF_BRIJ_30</t>
        </is>
      </c>
      <c r="B1114" t="inlineStr">
        <is>
          <t>packing_role</t>
        </is>
      </c>
      <c r="C1114" t="inlineStr">
        <is>
          <t>edge activator / micellar solubilizer</t>
        </is>
      </c>
      <c r="D1114"/>
      <c r="E1114"/>
      <c r="F1114"/>
      <c r="G1114" t="inlineStr">
        <is>
          <t>HLB/chain-rule heuristic</t>
        </is>
      </c>
      <c r="H1114" t="inlineStr">
        <is>
          <t>S007_EXCIPIENTS_HANDBOOK</t>
        </is>
      </c>
      <c r="I1114" t="inlineStr">
        <is>
          <t>curated</t>
        </is>
      </c>
      <c r="J1114">
        <v>0.65</v>
      </c>
      <c r="K1114"/>
    </row>
    <row r="1115">
      <c r="A1115" t="inlineStr">
        <is>
          <t>SURF_BRIJ_30</t>
        </is>
      </c>
      <c r="B1115" t="inlineStr">
        <is>
          <t>edge_activator_flag</t>
        </is>
      </c>
      <c r="C1115" t="inlineStr">
        <is>
          <t>conditional</t>
        </is>
      </c>
      <c r="D1115"/>
      <c r="E1115"/>
      <c r="F1115"/>
      <c r="G1115" t="inlineStr">
        <is>
          <t>HLB/charge heuristic</t>
        </is>
      </c>
      <c r="H1115" t="inlineStr">
        <is>
          <t>S007_EXCIPIENTS_HANDBOOK</t>
        </is>
      </c>
      <c r="I1115" t="inlineStr">
        <is>
          <t>curated</t>
        </is>
      </c>
      <c r="J1115">
        <v>0.7</v>
      </c>
      <c r="K1115"/>
    </row>
    <row r="1116">
      <c r="A1116" t="inlineStr">
        <is>
          <t>SURF_BRIJ_30</t>
        </is>
      </c>
      <c r="B1116" t="inlineStr">
        <is>
          <t>vesicle_anchor_flag</t>
        </is>
      </c>
      <c r="C1116" t="inlineStr">
        <is>
          <t>yes</t>
        </is>
      </c>
      <c r="D1116"/>
      <c r="E1116"/>
      <c r="F1116"/>
      <c r="G1116" t="inlineStr">
        <is>
          <t>chain-length and HLB heuristic</t>
        </is>
      </c>
      <c r="H1116" t="inlineStr">
        <is>
          <t>S007_EXCIPIENTS_HANDBOOK</t>
        </is>
      </c>
      <c r="I1116" t="inlineStr">
        <is>
          <t>curated</t>
        </is>
      </c>
      <c r="J1116">
        <v>0.7</v>
      </c>
      <c r="K1116"/>
    </row>
    <row r="1117">
      <c r="A1117" t="inlineStr">
        <is>
          <t>SURF_BRIJ_30</t>
        </is>
      </c>
      <c r="B1117" t="inlineStr">
        <is>
          <t>micellization_risk_flag</t>
        </is>
      </c>
      <c r="C1117" t="inlineStr">
        <is>
          <t>low-to-moderate</t>
        </is>
      </c>
      <c r="D1117"/>
      <c r="E1117"/>
      <c r="F1117"/>
      <c r="G1117" t="inlineStr">
        <is>
          <t>HLB heuristic</t>
        </is>
      </c>
      <c r="H1117" t="inlineStr">
        <is>
          <t>S007_EXCIPIENTS_HANDBOOK</t>
        </is>
      </c>
      <c r="I1117" t="inlineStr">
        <is>
          <t>curated</t>
        </is>
      </c>
      <c r="J1117">
        <v>0.65</v>
      </c>
      <c r="K1117"/>
    </row>
    <row r="1118">
      <c r="A1118" t="inlineStr">
        <is>
          <t>SURF_BRIJ_30</t>
        </is>
      </c>
      <c r="B1118" t="inlineStr">
        <is>
          <t>route_suitability</t>
        </is>
      </c>
      <c r="C1118" t="inlineStr">
        <is>
          <t>oral/topical; parenteral/inhalation only if grade and safety justified</t>
        </is>
      </c>
      <c r="D1118"/>
      <c r="E1118"/>
      <c r="F1118"/>
      <c r="G1118" t="inlineStr">
        <is>
          <t>route precedent heuristic</t>
        </is>
      </c>
      <c r="H1118" t="inlineStr">
        <is>
          <t>S008_FDA_IID</t>
        </is>
      </c>
      <c r="I1118" t="inlineStr">
        <is>
          <t>curated</t>
        </is>
      </c>
      <c r="J1118">
        <v>0.55</v>
      </c>
      <c r="K1118"/>
    </row>
    <row r="1119">
      <c r="A1119" t="inlineStr">
        <is>
          <t>SURF_BRIJ_30</t>
        </is>
      </c>
      <c r="B1119" t="inlineStr">
        <is>
          <t>toxicity_or_irritancy_notes</t>
        </is>
      </c>
      <c r="C1119" t="inlineStr">
        <is>
          <t>surfactant irritation/hemolysis is concentration-, route-, and grade-dependent; screen cytotoxicity and osmolality</t>
        </is>
      </c>
      <c r="D1119"/>
      <c r="E1119"/>
      <c r="F1119"/>
      <c r="G1119"/>
      <c r="H1119" t="inlineStr">
        <is>
          <t>S007_EXCIPIENTS_HANDBOOK</t>
        </is>
      </c>
      <c r="I1119" t="inlineStr">
        <is>
          <t>curated</t>
        </is>
      </c>
      <c r="J1119">
        <v>0.7</v>
      </c>
      <c r="K1119"/>
    </row>
    <row r="1120">
      <c r="A1120" t="inlineStr">
        <is>
          <t>SURF_BRIJ_30</t>
        </is>
      </c>
      <c r="B1120" t="inlineStr">
        <is>
          <t>Hansen_delta_D</t>
        </is>
      </c>
      <c r="C1120">
        <v>17.3</v>
      </c>
      <c r="D1120" t="inlineStr">
        <is>
          <t>MPa^0.5</t>
        </is>
      </c>
      <c r="E1120"/>
      <c r="F1120"/>
      <c r="G1120" t="inlineStr">
        <is>
          <t>heuristic group-contribution/nearest-neighbour</t>
        </is>
      </c>
      <c r="H1120" t="inlineStr">
        <is>
          <t>S013_EST_HSP_HEURISTIC</t>
        </is>
      </c>
      <c r="I1120" t="inlineStr">
        <is>
          <t>estimated</t>
        </is>
      </c>
      <c r="J1120">
        <v>0.4</v>
      </c>
      <c r="K1120" t="inlineStr">
        <is>
          <t>Provisional HSP for screening; replace with experimental/literature value before model lock.</t>
        </is>
      </c>
    </row>
    <row r="1121">
      <c r="A1121" t="inlineStr">
        <is>
          <t>SURF_BRIJ_30</t>
        </is>
      </c>
      <c r="B1121" t="inlineStr">
        <is>
          <t>Hansen_delta_P</t>
        </is>
      </c>
      <c r="C1121">
        <v>6.5</v>
      </c>
      <c r="D1121" t="inlineStr">
        <is>
          <t>MPa^0.5</t>
        </is>
      </c>
      <c r="E1121"/>
      <c r="F1121"/>
      <c r="G1121" t="inlineStr">
        <is>
          <t>heuristic group-contribution/nearest-neighbour</t>
        </is>
      </c>
      <c r="H1121" t="inlineStr">
        <is>
          <t>S013_EST_HSP_HEURISTIC</t>
        </is>
      </c>
      <c r="I1121" t="inlineStr">
        <is>
          <t>estimated</t>
        </is>
      </c>
      <c r="J1121">
        <v>0.4</v>
      </c>
      <c r="K1121" t="inlineStr">
        <is>
          <t>Provisional HSP for screening; replace with experimental/literature value before model lock.</t>
        </is>
      </c>
    </row>
    <row r="1122">
      <c r="A1122" t="inlineStr">
        <is>
          <t>SURF_BRIJ_30</t>
        </is>
      </c>
      <c r="B1122" t="inlineStr">
        <is>
          <t>Hansen_delta_H</t>
        </is>
      </c>
      <c r="C1122">
        <v>10.5</v>
      </c>
      <c r="D1122" t="inlineStr">
        <is>
          <t>MPa^0.5</t>
        </is>
      </c>
      <c r="E1122"/>
      <c r="F1122"/>
      <c r="G1122" t="inlineStr">
        <is>
          <t>heuristic group-contribution/nearest-neighbour</t>
        </is>
      </c>
      <c r="H1122" t="inlineStr">
        <is>
          <t>S013_EST_HSP_HEURISTIC</t>
        </is>
      </c>
      <c r="I1122" t="inlineStr">
        <is>
          <t>estimated</t>
        </is>
      </c>
      <c r="J1122">
        <v>0.4</v>
      </c>
      <c r="K1122" t="inlineStr">
        <is>
          <t>Provisional HSP for screening; replace with experimental/literature value before model lock.</t>
        </is>
      </c>
    </row>
    <row r="1123">
      <c r="A1123" t="inlineStr">
        <is>
          <t>SURF_BRIJ_30</t>
        </is>
      </c>
      <c r="B1123" t="inlineStr">
        <is>
          <t>Hildebrand_delta_T</t>
        </is>
      </c>
      <c r="C1123">
        <v>21.26</v>
      </c>
      <c r="D1123" t="inlineStr">
        <is>
          <t>MPa^0.5</t>
        </is>
      </c>
      <c r="E1123"/>
      <c r="F1123"/>
      <c r="G1123" t="inlineStr">
        <is>
          <t>sqrt(deltaD^2+deltaP^2+deltaH^2)</t>
        </is>
      </c>
      <c r="H1123" t="inlineStr">
        <is>
          <t>S012_CALCULATED</t>
        </is>
      </c>
      <c r="I1123" t="inlineStr">
        <is>
          <t>calculated</t>
        </is>
      </c>
      <c r="J1123">
        <v>0.45</v>
      </c>
      <c r="K1123" t="inlineStr">
        <is>
          <t>Derived from stored Hansen components.</t>
        </is>
      </c>
    </row>
    <row r="1124">
      <c r="A1124" t="inlineStr">
        <is>
          <t>SURF_BRIJ_30</t>
        </is>
      </c>
      <c r="B1124" t="inlineStr">
        <is>
          <t>HSP_radius_R0</t>
        </is>
      </c>
      <c r="C1124">
        <v>8.0</v>
      </c>
      <c r="D1124" t="inlineStr">
        <is>
          <t>MPa^0.5</t>
        </is>
      </c>
      <c r="E1124"/>
      <c r="F1124"/>
      <c r="G1124" t="inlineStr">
        <is>
          <t>literature/heuristic solubility sphere</t>
        </is>
      </c>
      <c r="H1124" t="inlineStr">
        <is>
          <t>S013_EST_HSP_HEURISTIC</t>
        </is>
      </c>
      <c r="I1124" t="inlineStr">
        <is>
          <t>estimated</t>
        </is>
      </c>
      <c r="J1124">
        <v>0.4</v>
      </c>
      <c r="K1124" t="inlineStr">
        <is>
          <t>Screening radius only unless experimentally determined.</t>
        </is>
      </c>
    </row>
    <row r="1125">
      <c r="A1125" t="inlineStr">
        <is>
          <t>SURF_BRIJ_30</t>
        </is>
      </c>
      <c r="B1125" t="inlineStr">
        <is>
          <t>molar_volume_cm3_mol</t>
        </is>
      </c>
      <c r="C1125">
        <v>369.39</v>
      </c>
      <c r="D1125" t="inlineStr">
        <is>
          <t>cm3/mol</t>
        </is>
      </c>
      <c r="E1125"/>
      <c r="F1125"/>
      <c r="G1125" t="inlineStr">
        <is>
          <t>MW/density estimate</t>
        </is>
      </c>
      <c r="H1125" t="inlineStr">
        <is>
          <t>S012_CALCULATED</t>
        </is>
      </c>
      <c r="I1125" t="inlineStr">
        <is>
          <t>estimated</t>
        </is>
      </c>
      <c r="J1125">
        <v>0.42</v>
      </c>
      <c r="K1125" t="inlineStr">
        <is>
          <t>Estimated from MW/density; replace with measured molar volume or density-specific grade data.</t>
        </is>
      </c>
    </row>
    <row r="1126">
      <c r="A1126" t="inlineStr">
        <is>
          <t>SURF_BRIJ_30</t>
        </is>
      </c>
      <c r="B1126" t="inlineStr">
        <is>
          <t>headgroup_area_nm2</t>
        </is>
      </c>
      <c r="C1126">
        <v>0.605</v>
      </c>
      <c r="D1126" t="inlineStr">
        <is>
          <t>nm2</t>
        </is>
      </c>
      <c r="E1126"/>
      <c r="F1126"/>
      <c r="G1126" t="inlineStr">
        <is>
          <t>CPP screening heuristic</t>
        </is>
      </c>
      <c r="H1126" t="inlineStr">
        <is>
          <t>S013_EST_HSP_HEURISTIC</t>
        </is>
      </c>
      <c r="I1126" t="inlineStr">
        <is>
          <t>estimated</t>
        </is>
      </c>
      <c r="J1126">
        <v>0.35</v>
      </c>
      <c r="K1126" t="inlineStr">
        <is>
          <t>Replace with monolayer or MD-derived area per molecule for publication-grade CPP.</t>
        </is>
      </c>
    </row>
    <row r="1127">
      <c r="A1127" t="inlineStr">
        <is>
          <t>SURF_BRIJ_35</t>
        </is>
      </c>
      <c r="B1127" t="inlineStr">
        <is>
          <t>molecular_weight_g_mol</t>
        </is>
      </c>
      <c r="C1127">
        <v>1198</v>
      </c>
      <c r="D1127" t="inlineStr">
        <is>
          <t>g/mol</t>
        </is>
      </c>
      <c r="E1127"/>
      <c r="F1127"/>
      <c r="G1127" t="inlineStr">
        <is>
          <t>supplier/handbook average for mixtures</t>
        </is>
      </c>
      <c r="H1127" t="inlineStr">
        <is>
          <t>S007_EXCIPIENTS_HANDBOOK</t>
        </is>
      </c>
      <c r="I1127" t="inlineStr">
        <is>
          <t>supplier-reported</t>
        </is>
      </c>
      <c r="J1127">
        <v>0.65</v>
      </c>
      <c r="K1127"/>
    </row>
    <row r="1128">
      <c r="A1128" t="inlineStr">
        <is>
          <t>SURF_BRIJ_35</t>
        </is>
      </c>
      <c r="B1128" t="inlineStr">
        <is>
          <t>HLB</t>
        </is>
      </c>
      <c r="C1128">
        <v>16.9</v>
      </c>
      <c r="D1128" t="inlineStr">
        <is>
          <t>HLB</t>
        </is>
      </c>
      <c r="E1128"/>
      <c r="F1128"/>
      <c r="G1128" t="inlineStr">
        <is>
          <t>Griffin/Davies HLB literature/supplier value</t>
        </is>
      </c>
      <c r="H1128" t="inlineStr">
        <is>
          <t>S007_EXCIPIENTS_HANDBOOK</t>
        </is>
      </c>
      <c r="I1128" t="inlineStr">
        <is>
          <t>supplier-reported</t>
        </is>
      </c>
      <c r="J1128">
        <v>0.75</v>
      </c>
      <c r="K1128" t="inlineStr">
        <is>
          <t>Grade-dependent; use supplier CoA when available.</t>
        </is>
      </c>
    </row>
    <row r="1129">
      <c r="A1129" t="inlineStr">
        <is>
          <t>SURF_BRIJ_35</t>
        </is>
      </c>
      <c r="B1129" t="inlineStr">
        <is>
          <t>headgroup_type</t>
        </is>
      </c>
      <c r="C1129" t="inlineStr">
        <is>
          <t>polyoxyethylene fatty alcohol</t>
        </is>
      </c>
      <c r="D1129"/>
      <c r="E1129"/>
      <c r="F1129"/>
      <c r="G1129" t="inlineStr">
        <is>
          <t>manual class annotation</t>
        </is>
      </c>
      <c r="H1129" t="inlineStr">
        <is>
          <t>S007_EXCIPIENTS_HANDBOOK</t>
        </is>
      </c>
      <c r="I1129" t="inlineStr">
        <is>
          <t>curated</t>
        </is>
      </c>
      <c r="J1129">
        <v>0.75</v>
      </c>
      <c r="K1129"/>
    </row>
    <row r="1130">
      <c r="A1130" t="inlineStr">
        <is>
          <t>SURF_BRIJ_35</t>
        </is>
      </c>
      <c r="B1130" t="inlineStr">
        <is>
          <t>tail_chain</t>
        </is>
      </c>
      <c r="C1130" t="inlineStr">
        <is>
          <t>C12:0 lauryl + EO23</t>
        </is>
      </c>
      <c r="D1130"/>
      <c r="E1130"/>
      <c r="F1130"/>
      <c r="G1130" t="inlineStr">
        <is>
          <t>fatty-chain annotation</t>
        </is>
      </c>
      <c r="H1130" t="inlineStr">
        <is>
          <t>S007_EXCIPIENTS_HANDBOOK</t>
        </is>
      </c>
      <c r="I1130" t="inlineStr">
        <is>
          <t>curated</t>
        </is>
      </c>
      <c r="J1130">
        <v>0.8</v>
      </c>
      <c r="K1130"/>
    </row>
    <row r="1131">
      <c r="A1131" t="inlineStr">
        <is>
          <t>SURF_BRIJ_35</t>
        </is>
      </c>
      <c r="B1131" t="inlineStr">
        <is>
          <t>tail_carbons</t>
        </is>
      </c>
      <c r="C1131">
        <v>12</v>
      </c>
      <c r="D1131" t="inlineStr">
        <is>
          <t>count</t>
        </is>
      </c>
      <c r="E1131"/>
      <c r="F1131"/>
      <c r="G1131" t="inlineStr">
        <is>
          <t>fatty-chain annotation</t>
        </is>
      </c>
      <c r="H1131" t="inlineStr">
        <is>
          <t>S007_EXCIPIENTS_HANDBOOK</t>
        </is>
      </c>
      <c r="I1131" t="inlineStr">
        <is>
          <t>curated</t>
        </is>
      </c>
      <c r="J1131">
        <v>0.8</v>
      </c>
      <c r="K1131"/>
    </row>
    <row r="1132">
      <c r="A1132" t="inlineStr">
        <is>
          <t>SURF_BRIJ_35</t>
        </is>
      </c>
      <c r="B1132" t="inlineStr">
        <is>
          <t>tail_unsaturation</t>
        </is>
      </c>
      <c r="C1132">
        <v>0</v>
      </c>
      <c r="D1132" t="inlineStr">
        <is>
          <t>double_bonds</t>
        </is>
      </c>
      <c r="E1132"/>
      <c r="F1132"/>
      <c r="G1132" t="inlineStr">
        <is>
          <t>fatty-chain annotation</t>
        </is>
      </c>
      <c r="H1132" t="inlineStr">
        <is>
          <t>S007_EXCIPIENTS_HANDBOOK</t>
        </is>
      </c>
      <c r="I1132" t="inlineStr">
        <is>
          <t>curated</t>
        </is>
      </c>
      <c r="J1132">
        <v>0.8</v>
      </c>
      <c r="K1132"/>
    </row>
    <row r="1133">
      <c r="A1133" t="inlineStr">
        <is>
          <t>SURF_BRIJ_35</t>
        </is>
      </c>
      <c r="B1133" t="inlineStr">
        <is>
          <t>number_of_tails</t>
        </is>
      </c>
      <c r="C1133">
        <v>1</v>
      </c>
      <c r="D1133" t="inlineStr">
        <is>
          <t>count</t>
        </is>
      </c>
      <c r="E1133"/>
      <c r="F1133"/>
      <c r="G1133" t="inlineStr">
        <is>
          <t>fatty-chain annotation</t>
        </is>
      </c>
      <c r="H1133" t="inlineStr">
        <is>
          <t>S007_EXCIPIENTS_HANDBOOK</t>
        </is>
      </c>
      <c r="I1133" t="inlineStr">
        <is>
          <t>curated</t>
        </is>
      </c>
      <c r="J1133">
        <v>0.8</v>
      </c>
      <c r="K1133"/>
    </row>
    <row r="1134">
      <c r="A1134" t="inlineStr">
        <is>
          <t>SURF_BRIJ_35</t>
        </is>
      </c>
      <c r="B1134" t="inlineStr">
        <is>
          <t>charge_type</t>
        </is>
      </c>
      <c r="C1134" t="inlineStr">
        <is>
          <t>nonionic</t>
        </is>
      </c>
      <c r="D1134"/>
      <c r="E1134"/>
      <c r="F1134"/>
      <c r="G1134" t="inlineStr">
        <is>
          <t>ionization class</t>
        </is>
      </c>
      <c r="H1134" t="inlineStr">
        <is>
          <t>S007_EXCIPIENTS_HANDBOOK</t>
        </is>
      </c>
      <c r="I1134" t="inlineStr">
        <is>
          <t>curated</t>
        </is>
      </c>
      <c r="J1134">
        <v>0.85</v>
      </c>
      <c r="K1134"/>
    </row>
    <row r="1135">
      <c r="A1135" t="inlineStr">
        <is>
          <t>SURF_BRIJ_35</t>
        </is>
      </c>
      <c r="B1135" t="inlineStr">
        <is>
          <t>formal_charge</t>
        </is>
      </c>
      <c r="C1135">
        <v>0</v>
      </c>
      <c r="D1135" t="inlineStr">
        <is>
          <t>e</t>
        </is>
      </c>
      <c r="E1135"/>
      <c r="F1135"/>
      <c r="G1135" t="inlineStr">
        <is>
          <t>nominal at neutral pH</t>
        </is>
      </c>
      <c r="H1135" t="inlineStr">
        <is>
          <t>S007_EXCIPIENTS_HANDBOOK</t>
        </is>
      </c>
      <c r="I1135" t="inlineStr">
        <is>
          <t>curated</t>
        </is>
      </c>
      <c r="J1135">
        <v>0.85</v>
      </c>
      <c r="K1135"/>
    </row>
    <row r="1136">
      <c r="A1136" t="inlineStr">
        <is>
          <t>SURF_BRIJ_35</t>
        </is>
      </c>
      <c r="B1136" t="inlineStr">
        <is>
          <t>packing_role</t>
        </is>
      </c>
      <c r="C1136" t="inlineStr">
        <is>
          <t>edge activator / micellar solubilizer</t>
        </is>
      </c>
      <c r="D1136"/>
      <c r="E1136"/>
      <c r="F1136"/>
      <c r="G1136" t="inlineStr">
        <is>
          <t>HLB/chain-rule heuristic</t>
        </is>
      </c>
      <c r="H1136" t="inlineStr">
        <is>
          <t>S007_EXCIPIENTS_HANDBOOK</t>
        </is>
      </c>
      <c r="I1136" t="inlineStr">
        <is>
          <t>curated</t>
        </is>
      </c>
      <c r="J1136">
        <v>0.65</v>
      </c>
      <c r="K1136"/>
    </row>
    <row r="1137">
      <c r="A1137" t="inlineStr">
        <is>
          <t>SURF_BRIJ_35</t>
        </is>
      </c>
      <c r="B1137" t="inlineStr">
        <is>
          <t>edge_activator_flag</t>
        </is>
      </c>
      <c r="C1137" t="inlineStr">
        <is>
          <t>yes</t>
        </is>
      </c>
      <c r="D1137"/>
      <c r="E1137"/>
      <c r="F1137"/>
      <c r="G1137" t="inlineStr">
        <is>
          <t>HLB/charge heuristic</t>
        </is>
      </c>
      <c r="H1137" t="inlineStr">
        <is>
          <t>S007_EXCIPIENTS_HANDBOOK</t>
        </is>
      </c>
      <c r="I1137" t="inlineStr">
        <is>
          <t>curated</t>
        </is>
      </c>
      <c r="J1137">
        <v>0.7</v>
      </c>
      <c r="K1137"/>
    </row>
    <row r="1138">
      <c r="A1138" t="inlineStr">
        <is>
          <t>SURF_BRIJ_35</t>
        </is>
      </c>
      <c r="B1138" t="inlineStr">
        <is>
          <t>vesicle_anchor_flag</t>
        </is>
      </c>
      <c r="C1138" t="inlineStr">
        <is>
          <t>weak/conditional</t>
        </is>
      </c>
      <c r="D1138"/>
      <c r="E1138"/>
      <c r="F1138"/>
      <c r="G1138" t="inlineStr">
        <is>
          <t>chain-length and HLB heuristic</t>
        </is>
      </c>
      <c r="H1138" t="inlineStr">
        <is>
          <t>S007_EXCIPIENTS_HANDBOOK</t>
        </is>
      </c>
      <c r="I1138" t="inlineStr">
        <is>
          <t>curated</t>
        </is>
      </c>
      <c r="J1138">
        <v>0.7</v>
      </c>
      <c r="K1138"/>
    </row>
    <row r="1139">
      <c r="A1139" t="inlineStr">
        <is>
          <t>SURF_BRIJ_35</t>
        </is>
      </c>
      <c r="B1139" t="inlineStr">
        <is>
          <t>micellization_risk_flag</t>
        </is>
      </c>
      <c r="C1139" t="inlineStr">
        <is>
          <t>high</t>
        </is>
      </c>
      <c r="D1139"/>
      <c r="E1139"/>
      <c r="F1139"/>
      <c r="G1139" t="inlineStr">
        <is>
          <t>HLB heuristic</t>
        </is>
      </c>
      <c r="H1139" t="inlineStr">
        <is>
          <t>S007_EXCIPIENTS_HANDBOOK</t>
        </is>
      </c>
      <c r="I1139" t="inlineStr">
        <is>
          <t>curated</t>
        </is>
      </c>
      <c r="J1139">
        <v>0.65</v>
      </c>
      <c r="K1139"/>
    </row>
    <row r="1140">
      <c r="A1140" t="inlineStr">
        <is>
          <t>SURF_BRIJ_35</t>
        </is>
      </c>
      <c r="B1140" t="inlineStr">
        <is>
          <t>route_suitability</t>
        </is>
      </c>
      <c r="C1140" t="inlineStr">
        <is>
          <t>oral/topical; parenteral/inhalation only if grade and safety justified</t>
        </is>
      </c>
      <c r="D1140"/>
      <c r="E1140"/>
      <c r="F1140"/>
      <c r="G1140" t="inlineStr">
        <is>
          <t>route precedent heuristic</t>
        </is>
      </c>
      <c r="H1140" t="inlineStr">
        <is>
          <t>S008_FDA_IID</t>
        </is>
      </c>
      <c r="I1140" t="inlineStr">
        <is>
          <t>curated</t>
        </is>
      </c>
      <c r="J1140">
        <v>0.55</v>
      </c>
      <c r="K1140"/>
    </row>
    <row r="1141">
      <c r="A1141" t="inlineStr">
        <is>
          <t>SURF_BRIJ_35</t>
        </is>
      </c>
      <c r="B1141" t="inlineStr">
        <is>
          <t>toxicity_or_irritancy_notes</t>
        </is>
      </c>
      <c r="C1141" t="inlineStr">
        <is>
          <t>surfactant irritation/hemolysis is concentration-, route-, and grade-dependent; screen cytotoxicity and osmolality</t>
        </is>
      </c>
      <c r="D1141"/>
      <c r="E1141"/>
      <c r="F1141"/>
      <c r="G1141"/>
      <c r="H1141" t="inlineStr">
        <is>
          <t>S007_EXCIPIENTS_HANDBOOK</t>
        </is>
      </c>
      <c r="I1141" t="inlineStr">
        <is>
          <t>curated</t>
        </is>
      </c>
      <c r="J1141">
        <v>0.7</v>
      </c>
      <c r="K1141"/>
    </row>
    <row r="1142">
      <c r="A1142" t="inlineStr">
        <is>
          <t>SURF_BRIJ_35</t>
        </is>
      </c>
      <c r="B1142" t="inlineStr">
        <is>
          <t>Hansen_delta_D</t>
        </is>
      </c>
      <c r="C1142">
        <v>17.2</v>
      </c>
      <c r="D1142" t="inlineStr">
        <is>
          <t>MPa^0.5</t>
        </is>
      </c>
      <c r="E1142"/>
      <c r="F1142"/>
      <c r="G1142" t="inlineStr">
        <is>
          <t>heuristic group-contribution/nearest-neighbour</t>
        </is>
      </c>
      <c r="H1142" t="inlineStr">
        <is>
          <t>S013_EST_HSP_HEURISTIC</t>
        </is>
      </c>
      <c r="I1142" t="inlineStr">
        <is>
          <t>estimated</t>
        </is>
      </c>
      <c r="J1142">
        <v>0.4</v>
      </c>
      <c r="K1142" t="inlineStr">
        <is>
          <t>Provisional HSP for screening; replace with experimental/literature value before model lock.</t>
        </is>
      </c>
    </row>
    <row r="1143">
      <c r="A1143" t="inlineStr">
        <is>
          <t>SURF_BRIJ_35</t>
        </is>
      </c>
      <c r="B1143" t="inlineStr">
        <is>
          <t>Hansen_delta_P</t>
        </is>
      </c>
      <c r="C1143">
        <v>8.5</v>
      </c>
      <c r="D1143" t="inlineStr">
        <is>
          <t>MPa^0.5</t>
        </is>
      </c>
      <c r="E1143"/>
      <c r="F1143"/>
      <c r="G1143" t="inlineStr">
        <is>
          <t>heuristic group-contribution/nearest-neighbour</t>
        </is>
      </c>
      <c r="H1143" t="inlineStr">
        <is>
          <t>S013_EST_HSP_HEURISTIC</t>
        </is>
      </c>
      <c r="I1143" t="inlineStr">
        <is>
          <t>estimated</t>
        </is>
      </c>
      <c r="J1143">
        <v>0.4</v>
      </c>
      <c r="K1143" t="inlineStr">
        <is>
          <t>Provisional HSP for screening; replace with experimental/literature value before model lock.</t>
        </is>
      </c>
    </row>
    <row r="1144">
      <c r="A1144" t="inlineStr">
        <is>
          <t>SURF_BRIJ_35</t>
        </is>
      </c>
      <c r="B1144" t="inlineStr">
        <is>
          <t>Hansen_delta_H</t>
        </is>
      </c>
      <c r="C1144">
        <v>14.0</v>
      </c>
      <c r="D1144" t="inlineStr">
        <is>
          <t>MPa^0.5</t>
        </is>
      </c>
      <c r="E1144"/>
      <c r="F1144"/>
      <c r="G1144" t="inlineStr">
        <is>
          <t>heuristic group-contribution/nearest-neighbour</t>
        </is>
      </c>
      <c r="H1144" t="inlineStr">
        <is>
          <t>S013_EST_HSP_HEURISTIC</t>
        </is>
      </c>
      <c r="I1144" t="inlineStr">
        <is>
          <t>estimated</t>
        </is>
      </c>
      <c r="J1144">
        <v>0.4</v>
      </c>
      <c r="K1144" t="inlineStr">
        <is>
          <t>Provisional HSP for screening; replace with experimental/literature value before model lock.</t>
        </is>
      </c>
    </row>
    <row r="1145">
      <c r="A1145" t="inlineStr">
        <is>
          <t>SURF_BRIJ_35</t>
        </is>
      </c>
      <c r="B1145" t="inlineStr">
        <is>
          <t>Hildebrand_delta_T</t>
        </is>
      </c>
      <c r="C1145">
        <v>23.75</v>
      </c>
      <c r="D1145" t="inlineStr">
        <is>
          <t>MPa^0.5</t>
        </is>
      </c>
      <c r="E1145"/>
      <c r="F1145"/>
      <c r="G1145" t="inlineStr">
        <is>
          <t>sqrt(deltaD^2+deltaP^2+deltaH^2)</t>
        </is>
      </c>
      <c r="H1145" t="inlineStr">
        <is>
          <t>S012_CALCULATED</t>
        </is>
      </c>
      <c r="I1145" t="inlineStr">
        <is>
          <t>calculated</t>
        </is>
      </c>
      <c r="J1145">
        <v>0.45</v>
      </c>
      <c r="K1145" t="inlineStr">
        <is>
          <t>Derived from stored Hansen components.</t>
        </is>
      </c>
    </row>
    <row r="1146">
      <c r="A1146" t="inlineStr">
        <is>
          <t>SURF_BRIJ_35</t>
        </is>
      </c>
      <c r="B1146" t="inlineStr">
        <is>
          <t>HSP_radius_R0</t>
        </is>
      </c>
      <c r="C1146">
        <v>9.0</v>
      </c>
      <c r="D1146" t="inlineStr">
        <is>
          <t>MPa^0.5</t>
        </is>
      </c>
      <c r="E1146"/>
      <c r="F1146"/>
      <c r="G1146" t="inlineStr">
        <is>
          <t>literature/heuristic solubility sphere</t>
        </is>
      </c>
      <c r="H1146" t="inlineStr">
        <is>
          <t>S013_EST_HSP_HEURISTIC</t>
        </is>
      </c>
      <c r="I1146" t="inlineStr">
        <is>
          <t>estimated</t>
        </is>
      </c>
      <c r="J1146">
        <v>0.4</v>
      </c>
      <c r="K1146" t="inlineStr">
        <is>
          <t>Screening radius only unless experimentally determined.</t>
        </is>
      </c>
    </row>
    <row r="1147">
      <c r="A1147" t="inlineStr">
        <is>
          <t>SURF_BRIJ_35</t>
        </is>
      </c>
      <c r="B1147" t="inlineStr">
        <is>
          <t>molar_volume_cm3_mol</t>
        </is>
      </c>
      <c r="C1147">
        <v>1140.95</v>
      </c>
      <c r="D1147" t="inlineStr">
        <is>
          <t>cm3/mol</t>
        </is>
      </c>
      <c r="E1147"/>
      <c r="F1147"/>
      <c r="G1147" t="inlineStr">
        <is>
          <t>MW/density estimate</t>
        </is>
      </c>
      <c r="H1147" t="inlineStr">
        <is>
          <t>S012_CALCULATED</t>
        </is>
      </c>
      <c r="I1147" t="inlineStr">
        <is>
          <t>estimated</t>
        </is>
      </c>
      <c r="J1147">
        <v>0.42</v>
      </c>
      <c r="K1147" t="inlineStr">
        <is>
          <t>Estimated from MW/density; replace with measured molar volume or density-specific grade data.</t>
        </is>
      </c>
    </row>
    <row r="1148">
      <c r="A1148" t="inlineStr">
        <is>
          <t>SURF_BRIJ_35</t>
        </is>
      </c>
      <c r="B1148" t="inlineStr">
        <is>
          <t>headgroup_area_nm2</t>
        </is>
      </c>
      <c r="C1148">
        <v>0.734</v>
      </c>
      <c r="D1148" t="inlineStr">
        <is>
          <t>nm2</t>
        </is>
      </c>
      <c r="E1148"/>
      <c r="F1148"/>
      <c r="G1148" t="inlineStr">
        <is>
          <t>CPP screening heuristic</t>
        </is>
      </c>
      <c r="H1148" t="inlineStr">
        <is>
          <t>S013_EST_HSP_HEURISTIC</t>
        </is>
      </c>
      <c r="I1148" t="inlineStr">
        <is>
          <t>estimated</t>
        </is>
      </c>
      <c r="J1148">
        <v>0.35</v>
      </c>
      <c r="K1148" t="inlineStr">
        <is>
          <t>Replace with monolayer or MD-derived area per molecule for publication-grade CPP.</t>
        </is>
      </c>
    </row>
    <row r="1149">
      <c r="A1149" t="inlineStr">
        <is>
          <t>SURF_BRIJ_52</t>
        </is>
      </c>
      <c r="B1149" t="inlineStr">
        <is>
          <t>molecular_weight_g_mol</t>
        </is>
      </c>
      <c r="C1149">
        <v>330</v>
      </c>
      <c r="D1149" t="inlineStr">
        <is>
          <t>g/mol</t>
        </is>
      </c>
      <c r="E1149"/>
      <c r="F1149"/>
      <c r="G1149" t="inlineStr">
        <is>
          <t>supplier/handbook average for mixtures</t>
        </is>
      </c>
      <c r="H1149" t="inlineStr">
        <is>
          <t>S007_EXCIPIENTS_HANDBOOK</t>
        </is>
      </c>
      <c r="I1149" t="inlineStr">
        <is>
          <t>supplier-reported</t>
        </is>
      </c>
      <c r="J1149">
        <v>0.65</v>
      </c>
      <c r="K1149"/>
    </row>
    <row r="1150">
      <c r="A1150" t="inlineStr">
        <is>
          <t>SURF_BRIJ_52</t>
        </is>
      </c>
      <c r="B1150" t="inlineStr">
        <is>
          <t>HLB</t>
        </is>
      </c>
      <c r="C1150">
        <v>5.3</v>
      </c>
      <c r="D1150" t="inlineStr">
        <is>
          <t>HLB</t>
        </is>
      </c>
      <c r="E1150"/>
      <c r="F1150"/>
      <c r="G1150" t="inlineStr">
        <is>
          <t>Griffin/Davies HLB literature/supplier value</t>
        </is>
      </c>
      <c r="H1150" t="inlineStr">
        <is>
          <t>S007_EXCIPIENTS_HANDBOOK</t>
        </is>
      </c>
      <c r="I1150" t="inlineStr">
        <is>
          <t>supplier-reported</t>
        </is>
      </c>
      <c r="J1150">
        <v>0.75</v>
      </c>
      <c r="K1150" t="inlineStr">
        <is>
          <t>Grade-dependent; use supplier CoA when available.</t>
        </is>
      </c>
    </row>
    <row r="1151">
      <c r="A1151" t="inlineStr">
        <is>
          <t>SURF_BRIJ_52</t>
        </is>
      </c>
      <c r="B1151" t="inlineStr">
        <is>
          <t>headgroup_type</t>
        </is>
      </c>
      <c r="C1151" t="inlineStr">
        <is>
          <t>polyoxyethylene fatty alcohol</t>
        </is>
      </c>
      <c r="D1151"/>
      <c r="E1151"/>
      <c r="F1151"/>
      <c r="G1151" t="inlineStr">
        <is>
          <t>manual class annotation</t>
        </is>
      </c>
      <c r="H1151" t="inlineStr">
        <is>
          <t>S007_EXCIPIENTS_HANDBOOK</t>
        </is>
      </c>
      <c r="I1151" t="inlineStr">
        <is>
          <t>curated</t>
        </is>
      </c>
      <c r="J1151">
        <v>0.75</v>
      </c>
      <c r="K1151"/>
    </row>
    <row r="1152">
      <c r="A1152" t="inlineStr">
        <is>
          <t>SURF_BRIJ_52</t>
        </is>
      </c>
      <c r="B1152" t="inlineStr">
        <is>
          <t>tail_chain</t>
        </is>
      </c>
      <c r="C1152" t="inlineStr">
        <is>
          <t>C16:0 cetyl + EO2</t>
        </is>
      </c>
      <c r="D1152"/>
      <c r="E1152"/>
      <c r="F1152"/>
      <c r="G1152" t="inlineStr">
        <is>
          <t>fatty-chain annotation</t>
        </is>
      </c>
      <c r="H1152" t="inlineStr">
        <is>
          <t>S007_EXCIPIENTS_HANDBOOK</t>
        </is>
      </c>
      <c r="I1152" t="inlineStr">
        <is>
          <t>curated</t>
        </is>
      </c>
      <c r="J1152">
        <v>0.8</v>
      </c>
      <c r="K1152"/>
    </row>
    <row r="1153">
      <c r="A1153" t="inlineStr">
        <is>
          <t>SURF_BRIJ_52</t>
        </is>
      </c>
      <c r="B1153" t="inlineStr">
        <is>
          <t>tail_carbons</t>
        </is>
      </c>
      <c r="C1153">
        <v>16</v>
      </c>
      <c r="D1153" t="inlineStr">
        <is>
          <t>count</t>
        </is>
      </c>
      <c r="E1153"/>
      <c r="F1153"/>
      <c r="G1153" t="inlineStr">
        <is>
          <t>fatty-chain annotation</t>
        </is>
      </c>
      <c r="H1153" t="inlineStr">
        <is>
          <t>S007_EXCIPIENTS_HANDBOOK</t>
        </is>
      </c>
      <c r="I1153" t="inlineStr">
        <is>
          <t>curated</t>
        </is>
      </c>
      <c r="J1153">
        <v>0.8</v>
      </c>
      <c r="K1153"/>
    </row>
    <row r="1154">
      <c r="A1154" t="inlineStr">
        <is>
          <t>SURF_BRIJ_52</t>
        </is>
      </c>
      <c r="B1154" t="inlineStr">
        <is>
          <t>tail_unsaturation</t>
        </is>
      </c>
      <c r="C1154">
        <v>0</v>
      </c>
      <c r="D1154" t="inlineStr">
        <is>
          <t>double_bonds</t>
        </is>
      </c>
      <c r="E1154"/>
      <c r="F1154"/>
      <c r="G1154" t="inlineStr">
        <is>
          <t>fatty-chain annotation</t>
        </is>
      </c>
      <c r="H1154" t="inlineStr">
        <is>
          <t>S007_EXCIPIENTS_HANDBOOK</t>
        </is>
      </c>
      <c r="I1154" t="inlineStr">
        <is>
          <t>curated</t>
        </is>
      </c>
      <c r="J1154">
        <v>0.8</v>
      </c>
      <c r="K1154"/>
    </row>
    <row r="1155">
      <c r="A1155" t="inlineStr">
        <is>
          <t>SURF_BRIJ_52</t>
        </is>
      </c>
      <c r="B1155" t="inlineStr">
        <is>
          <t>number_of_tails</t>
        </is>
      </c>
      <c r="C1155">
        <v>1</v>
      </c>
      <c r="D1155" t="inlineStr">
        <is>
          <t>count</t>
        </is>
      </c>
      <c r="E1155"/>
      <c r="F1155"/>
      <c r="G1155" t="inlineStr">
        <is>
          <t>fatty-chain annotation</t>
        </is>
      </c>
      <c r="H1155" t="inlineStr">
        <is>
          <t>S007_EXCIPIENTS_HANDBOOK</t>
        </is>
      </c>
      <c r="I1155" t="inlineStr">
        <is>
          <t>curated</t>
        </is>
      </c>
      <c r="J1155">
        <v>0.8</v>
      </c>
      <c r="K1155"/>
    </row>
    <row r="1156">
      <c r="A1156" t="inlineStr">
        <is>
          <t>SURF_BRIJ_52</t>
        </is>
      </c>
      <c r="B1156" t="inlineStr">
        <is>
          <t>charge_type</t>
        </is>
      </c>
      <c r="C1156" t="inlineStr">
        <is>
          <t>nonionic</t>
        </is>
      </c>
      <c r="D1156"/>
      <c r="E1156"/>
      <c r="F1156"/>
      <c r="G1156" t="inlineStr">
        <is>
          <t>ionization class</t>
        </is>
      </c>
      <c r="H1156" t="inlineStr">
        <is>
          <t>S007_EXCIPIENTS_HANDBOOK</t>
        </is>
      </c>
      <c r="I1156" t="inlineStr">
        <is>
          <t>curated</t>
        </is>
      </c>
      <c r="J1156">
        <v>0.85</v>
      </c>
      <c r="K1156"/>
    </row>
    <row r="1157">
      <c r="A1157" t="inlineStr">
        <is>
          <t>SURF_BRIJ_52</t>
        </is>
      </c>
      <c r="B1157" t="inlineStr">
        <is>
          <t>formal_charge</t>
        </is>
      </c>
      <c r="C1157">
        <v>0</v>
      </c>
      <c r="D1157" t="inlineStr">
        <is>
          <t>e</t>
        </is>
      </c>
      <c r="E1157"/>
      <c r="F1157"/>
      <c r="G1157" t="inlineStr">
        <is>
          <t>nominal at neutral pH</t>
        </is>
      </c>
      <c r="H1157" t="inlineStr">
        <is>
          <t>S007_EXCIPIENTS_HANDBOOK</t>
        </is>
      </c>
      <c r="I1157" t="inlineStr">
        <is>
          <t>curated</t>
        </is>
      </c>
      <c r="J1157">
        <v>0.85</v>
      </c>
      <c r="K1157"/>
    </row>
    <row r="1158">
      <c r="A1158" t="inlineStr">
        <is>
          <t>SURF_BRIJ_52</t>
        </is>
      </c>
      <c r="B1158" t="inlineStr">
        <is>
          <t>packing_role</t>
        </is>
      </c>
      <c r="C1158" t="inlineStr">
        <is>
          <t>vesicle bilayer former</t>
        </is>
      </c>
      <c r="D1158"/>
      <c r="E1158"/>
      <c r="F1158"/>
      <c r="G1158" t="inlineStr">
        <is>
          <t>HLB/chain-rule heuristic</t>
        </is>
      </c>
      <c r="H1158" t="inlineStr">
        <is>
          <t>S007_EXCIPIENTS_HANDBOOK</t>
        </is>
      </c>
      <c r="I1158" t="inlineStr">
        <is>
          <t>curated</t>
        </is>
      </c>
      <c r="J1158">
        <v>0.65</v>
      </c>
      <c r="K1158"/>
    </row>
    <row r="1159">
      <c r="A1159" t="inlineStr">
        <is>
          <t>SURF_BRIJ_52</t>
        </is>
      </c>
      <c r="B1159" t="inlineStr">
        <is>
          <t>edge_activator_flag</t>
        </is>
      </c>
      <c r="C1159" t="inlineStr">
        <is>
          <t>conditional</t>
        </is>
      </c>
      <c r="D1159"/>
      <c r="E1159"/>
      <c r="F1159"/>
      <c r="G1159" t="inlineStr">
        <is>
          <t>HLB/charge heuristic</t>
        </is>
      </c>
      <c r="H1159" t="inlineStr">
        <is>
          <t>S007_EXCIPIENTS_HANDBOOK</t>
        </is>
      </c>
      <c r="I1159" t="inlineStr">
        <is>
          <t>curated</t>
        </is>
      </c>
      <c r="J1159">
        <v>0.7</v>
      </c>
      <c r="K1159"/>
    </row>
    <row r="1160">
      <c r="A1160" t="inlineStr">
        <is>
          <t>SURF_BRIJ_52</t>
        </is>
      </c>
      <c r="B1160" t="inlineStr">
        <is>
          <t>vesicle_anchor_flag</t>
        </is>
      </c>
      <c r="C1160" t="inlineStr">
        <is>
          <t>yes</t>
        </is>
      </c>
      <c r="D1160"/>
      <c r="E1160"/>
      <c r="F1160"/>
      <c r="G1160" t="inlineStr">
        <is>
          <t>chain-length and HLB heuristic</t>
        </is>
      </c>
      <c r="H1160" t="inlineStr">
        <is>
          <t>S007_EXCIPIENTS_HANDBOOK</t>
        </is>
      </c>
      <c r="I1160" t="inlineStr">
        <is>
          <t>curated</t>
        </is>
      </c>
      <c r="J1160">
        <v>0.7</v>
      </c>
      <c r="K1160"/>
    </row>
    <row r="1161">
      <c r="A1161" t="inlineStr">
        <is>
          <t>SURF_BRIJ_52</t>
        </is>
      </c>
      <c r="B1161" t="inlineStr">
        <is>
          <t>micellization_risk_flag</t>
        </is>
      </c>
      <c r="C1161" t="inlineStr">
        <is>
          <t>low-to-moderate</t>
        </is>
      </c>
      <c r="D1161"/>
      <c r="E1161"/>
      <c r="F1161"/>
      <c r="G1161" t="inlineStr">
        <is>
          <t>HLB heuristic</t>
        </is>
      </c>
      <c r="H1161" t="inlineStr">
        <is>
          <t>S007_EXCIPIENTS_HANDBOOK</t>
        </is>
      </c>
      <c r="I1161" t="inlineStr">
        <is>
          <t>curated</t>
        </is>
      </c>
      <c r="J1161">
        <v>0.65</v>
      </c>
      <c r="K1161"/>
    </row>
    <row r="1162">
      <c r="A1162" t="inlineStr">
        <is>
          <t>SURF_BRIJ_52</t>
        </is>
      </c>
      <c r="B1162" t="inlineStr">
        <is>
          <t>route_suitability</t>
        </is>
      </c>
      <c r="C1162" t="inlineStr">
        <is>
          <t>oral/topical; parenteral/inhalation only if grade and safety justified</t>
        </is>
      </c>
      <c r="D1162"/>
      <c r="E1162"/>
      <c r="F1162"/>
      <c r="G1162" t="inlineStr">
        <is>
          <t>route precedent heuristic</t>
        </is>
      </c>
      <c r="H1162" t="inlineStr">
        <is>
          <t>S008_FDA_IID</t>
        </is>
      </c>
      <c r="I1162" t="inlineStr">
        <is>
          <t>curated</t>
        </is>
      </c>
      <c r="J1162">
        <v>0.55</v>
      </c>
      <c r="K1162"/>
    </row>
    <row r="1163">
      <c r="A1163" t="inlineStr">
        <is>
          <t>SURF_BRIJ_52</t>
        </is>
      </c>
      <c r="B1163" t="inlineStr">
        <is>
          <t>toxicity_or_irritancy_notes</t>
        </is>
      </c>
      <c r="C1163" t="inlineStr">
        <is>
          <t>surfactant irritation/hemolysis is concentration-, route-, and grade-dependent; screen cytotoxicity and osmolality</t>
        </is>
      </c>
      <c r="D1163"/>
      <c r="E1163"/>
      <c r="F1163"/>
      <c r="G1163"/>
      <c r="H1163" t="inlineStr">
        <is>
          <t>S007_EXCIPIENTS_HANDBOOK</t>
        </is>
      </c>
      <c r="I1163" t="inlineStr">
        <is>
          <t>curated</t>
        </is>
      </c>
      <c r="J1163">
        <v>0.7</v>
      </c>
      <c r="K1163"/>
    </row>
    <row r="1164">
      <c r="A1164" t="inlineStr">
        <is>
          <t>SURF_BRIJ_52</t>
        </is>
      </c>
      <c r="B1164" t="inlineStr">
        <is>
          <t>Hansen_delta_D</t>
        </is>
      </c>
      <c r="C1164">
        <v>17.0</v>
      </c>
      <c r="D1164" t="inlineStr">
        <is>
          <t>MPa^0.5</t>
        </is>
      </c>
      <c r="E1164"/>
      <c r="F1164"/>
      <c r="G1164" t="inlineStr">
        <is>
          <t>heuristic group-contribution/nearest-neighbour</t>
        </is>
      </c>
      <c r="H1164" t="inlineStr">
        <is>
          <t>S013_EST_HSP_HEURISTIC</t>
        </is>
      </c>
      <c r="I1164" t="inlineStr">
        <is>
          <t>estimated</t>
        </is>
      </c>
      <c r="J1164">
        <v>0.4</v>
      </c>
      <c r="K1164" t="inlineStr">
        <is>
          <t>Provisional HSP for screening; replace with experimental/literature value before model lock.</t>
        </is>
      </c>
    </row>
    <row r="1165">
      <c r="A1165" t="inlineStr">
        <is>
          <t>SURF_BRIJ_52</t>
        </is>
      </c>
      <c r="B1165" t="inlineStr">
        <is>
          <t>Hansen_delta_P</t>
        </is>
      </c>
      <c r="C1165">
        <v>4.0</v>
      </c>
      <c r="D1165" t="inlineStr">
        <is>
          <t>MPa^0.5</t>
        </is>
      </c>
      <c r="E1165"/>
      <c r="F1165"/>
      <c r="G1165" t="inlineStr">
        <is>
          <t>heuristic group-contribution/nearest-neighbour</t>
        </is>
      </c>
      <c r="H1165" t="inlineStr">
        <is>
          <t>S013_EST_HSP_HEURISTIC</t>
        </is>
      </c>
      <c r="I1165" t="inlineStr">
        <is>
          <t>estimated</t>
        </is>
      </c>
      <c r="J1165">
        <v>0.4</v>
      </c>
      <c r="K1165" t="inlineStr">
        <is>
          <t>Provisional HSP for screening; replace with experimental/literature value before model lock.</t>
        </is>
      </c>
    </row>
    <row r="1166">
      <c r="A1166" t="inlineStr">
        <is>
          <t>SURF_BRIJ_52</t>
        </is>
      </c>
      <c r="B1166" t="inlineStr">
        <is>
          <t>Hansen_delta_H</t>
        </is>
      </c>
      <c r="C1166">
        <v>7.0</v>
      </c>
      <c r="D1166" t="inlineStr">
        <is>
          <t>MPa^0.5</t>
        </is>
      </c>
      <c r="E1166"/>
      <c r="F1166"/>
      <c r="G1166" t="inlineStr">
        <is>
          <t>heuristic group-contribution/nearest-neighbour</t>
        </is>
      </c>
      <c r="H1166" t="inlineStr">
        <is>
          <t>S013_EST_HSP_HEURISTIC</t>
        </is>
      </c>
      <c r="I1166" t="inlineStr">
        <is>
          <t>estimated</t>
        </is>
      </c>
      <c r="J1166">
        <v>0.4</v>
      </c>
      <c r="K1166" t="inlineStr">
        <is>
          <t>Provisional HSP for screening; replace with experimental/literature value before model lock.</t>
        </is>
      </c>
    </row>
    <row r="1167">
      <c r="A1167" t="inlineStr">
        <is>
          <t>SURF_BRIJ_52</t>
        </is>
      </c>
      <c r="B1167" t="inlineStr">
        <is>
          <t>Hildebrand_delta_T</t>
        </is>
      </c>
      <c r="C1167">
        <v>18.81</v>
      </c>
      <c r="D1167" t="inlineStr">
        <is>
          <t>MPa^0.5</t>
        </is>
      </c>
      <c r="E1167"/>
      <c r="F1167"/>
      <c r="G1167" t="inlineStr">
        <is>
          <t>sqrt(deltaD^2+deltaP^2+deltaH^2)</t>
        </is>
      </c>
      <c r="H1167" t="inlineStr">
        <is>
          <t>S012_CALCULATED</t>
        </is>
      </c>
      <c r="I1167" t="inlineStr">
        <is>
          <t>calculated</t>
        </is>
      </c>
      <c r="J1167">
        <v>0.45</v>
      </c>
      <c r="K1167" t="inlineStr">
        <is>
          <t>Derived from stored Hansen components.</t>
        </is>
      </c>
    </row>
    <row r="1168">
      <c r="A1168" t="inlineStr">
        <is>
          <t>SURF_BRIJ_52</t>
        </is>
      </c>
      <c r="B1168" t="inlineStr">
        <is>
          <t>HSP_radius_R0</t>
        </is>
      </c>
      <c r="C1168">
        <v>7.0</v>
      </c>
      <c r="D1168" t="inlineStr">
        <is>
          <t>MPa^0.5</t>
        </is>
      </c>
      <c r="E1168"/>
      <c r="F1168"/>
      <c r="G1168" t="inlineStr">
        <is>
          <t>literature/heuristic solubility sphere</t>
        </is>
      </c>
      <c r="H1168" t="inlineStr">
        <is>
          <t>S013_EST_HSP_HEURISTIC</t>
        </is>
      </c>
      <c r="I1168" t="inlineStr">
        <is>
          <t>estimated</t>
        </is>
      </c>
      <c r="J1168">
        <v>0.4</v>
      </c>
      <c r="K1168" t="inlineStr">
        <is>
          <t>Screening radius only unless experimentally determined.</t>
        </is>
      </c>
    </row>
    <row r="1169">
      <c r="A1169" t="inlineStr">
        <is>
          <t>SURF_BRIJ_52</t>
        </is>
      </c>
      <c r="B1169" t="inlineStr">
        <is>
          <t>molar_volume_cm3_mol</t>
        </is>
      </c>
      <c r="C1169">
        <v>336.73</v>
      </c>
      <c r="D1169" t="inlineStr">
        <is>
          <t>cm3/mol</t>
        </is>
      </c>
      <c r="E1169"/>
      <c r="F1169"/>
      <c r="G1169" t="inlineStr">
        <is>
          <t>MW/density estimate</t>
        </is>
      </c>
      <c r="H1169" t="inlineStr">
        <is>
          <t>S012_CALCULATED</t>
        </is>
      </c>
      <c r="I1169" t="inlineStr">
        <is>
          <t>estimated</t>
        </is>
      </c>
      <c r="J1169">
        <v>0.42</v>
      </c>
      <c r="K1169" t="inlineStr">
        <is>
          <t>Estimated from MW/density; replace with measured molar volume or density-specific grade data.</t>
        </is>
      </c>
    </row>
    <row r="1170">
      <c r="A1170" t="inlineStr">
        <is>
          <t>SURF_BRIJ_52</t>
        </is>
      </c>
      <c r="B1170" t="inlineStr">
        <is>
          <t>headgroup_area_nm2</t>
        </is>
      </c>
      <c r="C1170">
        <v>0.525</v>
      </c>
      <c r="D1170" t="inlineStr">
        <is>
          <t>nm2</t>
        </is>
      </c>
      <c r="E1170"/>
      <c r="F1170"/>
      <c r="G1170" t="inlineStr">
        <is>
          <t>CPP screening heuristic</t>
        </is>
      </c>
      <c r="H1170" t="inlineStr">
        <is>
          <t>S013_EST_HSP_HEURISTIC</t>
        </is>
      </c>
      <c r="I1170" t="inlineStr">
        <is>
          <t>estimated</t>
        </is>
      </c>
      <c r="J1170">
        <v>0.35</v>
      </c>
      <c r="K1170" t="inlineStr">
        <is>
          <t>Replace with monolayer or MD-derived area per molecule for publication-grade CPP.</t>
        </is>
      </c>
    </row>
    <row r="1171">
      <c r="A1171" t="inlineStr">
        <is>
          <t>SURF_BRIJ_56</t>
        </is>
      </c>
      <c r="B1171" t="inlineStr">
        <is>
          <t>molecular_weight_g_mol</t>
        </is>
      </c>
      <c r="C1171">
        <v>682</v>
      </c>
      <c r="D1171" t="inlineStr">
        <is>
          <t>g/mol</t>
        </is>
      </c>
      <c r="E1171"/>
      <c r="F1171"/>
      <c r="G1171" t="inlineStr">
        <is>
          <t>supplier/handbook average for mixtures</t>
        </is>
      </c>
      <c r="H1171" t="inlineStr">
        <is>
          <t>S007_EXCIPIENTS_HANDBOOK</t>
        </is>
      </c>
      <c r="I1171" t="inlineStr">
        <is>
          <t>supplier-reported</t>
        </is>
      </c>
      <c r="J1171">
        <v>0.65</v>
      </c>
      <c r="K1171"/>
    </row>
    <row r="1172">
      <c r="A1172" t="inlineStr">
        <is>
          <t>SURF_BRIJ_56</t>
        </is>
      </c>
      <c r="B1172" t="inlineStr">
        <is>
          <t>HLB</t>
        </is>
      </c>
      <c r="C1172">
        <v>12.9</v>
      </c>
      <c r="D1172" t="inlineStr">
        <is>
          <t>HLB</t>
        </is>
      </c>
      <c r="E1172"/>
      <c r="F1172"/>
      <c r="G1172" t="inlineStr">
        <is>
          <t>Griffin/Davies HLB literature/supplier value</t>
        </is>
      </c>
      <c r="H1172" t="inlineStr">
        <is>
          <t>S007_EXCIPIENTS_HANDBOOK</t>
        </is>
      </c>
      <c r="I1172" t="inlineStr">
        <is>
          <t>supplier-reported</t>
        </is>
      </c>
      <c r="J1172">
        <v>0.75</v>
      </c>
      <c r="K1172" t="inlineStr">
        <is>
          <t>Grade-dependent; use supplier CoA when available.</t>
        </is>
      </c>
    </row>
    <row r="1173">
      <c r="A1173" t="inlineStr">
        <is>
          <t>SURF_BRIJ_56</t>
        </is>
      </c>
      <c r="B1173" t="inlineStr">
        <is>
          <t>headgroup_type</t>
        </is>
      </c>
      <c r="C1173" t="inlineStr">
        <is>
          <t>polyoxyethylene fatty alcohol</t>
        </is>
      </c>
      <c r="D1173"/>
      <c r="E1173"/>
      <c r="F1173"/>
      <c r="G1173" t="inlineStr">
        <is>
          <t>manual class annotation</t>
        </is>
      </c>
      <c r="H1173" t="inlineStr">
        <is>
          <t>S007_EXCIPIENTS_HANDBOOK</t>
        </is>
      </c>
      <c r="I1173" t="inlineStr">
        <is>
          <t>curated</t>
        </is>
      </c>
      <c r="J1173">
        <v>0.75</v>
      </c>
      <c r="K1173"/>
    </row>
    <row r="1174">
      <c r="A1174" t="inlineStr">
        <is>
          <t>SURF_BRIJ_56</t>
        </is>
      </c>
      <c r="B1174" t="inlineStr">
        <is>
          <t>tail_chain</t>
        </is>
      </c>
      <c r="C1174" t="inlineStr">
        <is>
          <t>C16:0 cetyl + EO10</t>
        </is>
      </c>
      <c r="D1174"/>
      <c r="E1174"/>
      <c r="F1174"/>
      <c r="G1174" t="inlineStr">
        <is>
          <t>fatty-chain annotation</t>
        </is>
      </c>
      <c r="H1174" t="inlineStr">
        <is>
          <t>S007_EXCIPIENTS_HANDBOOK</t>
        </is>
      </c>
      <c r="I1174" t="inlineStr">
        <is>
          <t>curated</t>
        </is>
      </c>
      <c r="J1174">
        <v>0.8</v>
      </c>
      <c r="K1174"/>
    </row>
    <row r="1175">
      <c r="A1175" t="inlineStr">
        <is>
          <t>SURF_BRIJ_56</t>
        </is>
      </c>
      <c r="B1175" t="inlineStr">
        <is>
          <t>tail_carbons</t>
        </is>
      </c>
      <c r="C1175">
        <v>16</v>
      </c>
      <c r="D1175" t="inlineStr">
        <is>
          <t>count</t>
        </is>
      </c>
      <c r="E1175"/>
      <c r="F1175"/>
      <c r="G1175" t="inlineStr">
        <is>
          <t>fatty-chain annotation</t>
        </is>
      </c>
      <c r="H1175" t="inlineStr">
        <is>
          <t>S007_EXCIPIENTS_HANDBOOK</t>
        </is>
      </c>
      <c r="I1175" t="inlineStr">
        <is>
          <t>curated</t>
        </is>
      </c>
      <c r="J1175">
        <v>0.8</v>
      </c>
      <c r="K1175"/>
    </row>
    <row r="1176">
      <c r="A1176" t="inlineStr">
        <is>
          <t>SURF_BRIJ_56</t>
        </is>
      </c>
      <c r="B1176" t="inlineStr">
        <is>
          <t>tail_unsaturation</t>
        </is>
      </c>
      <c r="C1176">
        <v>0</v>
      </c>
      <c r="D1176" t="inlineStr">
        <is>
          <t>double_bonds</t>
        </is>
      </c>
      <c r="E1176"/>
      <c r="F1176"/>
      <c r="G1176" t="inlineStr">
        <is>
          <t>fatty-chain annotation</t>
        </is>
      </c>
      <c r="H1176" t="inlineStr">
        <is>
          <t>S007_EXCIPIENTS_HANDBOOK</t>
        </is>
      </c>
      <c r="I1176" t="inlineStr">
        <is>
          <t>curated</t>
        </is>
      </c>
      <c r="J1176">
        <v>0.8</v>
      </c>
      <c r="K1176"/>
    </row>
    <row r="1177">
      <c r="A1177" t="inlineStr">
        <is>
          <t>SURF_BRIJ_56</t>
        </is>
      </c>
      <c r="B1177" t="inlineStr">
        <is>
          <t>number_of_tails</t>
        </is>
      </c>
      <c r="C1177">
        <v>1</v>
      </c>
      <c r="D1177" t="inlineStr">
        <is>
          <t>count</t>
        </is>
      </c>
      <c r="E1177"/>
      <c r="F1177"/>
      <c r="G1177" t="inlineStr">
        <is>
          <t>fatty-chain annotation</t>
        </is>
      </c>
      <c r="H1177" t="inlineStr">
        <is>
          <t>S007_EXCIPIENTS_HANDBOOK</t>
        </is>
      </c>
      <c r="I1177" t="inlineStr">
        <is>
          <t>curated</t>
        </is>
      </c>
      <c r="J1177">
        <v>0.8</v>
      </c>
      <c r="K1177"/>
    </row>
    <row r="1178">
      <c r="A1178" t="inlineStr">
        <is>
          <t>SURF_BRIJ_56</t>
        </is>
      </c>
      <c r="B1178" t="inlineStr">
        <is>
          <t>charge_type</t>
        </is>
      </c>
      <c r="C1178" t="inlineStr">
        <is>
          <t>nonionic</t>
        </is>
      </c>
      <c r="D1178"/>
      <c r="E1178"/>
      <c r="F1178"/>
      <c r="G1178" t="inlineStr">
        <is>
          <t>ionization class</t>
        </is>
      </c>
      <c r="H1178" t="inlineStr">
        <is>
          <t>S007_EXCIPIENTS_HANDBOOK</t>
        </is>
      </c>
      <c r="I1178" t="inlineStr">
        <is>
          <t>curated</t>
        </is>
      </c>
      <c r="J1178">
        <v>0.85</v>
      </c>
      <c r="K1178"/>
    </row>
    <row r="1179">
      <c r="A1179" t="inlineStr">
        <is>
          <t>SURF_BRIJ_56</t>
        </is>
      </c>
      <c r="B1179" t="inlineStr">
        <is>
          <t>formal_charge</t>
        </is>
      </c>
      <c r="C1179">
        <v>0</v>
      </c>
      <c r="D1179" t="inlineStr">
        <is>
          <t>e</t>
        </is>
      </c>
      <c r="E1179"/>
      <c r="F1179"/>
      <c r="G1179" t="inlineStr">
        <is>
          <t>nominal at neutral pH</t>
        </is>
      </c>
      <c r="H1179" t="inlineStr">
        <is>
          <t>S007_EXCIPIENTS_HANDBOOK</t>
        </is>
      </c>
      <c r="I1179" t="inlineStr">
        <is>
          <t>curated</t>
        </is>
      </c>
      <c r="J1179">
        <v>0.85</v>
      </c>
      <c r="K1179"/>
    </row>
    <row r="1180">
      <c r="A1180" t="inlineStr">
        <is>
          <t>SURF_BRIJ_56</t>
        </is>
      </c>
      <c r="B1180" t="inlineStr">
        <is>
          <t>packing_role</t>
        </is>
      </c>
      <c r="C1180" t="inlineStr">
        <is>
          <t>edge activator / micellar solubilizer</t>
        </is>
      </c>
      <c r="D1180"/>
      <c r="E1180"/>
      <c r="F1180"/>
      <c r="G1180" t="inlineStr">
        <is>
          <t>HLB/chain-rule heuristic</t>
        </is>
      </c>
      <c r="H1180" t="inlineStr">
        <is>
          <t>S007_EXCIPIENTS_HANDBOOK</t>
        </is>
      </c>
      <c r="I1180" t="inlineStr">
        <is>
          <t>curated</t>
        </is>
      </c>
      <c r="J1180">
        <v>0.65</v>
      </c>
      <c r="K1180"/>
    </row>
    <row r="1181">
      <c r="A1181" t="inlineStr">
        <is>
          <t>SURF_BRIJ_56</t>
        </is>
      </c>
      <c r="B1181" t="inlineStr">
        <is>
          <t>edge_activator_flag</t>
        </is>
      </c>
      <c r="C1181" t="inlineStr">
        <is>
          <t>yes</t>
        </is>
      </c>
      <c r="D1181"/>
      <c r="E1181"/>
      <c r="F1181"/>
      <c r="G1181" t="inlineStr">
        <is>
          <t>HLB/charge heuristic</t>
        </is>
      </c>
      <c r="H1181" t="inlineStr">
        <is>
          <t>S007_EXCIPIENTS_HANDBOOK</t>
        </is>
      </c>
      <c r="I1181" t="inlineStr">
        <is>
          <t>curated</t>
        </is>
      </c>
      <c r="J1181">
        <v>0.7</v>
      </c>
      <c r="K1181"/>
    </row>
    <row r="1182">
      <c r="A1182" t="inlineStr">
        <is>
          <t>SURF_BRIJ_56</t>
        </is>
      </c>
      <c r="B1182" t="inlineStr">
        <is>
          <t>vesicle_anchor_flag</t>
        </is>
      </c>
      <c r="C1182" t="inlineStr">
        <is>
          <t>weak/conditional</t>
        </is>
      </c>
      <c r="D1182"/>
      <c r="E1182"/>
      <c r="F1182"/>
      <c r="G1182" t="inlineStr">
        <is>
          <t>chain-length and HLB heuristic</t>
        </is>
      </c>
      <c r="H1182" t="inlineStr">
        <is>
          <t>S007_EXCIPIENTS_HANDBOOK</t>
        </is>
      </c>
      <c r="I1182" t="inlineStr">
        <is>
          <t>curated</t>
        </is>
      </c>
      <c r="J1182">
        <v>0.7</v>
      </c>
      <c r="K1182"/>
    </row>
    <row r="1183">
      <c r="A1183" t="inlineStr">
        <is>
          <t>SURF_BRIJ_56</t>
        </is>
      </c>
      <c r="B1183" t="inlineStr">
        <is>
          <t>micellization_risk_flag</t>
        </is>
      </c>
      <c r="C1183" t="inlineStr">
        <is>
          <t>high</t>
        </is>
      </c>
      <c r="D1183"/>
      <c r="E1183"/>
      <c r="F1183"/>
      <c r="G1183" t="inlineStr">
        <is>
          <t>HLB heuristic</t>
        </is>
      </c>
      <c r="H1183" t="inlineStr">
        <is>
          <t>S007_EXCIPIENTS_HANDBOOK</t>
        </is>
      </c>
      <c r="I1183" t="inlineStr">
        <is>
          <t>curated</t>
        </is>
      </c>
      <c r="J1183">
        <v>0.65</v>
      </c>
      <c r="K1183"/>
    </row>
    <row r="1184">
      <c r="A1184" t="inlineStr">
        <is>
          <t>SURF_BRIJ_56</t>
        </is>
      </c>
      <c r="B1184" t="inlineStr">
        <is>
          <t>route_suitability</t>
        </is>
      </c>
      <c r="C1184" t="inlineStr">
        <is>
          <t>oral/topical; parenteral/inhalation only if grade and safety justified</t>
        </is>
      </c>
      <c r="D1184"/>
      <c r="E1184"/>
      <c r="F1184"/>
      <c r="G1184" t="inlineStr">
        <is>
          <t>route precedent heuristic</t>
        </is>
      </c>
      <c r="H1184" t="inlineStr">
        <is>
          <t>S008_FDA_IID</t>
        </is>
      </c>
      <c r="I1184" t="inlineStr">
        <is>
          <t>curated</t>
        </is>
      </c>
      <c r="J1184">
        <v>0.55</v>
      </c>
      <c r="K1184"/>
    </row>
    <row r="1185">
      <c r="A1185" t="inlineStr">
        <is>
          <t>SURF_BRIJ_56</t>
        </is>
      </c>
      <c r="B1185" t="inlineStr">
        <is>
          <t>toxicity_or_irritancy_notes</t>
        </is>
      </c>
      <c r="C1185" t="inlineStr">
        <is>
          <t>surfactant irritation/hemolysis is concentration-, route-, and grade-dependent; screen cytotoxicity and osmolality</t>
        </is>
      </c>
      <c r="D1185"/>
      <c r="E1185"/>
      <c r="F1185"/>
      <c r="G1185"/>
      <c r="H1185" t="inlineStr">
        <is>
          <t>S007_EXCIPIENTS_HANDBOOK</t>
        </is>
      </c>
      <c r="I1185" t="inlineStr">
        <is>
          <t>curated</t>
        </is>
      </c>
      <c r="J1185">
        <v>0.7</v>
      </c>
      <c r="K1185"/>
    </row>
    <row r="1186">
      <c r="A1186" t="inlineStr">
        <is>
          <t>SURF_BRIJ_56</t>
        </is>
      </c>
      <c r="B1186" t="inlineStr">
        <is>
          <t>Hansen_delta_D</t>
        </is>
      </c>
      <c r="C1186">
        <v>17.3</v>
      </c>
      <c r="D1186" t="inlineStr">
        <is>
          <t>MPa^0.5</t>
        </is>
      </c>
      <c r="E1186"/>
      <c r="F1186"/>
      <c r="G1186" t="inlineStr">
        <is>
          <t>heuristic group-contribution/nearest-neighbour</t>
        </is>
      </c>
      <c r="H1186" t="inlineStr">
        <is>
          <t>S013_EST_HSP_HEURISTIC</t>
        </is>
      </c>
      <c r="I1186" t="inlineStr">
        <is>
          <t>estimated</t>
        </is>
      </c>
      <c r="J1186">
        <v>0.4</v>
      </c>
      <c r="K1186" t="inlineStr">
        <is>
          <t>Provisional HSP for screening; replace with experimental/literature value before model lock.</t>
        </is>
      </c>
    </row>
    <row r="1187">
      <c r="A1187" t="inlineStr">
        <is>
          <t>SURF_BRIJ_56</t>
        </is>
      </c>
      <c r="B1187" t="inlineStr">
        <is>
          <t>Hansen_delta_P</t>
        </is>
      </c>
      <c r="C1187">
        <v>6.5</v>
      </c>
      <c r="D1187" t="inlineStr">
        <is>
          <t>MPa^0.5</t>
        </is>
      </c>
      <c r="E1187"/>
      <c r="F1187"/>
      <c r="G1187" t="inlineStr">
        <is>
          <t>heuristic group-contribution/nearest-neighbour</t>
        </is>
      </c>
      <c r="H1187" t="inlineStr">
        <is>
          <t>S013_EST_HSP_HEURISTIC</t>
        </is>
      </c>
      <c r="I1187" t="inlineStr">
        <is>
          <t>estimated</t>
        </is>
      </c>
      <c r="J1187">
        <v>0.4</v>
      </c>
      <c r="K1187" t="inlineStr">
        <is>
          <t>Provisional HSP for screening; replace with experimental/literature value before model lock.</t>
        </is>
      </c>
    </row>
    <row r="1188">
      <c r="A1188" t="inlineStr">
        <is>
          <t>SURF_BRIJ_56</t>
        </is>
      </c>
      <c r="B1188" t="inlineStr">
        <is>
          <t>Hansen_delta_H</t>
        </is>
      </c>
      <c r="C1188">
        <v>10.5</v>
      </c>
      <c r="D1188" t="inlineStr">
        <is>
          <t>MPa^0.5</t>
        </is>
      </c>
      <c r="E1188"/>
      <c r="F1188"/>
      <c r="G1188" t="inlineStr">
        <is>
          <t>heuristic group-contribution/nearest-neighbour</t>
        </is>
      </c>
      <c r="H1188" t="inlineStr">
        <is>
          <t>S013_EST_HSP_HEURISTIC</t>
        </is>
      </c>
      <c r="I1188" t="inlineStr">
        <is>
          <t>estimated</t>
        </is>
      </c>
      <c r="J1188">
        <v>0.4</v>
      </c>
      <c r="K1188" t="inlineStr">
        <is>
          <t>Provisional HSP for screening; replace with experimental/literature value before model lock.</t>
        </is>
      </c>
    </row>
    <row r="1189">
      <c r="A1189" t="inlineStr">
        <is>
          <t>SURF_BRIJ_56</t>
        </is>
      </c>
      <c r="B1189" t="inlineStr">
        <is>
          <t>Hildebrand_delta_T</t>
        </is>
      </c>
      <c r="C1189">
        <v>21.26</v>
      </c>
      <c r="D1189" t="inlineStr">
        <is>
          <t>MPa^0.5</t>
        </is>
      </c>
      <c r="E1189"/>
      <c r="F1189"/>
      <c r="G1189" t="inlineStr">
        <is>
          <t>sqrt(deltaD^2+deltaP^2+deltaH^2)</t>
        </is>
      </c>
      <c r="H1189" t="inlineStr">
        <is>
          <t>S012_CALCULATED</t>
        </is>
      </c>
      <c r="I1189" t="inlineStr">
        <is>
          <t>calculated</t>
        </is>
      </c>
      <c r="J1189">
        <v>0.45</v>
      </c>
      <c r="K1189" t="inlineStr">
        <is>
          <t>Derived from stored Hansen components.</t>
        </is>
      </c>
    </row>
    <row r="1190">
      <c r="A1190" t="inlineStr">
        <is>
          <t>SURF_BRIJ_56</t>
        </is>
      </c>
      <c r="B1190" t="inlineStr">
        <is>
          <t>HSP_radius_R0</t>
        </is>
      </c>
      <c r="C1190">
        <v>8.0</v>
      </c>
      <c r="D1190" t="inlineStr">
        <is>
          <t>MPa^0.5</t>
        </is>
      </c>
      <c r="E1190"/>
      <c r="F1190"/>
      <c r="G1190" t="inlineStr">
        <is>
          <t>literature/heuristic solubility sphere</t>
        </is>
      </c>
      <c r="H1190" t="inlineStr">
        <is>
          <t>S013_EST_HSP_HEURISTIC</t>
        </is>
      </c>
      <c r="I1190" t="inlineStr">
        <is>
          <t>estimated</t>
        </is>
      </c>
      <c r="J1190">
        <v>0.4</v>
      </c>
      <c r="K1190" t="inlineStr">
        <is>
          <t>Screening radius only unless experimentally determined.</t>
        </is>
      </c>
    </row>
    <row r="1191">
      <c r="A1191" t="inlineStr">
        <is>
          <t>SURF_BRIJ_56</t>
        </is>
      </c>
      <c r="B1191" t="inlineStr">
        <is>
          <t>molar_volume_cm3_mol</t>
        </is>
      </c>
      <c r="C1191">
        <v>649.52</v>
      </c>
      <c r="D1191" t="inlineStr">
        <is>
          <t>cm3/mol</t>
        </is>
      </c>
      <c r="E1191"/>
      <c r="F1191"/>
      <c r="G1191" t="inlineStr">
        <is>
          <t>MW/density estimate</t>
        </is>
      </c>
      <c r="H1191" t="inlineStr">
        <is>
          <t>S012_CALCULATED</t>
        </is>
      </c>
      <c r="I1191" t="inlineStr">
        <is>
          <t>estimated</t>
        </is>
      </c>
      <c r="J1191">
        <v>0.42</v>
      </c>
      <c r="K1191" t="inlineStr">
        <is>
          <t>Estimated from MW/density; replace with measured molar volume or density-specific grade data.</t>
        </is>
      </c>
    </row>
    <row r="1192">
      <c r="A1192" t="inlineStr">
        <is>
          <t>SURF_BRIJ_56</t>
        </is>
      </c>
      <c r="B1192" t="inlineStr">
        <is>
          <t>headgroup_area_nm2</t>
        </is>
      </c>
      <c r="C1192">
        <v>0.662</v>
      </c>
      <c r="D1192" t="inlineStr">
        <is>
          <t>nm2</t>
        </is>
      </c>
      <c r="E1192"/>
      <c r="F1192"/>
      <c r="G1192" t="inlineStr">
        <is>
          <t>CPP screening heuristic</t>
        </is>
      </c>
      <c r="H1192" t="inlineStr">
        <is>
          <t>S013_EST_HSP_HEURISTIC</t>
        </is>
      </c>
      <c r="I1192" t="inlineStr">
        <is>
          <t>estimated</t>
        </is>
      </c>
      <c r="J1192">
        <v>0.35</v>
      </c>
      <c r="K1192" t="inlineStr">
        <is>
          <t>Replace with monolayer or MD-derived area per molecule for publication-grade CPP.</t>
        </is>
      </c>
    </row>
    <row r="1193">
      <c r="A1193" t="inlineStr">
        <is>
          <t>SURF_BRIJ_58</t>
        </is>
      </c>
      <c r="B1193" t="inlineStr">
        <is>
          <t>molecular_weight_g_mol</t>
        </is>
      </c>
      <c r="C1193">
        <v>1122</v>
      </c>
      <c r="D1193" t="inlineStr">
        <is>
          <t>g/mol</t>
        </is>
      </c>
      <c r="E1193"/>
      <c r="F1193"/>
      <c r="G1193" t="inlineStr">
        <is>
          <t>supplier/handbook average for mixtures</t>
        </is>
      </c>
      <c r="H1193" t="inlineStr">
        <is>
          <t>S007_EXCIPIENTS_HANDBOOK</t>
        </is>
      </c>
      <c r="I1193" t="inlineStr">
        <is>
          <t>supplier-reported</t>
        </is>
      </c>
      <c r="J1193">
        <v>0.65</v>
      </c>
      <c r="K1193"/>
    </row>
    <row r="1194">
      <c r="A1194" t="inlineStr">
        <is>
          <t>SURF_BRIJ_58</t>
        </is>
      </c>
      <c r="B1194" t="inlineStr">
        <is>
          <t>HLB</t>
        </is>
      </c>
      <c r="C1194">
        <v>15.7</v>
      </c>
      <c r="D1194" t="inlineStr">
        <is>
          <t>HLB</t>
        </is>
      </c>
      <c r="E1194"/>
      <c r="F1194"/>
      <c r="G1194" t="inlineStr">
        <is>
          <t>Griffin/Davies HLB literature/supplier value</t>
        </is>
      </c>
      <c r="H1194" t="inlineStr">
        <is>
          <t>S007_EXCIPIENTS_HANDBOOK</t>
        </is>
      </c>
      <c r="I1194" t="inlineStr">
        <is>
          <t>supplier-reported</t>
        </is>
      </c>
      <c r="J1194">
        <v>0.75</v>
      </c>
      <c r="K1194" t="inlineStr">
        <is>
          <t>Grade-dependent; use supplier CoA when available.</t>
        </is>
      </c>
    </row>
    <row r="1195">
      <c r="A1195" t="inlineStr">
        <is>
          <t>SURF_BRIJ_58</t>
        </is>
      </c>
      <c r="B1195" t="inlineStr">
        <is>
          <t>headgroup_type</t>
        </is>
      </c>
      <c r="C1195" t="inlineStr">
        <is>
          <t>polyoxyethylene fatty alcohol</t>
        </is>
      </c>
      <c r="D1195"/>
      <c r="E1195"/>
      <c r="F1195"/>
      <c r="G1195" t="inlineStr">
        <is>
          <t>manual class annotation</t>
        </is>
      </c>
      <c r="H1195" t="inlineStr">
        <is>
          <t>S007_EXCIPIENTS_HANDBOOK</t>
        </is>
      </c>
      <c r="I1195" t="inlineStr">
        <is>
          <t>curated</t>
        </is>
      </c>
      <c r="J1195">
        <v>0.75</v>
      </c>
      <c r="K1195"/>
    </row>
    <row r="1196">
      <c r="A1196" t="inlineStr">
        <is>
          <t>SURF_BRIJ_58</t>
        </is>
      </c>
      <c r="B1196" t="inlineStr">
        <is>
          <t>tail_chain</t>
        </is>
      </c>
      <c r="C1196" t="inlineStr">
        <is>
          <t>C16:0 cetyl + EO20</t>
        </is>
      </c>
      <c r="D1196"/>
      <c r="E1196"/>
      <c r="F1196"/>
      <c r="G1196" t="inlineStr">
        <is>
          <t>fatty-chain annotation</t>
        </is>
      </c>
      <c r="H1196" t="inlineStr">
        <is>
          <t>S007_EXCIPIENTS_HANDBOOK</t>
        </is>
      </c>
      <c r="I1196" t="inlineStr">
        <is>
          <t>curated</t>
        </is>
      </c>
      <c r="J1196">
        <v>0.8</v>
      </c>
      <c r="K1196"/>
    </row>
    <row r="1197">
      <c r="A1197" t="inlineStr">
        <is>
          <t>SURF_BRIJ_58</t>
        </is>
      </c>
      <c r="B1197" t="inlineStr">
        <is>
          <t>tail_carbons</t>
        </is>
      </c>
      <c r="C1197">
        <v>16</v>
      </c>
      <c r="D1197" t="inlineStr">
        <is>
          <t>count</t>
        </is>
      </c>
      <c r="E1197"/>
      <c r="F1197"/>
      <c r="G1197" t="inlineStr">
        <is>
          <t>fatty-chain annotation</t>
        </is>
      </c>
      <c r="H1197" t="inlineStr">
        <is>
          <t>S007_EXCIPIENTS_HANDBOOK</t>
        </is>
      </c>
      <c r="I1197" t="inlineStr">
        <is>
          <t>curated</t>
        </is>
      </c>
      <c r="J1197">
        <v>0.8</v>
      </c>
      <c r="K1197"/>
    </row>
    <row r="1198">
      <c r="A1198" t="inlineStr">
        <is>
          <t>SURF_BRIJ_58</t>
        </is>
      </c>
      <c r="B1198" t="inlineStr">
        <is>
          <t>tail_unsaturation</t>
        </is>
      </c>
      <c r="C1198">
        <v>0</v>
      </c>
      <c r="D1198" t="inlineStr">
        <is>
          <t>double_bonds</t>
        </is>
      </c>
      <c r="E1198"/>
      <c r="F1198"/>
      <c r="G1198" t="inlineStr">
        <is>
          <t>fatty-chain annotation</t>
        </is>
      </c>
      <c r="H1198" t="inlineStr">
        <is>
          <t>S007_EXCIPIENTS_HANDBOOK</t>
        </is>
      </c>
      <c r="I1198" t="inlineStr">
        <is>
          <t>curated</t>
        </is>
      </c>
      <c r="J1198">
        <v>0.8</v>
      </c>
      <c r="K1198"/>
    </row>
    <row r="1199">
      <c r="A1199" t="inlineStr">
        <is>
          <t>SURF_BRIJ_58</t>
        </is>
      </c>
      <c r="B1199" t="inlineStr">
        <is>
          <t>number_of_tails</t>
        </is>
      </c>
      <c r="C1199">
        <v>1</v>
      </c>
      <c r="D1199" t="inlineStr">
        <is>
          <t>count</t>
        </is>
      </c>
      <c r="E1199"/>
      <c r="F1199"/>
      <c r="G1199" t="inlineStr">
        <is>
          <t>fatty-chain annotation</t>
        </is>
      </c>
      <c r="H1199" t="inlineStr">
        <is>
          <t>S007_EXCIPIENTS_HANDBOOK</t>
        </is>
      </c>
      <c r="I1199" t="inlineStr">
        <is>
          <t>curated</t>
        </is>
      </c>
      <c r="J1199">
        <v>0.8</v>
      </c>
      <c r="K1199"/>
    </row>
    <row r="1200">
      <c r="A1200" t="inlineStr">
        <is>
          <t>SURF_BRIJ_58</t>
        </is>
      </c>
      <c r="B1200" t="inlineStr">
        <is>
          <t>charge_type</t>
        </is>
      </c>
      <c r="C1200" t="inlineStr">
        <is>
          <t>nonionic</t>
        </is>
      </c>
      <c r="D1200"/>
      <c r="E1200"/>
      <c r="F1200"/>
      <c r="G1200" t="inlineStr">
        <is>
          <t>ionization class</t>
        </is>
      </c>
      <c r="H1200" t="inlineStr">
        <is>
          <t>S007_EXCIPIENTS_HANDBOOK</t>
        </is>
      </c>
      <c r="I1200" t="inlineStr">
        <is>
          <t>curated</t>
        </is>
      </c>
      <c r="J1200">
        <v>0.85</v>
      </c>
      <c r="K1200"/>
    </row>
    <row r="1201">
      <c r="A1201" t="inlineStr">
        <is>
          <t>SURF_BRIJ_58</t>
        </is>
      </c>
      <c r="B1201" t="inlineStr">
        <is>
          <t>formal_charge</t>
        </is>
      </c>
      <c r="C1201">
        <v>0</v>
      </c>
      <c r="D1201" t="inlineStr">
        <is>
          <t>e</t>
        </is>
      </c>
      <c r="E1201"/>
      <c r="F1201"/>
      <c r="G1201" t="inlineStr">
        <is>
          <t>nominal at neutral pH</t>
        </is>
      </c>
      <c r="H1201" t="inlineStr">
        <is>
          <t>S007_EXCIPIENTS_HANDBOOK</t>
        </is>
      </c>
      <c r="I1201" t="inlineStr">
        <is>
          <t>curated</t>
        </is>
      </c>
      <c r="J1201">
        <v>0.85</v>
      </c>
      <c r="K1201"/>
    </row>
    <row r="1202">
      <c r="A1202" t="inlineStr">
        <is>
          <t>SURF_BRIJ_58</t>
        </is>
      </c>
      <c r="B1202" t="inlineStr">
        <is>
          <t>packing_role</t>
        </is>
      </c>
      <c r="C1202" t="inlineStr">
        <is>
          <t>edge activator / micellar solubilizer</t>
        </is>
      </c>
      <c r="D1202"/>
      <c r="E1202"/>
      <c r="F1202"/>
      <c r="G1202" t="inlineStr">
        <is>
          <t>HLB/chain-rule heuristic</t>
        </is>
      </c>
      <c r="H1202" t="inlineStr">
        <is>
          <t>S007_EXCIPIENTS_HANDBOOK</t>
        </is>
      </c>
      <c r="I1202" t="inlineStr">
        <is>
          <t>curated</t>
        </is>
      </c>
      <c r="J1202">
        <v>0.65</v>
      </c>
      <c r="K1202"/>
    </row>
    <row r="1203">
      <c r="A1203" t="inlineStr">
        <is>
          <t>SURF_BRIJ_58</t>
        </is>
      </c>
      <c r="B1203" t="inlineStr">
        <is>
          <t>edge_activator_flag</t>
        </is>
      </c>
      <c r="C1203" t="inlineStr">
        <is>
          <t>yes</t>
        </is>
      </c>
      <c r="D1203"/>
      <c r="E1203"/>
      <c r="F1203"/>
      <c r="G1203" t="inlineStr">
        <is>
          <t>HLB/charge heuristic</t>
        </is>
      </c>
      <c r="H1203" t="inlineStr">
        <is>
          <t>S007_EXCIPIENTS_HANDBOOK</t>
        </is>
      </c>
      <c r="I1203" t="inlineStr">
        <is>
          <t>curated</t>
        </is>
      </c>
      <c r="J1203">
        <v>0.7</v>
      </c>
      <c r="K1203"/>
    </row>
    <row r="1204">
      <c r="A1204" t="inlineStr">
        <is>
          <t>SURF_BRIJ_58</t>
        </is>
      </c>
      <c r="B1204" t="inlineStr">
        <is>
          <t>vesicle_anchor_flag</t>
        </is>
      </c>
      <c r="C1204" t="inlineStr">
        <is>
          <t>weak/conditional</t>
        </is>
      </c>
      <c r="D1204"/>
      <c r="E1204"/>
      <c r="F1204"/>
      <c r="G1204" t="inlineStr">
        <is>
          <t>chain-length and HLB heuristic</t>
        </is>
      </c>
      <c r="H1204" t="inlineStr">
        <is>
          <t>S007_EXCIPIENTS_HANDBOOK</t>
        </is>
      </c>
      <c r="I1204" t="inlineStr">
        <is>
          <t>curated</t>
        </is>
      </c>
      <c r="J1204">
        <v>0.7</v>
      </c>
      <c r="K1204"/>
    </row>
    <row r="1205">
      <c r="A1205" t="inlineStr">
        <is>
          <t>SURF_BRIJ_58</t>
        </is>
      </c>
      <c r="B1205" t="inlineStr">
        <is>
          <t>micellization_risk_flag</t>
        </is>
      </c>
      <c r="C1205" t="inlineStr">
        <is>
          <t>high</t>
        </is>
      </c>
      <c r="D1205"/>
      <c r="E1205"/>
      <c r="F1205"/>
      <c r="G1205" t="inlineStr">
        <is>
          <t>HLB heuristic</t>
        </is>
      </c>
      <c r="H1205" t="inlineStr">
        <is>
          <t>S007_EXCIPIENTS_HANDBOOK</t>
        </is>
      </c>
      <c r="I1205" t="inlineStr">
        <is>
          <t>curated</t>
        </is>
      </c>
      <c r="J1205">
        <v>0.65</v>
      </c>
      <c r="K1205"/>
    </row>
    <row r="1206">
      <c r="A1206" t="inlineStr">
        <is>
          <t>SURF_BRIJ_58</t>
        </is>
      </c>
      <c r="B1206" t="inlineStr">
        <is>
          <t>route_suitability</t>
        </is>
      </c>
      <c r="C1206" t="inlineStr">
        <is>
          <t>oral/topical; parenteral/inhalation only if grade and safety justified</t>
        </is>
      </c>
      <c r="D1206"/>
      <c r="E1206"/>
      <c r="F1206"/>
      <c r="G1206" t="inlineStr">
        <is>
          <t>route precedent heuristic</t>
        </is>
      </c>
      <c r="H1206" t="inlineStr">
        <is>
          <t>S008_FDA_IID</t>
        </is>
      </c>
      <c r="I1206" t="inlineStr">
        <is>
          <t>curated</t>
        </is>
      </c>
      <c r="J1206">
        <v>0.55</v>
      </c>
      <c r="K1206"/>
    </row>
    <row r="1207">
      <c r="A1207" t="inlineStr">
        <is>
          <t>SURF_BRIJ_58</t>
        </is>
      </c>
      <c r="B1207" t="inlineStr">
        <is>
          <t>toxicity_or_irritancy_notes</t>
        </is>
      </c>
      <c r="C1207" t="inlineStr">
        <is>
          <t>surfactant irritation/hemolysis is concentration-, route-, and grade-dependent; screen cytotoxicity and osmolality</t>
        </is>
      </c>
      <c r="D1207"/>
      <c r="E1207"/>
      <c r="F1207"/>
      <c r="G1207"/>
      <c r="H1207" t="inlineStr">
        <is>
          <t>S007_EXCIPIENTS_HANDBOOK</t>
        </is>
      </c>
      <c r="I1207" t="inlineStr">
        <is>
          <t>curated</t>
        </is>
      </c>
      <c r="J1207">
        <v>0.7</v>
      </c>
      <c r="K1207"/>
    </row>
    <row r="1208">
      <c r="A1208" t="inlineStr">
        <is>
          <t>SURF_BRIJ_58</t>
        </is>
      </c>
      <c r="B1208" t="inlineStr">
        <is>
          <t>Hansen_delta_D</t>
        </is>
      </c>
      <c r="C1208">
        <v>17.2</v>
      </c>
      <c r="D1208" t="inlineStr">
        <is>
          <t>MPa^0.5</t>
        </is>
      </c>
      <c r="E1208"/>
      <c r="F1208"/>
      <c r="G1208" t="inlineStr">
        <is>
          <t>heuristic group-contribution/nearest-neighbour</t>
        </is>
      </c>
      <c r="H1208" t="inlineStr">
        <is>
          <t>S013_EST_HSP_HEURISTIC</t>
        </is>
      </c>
      <c r="I1208" t="inlineStr">
        <is>
          <t>estimated</t>
        </is>
      </c>
      <c r="J1208">
        <v>0.4</v>
      </c>
      <c r="K1208" t="inlineStr">
        <is>
          <t>Provisional HSP for screening; replace with experimental/literature value before model lock.</t>
        </is>
      </c>
    </row>
    <row r="1209">
      <c r="A1209" t="inlineStr">
        <is>
          <t>SURF_BRIJ_58</t>
        </is>
      </c>
      <c r="B1209" t="inlineStr">
        <is>
          <t>Hansen_delta_P</t>
        </is>
      </c>
      <c r="C1209">
        <v>8.5</v>
      </c>
      <c r="D1209" t="inlineStr">
        <is>
          <t>MPa^0.5</t>
        </is>
      </c>
      <c r="E1209"/>
      <c r="F1209"/>
      <c r="G1209" t="inlineStr">
        <is>
          <t>heuristic group-contribution/nearest-neighbour</t>
        </is>
      </c>
      <c r="H1209" t="inlineStr">
        <is>
          <t>S013_EST_HSP_HEURISTIC</t>
        </is>
      </c>
      <c r="I1209" t="inlineStr">
        <is>
          <t>estimated</t>
        </is>
      </c>
      <c r="J1209">
        <v>0.4</v>
      </c>
      <c r="K1209" t="inlineStr">
        <is>
          <t>Provisional HSP for screening; replace with experimental/literature value before model lock.</t>
        </is>
      </c>
    </row>
    <row r="1210">
      <c r="A1210" t="inlineStr">
        <is>
          <t>SURF_BRIJ_58</t>
        </is>
      </c>
      <c r="B1210" t="inlineStr">
        <is>
          <t>Hansen_delta_H</t>
        </is>
      </c>
      <c r="C1210">
        <v>14.0</v>
      </c>
      <c r="D1210" t="inlineStr">
        <is>
          <t>MPa^0.5</t>
        </is>
      </c>
      <c r="E1210"/>
      <c r="F1210"/>
      <c r="G1210" t="inlineStr">
        <is>
          <t>heuristic group-contribution/nearest-neighbour</t>
        </is>
      </c>
      <c r="H1210" t="inlineStr">
        <is>
          <t>S013_EST_HSP_HEURISTIC</t>
        </is>
      </c>
      <c r="I1210" t="inlineStr">
        <is>
          <t>estimated</t>
        </is>
      </c>
      <c r="J1210">
        <v>0.4</v>
      </c>
      <c r="K1210" t="inlineStr">
        <is>
          <t>Provisional HSP for screening; replace with experimental/literature value before model lock.</t>
        </is>
      </c>
    </row>
    <row r="1211">
      <c r="A1211" t="inlineStr">
        <is>
          <t>SURF_BRIJ_58</t>
        </is>
      </c>
      <c r="B1211" t="inlineStr">
        <is>
          <t>Hildebrand_delta_T</t>
        </is>
      </c>
      <c r="C1211">
        <v>23.75</v>
      </c>
      <c r="D1211" t="inlineStr">
        <is>
          <t>MPa^0.5</t>
        </is>
      </c>
      <c r="E1211"/>
      <c r="F1211"/>
      <c r="G1211" t="inlineStr">
        <is>
          <t>sqrt(deltaD^2+deltaP^2+deltaH^2)</t>
        </is>
      </c>
      <c r="H1211" t="inlineStr">
        <is>
          <t>S012_CALCULATED</t>
        </is>
      </c>
      <c r="I1211" t="inlineStr">
        <is>
          <t>calculated</t>
        </is>
      </c>
      <c r="J1211">
        <v>0.45</v>
      </c>
      <c r="K1211" t="inlineStr">
        <is>
          <t>Derived from stored Hansen components.</t>
        </is>
      </c>
    </row>
    <row r="1212">
      <c r="A1212" t="inlineStr">
        <is>
          <t>SURF_BRIJ_58</t>
        </is>
      </c>
      <c r="B1212" t="inlineStr">
        <is>
          <t>HSP_radius_R0</t>
        </is>
      </c>
      <c r="C1212">
        <v>9.0</v>
      </c>
      <c r="D1212" t="inlineStr">
        <is>
          <t>MPa^0.5</t>
        </is>
      </c>
      <c r="E1212"/>
      <c r="F1212"/>
      <c r="G1212" t="inlineStr">
        <is>
          <t>literature/heuristic solubility sphere</t>
        </is>
      </c>
      <c r="H1212" t="inlineStr">
        <is>
          <t>S013_EST_HSP_HEURISTIC</t>
        </is>
      </c>
      <c r="I1212" t="inlineStr">
        <is>
          <t>estimated</t>
        </is>
      </c>
      <c r="J1212">
        <v>0.4</v>
      </c>
      <c r="K1212" t="inlineStr">
        <is>
          <t>Screening radius only unless experimentally determined.</t>
        </is>
      </c>
    </row>
    <row r="1213">
      <c r="A1213" t="inlineStr">
        <is>
          <t>SURF_BRIJ_58</t>
        </is>
      </c>
      <c r="B1213" t="inlineStr">
        <is>
          <t>molar_volume_cm3_mol</t>
        </is>
      </c>
      <c r="C1213">
        <v>1068.57</v>
      </c>
      <c r="D1213" t="inlineStr">
        <is>
          <t>cm3/mol</t>
        </is>
      </c>
      <c r="E1213"/>
      <c r="F1213"/>
      <c r="G1213" t="inlineStr">
        <is>
          <t>MW/density estimate</t>
        </is>
      </c>
      <c r="H1213" t="inlineStr">
        <is>
          <t>S012_CALCULATED</t>
        </is>
      </c>
      <c r="I1213" t="inlineStr">
        <is>
          <t>estimated</t>
        </is>
      </c>
      <c r="J1213">
        <v>0.42</v>
      </c>
      <c r="K1213" t="inlineStr">
        <is>
          <t>Estimated from MW/density; replace with measured molar volume or density-specific grade data.</t>
        </is>
      </c>
    </row>
    <row r="1214">
      <c r="A1214" t="inlineStr">
        <is>
          <t>SURF_BRIJ_58</t>
        </is>
      </c>
      <c r="B1214" t="inlineStr">
        <is>
          <t>headgroup_area_nm2</t>
        </is>
      </c>
      <c r="C1214">
        <v>0.713</v>
      </c>
      <c r="D1214" t="inlineStr">
        <is>
          <t>nm2</t>
        </is>
      </c>
      <c r="E1214"/>
      <c r="F1214"/>
      <c r="G1214" t="inlineStr">
        <is>
          <t>CPP screening heuristic</t>
        </is>
      </c>
      <c r="H1214" t="inlineStr">
        <is>
          <t>S013_EST_HSP_HEURISTIC</t>
        </is>
      </c>
      <c r="I1214" t="inlineStr">
        <is>
          <t>estimated</t>
        </is>
      </c>
      <c r="J1214">
        <v>0.35</v>
      </c>
      <c r="K1214" t="inlineStr">
        <is>
          <t>Replace with monolayer or MD-derived area per molecule for publication-grade CPP.</t>
        </is>
      </c>
    </row>
    <row r="1215">
      <c r="A1215" t="inlineStr">
        <is>
          <t>SURF_BRIJ_72</t>
        </is>
      </c>
      <c r="B1215" t="inlineStr">
        <is>
          <t>molecular_weight_g_mol</t>
        </is>
      </c>
      <c r="C1215">
        <v>358</v>
      </c>
      <c r="D1215" t="inlineStr">
        <is>
          <t>g/mol</t>
        </is>
      </c>
      <c r="E1215"/>
      <c r="F1215"/>
      <c r="G1215" t="inlineStr">
        <is>
          <t>supplier/handbook average for mixtures</t>
        </is>
      </c>
      <c r="H1215" t="inlineStr">
        <is>
          <t>S007_EXCIPIENTS_HANDBOOK</t>
        </is>
      </c>
      <c r="I1215" t="inlineStr">
        <is>
          <t>supplier-reported</t>
        </is>
      </c>
      <c r="J1215">
        <v>0.65</v>
      </c>
      <c r="K1215"/>
    </row>
    <row r="1216">
      <c r="A1216" t="inlineStr">
        <is>
          <t>SURF_BRIJ_72</t>
        </is>
      </c>
      <c r="B1216" t="inlineStr">
        <is>
          <t>HLB</t>
        </is>
      </c>
      <c r="C1216">
        <v>4.9</v>
      </c>
      <c r="D1216" t="inlineStr">
        <is>
          <t>HLB</t>
        </is>
      </c>
      <c r="E1216"/>
      <c r="F1216"/>
      <c r="G1216" t="inlineStr">
        <is>
          <t>Griffin/Davies HLB literature/supplier value</t>
        </is>
      </c>
      <c r="H1216" t="inlineStr">
        <is>
          <t>S007_EXCIPIENTS_HANDBOOK</t>
        </is>
      </c>
      <c r="I1216" t="inlineStr">
        <is>
          <t>supplier-reported</t>
        </is>
      </c>
      <c r="J1216">
        <v>0.75</v>
      </c>
      <c r="K1216" t="inlineStr">
        <is>
          <t>Grade-dependent; use supplier CoA when available.</t>
        </is>
      </c>
    </row>
    <row r="1217">
      <c r="A1217" t="inlineStr">
        <is>
          <t>SURF_BRIJ_72</t>
        </is>
      </c>
      <c r="B1217" t="inlineStr">
        <is>
          <t>headgroup_type</t>
        </is>
      </c>
      <c r="C1217" t="inlineStr">
        <is>
          <t>polyoxyethylene fatty alcohol</t>
        </is>
      </c>
      <c r="D1217"/>
      <c r="E1217"/>
      <c r="F1217"/>
      <c r="G1217" t="inlineStr">
        <is>
          <t>manual class annotation</t>
        </is>
      </c>
      <c r="H1217" t="inlineStr">
        <is>
          <t>S007_EXCIPIENTS_HANDBOOK</t>
        </is>
      </c>
      <c r="I1217" t="inlineStr">
        <is>
          <t>curated</t>
        </is>
      </c>
      <c r="J1217">
        <v>0.75</v>
      </c>
      <c r="K1217"/>
    </row>
    <row r="1218">
      <c r="A1218" t="inlineStr">
        <is>
          <t>SURF_BRIJ_72</t>
        </is>
      </c>
      <c r="B1218" t="inlineStr">
        <is>
          <t>tail_chain</t>
        </is>
      </c>
      <c r="C1218" t="inlineStr">
        <is>
          <t>C18:0 stearyl + EO2</t>
        </is>
      </c>
      <c r="D1218"/>
      <c r="E1218"/>
      <c r="F1218"/>
      <c r="G1218" t="inlineStr">
        <is>
          <t>fatty-chain annotation</t>
        </is>
      </c>
      <c r="H1218" t="inlineStr">
        <is>
          <t>S007_EXCIPIENTS_HANDBOOK</t>
        </is>
      </c>
      <c r="I1218" t="inlineStr">
        <is>
          <t>curated</t>
        </is>
      </c>
      <c r="J1218">
        <v>0.8</v>
      </c>
      <c r="K1218"/>
    </row>
    <row r="1219">
      <c r="A1219" t="inlineStr">
        <is>
          <t>SURF_BRIJ_72</t>
        </is>
      </c>
      <c r="B1219" t="inlineStr">
        <is>
          <t>tail_carbons</t>
        </is>
      </c>
      <c r="C1219">
        <v>18</v>
      </c>
      <c r="D1219" t="inlineStr">
        <is>
          <t>count</t>
        </is>
      </c>
      <c r="E1219"/>
      <c r="F1219"/>
      <c r="G1219" t="inlineStr">
        <is>
          <t>fatty-chain annotation</t>
        </is>
      </c>
      <c r="H1219" t="inlineStr">
        <is>
          <t>S007_EXCIPIENTS_HANDBOOK</t>
        </is>
      </c>
      <c r="I1219" t="inlineStr">
        <is>
          <t>curated</t>
        </is>
      </c>
      <c r="J1219">
        <v>0.8</v>
      </c>
      <c r="K1219"/>
    </row>
    <row r="1220">
      <c r="A1220" t="inlineStr">
        <is>
          <t>SURF_BRIJ_72</t>
        </is>
      </c>
      <c r="B1220" t="inlineStr">
        <is>
          <t>tail_unsaturation</t>
        </is>
      </c>
      <c r="C1220">
        <v>0</v>
      </c>
      <c r="D1220" t="inlineStr">
        <is>
          <t>double_bonds</t>
        </is>
      </c>
      <c r="E1220"/>
      <c r="F1220"/>
      <c r="G1220" t="inlineStr">
        <is>
          <t>fatty-chain annotation</t>
        </is>
      </c>
      <c r="H1220" t="inlineStr">
        <is>
          <t>S007_EXCIPIENTS_HANDBOOK</t>
        </is>
      </c>
      <c r="I1220" t="inlineStr">
        <is>
          <t>curated</t>
        </is>
      </c>
      <c r="J1220">
        <v>0.8</v>
      </c>
      <c r="K1220"/>
    </row>
    <row r="1221">
      <c r="A1221" t="inlineStr">
        <is>
          <t>SURF_BRIJ_72</t>
        </is>
      </c>
      <c r="B1221" t="inlineStr">
        <is>
          <t>number_of_tails</t>
        </is>
      </c>
      <c r="C1221">
        <v>1</v>
      </c>
      <c r="D1221" t="inlineStr">
        <is>
          <t>count</t>
        </is>
      </c>
      <c r="E1221"/>
      <c r="F1221"/>
      <c r="G1221" t="inlineStr">
        <is>
          <t>fatty-chain annotation</t>
        </is>
      </c>
      <c r="H1221" t="inlineStr">
        <is>
          <t>S007_EXCIPIENTS_HANDBOOK</t>
        </is>
      </c>
      <c r="I1221" t="inlineStr">
        <is>
          <t>curated</t>
        </is>
      </c>
      <c r="J1221">
        <v>0.8</v>
      </c>
      <c r="K1221"/>
    </row>
    <row r="1222">
      <c r="A1222" t="inlineStr">
        <is>
          <t>SURF_BRIJ_72</t>
        </is>
      </c>
      <c r="B1222" t="inlineStr">
        <is>
          <t>charge_type</t>
        </is>
      </c>
      <c r="C1222" t="inlineStr">
        <is>
          <t>nonionic</t>
        </is>
      </c>
      <c r="D1222"/>
      <c r="E1222"/>
      <c r="F1222"/>
      <c r="G1222" t="inlineStr">
        <is>
          <t>ionization class</t>
        </is>
      </c>
      <c r="H1222" t="inlineStr">
        <is>
          <t>S007_EXCIPIENTS_HANDBOOK</t>
        </is>
      </c>
      <c r="I1222" t="inlineStr">
        <is>
          <t>curated</t>
        </is>
      </c>
      <c r="J1222">
        <v>0.85</v>
      </c>
      <c r="K1222"/>
    </row>
    <row r="1223">
      <c r="A1223" t="inlineStr">
        <is>
          <t>SURF_BRIJ_72</t>
        </is>
      </c>
      <c r="B1223" t="inlineStr">
        <is>
          <t>formal_charge</t>
        </is>
      </c>
      <c r="C1223">
        <v>0</v>
      </c>
      <c r="D1223" t="inlineStr">
        <is>
          <t>e</t>
        </is>
      </c>
      <c r="E1223"/>
      <c r="F1223"/>
      <c r="G1223" t="inlineStr">
        <is>
          <t>nominal at neutral pH</t>
        </is>
      </c>
      <c r="H1223" t="inlineStr">
        <is>
          <t>S007_EXCIPIENTS_HANDBOOK</t>
        </is>
      </c>
      <c r="I1223" t="inlineStr">
        <is>
          <t>curated</t>
        </is>
      </c>
      <c r="J1223">
        <v>0.85</v>
      </c>
      <c r="K1223"/>
    </row>
    <row r="1224">
      <c r="A1224" t="inlineStr">
        <is>
          <t>SURF_BRIJ_72</t>
        </is>
      </c>
      <c r="B1224" t="inlineStr">
        <is>
          <t>packing_role</t>
        </is>
      </c>
      <c r="C1224" t="inlineStr">
        <is>
          <t>vesicle bilayer former</t>
        </is>
      </c>
      <c r="D1224"/>
      <c r="E1224"/>
      <c r="F1224"/>
      <c r="G1224" t="inlineStr">
        <is>
          <t>HLB/chain-rule heuristic</t>
        </is>
      </c>
      <c r="H1224" t="inlineStr">
        <is>
          <t>S007_EXCIPIENTS_HANDBOOK</t>
        </is>
      </c>
      <c r="I1224" t="inlineStr">
        <is>
          <t>curated</t>
        </is>
      </c>
      <c r="J1224">
        <v>0.65</v>
      </c>
      <c r="K1224"/>
    </row>
    <row r="1225">
      <c r="A1225" t="inlineStr">
        <is>
          <t>SURF_BRIJ_72</t>
        </is>
      </c>
      <c r="B1225" t="inlineStr">
        <is>
          <t>edge_activator_flag</t>
        </is>
      </c>
      <c r="C1225" t="inlineStr">
        <is>
          <t>conditional</t>
        </is>
      </c>
      <c r="D1225"/>
      <c r="E1225"/>
      <c r="F1225"/>
      <c r="G1225" t="inlineStr">
        <is>
          <t>HLB/charge heuristic</t>
        </is>
      </c>
      <c r="H1225" t="inlineStr">
        <is>
          <t>S007_EXCIPIENTS_HANDBOOK</t>
        </is>
      </c>
      <c r="I1225" t="inlineStr">
        <is>
          <t>curated</t>
        </is>
      </c>
      <c r="J1225">
        <v>0.7</v>
      </c>
      <c r="K1225"/>
    </row>
    <row r="1226">
      <c r="A1226" t="inlineStr">
        <is>
          <t>SURF_BRIJ_72</t>
        </is>
      </c>
      <c r="B1226" t="inlineStr">
        <is>
          <t>vesicle_anchor_flag</t>
        </is>
      </c>
      <c r="C1226" t="inlineStr">
        <is>
          <t>yes</t>
        </is>
      </c>
      <c r="D1226"/>
      <c r="E1226"/>
      <c r="F1226"/>
      <c r="G1226" t="inlineStr">
        <is>
          <t>chain-length and HLB heuristic</t>
        </is>
      </c>
      <c r="H1226" t="inlineStr">
        <is>
          <t>S007_EXCIPIENTS_HANDBOOK</t>
        </is>
      </c>
      <c r="I1226" t="inlineStr">
        <is>
          <t>curated</t>
        </is>
      </c>
      <c r="J1226">
        <v>0.7</v>
      </c>
      <c r="K1226"/>
    </row>
    <row r="1227">
      <c r="A1227" t="inlineStr">
        <is>
          <t>SURF_BRIJ_72</t>
        </is>
      </c>
      <c r="B1227" t="inlineStr">
        <is>
          <t>micellization_risk_flag</t>
        </is>
      </c>
      <c r="C1227" t="inlineStr">
        <is>
          <t>low-to-moderate</t>
        </is>
      </c>
      <c r="D1227"/>
      <c r="E1227"/>
      <c r="F1227"/>
      <c r="G1227" t="inlineStr">
        <is>
          <t>HLB heuristic</t>
        </is>
      </c>
      <c r="H1227" t="inlineStr">
        <is>
          <t>S007_EXCIPIENTS_HANDBOOK</t>
        </is>
      </c>
      <c r="I1227" t="inlineStr">
        <is>
          <t>curated</t>
        </is>
      </c>
      <c r="J1227">
        <v>0.65</v>
      </c>
      <c r="K1227"/>
    </row>
    <row r="1228">
      <c r="A1228" t="inlineStr">
        <is>
          <t>SURF_BRIJ_72</t>
        </is>
      </c>
      <c r="B1228" t="inlineStr">
        <is>
          <t>route_suitability</t>
        </is>
      </c>
      <c r="C1228" t="inlineStr">
        <is>
          <t>oral/topical; parenteral/inhalation only if grade and safety justified</t>
        </is>
      </c>
      <c r="D1228"/>
      <c r="E1228"/>
      <c r="F1228"/>
      <c r="G1228" t="inlineStr">
        <is>
          <t>route precedent heuristic</t>
        </is>
      </c>
      <c r="H1228" t="inlineStr">
        <is>
          <t>S008_FDA_IID</t>
        </is>
      </c>
      <c r="I1228" t="inlineStr">
        <is>
          <t>curated</t>
        </is>
      </c>
      <c r="J1228">
        <v>0.55</v>
      </c>
      <c r="K1228"/>
    </row>
    <row r="1229">
      <c r="A1229" t="inlineStr">
        <is>
          <t>SURF_BRIJ_72</t>
        </is>
      </c>
      <c r="B1229" t="inlineStr">
        <is>
          <t>toxicity_or_irritancy_notes</t>
        </is>
      </c>
      <c r="C1229" t="inlineStr">
        <is>
          <t>surfactant irritation/hemolysis is concentration-, route-, and grade-dependent; screen cytotoxicity and osmolality</t>
        </is>
      </c>
      <c r="D1229"/>
      <c r="E1229"/>
      <c r="F1229"/>
      <c r="G1229"/>
      <c r="H1229" t="inlineStr">
        <is>
          <t>S007_EXCIPIENTS_HANDBOOK</t>
        </is>
      </c>
      <c r="I1229" t="inlineStr">
        <is>
          <t>curated</t>
        </is>
      </c>
      <c r="J1229">
        <v>0.7</v>
      </c>
      <c r="K1229"/>
    </row>
    <row r="1230">
      <c r="A1230" t="inlineStr">
        <is>
          <t>SURF_BRIJ_72</t>
        </is>
      </c>
      <c r="B1230" t="inlineStr">
        <is>
          <t>Hansen_delta_D</t>
        </is>
      </c>
      <c r="C1230">
        <v>17.0</v>
      </c>
      <c r="D1230" t="inlineStr">
        <is>
          <t>MPa^0.5</t>
        </is>
      </c>
      <c r="E1230"/>
      <c r="F1230"/>
      <c r="G1230" t="inlineStr">
        <is>
          <t>heuristic group-contribution/nearest-neighbour</t>
        </is>
      </c>
      <c r="H1230" t="inlineStr">
        <is>
          <t>S013_EST_HSP_HEURISTIC</t>
        </is>
      </c>
      <c r="I1230" t="inlineStr">
        <is>
          <t>estimated</t>
        </is>
      </c>
      <c r="J1230">
        <v>0.4</v>
      </c>
      <c r="K1230" t="inlineStr">
        <is>
          <t>Provisional HSP for screening; replace with experimental/literature value before model lock.</t>
        </is>
      </c>
    </row>
    <row r="1231">
      <c r="A1231" t="inlineStr">
        <is>
          <t>SURF_BRIJ_72</t>
        </is>
      </c>
      <c r="B1231" t="inlineStr">
        <is>
          <t>Hansen_delta_P</t>
        </is>
      </c>
      <c r="C1231">
        <v>4.0</v>
      </c>
      <c r="D1231" t="inlineStr">
        <is>
          <t>MPa^0.5</t>
        </is>
      </c>
      <c r="E1231"/>
      <c r="F1231"/>
      <c r="G1231" t="inlineStr">
        <is>
          <t>heuristic group-contribution/nearest-neighbour</t>
        </is>
      </c>
      <c r="H1231" t="inlineStr">
        <is>
          <t>S013_EST_HSP_HEURISTIC</t>
        </is>
      </c>
      <c r="I1231" t="inlineStr">
        <is>
          <t>estimated</t>
        </is>
      </c>
      <c r="J1231">
        <v>0.4</v>
      </c>
      <c r="K1231" t="inlineStr">
        <is>
          <t>Provisional HSP for screening; replace with experimental/literature value before model lock.</t>
        </is>
      </c>
    </row>
    <row r="1232">
      <c r="A1232" t="inlineStr">
        <is>
          <t>SURF_BRIJ_72</t>
        </is>
      </c>
      <c r="B1232" t="inlineStr">
        <is>
          <t>Hansen_delta_H</t>
        </is>
      </c>
      <c r="C1232">
        <v>7.0</v>
      </c>
      <c r="D1232" t="inlineStr">
        <is>
          <t>MPa^0.5</t>
        </is>
      </c>
      <c r="E1232"/>
      <c r="F1232"/>
      <c r="G1232" t="inlineStr">
        <is>
          <t>heuristic group-contribution/nearest-neighbour</t>
        </is>
      </c>
      <c r="H1232" t="inlineStr">
        <is>
          <t>S013_EST_HSP_HEURISTIC</t>
        </is>
      </c>
      <c r="I1232" t="inlineStr">
        <is>
          <t>estimated</t>
        </is>
      </c>
      <c r="J1232">
        <v>0.4</v>
      </c>
      <c r="K1232" t="inlineStr">
        <is>
          <t>Provisional HSP for screening; replace with experimental/literature value before model lock.</t>
        </is>
      </c>
    </row>
    <row r="1233">
      <c r="A1233" t="inlineStr">
        <is>
          <t>SURF_BRIJ_72</t>
        </is>
      </c>
      <c r="B1233" t="inlineStr">
        <is>
          <t>Hildebrand_delta_T</t>
        </is>
      </c>
      <c r="C1233">
        <v>18.81</v>
      </c>
      <c r="D1233" t="inlineStr">
        <is>
          <t>MPa^0.5</t>
        </is>
      </c>
      <c r="E1233"/>
      <c r="F1233"/>
      <c r="G1233" t="inlineStr">
        <is>
          <t>sqrt(deltaD^2+deltaP^2+deltaH^2)</t>
        </is>
      </c>
      <c r="H1233" t="inlineStr">
        <is>
          <t>S012_CALCULATED</t>
        </is>
      </c>
      <c r="I1233" t="inlineStr">
        <is>
          <t>calculated</t>
        </is>
      </c>
      <c r="J1233">
        <v>0.45</v>
      </c>
      <c r="K1233" t="inlineStr">
        <is>
          <t>Derived from stored Hansen components.</t>
        </is>
      </c>
    </row>
    <row r="1234">
      <c r="A1234" t="inlineStr">
        <is>
          <t>SURF_BRIJ_72</t>
        </is>
      </c>
      <c r="B1234" t="inlineStr">
        <is>
          <t>HSP_radius_R0</t>
        </is>
      </c>
      <c r="C1234">
        <v>7.0</v>
      </c>
      <c r="D1234" t="inlineStr">
        <is>
          <t>MPa^0.5</t>
        </is>
      </c>
      <c r="E1234"/>
      <c r="F1234"/>
      <c r="G1234" t="inlineStr">
        <is>
          <t>literature/heuristic solubility sphere</t>
        </is>
      </c>
      <c r="H1234" t="inlineStr">
        <is>
          <t>S013_EST_HSP_HEURISTIC</t>
        </is>
      </c>
      <c r="I1234" t="inlineStr">
        <is>
          <t>estimated</t>
        </is>
      </c>
      <c r="J1234">
        <v>0.4</v>
      </c>
      <c r="K1234" t="inlineStr">
        <is>
          <t>Screening radius only unless experimentally determined.</t>
        </is>
      </c>
    </row>
    <row r="1235">
      <c r="A1235" t="inlineStr">
        <is>
          <t>SURF_BRIJ_72</t>
        </is>
      </c>
      <c r="B1235" t="inlineStr">
        <is>
          <t>molar_volume_cm3_mol</t>
        </is>
      </c>
      <c r="C1235">
        <v>365.31</v>
      </c>
      <c r="D1235" t="inlineStr">
        <is>
          <t>cm3/mol</t>
        </is>
      </c>
      <c r="E1235"/>
      <c r="F1235"/>
      <c r="G1235" t="inlineStr">
        <is>
          <t>MW/density estimate</t>
        </is>
      </c>
      <c r="H1235" t="inlineStr">
        <is>
          <t>S012_CALCULATED</t>
        </is>
      </c>
      <c r="I1235" t="inlineStr">
        <is>
          <t>estimated</t>
        </is>
      </c>
      <c r="J1235">
        <v>0.42</v>
      </c>
      <c r="K1235" t="inlineStr">
        <is>
          <t>Estimated from MW/density; replace with measured molar volume or density-specific grade data.</t>
        </is>
      </c>
    </row>
    <row r="1236">
      <c r="A1236" t="inlineStr">
        <is>
          <t>SURF_BRIJ_72</t>
        </is>
      </c>
      <c r="B1236" t="inlineStr">
        <is>
          <t>headgroup_area_nm2</t>
        </is>
      </c>
      <c r="C1236">
        <v>0.518</v>
      </c>
      <c r="D1236" t="inlineStr">
        <is>
          <t>nm2</t>
        </is>
      </c>
      <c r="E1236"/>
      <c r="F1236"/>
      <c r="G1236" t="inlineStr">
        <is>
          <t>CPP screening heuristic</t>
        </is>
      </c>
      <c r="H1236" t="inlineStr">
        <is>
          <t>S013_EST_HSP_HEURISTIC</t>
        </is>
      </c>
      <c r="I1236" t="inlineStr">
        <is>
          <t>estimated</t>
        </is>
      </c>
      <c r="J1236">
        <v>0.35</v>
      </c>
      <c r="K1236" t="inlineStr">
        <is>
          <t>Replace with monolayer or MD-derived area per molecule for publication-grade CPP.</t>
        </is>
      </c>
    </row>
    <row r="1237">
      <c r="A1237" t="inlineStr">
        <is>
          <t>SURF_BRIJ_76</t>
        </is>
      </c>
      <c r="B1237" t="inlineStr">
        <is>
          <t>molecular_weight_g_mol</t>
        </is>
      </c>
      <c r="C1237">
        <v>710</v>
      </c>
      <c r="D1237" t="inlineStr">
        <is>
          <t>g/mol</t>
        </is>
      </c>
      <c r="E1237"/>
      <c r="F1237"/>
      <c r="G1237" t="inlineStr">
        <is>
          <t>supplier/handbook average for mixtures</t>
        </is>
      </c>
      <c r="H1237" t="inlineStr">
        <is>
          <t>S007_EXCIPIENTS_HANDBOOK</t>
        </is>
      </c>
      <c r="I1237" t="inlineStr">
        <is>
          <t>supplier-reported</t>
        </is>
      </c>
      <c r="J1237">
        <v>0.65</v>
      </c>
      <c r="K1237"/>
    </row>
    <row r="1238">
      <c r="A1238" t="inlineStr">
        <is>
          <t>SURF_BRIJ_76</t>
        </is>
      </c>
      <c r="B1238" t="inlineStr">
        <is>
          <t>HLB</t>
        </is>
      </c>
      <c r="C1238">
        <v>12.4</v>
      </c>
      <c r="D1238" t="inlineStr">
        <is>
          <t>HLB</t>
        </is>
      </c>
      <c r="E1238"/>
      <c r="F1238"/>
      <c r="G1238" t="inlineStr">
        <is>
          <t>Griffin/Davies HLB literature/supplier value</t>
        </is>
      </c>
      <c r="H1238" t="inlineStr">
        <is>
          <t>S007_EXCIPIENTS_HANDBOOK</t>
        </is>
      </c>
      <c r="I1238" t="inlineStr">
        <is>
          <t>supplier-reported</t>
        </is>
      </c>
      <c r="J1238">
        <v>0.75</v>
      </c>
      <c r="K1238" t="inlineStr">
        <is>
          <t>Grade-dependent; use supplier CoA when available.</t>
        </is>
      </c>
    </row>
    <row r="1239">
      <c r="A1239" t="inlineStr">
        <is>
          <t>SURF_BRIJ_76</t>
        </is>
      </c>
      <c r="B1239" t="inlineStr">
        <is>
          <t>headgroup_type</t>
        </is>
      </c>
      <c r="C1239" t="inlineStr">
        <is>
          <t>polyoxyethylene fatty alcohol</t>
        </is>
      </c>
      <c r="D1239"/>
      <c r="E1239"/>
      <c r="F1239"/>
      <c r="G1239" t="inlineStr">
        <is>
          <t>manual class annotation</t>
        </is>
      </c>
      <c r="H1239" t="inlineStr">
        <is>
          <t>S007_EXCIPIENTS_HANDBOOK</t>
        </is>
      </c>
      <c r="I1239" t="inlineStr">
        <is>
          <t>curated</t>
        </is>
      </c>
      <c r="J1239">
        <v>0.75</v>
      </c>
      <c r="K1239"/>
    </row>
    <row r="1240">
      <c r="A1240" t="inlineStr">
        <is>
          <t>SURF_BRIJ_76</t>
        </is>
      </c>
      <c r="B1240" t="inlineStr">
        <is>
          <t>tail_chain</t>
        </is>
      </c>
      <c r="C1240" t="inlineStr">
        <is>
          <t>C18:0 stearyl + EO10</t>
        </is>
      </c>
      <c r="D1240"/>
      <c r="E1240"/>
      <c r="F1240"/>
      <c r="G1240" t="inlineStr">
        <is>
          <t>fatty-chain annotation</t>
        </is>
      </c>
      <c r="H1240" t="inlineStr">
        <is>
          <t>S007_EXCIPIENTS_HANDBOOK</t>
        </is>
      </c>
      <c r="I1240" t="inlineStr">
        <is>
          <t>curated</t>
        </is>
      </c>
      <c r="J1240">
        <v>0.8</v>
      </c>
      <c r="K1240"/>
    </row>
    <row r="1241">
      <c r="A1241" t="inlineStr">
        <is>
          <t>SURF_BRIJ_76</t>
        </is>
      </c>
      <c r="B1241" t="inlineStr">
        <is>
          <t>tail_carbons</t>
        </is>
      </c>
      <c r="C1241">
        <v>18</v>
      </c>
      <c r="D1241" t="inlineStr">
        <is>
          <t>count</t>
        </is>
      </c>
      <c r="E1241"/>
      <c r="F1241"/>
      <c r="G1241" t="inlineStr">
        <is>
          <t>fatty-chain annotation</t>
        </is>
      </c>
      <c r="H1241" t="inlineStr">
        <is>
          <t>S007_EXCIPIENTS_HANDBOOK</t>
        </is>
      </c>
      <c r="I1241" t="inlineStr">
        <is>
          <t>curated</t>
        </is>
      </c>
      <c r="J1241">
        <v>0.8</v>
      </c>
      <c r="K1241"/>
    </row>
    <row r="1242">
      <c r="A1242" t="inlineStr">
        <is>
          <t>SURF_BRIJ_76</t>
        </is>
      </c>
      <c r="B1242" t="inlineStr">
        <is>
          <t>tail_unsaturation</t>
        </is>
      </c>
      <c r="C1242">
        <v>0</v>
      </c>
      <c r="D1242" t="inlineStr">
        <is>
          <t>double_bonds</t>
        </is>
      </c>
      <c r="E1242"/>
      <c r="F1242"/>
      <c r="G1242" t="inlineStr">
        <is>
          <t>fatty-chain annotation</t>
        </is>
      </c>
      <c r="H1242" t="inlineStr">
        <is>
          <t>S007_EXCIPIENTS_HANDBOOK</t>
        </is>
      </c>
      <c r="I1242" t="inlineStr">
        <is>
          <t>curated</t>
        </is>
      </c>
      <c r="J1242">
        <v>0.8</v>
      </c>
      <c r="K1242"/>
    </row>
    <row r="1243">
      <c r="A1243" t="inlineStr">
        <is>
          <t>SURF_BRIJ_76</t>
        </is>
      </c>
      <c r="B1243" t="inlineStr">
        <is>
          <t>number_of_tails</t>
        </is>
      </c>
      <c r="C1243">
        <v>1</v>
      </c>
      <c r="D1243" t="inlineStr">
        <is>
          <t>count</t>
        </is>
      </c>
      <c r="E1243"/>
      <c r="F1243"/>
      <c r="G1243" t="inlineStr">
        <is>
          <t>fatty-chain annotation</t>
        </is>
      </c>
      <c r="H1243" t="inlineStr">
        <is>
          <t>S007_EXCIPIENTS_HANDBOOK</t>
        </is>
      </c>
      <c r="I1243" t="inlineStr">
        <is>
          <t>curated</t>
        </is>
      </c>
      <c r="J1243">
        <v>0.8</v>
      </c>
      <c r="K1243"/>
    </row>
    <row r="1244">
      <c r="A1244" t="inlineStr">
        <is>
          <t>SURF_BRIJ_76</t>
        </is>
      </c>
      <c r="B1244" t="inlineStr">
        <is>
          <t>charge_type</t>
        </is>
      </c>
      <c r="C1244" t="inlineStr">
        <is>
          <t>nonionic</t>
        </is>
      </c>
      <c r="D1244"/>
      <c r="E1244"/>
      <c r="F1244"/>
      <c r="G1244" t="inlineStr">
        <is>
          <t>ionization class</t>
        </is>
      </c>
      <c r="H1244" t="inlineStr">
        <is>
          <t>S007_EXCIPIENTS_HANDBOOK</t>
        </is>
      </c>
      <c r="I1244" t="inlineStr">
        <is>
          <t>curated</t>
        </is>
      </c>
      <c r="J1244">
        <v>0.85</v>
      </c>
      <c r="K1244"/>
    </row>
    <row r="1245">
      <c r="A1245" t="inlineStr">
        <is>
          <t>SURF_BRIJ_76</t>
        </is>
      </c>
      <c r="B1245" t="inlineStr">
        <is>
          <t>formal_charge</t>
        </is>
      </c>
      <c r="C1245">
        <v>0</v>
      </c>
      <c r="D1245" t="inlineStr">
        <is>
          <t>e</t>
        </is>
      </c>
      <c r="E1245"/>
      <c r="F1245"/>
      <c r="G1245" t="inlineStr">
        <is>
          <t>nominal at neutral pH</t>
        </is>
      </c>
      <c r="H1245" t="inlineStr">
        <is>
          <t>S007_EXCIPIENTS_HANDBOOK</t>
        </is>
      </c>
      <c r="I1245" t="inlineStr">
        <is>
          <t>curated</t>
        </is>
      </c>
      <c r="J1245">
        <v>0.85</v>
      </c>
      <c r="K1245"/>
    </row>
    <row r="1246">
      <c r="A1246" t="inlineStr">
        <is>
          <t>SURF_BRIJ_76</t>
        </is>
      </c>
      <c r="B1246" t="inlineStr">
        <is>
          <t>packing_role</t>
        </is>
      </c>
      <c r="C1246" t="inlineStr">
        <is>
          <t>edge activator / micellar solubilizer</t>
        </is>
      </c>
      <c r="D1246"/>
      <c r="E1246"/>
      <c r="F1246"/>
      <c r="G1246" t="inlineStr">
        <is>
          <t>HLB/chain-rule heuristic</t>
        </is>
      </c>
      <c r="H1246" t="inlineStr">
        <is>
          <t>S007_EXCIPIENTS_HANDBOOK</t>
        </is>
      </c>
      <c r="I1246" t="inlineStr">
        <is>
          <t>curated</t>
        </is>
      </c>
      <c r="J1246">
        <v>0.65</v>
      </c>
      <c r="K1246"/>
    </row>
    <row r="1247">
      <c r="A1247" t="inlineStr">
        <is>
          <t>SURF_BRIJ_76</t>
        </is>
      </c>
      <c r="B1247" t="inlineStr">
        <is>
          <t>edge_activator_flag</t>
        </is>
      </c>
      <c r="C1247" t="inlineStr">
        <is>
          <t>yes</t>
        </is>
      </c>
      <c r="D1247"/>
      <c r="E1247"/>
      <c r="F1247"/>
      <c r="G1247" t="inlineStr">
        <is>
          <t>HLB/charge heuristic</t>
        </is>
      </c>
      <c r="H1247" t="inlineStr">
        <is>
          <t>S007_EXCIPIENTS_HANDBOOK</t>
        </is>
      </c>
      <c r="I1247" t="inlineStr">
        <is>
          <t>curated</t>
        </is>
      </c>
      <c r="J1247">
        <v>0.7</v>
      </c>
      <c r="K1247"/>
    </row>
    <row r="1248">
      <c r="A1248" t="inlineStr">
        <is>
          <t>SURF_BRIJ_76</t>
        </is>
      </c>
      <c r="B1248" t="inlineStr">
        <is>
          <t>vesicle_anchor_flag</t>
        </is>
      </c>
      <c r="C1248" t="inlineStr">
        <is>
          <t>weak/conditional</t>
        </is>
      </c>
      <c r="D1248"/>
      <c r="E1248"/>
      <c r="F1248"/>
      <c r="G1248" t="inlineStr">
        <is>
          <t>chain-length and HLB heuristic</t>
        </is>
      </c>
      <c r="H1248" t="inlineStr">
        <is>
          <t>S007_EXCIPIENTS_HANDBOOK</t>
        </is>
      </c>
      <c r="I1248" t="inlineStr">
        <is>
          <t>curated</t>
        </is>
      </c>
      <c r="J1248">
        <v>0.7</v>
      </c>
      <c r="K1248"/>
    </row>
    <row r="1249">
      <c r="A1249" t="inlineStr">
        <is>
          <t>SURF_BRIJ_76</t>
        </is>
      </c>
      <c r="B1249" t="inlineStr">
        <is>
          <t>micellization_risk_flag</t>
        </is>
      </c>
      <c r="C1249" t="inlineStr">
        <is>
          <t>high</t>
        </is>
      </c>
      <c r="D1249"/>
      <c r="E1249"/>
      <c r="F1249"/>
      <c r="G1249" t="inlineStr">
        <is>
          <t>HLB heuristic</t>
        </is>
      </c>
      <c r="H1249" t="inlineStr">
        <is>
          <t>S007_EXCIPIENTS_HANDBOOK</t>
        </is>
      </c>
      <c r="I1249" t="inlineStr">
        <is>
          <t>curated</t>
        </is>
      </c>
      <c r="J1249">
        <v>0.65</v>
      </c>
      <c r="K1249"/>
    </row>
    <row r="1250">
      <c r="A1250" t="inlineStr">
        <is>
          <t>SURF_BRIJ_76</t>
        </is>
      </c>
      <c r="B1250" t="inlineStr">
        <is>
          <t>route_suitability</t>
        </is>
      </c>
      <c r="C1250" t="inlineStr">
        <is>
          <t>oral/topical; parenteral/inhalation only if grade and safety justified</t>
        </is>
      </c>
      <c r="D1250"/>
      <c r="E1250"/>
      <c r="F1250"/>
      <c r="G1250" t="inlineStr">
        <is>
          <t>route precedent heuristic</t>
        </is>
      </c>
      <c r="H1250" t="inlineStr">
        <is>
          <t>S008_FDA_IID</t>
        </is>
      </c>
      <c r="I1250" t="inlineStr">
        <is>
          <t>curated</t>
        </is>
      </c>
      <c r="J1250">
        <v>0.55</v>
      </c>
      <c r="K1250"/>
    </row>
    <row r="1251">
      <c r="A1251" t="inlineStr">
        <is>
          <t>SURF_BRIJ_76</t>
        </is>
      </c>
      <c r="B1251" t="inlineStr">
        <is>
          <t>toxicity_or_irritancy_notes</t>
        </is>
      </c>
      <c r="C1251" t="inlineStr">
        <is>
          <t>surfactant irritation/hemolysis is concentration-, route-, and grade-dependent; screen cytotoxicity and osmolality</t>
        </is>
      </c>
      <c r="D1251"/>
      <c r="E1251"/>
      <c r="F1251"/>
      <c r="G1251"/>
      <c r="H1251" t="inlineStr">
        <is>
          <t>S007_EXCIPIENTS_HANDBOOK</t>
        </is>
      </c>
      <c r="I1251" t="inlineStr">
        <is>
          <t>curated</t>
        </is>
      </c>
      <c r="J1251">
        <v>0.7</v>
      </c>
      <c r="K1251"/>
    </row>
    <row r="1252">
      <c r="A1252" t="inlineStr">
        <is>
          <t>SURF_BRIJ_76</t>
        </is>
      </c>
      <c r="B1252" t="inlineStr">
        <is>
          <t>Hansen_delta_D</t>
        </is>
      </c>
      <c r="C1252">
        <v>17.3</v>
      </c>
      <c r="D1252" t="inlineStr">
        <is>
          <t>MPa^0.5</t>
        </is>
      </c>
      <c r="E1252"/>
      <c r="F1252"/>
      <c r="G1252" t="inlineStr">
        <is>
          <t>heuristic group-contribution/nearest-neighbour</t>
        </is>
      </c>
      <c r="H1252" t="inlineStr">
        <is>
          <t>S013_EST_HSP_HEURISTIC</t>
        </is>
      </c>
      <c r="I1252" t="inlineStr">
        <is>
          <t>estimated</t>
        </is>
      </c>
      <c r="J1252">
        <v>0.4</v>
      </c>
      <c r="K1252" t="inlineStr">
        <is>
          <t>Provisional HSP for screening; replace with experimental/literature value before model lock.</t>
        </is>
      </c>
    </row>
    <row r="1253">
      <c r="A1253" t="inlineStr">
        <is>
          <t>SURF_BRIJ_76</t>
        </is>
      </c>
      <c r="B1253" t="inlineStr">
        <is>
          <t>Hansen_delta_P</t>
        </is>
      </c>
      <c r="C1253">
        <v>6.5</v>
      </c>
      <c r="D1253" t="inlineStr">
        <is>
          <t>MPa^0.5</t>
        </is>
      </c>
      <c r="E1253"/>
      <c r="F1253"/>
      <c r="G1253" t="inlineStr">
        <is>
          <t>heuristic group-contribution/nearest-neighbour</t>
        </is>
      </c>
      <c r="H1253" t="inlineStr">
        <is>
          <t>S013_EST_HSP_HEURISTIC</t>
        </is>
      </c>
      <c r="I1253" t="inlineStr">
        <is>
          <t>estimated</t>
        </is>
      </c>
      <c r="J1253">
        <v>0.4</v>
      </c>
      <c r="K1253" t="inlineStr">
        <is>
          <t>Provisional HSP for screening; replace with experimental/literature value before model lock.</t>
        </is>
      </c>
    </row>
    <row r="1254">
      <c r="A1254" t="inlineStr">
        <is>
          <t>SURF_BRIJ_76</t>
        </is>
      </c>
      <c r="B1254" t="inlineStr">
        <is>
          <t>Hansen_delta_H</t>
        </is>
      </c>
      <c r="C1254">
        <v>10.5</v>
      </c>
      <c r="D1254" t="inlineStr">
        <is>
          <t>MPa^0.5</t>
        </is>
      </c>
      <c r="E1254"/>
      <c r="F1254"/>
      <c r="G1254" t="inlineStr">
        <is>
          <t>heuristic group-contribution/nearest-neighbour</t>
        </is>
      </c>
      <c r="H1254" t="inlineStr">
        <is>
          <t>S013_EST_HSP_HEURISTIC</t>
        </is>
      </c>
      <c r="I1254" t="inlineStr">
        <is>
          <t>estimated</t>
        </is>
      </c>
      <c r="J1254">
        <v>0.4</v>
      </c>
      <c r="K1254" t="inlineStr">
        <is>
          <t>Provisional HSP for screening; replace with experimental/literature value before model lock.</t>
        </is>
      </c>
    </row>
    <row r="1255">
      <c r="A1255" t="inlineStr">
        <is>
          <t>SURF_BRIJ_76</t>
        </is>
      </c>
      <c r="B1255" t="inlineStr">
        <is>
          <t>Hildebrand_delta_T</t>
        </is>
      </c>
      <c r="C1255">
        <v>21.26</v>
      </c>
      <c r="D1255" t="inlineStr">
        <is>
          <t>MPa^0.5</t>
        </is>
      </c>
      <c r="E1255"/>
      <c r="F1255"/>
      <c r="G1255" t="inlineStr">
        <is>
          <t>sqrt(deltaD^2+deltaP^2+deltaH^2)</t>
        </is>
      </c>
      <c r="H1255" t="inlineStr">
        <is>
          <t>S012_CALCULATED</t>
        </is>
      </c>
      <c r="I1255" t="inlineStr">
        <is>
          <t>calculated</t>
        </is>
      </c>
      <c r="J1255">
        <v>0.45</v>
      </c>
      <c r="K1255" t="inlineStr">
        <is>
          <t>Derived from stored Hansen components.</t>
        </is>
      </c>
    </row>
    <row r="1256">
      <c r="A1256" t="inlineStr">
        <is>
          <t>SURF_BRIJ_76</t>
        </is>
      </c>
      <c r="B1256" t="inlineStr">
        <is>
          <t>HSP_radius_R0</t>
        </is>
      </c>
      <c r="C1256">
        <v>8.0</v>
      </c>
      <c r="D1256" t="inlineStr">
        <is>
          <t>MPa^0.5</t>
        </is>
      </c>
      <c r="E1256"/>
      <c r="F1256"/>
      <c r="G1256" t="inlineStr">
        <is>
          <t>literature/heuristic solubility sphere</t>
        </is>
      </c>
      <c r="H1256" t="inlineStr">
        <is>
          <t>S013_EST_HSP_HEURISTIC</t>
        </is>
      </c>
      <c r="I1256" t="inlineStr">
        <is>
          <t>estimated</t>
        </is>
      </c>
      <c r="J1256">
        <v>0.4</v>
      </c>
      <c r="K1256" t="inlineStr">
        <is>
          <t>Screening radius only unless experimentally determined.</t>
        </is>
      </c>
    </row>
    <row r="1257">
      <c r="A1257" t="inlineStr">
        <is>
          <t>SURF_BRIJ_76</t>
        </is>
      </c>
      <c r="B1257" t="inlineStr">
        <is>
          <t>molar_volume_cm3_mol</t>
        </is>
      </c>
      <c r="C1257">
        <v>676.19</v>
      </c>
      <c r="D1257" t="inlineStr">
        <is>
          <t>cm3/mol</t>
        </is>
      </c>
      <c r="E1257"/>
      <c r="F1257"/>
      <c r="G1257" t="inlineStr">
        <is>
          <t>MW/density estimate</t>
        </is>
      </c>
      <c r="H1257" t="inlineStr">
        <is>
          <t>S012_CALCULATED</t>
        </is>
      </c>
      <c r="I1257" t="inlineStr">
        <is>
          <t>estimated</t>
        </is>
      </c>
      <c r="J1257">
        <v>0.42</v>
      </c>
      <c r="K1257" t="inlineStr">
        <is>
          <t>Estimated from MW/density; replace with measured molar volume or density-specific grade data.</t>
        </is>
      </c>
    </row>
    <row r="1258">
      <c r="A1258" t="inlineStr">
        <is>
          <t>SURF_BRIJ_76</t>
        </is>
      </c>
      <c r="B1258" t="inlineStr">
        <is>
          <t>headgroup_area_nm2</t>
        </is>
      </c>
      <c r="C1258">
        <v>0.653</v>
      </c>
      <c r="D1258" t="inlineStr">
        <is>
          <t>nm2</t>
        </is>
      </c>
      <c r="E1258"/>
      <c r="F1258"/>
      <c r="G1258" t="inlineStr">
        <is>
          <t>CPP screening heuristic</t>
        </is>
      </c>
      <c r="H1258" t="inlineStr">
        <is>
          <t>S013_EST_HSP_HEURISTIC</t>
        </is>
      </c>
      <c r="I1258" t="inlineStr">
        <is>
          <t>estimated</t>
        </is>
      </c>
      <c r="J1258">
        <v>0.35</v>
      </c>
      <c r="K1258" t="inlineStr">
        <is>
          <t>Replace with monolayer or MD-derived area per molecule for publication-grade CPP.</t>
        </is>
      </c>
    </row>
    <row r="1259">
      <c r="A1259" t="inlineStr">
        <is>
          <t>SURF_BRIJ_78</t>
        </is>
      </c>
      <c r="B1259" t="inlineStr">
        <is>
          <t>molecular_weight_g_mol</t>
        </is>
      </c>
      <c r="C1259">
        <v>1150</v>
      </c>
      <c r="D1259" t="inlineStr">
        <is>
          <t>g/mol</t>
        </is>
      </c>
      <c r="E1259"/>
      <c r="F1259"/>
      <c r="G1259" t="inlineStr">
        <is>
          <t>supplier/handbook average for mixtures</t>
        </is>
      </c>
      <c r="H1259" t="inlineStr">
        <is>
          <t>S007_EXCIPIENTS_HANDBOOK</t>
        </is>
      </c>
      <c r="I1259" t="inlineStr">
        <is>
          <t>supplier-reported</t>
        </is>
      </c>
      <c r="J1259">
        <v>0.65</v>
      </c>
      <c r="K1259"/>
    </row>
    <row r="1260">
      <c r="A1260" t="inlineStr">
        <is>
          <t>SURF_BRIJ_78</t>
        </is>
      </c>
      <c r="B1260" t="inlineStr">
        <is>
          <t>HLB</t>
        </is>
      </c>
      <c r="C1260">
        <v>15.3</v>
      </c>
      <c r="D1260" t="inlineStr">
        <is>
          <t>HLB</t>
        </is>
      </c>
      <c r="E1260"/>
      <c r="F1260"/>
      <c r="G1260" t="inlineStr">
        <is>
          <t>Griffin/Davies HLB literature/supplier value</t>
        </is>
      </c>
      <c r="H1260" t="inlineStr">
        <is>
          <t>S007_EXCIPIENTS_HANDBOOK</t>
        </is>
      </c>
      <c r="I1260" t="inlineStr">
        <is>
          <t>supplier-reported</t>
        </is>
      </c>
      <c r="J1260">
        <v>0.75</v>
      </c>
      <c r="K1260" t="inlineStr">
        <is>
          <t>Grade-dependent; use supplier CoA when available.</t>
        </is>
      </c>
    </row>
    <row r="1261">
      <c r="A1261" t="inlineStr">
        <is>
          <t>SURF_BRIJ_78</t>
        </is>
      </c>
      <c r="B1261" t="inlineStr">
        <is>
          <t>headgroup_type</t>
        </is>
      </c>
      <c r="C1261" t="inlineStr">
        <is>
          <t>polyoxyethylene fatty alcohol</t>
        </is>
      </c>
      <c r="D1261"/>
      <c r="E1261"/>
      <c r="F1261"/>
      <c r="G1261" t="inlineStr">
        <is>
          <t>manual class annotation</t>
        </is>
      </c>
      <c r="H1261" t="inlineStr">
        <is>
          <t>S007_EXCIPIENTS_HANDBOOK</t>
        </is>
      </c>
      <c r="I1261" t="inlineStr">
        <is>
          <t>curated</t>
        </is>
      </c>
      <c r="J1261">
        <v>0.75</v>
      </c>
      <c r="K1261"/>
    </row>
    <row r="1262">
      <c r="A1262" t="inlineStr">
        <is>
          <t>SURF_BRIJ_78</t>
        </is>
      </c>
      <c r="B1262" t="inlineStr">
        <is>
          <t>tail_chain</t>
        </is>
      </c>
      <c r="C1262" t="inlineStr">
        <is>
          <t>C18:0 stearyl + EO20</t>
        </is>
      </c>
      <c r="D1262"/>
      <c r="E1262"/>
      <c r="F1262"/>
      <c r="G1262" t="inlineStr">
        <is>
          <t>fatty-chain annotation</t>
        </is>
      </c>
      <c r="H1262" t="inlineStr">
        <is>
          <t>S007_EXCIPIENTS_HANDBOOK</t>
        </is>
      </c>
      <c r="I1262" t="inlineStr">
        <is>
          <t>curated</t>
        </is>
      </c>
      <c r="J1262">
        <v>0.8</v>
      </c>
      <c r="K1262"/>
    </row>
    <row r="1263">
      <c r="A1263" t="inlineStr">
        <is>
          <t>SURF_BRIJ_78</t>
        </is>
      </c>
      <c r="B1263" t="inlineStr">
        <is>
          <t>tail_carbons</t>
        </is>
      </c>
      <c r="C1263">
        <v>18</v>
      </c>
      <c r="D1263" t="inlineStr">
        <is>
          <t>count</t>
        </is>
      </c>
      <c r="E1263"/>
      <c r="F1263"/>
      <c r="G1263" t="inlineStr">
        <is>
          <t>fatty-chain annotation</t>
        </is>
      </c>
      <c r="H1263" t="inlineStr">
        <is>
          <t>S007_EXCIPIENTS_HANDBOOK</t>
        </is>
      </c>
      <c r="I1263" t="inlineStr">
        <is>
          <t>curated</t>
        </is>
      </c>
      <c r="J1263">
        <v>0.8</v>
      </c>
      <c r="K1263"/>
    </row>
    <row r="1264">
      <c r="A1264" t="inlineStr">
        <is>
          <t>SURF_BRIJ_78</t>
        </is>
      </c>
      <c r="B1264" t="inlineStr">
        <is>
          <t>tail_unsaturation</t>
        </is>
      </c>
      <c r="C1264">
        <v>0</v>
      </c>
      <c r="D1264" t="inlineStr">
        <is>
          <t>double_bonds</t>
        </is>
      </c>
      <c r="E1264"/>
      <c r="F1264"/>
      <c r="G1264" t="inlineStr">
        <is>
          <t>fatty-chain annotation</t>
        </is>
      </c>
      <c r="H1264" t="inlineStr">
        <is>
          <t>S007_EXCIPIENTS_HANDBOOK</t>
        </is>
      </c>
      <c r="I1264" t="inlineStr">
        <is>
          <t>curated</t>
        </is>
      </c>
      <c r="J1264">
        <v>0.8</v>
      </c>
      <c r="K1264"/>
    </row>
    <row r="1265">
      <c r="A1265" t="inlineStr">
        <is>
          <t>SURF_BRIJ_78</t>
        </is>
      </c>
      <c r="B1265" t="inlineStr">
        <is>
          <t>number_of_tails</t>
        </is>
      </c>
      <c r="C1265">
        <v>1</v>
      </c>
      <c r="D1265" t="inlineStr">
        <is>
          <t>count</t>
        </is>
      </c>
      <c r="E1265"/>
      <c r="F1265"/>
      <c r="G1265" t="inlineStr">
        <is>
          <t>fatty-chain annotation</t>
        </is>
      </c>
      <c r="H1265" t="inlineStr">
        <is>
          <t>S007_EXCIPIENTS_HANDBOOK</t>
        </is>
      </c>
      <c r="I1265" t="inlineStr">
        <is>
          <t>curated</t>
        </is>
      </c>
      <c r="J1265">
        <v>0.8</v>
      </c>
      <c r="K1265"/>
    </row>
    <row r="1266">
      <c r="A1266" t="inlineStr">
        <is>
          <t>SURF_BRIJ_78</t>
        </is>
      </c>
      <c r="B1266" t="inlineStr">
        <is>
          <t>charge_type</t>
        </is>
      </c>
      <c r="C1266" t="inlineStr">
        <is>
          <t>nonionic</t>
        </is>
      </c>
      <c r="D1266"/>
      <c r="E1266"/>
      <c r="F1266"/>
      <c r="G1266" t="inlineStr">
        <is>
          <t>ionization class</t>
        </is>
      </c>
      <c r="H1266" t="inlineStr">
        <is>
          <t>S007_EXCIPIENTS_HANDBOOK</t>
        </is>
      </c>
      <c r="I1266" t="inlineStr">
        <is>
          <t>curated</t>
        </is>
      </c>
      <c r="J1266">
        <v>0.85</v>
      </c>
      <c r="K1266"/>
    </row>
    <row r="1267">
      <c r="A1267" t="inlineStr">
        <is>
          <t>SURF_BRIJ_78</t>
        </is>
      </c>
      <c r="B1267" t="inlineStr">
        <is>
          <t>formal_charge</t>
        </is>
      </c>
      <c r="C1267">
        <v>0</v>
      </c>
      <c r="D1267" t="inlineStr">
        <is>
          <t>e</t>
        </is>
      </c>
      <c r="E1267"/>
      <c r="F1267"/>
      <c r="G1267" t="inlineStr">
        <is>
          <t>nominal at neutral pH</t>
        </is>
      </c>
      <c r="H1267" t="inlineStr">
        <is>
          <t>S007_EXCIPIENTS_HANDBOOK</t>
        </is>
      </c>
      <c r="I1267" t="inlineStr">
        <is>
          <t>curated</t>
        </is>
      </c>
      <c r="J1267">
        <v>0.85</v>
      </c>
      <c r="K1267"/>
    </row>
    <row r="1268">
      <c r="A1268" t="inlineStr">
        <is>
          <t>SURF_BRIJ_78</t>
        </is>
      </c>
      <c r="B1268" t="inlineStr">
        <is>
          <t>packing_role</t>
        </is>
      </c>
      <c r="C1268" t="inlineStr">
        <is>
          <t>edge activator / micellar solubilizer</t>
        </is>
      </c>
      <c r="D1268"/>
      <c r="E1268"/>
      <c r="F1268"/>
      <c r="G1268" t="inlineStr">
        <is>
          <t>HLB/chain-rule heuristic</t>
        </is>
      </c>
      <c r="H1268" t="inlineStr">
        <is>
          <t>S007_EXCIPIENTS_HANDBOOK</t>
        </is>
      </c>
      <c r="I1268" t="inlineStr">
        <is>
          <t>curated</t>
        </is>
      </c>
      <c r="J1268">
        <v>0.65</v>
      </c>
      <c r="K1268"/>
    </row>
    <row r="1269">
      <c r="A1269" t="inlineStr">
        <is>
          <t>SURF_BRIJ_78</t>
        </is>
      </c>
      <c r="B1269" t="inlineStr">
        <is>
          <t>edge_activator_flag</t>
        </is>
      </c>
      <c r="C1269" t="inlineStr">
        <is>
          <t>yes</t>
        </is>
      </c>
      <c r="D1269"/>
      <c r="E1269"/>
      <c r="F1269"/>
      <c r="G1269" t="inlineStr">
        <is>
          <t>HLB/charge heuristic</t>
        </is>
      </c>
      <c r="H1269" t="inlineStr">
        <is>
          <t>S007_EXCIPIENTS_HANDBOOK</t>
        </is>
      </c>
      <c r="I1269" t="inlineStr">
        <is>
          <t>curated</t>
        </is>
      </c>
      <c r="J1269">
        <v>0.7</v>
      </c>
      <c r="K1269"/>
    </row>
    <row r="1270">
      <c r="A1270" t="inlineStr">
        <is>
          <t>SURF_BRIJ_78</t>
        </is>
      </c>
      <c r="B1270" t="inlineStr">
        <is>
          <t>vesicle_anchor_flag</t>
        </is>
      </c>
      <c r="C1270" t="inlineStr">
        <is>
          <t>weak/conditional</t>
        </is>
      </c>
      <c r="D1270"/>
      <c r="E1270"/>
      <c r="F1270"/>
      <c r="G1270" t="inlineStr">
        <is>
          <t>chain-length and HLB heuristic</t>
        </is>
      </c>
      <c r="H1270" t="inlineStr">
        <is>
          <t>S007_EXCIPIENTS_HANDBOOK</t>
        </is>
      </c>
      <c r="I1270" t="inlineStr">
        <is>
          <t>curated</t>
        </is>
      </c>
      <c r="J1270">
        <v>0.7</v>
      </c>
      <c r="K1270"/>
    </row>
    <row r="1271">
      <c r="A1271" t="inlineStr">
        <is>
          <t>SURF_BRIJ_78</t>
        </is>
      </c>
      <c r="B1271" t="inlineStr">
        <is>
          <t>micellization_risk_flag</t>
        </is>
      </c>
      <c r="C1271" t="inlineStr">
        <is>
          <t>high</t>
        </is>
      </c>
      <c r="D1271"/>
      <c r="E1271"/>
      <c r="F1271"/>
      <c r="G1271" t="inlineStr">
        <is>
          <t>HLB heuristic</t>
        </is>
      </c>
      <c r="H1271" t="inlineStr">
        <is>
          <t>S007_EXCIPIENTS_HANDBOOK</t>
        </is>
      </c>
      <c r="I1271" t="inlineStr">
        <is>
          <t>curated</t>
        </is>
      </c>
      <c r="J1271">
        <v>0.65</v>
      </c>
      <c r="K1271"/>
    </row>
    <row r="1272">
      <c r="A1272" t="inlineStr">
        <is>
          <t>SURF_BRIJ_78</t>
        </is>
      </c>
      <c r="B1272" t="inlineStr">
        <is>
          <t>route_suitability</t>
        </is>
      </c>
      <c r="C1272" t="inlineStr">
        <is>
          <t>oral/topical; parenteral/inhalation only if grade and safety justified</t>
        </is>
      </c>
      <c r="D1272"/>
      <c r="E1272"/>
      <c r="F1272"/>
      <c r="G1272" t="inlineStr">
        <is>
          <t>route precedent heuristic</t>
        </is>
      </c>
      <c r="H1272" t="inlineStr">
        <is>
          <t>S008_FDA_IID</t>
        </is>
      </c>
      <c r="I1272" t="inlineStr">
        <is>
          <t>curated</t>
        </is>
      </c>
      <c r="J1272">
        <v>0.55</v>
      </c>
      <c r="K1272"/>
    </row>
    <row r="1273">
      <c r="A1273" t="inlineStr">
        <is>
          <t>SURF_BRIJ_78</t>
        </is>
      </c>
      <c r="B1273" t="inlineStr">
        <is>
          <t>toxicity_or_irritancy_notes</t>
        </is>
      </c>
      <c r="C1273" t="inlineStr">
        <is>
          <t>surfactant irritation/hemolysis is concentration-, route-, and grade-dependent; screen cytotoxicity and osmolality</t>
        </is>
      </c>
      <c r="D1273"/>
      <c r="E1273"/>
      <c r="F1273"/>
      <c r="G1273"/>
      <c r="H1273" t="inlineStr">
        <is>
          <t>S007_EXCIPIENTS_HANDBOOK</t>
        </is>
      </c>
      <c r="I1273" t="inlineStr">
        <is>
          <t>curated</t>
        </is>
      </c>
      <c r="J1273">
        <v>0.7</v>
      </c>
      <c r="K1273"/>
    </row>
    <row r="1274">
      <c r="A1274" t="inlineStr">
        <is>
          <t>SURF_BRIJ_78</t>
        </is>
      </c>
      <c r="B1274" t="inlineStr">
        <is>
          <t>Hansen_delta_D</t>
        </is>
      </c>
      <c r="C1274">
        <v>17.2</v>
      </c>
      <c r="D1274" t="inlineStr">
        <is>
          <t>MPa^0.5</t>
        </is>
      </c>
      <c r="E1274"/>
      <c r="F1274"/>
      <c r="G1274" t="inlineStr">
        <is>
          <t>heuristic group-contribution/nearest-neighbour</t>
        </is>
      </c>
      <c r="H1274" t="inlineStr">
        <is>
          <t>S013_EST_HSP_HEURISTIC</t>
        </is>
      </c>
      <c r="I1274" t="inlineStr">
        <is>
          <t>estimated</t>
        </is>
      </c>
      <c r="J1274">
        <v>0.4</v>
      </c>
      <c r="K1274" t="inlineStr">
        <is>
          <t>Provisional HSP for screening; replace with experimental/literature value before model lock.</t>
        </is>
      </c>
    </row>
    <row r="1275">
      <c r="A1275" t="inlineStr">
        <is>
          <t>SURF_BRIJ_78</t>
        </is>
      </c>
      <c r="B1275" t="inlineStr">
        <is>
          <t>Hansen_delta_P</t>
        </is>
      </c>
      <c r="C1275">
        <v>8.5</v>
      </c>
      <c r="D1275" t="inlineStr">
        <is>
          <t>MPa^0.5</t>
        </is>
      </c>
      <c r="E1275"/>
      <c r="F1275"/>
      <c r="G1275" t="inlineStr">
        <is>
          <t>heuristic group-contribution/nearest-neighbour</t>
        </is>
      </c>
      <c r="H1275" t="inlineStr">
        <is>
          <t>S013_EST_HSP_HEURISTIC</t>
        </is>
      </c>
      <c r="I1275" t="inlineStr">
        <is>
          <t>estimated</t>
        </is>
      </c>
      <c r="J1275">
        <v>0.4</v>
      </c>
      <c r="K1275" t="inlineStr">
        <is>
          <t>Provisional HSP for screening; replace with experimental/literature value before model lock.</t>
        </is>
      </c>
    </row>
    <row r="1276">
      <c r="A1276" t="inlineStr">
        <is>
          <t>SURF_BRIJ_78</t>
        </is>
      </c>
      <c r="B1276" t="inlineStr">
        <is>
          <t>Hansen_delta_H</t>
        </is>
      </c>
      <c r="C1276">
        <v>14.0</v>
      </c>
      <c r="D1276" t="inlineStr">
        <is>
          <t>MPa^0.5</t>
        </is>
      </c>
      <c r="E1276"/>
      <c r="F1276"/>
      <c r="G1276" t="inlineStr">
        <is>
          <t>heuristic group-contribution/nearest-neighbour</t>
        </is>
      </c>
      <c r="H1276" t="inlineStr">
        <is>
          <t>S013_EST_HSP_HEURISTIC</t>
        </is>
      </c>
      <c r="I1276" t="inlineStr">
        <is>
          <t>estimated</t>
        </is>
      </c>
      <c r="J1276">
        <v>0.4</v>
      </c>
      <c r="K1276" t="inlineStr">
        <is>
          <t>Provisional HSP for screening; replace with experimental/literature value before model lock.</t>
        </is>
      </c>
    </row>
    <row r="1277">
      <c r="A1277" t="inlineStr">
        <is>
          <t>SURF_BRIJ_78</t>
        </is>
      </c>
      <c r="B1277" t="inlineStr">
        <is>
          <t>Hildebrand_delta_T</t>
        </is>
      </c>
      <c r="C1277">
        <v>23.75</v>
      </c>
      <c r="D1277" t="inlineStr">
        <is>
          <t>MPa^0.5</t>
        </is>
      </c>
      <c r="E1277"/>
      <c r="F1277"/>
      <c r="G1277" t="inlineStr">
        <is>
          <t>sqrt(deltaD^2+deltaP^2+deltaH^2)</t>
        </is>
      </c>
      <c r="H1277" t="inlineStr">
        <is>
          <t>S012_CALCULATED</t>
        </is>
      </c>
      <c r="I1277" t="inlineStr">
        <is>
          <t>calculated</t>
        </is>
      </c>
      <c r="J1277">
        <v>0.45</v>
      </c>
      <c r="K1277" t="inlineStr">
        <is>
          <t>Derived from stored Hansen components.</t>
        </is>
      </c>
    </row>
    <row r="1278">
      <c r="A1278" t="inlineStr">
        <is>
          <t>SURF_BRIJ_78</t>
        </is>
      </c>
      <c r="B1278" t="inlineStr">
        <is>
          <t>HSP_radius_R0</t>
        </is>
      </c>
      <c r="C1278">
        <v>9.0</v>
      </c>
      <c r="D1278" t="inlineStr">
        <is>
          <t>MPa^0.5</t>
        </is>
      </c>
      <c r="E1278"/>
      <c r="F1278"/>
      <c r="G1278" t="inlineStr">
        <is>
          <t>literature/heuristic solubility sphere</t>
        </is>
      </c>
      <c r="H1278" t="inlineStr">
        <is>
          <t>S013_EST_HSP_HEURISTIC</t>
        </is>
      </c>
      <c r="I1278" t="inlineStr">
        <is>
          <t>estimated</t>
        </is>
      </c>
      <c r="J1278">
        <v>0.4</v>
      </c>
      <c r="K1278" t="inlineStr">
        <is>
          <t>Screening radius only unless experimentally determined.</t>
        </is>
      </c>
    </row>
    <row r="1279">
      <c r="A1279" t="inlineStr">
        <is>
          <t>SURF_BRIJ_78</t>
        </is>
      </c>
      <c r="B1279" t="inlineStr">
        <is>
          <t>molar_volume_cm3_mol</t>
        </is>
      </c>
      <c r="C1279">
        <v>1095.24</v>
      </c>
      <c r="D1279" t="inlineStr">
        <is>
          <t>cm3/mol</t>
        </is>
      </c>
      <c r="E1279"/>
      <c r="F1279"/>
      <c r="G1279" t="inlineStr">
        <is>
          <t>MW/density estimate</t>
        </is>
      </c>
      <c r="H1279" t="inlineStr">
        <is>
          <t>S012_CALCULATED</t>
        </is>
      </c>
      <c r="I1279" t="inlineStr">
        <is>
          <t>estimated</t>
        </is>
      </c>
      <c r="J1279">
        <v>0.42</v>
      </c>
      <c r="K1279" t="inlineStr">
        <is>
          <t>Estimated from MW/density; replace with measured molar volume or density-specific grade data.</t>
        </is>
      </c>
    </row>
    <row r="1280">
      <c r="A1280" t="inlineStr">
        <is>
          <t>SURF_BRIJ_78</t>
        </is>
      </c>
      <c r="B1280" t="inlineStr">
        <is>
          <t>headgroup_area_nm2</t>
        </is>
      </c>
      <c r="C1280">
        <v>0.705</v>
      </c>
      <c r="D1280" t="inlineStr">
        <is>
          <t>nm2</t>
        </is>
      </c>
      <c r="E1280"/>
      <c r="F1280"/>
      <c r="G1280" t="inlineStr">
        <is>
          <t>CPP screening heuristic</t>
        </is>
      </c>
      <c r="H1280" t="inlineStr">
        <is>
          <t>S013_EST_HSP_HEURISTIC</t>
        </is>
      </c>
      <c r="I1280" t="inlineStr">
        <is>
          <t>estimated</t>
        </is>
      </c>
      <c r="J1280">
        <v>0.35</v>
      </c>
      <c r="K1280" t="inlineStr">
        <is>
          <t>Replace with monolayer or MD-derived area per molecule for publication-grade CPP.</t>
        </is>
      </c>
    </row>
    <row r="1281">
      <c r="A1281" t="inlineStr">
        <is>
          <t>SURF_BRIJ_92</t>
        </is>
      </c>
      <c r="B1281" t="inlineStr">
        <is>
          <t>molecular_weight_g_mol</t>
        </is>
      </c>
      <c r="C1281">
        <v>356</v>
      </c>
      <c r="D1281" t="inlineStr">
        <is>
          <t>g/mol</t>
        </is>
      </c>
      <c r="E1281"/>
      <c r="F1281"/>
      <c r="G1281" t="inlineStr">
        <is>
          <t>supplier/handbook average for mixtures</t>
        </is>
      </c>
      <c r="H1281" t="inlineStr">
        <is>
          <t>S007_EXCIPIENTS_HANDBOOK</t>
        </is>
      </c>
      <c r="I1281" t="inlineStr">
        <is>
          <t>supplier-reported</t>
        </is>
      </c>
      <c r="J1281">
        <v>0.65</v>
      </c>
      <c r="K1281"/>
    </row>
    <row r="1282">
      <c r="A1282" t="inlineStr">
        <is>
          <t>SURF_BRIJ_92</t>
        </is>
      </c>
      <c r="B1282" t="inlineStr">
        <is>
          <t>HLB</t>
        </is>
      </c>
      <c r="C1282">
        <v>4.9</v>
      </c>
      <c r="D1282" t="inlineStr">
        <is>
          <t>HLB</t>
        </is>
      </c>
      <c r="E1282"/>
      <c r="F1282"/>
      <c r="G1282" t="inlineStr">
        <is>
          <t>Griffin/Davies HLB literature/supplier value</t>
        </is>
      </c>
      <c r="H1282" t="inlineStr">
        <is>
          <t>S007_EXCIPIENTS_HANDBOOK</t>
        </is>
      </c>
      <c r="I1282" t="inlineStr">
        <is>
          <t>supplier-reported</t>
        </is>
      </c>
      <c r="J1282">
        <v>0.75</v>
      </c>
      <c r="K1282" t="inlineStr">
        <is>
          <t>Grade-dependent; use supplier CoA when available.</t>
        </is>
      </c>
    </row>
    <row r="1283">
      <c r="A1283" t="inlineStr">
        <is>
          <t>SURF_BRIJ_92</t>
        </is>
      </c>
      <c r="B1283" t="inlineStr">
        <is>
          <t>headgroup_type</t>
        </is>
      </c>
      <c r="C1283" t="inlineStr">
        <is>
          <t>polyoxyethylene fatty alcohol</t>
        </is>
      </c>
      <c r="D1283"/>
      <c r="E1283"/>
      <c r="F1283"/>
      <c r="G1283" t="inlineStr">
        <is>
          <t>manual class annotation</t>
        </is>
      </c>
      <c r="H1283" t="inlineStr">
        <is>
          <t>S007_EXCIPIENTS_HANDBOOK</t>
        </is>
      </c>
      <c r="I1283" t="inlineStr">
        <is>
          <t>curated</t>
        </is>
      </c>
      <c r="J1283">
        <v>0.75</v>
      </c>
      <c r="K1283"/>
    </row>
    <row r="1284">
      <c r="A1284" t="inlineStr">
        <is>
          <t>SURF_BRIJ_92</t>
        </is>
      </c>
      <c r="B1284" t="inlineStr">
        <is>
          <t>tail_chain</t>
        </is>
      </c>
      <c r="C1284" t="inlineStr">
        <is>
          <t>C18:1 oleyl + EO2</t>
        </is>
      </c>
      <c r="D1284"/>
      <c r="E1284"/>
      <c r="F1284"/>
      <c r="G1284" t="inlineStr">
        <is>
          <t>fatty-chain annotation</t>
        </is>
      </c>
      <c r="H1284" t="inlineStr">
        <is>
          <t>S007_EXCIPIENTS_HANDBOOK</t>
        </is>
      </c>
      <c r="I1284" t="inlineStr">
        <is>
          <t>curated</t>
        </is>
      </c>
      <c r="J1284">
        <v>0.8</v>
      </c>
      <c r="K1284"/>
    </row>
    <row r="1285">
      <c r="A1285" t="inlineStr">
        <is>
          <t>SURF_BRIJ_92</t>
        </is>
      </c>
      <c r="B1285" t="inlineStr">
        <is>
          <t>tail_carbons</t>
        </is>
      </c>
      <c r="C1285">
        <v>18</v>
      </c>
      <c r="D1285" t="inlineStr">
        <is>
          <t>count</t>
        </is>
      </c>
      <c r="E1285"/>
      <c r="F1285"/>
      <c r="G1285" t="inlineStr">
        <is>
          <t>fatty-chain annotation</t>
        </is>
      </c>
      <c r="H1285" t="inlineStr">
        <is>
          <t>S007_EXCIPIENTS_HANDBOOK</t>
        </is>
      </c>
      <c r="I1285" t="inlineStr">
        <is>
          <t>curated</t>
        </is>
      </c>
      <c r="J1285">
        <v>0.8</v>
      </c>
      <c r="K1285"/>
    </row>
    <row r="1286">
      <c r="A1286" t="inlineStr">
        <is>
          <t>SURF_BRIJ_92</t>
        </is>
      </c>
      <c r="B1286" t="inlineStr">
        <is>
          <t>tail_unsaturation</t>
        </is>
      </c>
      <c r="C1286">
        <v>1</v>
      </c>
      <c r="D1286" t="inlineStr">
        <is>
          <t>double_bonds</t>
        </is>
      </c>
      <c r="E1286"/>
      <c r="F1286"/>
      <c r="G1286" t="inlineStr">
        <is>
          <t>fatty-chain annotation</t>
        </is>
      </c>
      <c r="H1286" t="inlineStr">
        <is>
          <t>S007_EXCIPIENTS_HANDBOOK</t>
        </is>
      </c>
      <c r="I1286" t="inlineStr">
        <is>
          <t>curated</t>
        </is>
      </c>
      <c r="J1286">
        <v>0.8</v>
      </c>
      <c r="K1286"/>
    </row>
    <row r="1287">
      <c r="A1287" t="inlineStr">
        <is>
          <t>SURF_BRIJ_92</t>
        </is>
      </c>
      <c r="B1287" t="inlineStr">
        <is>
          <t>number_of_tails</t>
        </is>
      </c>
      <c r="C1287">
        <v>1</v>
      </c>
      <c r="D1287" t="inlineStr">
        <is>
          <t>count</t>
        </is>
      </c>
      <c r="E1287"/>
      <c r="F1287"/>
      <c r="G1287" t="inlineStr">
        <is>
          <t>fatty-chain annotation</t>
        </is>
      </c>
      <c r="H1287" t="inlineStr">
        <is>
          <t>S007_EXCIPIENTS_HANDBOOK</t>
        </is>
      </c>
      <c r="I1287" t="inlineStr">
        <is>
          <t>curated</t>
        </is>
      </c>
      <c r="J1287">
        <v>0.8</v>
      </c>
      <c r="K1287"/>
    </row>
    <row r="1288">
      <c r="A1288" t="inlineStr">
        <is>
          <t>SURF_BRIJ_92</t>
        </is>
      </c>
      <c r="B1288" t="inlineStr">
        <is>
          <t>charge_type</t>
        </is>
      </c>
      <c r="C1288" t="inlineStr">
        <is>
          <t>nonionic</t>
        </is>
      </c>
      <c r="D1288"/>
      <c r="E1288"/>
      <c r="F1288"/>
      <c r="G1288" t="inlineStr">
        <is>
          <t>ionization class</t>
        </is>
      </c>
      <c r="H1288" t="inlineStr">
        <is>
          <t>S007_EXCIPIENTS_HANDBOOK</t>
        </is>
      </c>
      <c r="I1288" t="inlineStr">
        <is>
          <t>curated</t>
        </is>
      </c>
      <c r="J1288">
        <v>0.85</v>
      </c>
      <c r="K1288"/>
    </row>
    <row r="1289">
      <c r="A1289" t="inlineStr">
        <is>
          <t>SURF_BRIJ_92</t>
        </is>
      </c>
      <c r="B1289" t="inlineStr">
        <is>
          <t>formal_charge</t>
        </is>
      </c>
      <c r="C1289">
        <v>0</v>
      </c>
      <c r="D1289" t="inlineStr">
        <is>
          <t>e</t>
        </is>
      </c>
      <c r="E1289"/>
      <c r="F1289"/>
      <c r="G1289" t="inlineStr">
        <is>
          <t>nominal at neutral pH</t>
        </is>
      </c>
      <c r="H1289" t="inlineStr">
        <is>
          <t>S007_EXCIPIENTS_HANDBOOK</t>
        </is>
      </c>
      <c r="I1289" t="inlineStr">
        <is>
          <t>curated</t>
        </is>
      </c>
      <c r="J1289">
        <v>0.85</v>
      </c>
      <c r="K1289"/>
    </row>
    <row r="1290">
      <c r="A1290" t="inlineStr">
        <is>
          <t>SURF_BRIJ_92</t>
        </is>
      </c>
      <c r="B1290" t="inlineStr">
        <is>
          <t>packing_role</t>
        </is>
      </c>
      <c r="C1290" t="inlineStr">
        <is>
          <t>vesicle bilayer former</t>
        </is>
      </c>
      <c r="D1290"/>
      <c r="E1290"/>
      <c r="F1290"/>
      <c r="G1290" t="inlineStr">
        <is>
          <t>HLB/chain-rule heuristic</t>
        </is>
      </c>
      <c r="H1290" t="inlineStr">
        <is>
          <t>S007_EXCIPIENTS_HANDBOOK</t>
        </is>
      </c>
      <c r="I1290" t="inlineStr">
        <is>
          <t>curated</t>
        </is>
      </c>
      <c r="J1290">
        <v>0.65</v>
      </c>
      <c r="K1290"/>
    </row>
    <row r="1291">
      <c r="A1291" t="inlineStr">
        <is>
          <t>SURF_BRIJ_92</t>
        </is>
      </c>
      <c r="B1291" t="inlineStr">
        <is>
          <t>edge_activator_flag</t>
        </is>
      </c>
      <c r="C1291" t="inlineStr">
        <is>
          <t>conditional</t>
        </is>
      </c>
      <c r="D1291"/>
      <c r="E1291"/>
      <c r="F1291"/>
      <c r="G1291" t="inlineStr">
        <is>
          <t>HLB/charge heuristic</t>
        </is>
      </c>
      <c r="H1291" t="inlineStr">
        <is>
          <t>S007_EXCIPIENTS_HANDBOOK</t>
        </is>
      </c>
      <c r="I1291" t="inlineStr">
        <is>
          <t>curated</t>
        </is>
      </c>
      <c r="J1291">
        <v>0.7</v>
      </c>
      <c r="K1291"/>
    </row>
    <row r="1292">
      <c r="A1292" t="inlineStr">
        <is>
          <t>SURF_BRIJ_92</t>
        </is>
      </c>
      <c r="B1292" t="inlineStr">
        <is>
          <t>vesicle_anchor_flag</t>
        </is>
      </c>
      <c r="C1292" t="inlineStr">
        <is>
          <t>yes</t>
        </is>
      </c>
      <c r="D1292"/>
      <c r="E1292"/>
      <c r="F1292"/>
      <c r="G1292" t="inlineStr">
        <is>
          <t>chain-length and HLB heuristic</t>
        </is>
      </c>
      <c r="H1292" t="inlineStr">
        <is>
          <t>S007_EXCIPIENTS_HANDBOOK</t>
        </is>
      </c>
      <c r="I1292" t="inlineStr">
        <is>
          <t>curated</t>
        </is>
      </c>
      <c r="J1292">
        <v>0.7</v>
      </c>
      <c r="K1292"/>
    </row>
    <row r="1293">
      <c r="A1293" t="inlineStr">
        <is>
          <t>SURF_BRIJ_92</t>
        </is>
      </c>
      <c r="B1293" t="inlineStr">
        <is>
          <t>micellization_risk_flag</t>
        </is>
      </c>
      <c r="C1293" t="inlineStr">
        <is>
          <t>low-to-moderate</t>
        </is>
      </c>
      <c r="D1293"/>
      <c r="E1293"/>
      <c r="F1293"/>
      <c r="G1293" t="inlineStr">
        <is>
          <t>HLB heuristic</t>
        </is>
      </c>
      <c r="H1293" t="inlineStr">
        <is>
          <t>S007_EXCIPIENTS_HANDBOOK</t>
        </is>
      </c>
      <c r="I1293" t="inlineStr">
        <is>
          <t>curated</t>
        </is>
      </c>
      <c r="J1293">
        <v>0.65</v>
      </c>
      <c r="K1293"/>
    </row>
    <row r="1294">
      <c r="A1294" t="inlineStr">
        <is>
          <t>SURF_BRIJ_92</t>
        </is>
      </c>
      <c r="B1294" t="inlineStr">
        <is>
          <t>route_suitability</t>
        </is>
      </c>
      <c r="C1294" t="inlineStr">
        <is>
          <t>oral/topical; parenteral/inhalation only if grade and safety justified</t>
        </is>
      </c>
      <c r="D1294"/>
      <c r="E1294"/>
      <c r="F1294"/>
      <c r="G1294" t="inlineStr">
        <is>
          <t>route precedent heuristic</t>
        </is>
      </c>
      <c r="H1294" t="inlineStr">
        <is>
          <t>S008_FDA_IID</t>
        </is>
      </c>
      <c r="I1294" t="inlineStr">
        <is>
          <t>curated</t>
        </is>
      </c>
      <c r="J1294">
        <v>0.55</v>
      </c>
      <c r="K1294"/>
    </row>
    <row r="1295">
      <c r="A1295" t="inlineStr">
        <is>
          <t>SURF_BRIJ_92</t>
        </is>
      </c>
      <c r="B1295" t="inlineStr">
        <is>
          <t>toxicity_or_irritancy_notes</t>
        </is>
      </c>
      <c r="C1295" t="inlineStr">
        <is>
          <t>surfactant irritation/hemolysis is concentration-, route-, and grade-dependent; screen cytotoxicity and osmolality</t>
        </is>
      </c>
      <c r="D1295"/>
      <c r="E1295"/>
      <c r="F1295"/>
      <c r="G1295"/>
      <c r="H1295" t="inlineStr">
        <is>
          <t>S007_EXCIPIENTS_HANDBOOK</t>
        </is>
      </c>
      <c r="I1295" t="inlineStr">
        <is>
          <t>curated</t>
        </is>
      </c>
      <c r="J1295">
        <v>0.7</v>
      </c>
      <c r="K1295"/>
    </row>
    <row r="1296">
      <c r="A1296" t="inlineStr">
        <is>
          <t>SURF_BRIJ_92</t>
        </is>
      </c>
      <c r="B1296" t="inlineStr">
        <is>
          <t>Hansen_delta_D</t>
        </is>
      </c>
      <c r="C1296">
        <v>17.0</v>
      </c>
      <c r="D1296" t="inlineStr">
        <is>
          <t>MPa^0.5</t>
        </is>
      </c>
      <c r="E1296"/>
      <c r="F1296"/>
      <c r="G1296" t="inlineStr">
        <is>
          <t>heuristic group-contribution/nearest-neighbour</t>
        </is>
      </c>
      <c r="H1296" t="inlineStr">
        <is>
          <t>S013_EST_HSP_HEURISTIC</t>
        </is>
      </c>
      <c r="I1296" t="inlineStr">
        <is>
          <t>estimated</t>
        </is>
      </c>
      <c r="J1296">
        <v>0.4</v>
      </c>
      <c r="K1296" t="inlineStr">
        <is>
          <t>Provisional HSP for screening; replace with experimental/literature value before model lock.</t>
        </is>
      </c>
    </row>
    <row r="1297">
      <c r="A1297" t="inlineStr">
        <is>
          <t>SURF_BRIJ_92</t>
        </is>
      </c>
      <c r="B1297" t="inlineStr">
        <is>
          <t>Hansen_delta_P</t>
        </is>
      </c>
      <c r="C1297">
        <v>4.0</v>
      </c>
      <c r="D1297" t="inlineStr">
        <is>
          <t>MPa^0.5</t>
        </is>
      </c>
      <c r="E1297"/>
      <c r="F1297"/>
      <c r="G1297" t="inlineStr">
        <is>
          <t>heuristic group-contribution/nearest-neighbour</t>
        </is>
      </c>
      <c r="H1297" t="inlineStr">
        <is>
          <t>S013_EST_HSP_HEURISTIC</t>
        </is>
      </c>
      <c r="I1297" t="inlineStr">
        <is>
          <t>estimated</t>
        </is>
      </c>
      <c r="J1297">
        <v>0.4</v>
      </c>
      <c r="K1297" t="inlineStr">
        <is>
          <t>Provisional HSP for screening; replace with experimental/literature value before model lock.</t>
        </is>
      </c>
    </row>
    <row r="1298">
      <c r="A1298" t="inlineStr">
        <is>
          <t>SURF_BRIJ_92</t>
        </is>
      </c>
      <c r="B1298" t="inlineStr">
        <is>
          <t>Hansen_delta_H</t>
        </is>
      </c>
      <c r="C1298">
        <v>7.0</v>
      </c>
      <c r="D1298" t="inlineStr">
        <is>
          <t>MPa^0.5</t>
        </is>
      </c>
      <c r="E1298"/>
      <c r="F1298"/>
      <c r="G1298" t="inlineStr">
        <is>
          <t>heuristic group-contribution/nearest-neighbour</t>
        </is>
      </c>
      <c r="H1298" t="inlineStr">
        <is>
          <t>S013_EST_HSP_HEURISTIC</t>
        </is>
      </c>
      <c r="I1298" t="inlineStr">
        <is>
          <t>estimated</t>
        </is>
      </c>
      <c r="J1298">
        <v>0.4</v>
      </c>
      <c r="K1298" t="inlineStr">
        <is>
          <t>Provisional HSP for screening; replace with experimental/literature value before model lock.</t>
        </is>
      </c>
    </row>
    <row r="1299">
      <c r="A1299" t="inlineStr">
        <is>
          <t>SURF_BRIJ_92</t>
        </is>
      </c>
      <c r="B1299" t="inlineStr">
        <is>
          <t>Hildebrand_delta_T</t>
        </is>
      </c>
      <c r="C1299">
        <v>18.81</v>
      </c>
      <c r="D1299" t="inlineStr">
        <is>
          <t>MPa^0.5</t>
        </is>
      </c>
      <c r="E1299"/>
      <c r="F1299"/>
      <c r="G1299" t="inlineStr">
        <is>
          <t>sqrt(deltaD^2+deltaP^2+deltaH^2)</t>
        </is>
      </c>
      <c r="H1299" t="inlineStr">
        <is>
          <t>S012_CALCULATED</t>
        </is>
      </c>
      <c r="I1299" t="inlineStr">
        <is>
          <t>calculated</t>
        </is>
      </c>
      <c r="J1299">
        <v>0.45</v>
      </c>
      <c r="K1299" t="inlineStr">
        <is>
          <t>Derived from stored Hansen components.</t>
        </is>
      </c>
    </row>
    <row r="1300">
      <c r="A1300" t="inlineStr">
        <is>
          <t>SURF_BRIJ_92</t>
        </is>
      </c>
      <c r="B1300" t="inlineStr">
        <is>
          <t>HSP_radius_R0</t>
        </is>
      </c>
      <c r="C1300">
        <v>7.0</v>
      </c>
      <c r="D1300" t="inlineStr">
        <is>
          <t>MPa^0.5</t>
        </is>
      </c>
      <c r="E1300"/>
      <c r="F1300"/>
      <c r="G1300" t="inlineStr">
        <is>
          <t>literature/heuristic solubility sphere</t>
        </is>
      </c>
      <c r="H1300" t="inlineStr">
        <is>
          <t>S013_EST_HSP_HEURISTIC</t>
        </is>
      </c>
      <c r="I1300" t="inlineStr">
        <is>
          <t>estimated</t>
        </is>
      </c>
      <c r="J1300">
        <v>0.4</v>
      </c>
      <c r="K1300" t="inlineStr">
        <is>
          <t>Screening radius only unless experimentally determined.</t>
        </is>
      </c>
    </row>
    <row r="1301">
      <c r="A1301" t="inlineStr">
        <is>
          <t>SURF_BRIJ_92</t>
        </is>
      </c>
      <c r="B1301" t="inlineStr">
        <is>
          <t>molar_volume_cm3_mol</t>
        </is>
      </c>
      <c r="C1301">
        <v>363.27</v>
      </c>
      <c r="D1301" t="inlineStr">
        <is>
          <t>cm3/mol</t>
        </is>
      </c>
      <c r="E1301"/>
      <c r="F1301"/>
      <c r="G1301" t="inlineStr">
        <is>
          <t>MW/density estimate</t>
        </is>
      </c>
      <c r="H1301" t="inlineStr">
        <is>
          <t>S012_CALCULATED</t>
        </is>
      </c>
      <c r="I1301" t="inlineStr">
        <is>
          <t>estimated</t>
        </is>
      </c>
      <c r="J1301">
        <v>0.42</v>
      </c>
      <c r="K1301" t="inlineStr">
        <is>
          <t>Estimated from MW/density; replace with measured molar volume or density-specific grade data.</t>
        </is>
      </c>
    </row>
    <row r="1302">
      <c r="A1302" t="inlineStr">
        <is>
          <t>SURF_BRIJ_92</t>
        </is>
      </c>
      <c r="B1302" t="inlineStr">
        <is>
          <t>headgroup_area_nm2</t>
        </is>
      </c>
      <c r="C1302">
        <v>0.518</v>
      </c>
      <c r="D1302" t="inlineStr">
        <is>
          <t>nm2</t>
        </is>
      </c>
      <c r="E1302"/>
      <c r="F1302"/>
      <c r="G1302" t="inlineStr">
        <is>
          <t>CPP screening heuristic</t>
        </is>
      </c>
      <c r="H1302" t="inlineStr">
        <is>
          <t>S013_EST_HSP_HEURISTIC</t>
        </is>
      </c>
      <c r="I1302" t="inlineStr">
        <is>
          <t>estimated</t>
        </is>
      </c>
      <c r="J1302">
        <v>0.35</v>
      </c>
      <c r="K1302" t="inlineStr">
        <is>
          <t>Replace with monolayer or MD-derived area per molecule for publication-grade CPP.</t>
        </is>
      </c>
    </row>
    <row r="1303">
      <c r="A1303" t="inlineStr">
        <is>
          <t>SURF_BRIJ_96</t>
        </is>
      </c>
      <c r="B1303" t="inlineStr">
        <is>
          <t>molecular_weight_g_mol</t>
        </is>
      </c>
      <c r="C1303">
        <v>708</v>
      </c>
      <c r="D1303" t="inlineStr">
        <is>
          <t>g/mol</t>
        </is>
      </c>
      <c r="E1303"/>
      <c r="F1303"/>
      <c r="G1303" t="inlineStr">
        <is>
          <t>supplier/handbook average for mixtures</t>
        </is>
      </c>
      <c r="H1303" t="inlineStr">
        <is>
          <t>S007_EXCIPIENTS_HANDBOOK</t>
        </is>
      </c>
      <c r="I1303" t="inlineStr">
        <is>
          <t>supplier-reported</t>
        </is>
      </c>
      <c r="J1303">
        <v>0.65</v>
      </c>
      <c r="K1303"/>
    </row>
    <row r="1304">
      <c r="A1304" t="inlineStr">
        <is>
          <t>SURF_BRIJ_96</t>
        </is>
      </c>
      <c r="B1304" t="inlineStr">
        <is>
          <t>HLB</t>
        </is>
      </c>
      <c r="C1304">
        <v>12.4</v>
      </c>
      <c r="D1304" t="inlineStr">
        <is>
          <t>HLB</t>
        </is>
      </c>
      <c r="E1304"/>
      <c r="F1304"/>
      <c r="G1304" t="inlineStr">
        <is>
          <t>Griffin/Davies HLB literature/supplier value</t>
        </is>
      </c>
      <c r="H1304" t="inlineStr">
        <is>
          <t>S007_EXCIPIENTS_HANDBOOK</t>
        </is>
      </c>
      <c r="I1304" t="inlineStr">
        <is>
          <t>supplier-reported</t>
        </is>
      </c>
      <c r="J1304">
        <v>0.75</v>
      </c>
      <c r="K1304" t="inlineStr">
        <is>
          <t>Grade-dependent; use supplier CoA when available.</t>
        </is>
      </c>
    </row>
    <row r="1305">
      <c r="A1305" t="inlineStr">
        <is>
          <t>SURF_BRIJ_96</t>
        </is>
      </c>
      <c r="B1305" t="inlineStr">
        <is>
          <t>headgroup_type</t>
        </is>
      </c>
      <c r="C1305" t="inlineStr">
        <is>
          <t>polyoxyethylene fatty alcohol</t>
        </is>
      </c>
      <c r="D1305"/>
      <c r="E1305"/>
      <c r="F1305"/>
      <c r="G1305" t="inlineStr">
        <is>
          <t>manual class annotation</t>
        </is>
      </c>
      <c r="H1305" t="inlineStr">
        <is>
          <t>S007_EXCIPIENTS_HANDBOOK</t>
        </is>
      </c>
      <c r="I1305" t="inlineStr">
        <is>
          <t>curated</t>
        </is>
      </c>
      <c r="J1305">
        <v>0.75</v>
      </c>
      <c r="K1305"/>
    </row>
    <row r="1306">
      <c r="A1306" t="inlineStr">
        <is>
          <t>SURF_BRIJ_96</t>
        </is>
      </c>
      <c r="B1306" t="inlineStr">
        <is>
          <t>tail_chain</t>
        </is>
      </c>
      <c r="C1306" t="inlineStr">
        <is>
          <t>C18:1 oleyl + EO10</t>
        </is>
      </c>
      <c r="D1306"/>
      <c r="E1306"/>
      <c r="F1306"/>
      <c r="G1306" t="inlineStr">
        <is>
          <t>fatty-chain annotation</t>
        </is>
      </c>
      <c r="H1306" t="inlineStr">
        <is>
          <t>S007_EXCIPIENTS_HANDBOOK</t>
        </is>
      </c>
      <c r="I1306" t="inlineStr">
        <is>
          <t>curated</t>
        </is>
      </c>
      <c r="J1306">
        <v>0.8</v>
      </c>
      <c r="K1306"/>
    </row>
    <row r="1307">
      <c r="A1307" t="inlineStr">
        <is>
          <t>SURF_BRIJ_96</t>
        </is>
      </c>
      <c r="B1307" t="inlineStr">
        <is>
          <t>tail_carbons</t>
        </is>
      </c>
      <c r="C1307">
        <v>18</v>
      </c>
      <c r="D1307" t="inlineStr">
        <is>
          <t>count</t>
        </is>
      </c>
      <c r="E1307"/>
      <c r="F1307"/>
      <c r="G1307" t="inlineStr">
        <is>
          <t>fatty-chain annotation</t>
        </is>
      </c>
      <c r="H1307" t="inlineStr">
        <is>
          <t>S007_EXCIPIENTS_HANDBOOK</t>
        </is>
      </c>
      <c r="I1307" t="inlineStr">
        <is>
          <t>curated</t>
        </is>
      </c>
      <c r="J1307">
        <v>0.8</v>
      </c>
      <c r="K1307"/>
    </row>
    <row r="1308">
      <c r="A1308" t="inlineStr">
        <is>
          <t>SURF_BRIJ_96</t>
        </is>
      </c>
      <c r="B1308" t="inlineStr">
        <is>
          <t>tail_unsaturation</t>
        </is>
      </c>
      <c r="C1308">
        <v>1</v>
      </c>
      <c r="D1308" t="inlineStr">
        <is>
          <t>double_bonds</t>
        </is>
      </c>
      <c r="E1308"/>
      <c r="F1308"/>
      <c r="G1308" t="inlineStr">
        <is>
          <t>fatty-chain annotation</t>
        </is>
      </c>
      <c r="H1308" t="inlineStr">
        <is>
          <t>S007_EXCIPIENTS_HANDBOOK</t>
        </is>
      </c>
      <c r="I1308" t="inlineStr">
        <is>
          <t>curated</t>
        </is>
      </c>
      <c r="J1308">
        <v>0.8</v>
      </c>
      <c r="K1308"/>
    </row>
    <row r="1309">
      <c r="A1309" t="inlineStr">
        <is>
          <t>SURF_BRIJ_96</t>
        </is>
      </c>
      <c r="B1309" t="inlineStr">
        <is>
          <t>number_of_tails</t>
        </is>
      </c>
      <c r="C1309">
        <v>1</v>
      </c>
      <c r="D1309" t="inlineStr">
        <is>
          <t>count</t>
        </is>
      </c>
      <c r="E1309"/>
      <c r="F1309"/>
      <c r="G1309" t="inlineStr">
        <is>
          <t>fatty-chain annotation</t>
        </is>
      </c>
      <c r="H1309" t="inlineStr">
        <is>
          <t>S007_EXCIPIENTS_HANDBOOK</t>
        </is>
      </c>
      <c r="I1309" t="inlineStr">
        <is>
          <t>curated</t>
        </is>
      </c>
      <c r="J1309">
        <v>0.8</v>
      </c>
      <c r="K1309"/>
    </row>
    <row r="1310">
      <c r="A1310" t="inlineStr">
        <is>
          <t>SURF_BRIJ_96</t>
        </is>
      </c>
      <c r="B1310" t="inlineStr">
        <is>
          <t>charge_type</t>
        </is>
      </c>
      <c r="C1310" t="inlineStr">
        <is>
          <t>nonionic</t>
        </is>
      </c>
      <c r="D1310"/>
      <c r="E1310"/>
      <c r="F1310"/>
      <c r="G1310" t="inlineStr">
        <is>
          <t>ionization class</t>
        </is>
      </c>
      <c r="H1310" t="inlineStr">
        <is>
          <t>S007_EXCIPIENTS_HANDBOOK</t>
        </is>
      </c>
      <c r="I1310" t="inlineStr">
        <is>
          <t>curated</t>
        </is>
      </c>
      <c r="J1310">
        <v>0.85</v>
      </c>
      <c r="K1310"/>
    </row>
    <row r="1311">
      <c r="A1311" t="inlineStr">
        <is>
          <t>SURF_BRIJ_96</t>
        </is>
      </c>
      <c r="B1311" t="inlineStr">
        <is>
          <t>formal_charge</t>
        </is>
      </c>
      <c r="C1311">
        <v>0</v>
      </c>
      <c r="D1311" t="inlineStr">
        <is>
          <t>e</t>
        </is>
      </c>
      <c r="E1311"/>
      <c r="F1311"/>
      <c r="G1311" t="inlineStr">
        <is>
          <t>nominal at neutral pH</t>
        </is>
      </c>
      <c r="H1311" t="inlineStr">
        <is>
          <t>S007_EXCIPIENTS_HANDBOOK</t>
        </is>
      </c>
      <c r="I1311" t="inlineStr">
        <is>
          <t>curated</t>
        </is>
      </c>
      <c r="J1311">
        <v>0.85</v>
      </c>
      <c r="K1311"/>
    </row>
    <row r="1312">
      <c r="A1312" t="inlineStr">
        <is>
          <t>SURF_BRIJ_96</t>
        </is>
      </c>
      <c r="B1312" t="inlineStr">
        <is>
          <t>packing_role</t>
        </is>
      </c>
      <c r="C1312" t="inlineStr">
        <is>
          <t>edge activator / micellar solubilizer</t>
        </is>
      </c>
      <c r="D1312"/>
      <c r="E1312"/>
      <c r="F1312"/>
      <c r="G1312" t="inlineStr">
        <is>
          <t>HLB/chain-rule heuristic</t>
        </is>
      </c>
      <c r="H1312" t="inlineStr">
        <is>
          <t>S007_EXCIPIENTS_HANDBOOK</t>
        </is>
      </c>
      <c r="I1312" t="inlineStr">
        <is>
          <t>curated</t>
        </is>
      </c>
      <c r="J1312">
        <v>0.65</v>
      </c>
      <c r="K1312"/>
    </row>
    <row r="1313">
      <c r="A1313" t="inlineStr">
        <is>
          <t>SURF_BRIJ_96</t>
        </is>
      </c>
      <c r="B1313" t="inlineStr">
        <is>
          <t>edge_activator_flag</t>
        </is>
      </c>
      <c r="C1313" t="inlineStr">
        <is>
          <t>yes</t>
        </is>
      </c>
      <c r="D1313"/>
      <c r="E1313"/>
      <c r="F1313"/>
      <c r="G1313" t="inlineStr">
        <is>
          <t>HLB/charge heuristic</t>
        </is>
      </c>
      <c r="H1313" t="inlineStr">
        <is>
          <t>S007_EXCIPIENTS_HANDBOOK</t>
        </is>
      </c>
      <c r="I1313" t="inlineStr">
        <is>
          <t>curated</t>
        </is>
      </c>
      <c r="J1313">
        <v>0.7</v>
      </c>
      <c r="K1313"/>
    </row>
    <row r="1314">
      <c r="A1314" t="inlineStr">
        <is>
          <t>SURF_BRIJ_96</t>
        </is>
      </c>
      <c r="B1314" t="inlineStr">
        <is>
          <t>vesicle_anchor_flag</t>
        </is>
      </c>
      <c r="C1314" t="inlineStr">
        <is>
          <t>weak/conditional</t>
        </is>
      </c>
      <c r="D1314"/>
      <c r="E1314"/>
      <c r="F1314"/>
      <c r="G1314" t="inlineStr">
        <is>
          <t>chain-length and HLB heuristic</t>
        </is>
      </c>
      <c r="H1314" t="inlineStr">
        <is>
          <t>S007_EXCIPIENTS_HANDBOOK</t>
        </is>
      </c>
      <c r="I1314" t="inlineStr">
        <is>
          <t>curated</t>
        </is>
      </c>
      <c r="J1314">
        <v>0.7</v>
      </c>
      <c r="K1314"/>
    </row>
    <row r="1315">
      <c r="A1315" t="inlineStr">
        <is>
          <t>SURF_BRIJ_96</t>
        </is>
      </c>
      <c r="B1315" t="inlineStr">
        <is>
          <t>micellization_risk_flag</t>
        </is>
      </c>
      <c r="C1315" t="inlineStr">
        <is>
          <t>high</t>
        </is>
      </c>
      <c r="D1315"/>
      <c r="E1315"/>
      <c r="F1315"/>
      <c r="G1315" t="inlineStr">
        <is>
          <t>HLB heuristic</t>
        </is>
      </c>
      <c r="H1315" t="inlineStr">
        <is>
          <t>S007_EXCIPIENTS_HANDBOOK</t>
        </is>
      </c>
      <c r="I1315" t="inlineStr">
        <is>
          <t>curated</t>
        </is>
      </c>
      <c r="J1315">
        <v>0.65</v>
      </c>
      <c r="K1315"/>
    </row>
    <row r="1316">
      <c r="A1316" t="inlineStr">
        <is>
          <t>SURF_BRIJ_96</t>
        </is>
      </c>
      <c r="B1316" t="inlineStr">
        <is>
          <t>route_suitability</t>
        </is>
      </c>
      <c r="C1316" t="inlineStr">
        <is>
          <t>oral/topical; parenteral/inhalation only if grade and safety justified</t>
        </is>
      </c>
      <c r="D1316"/>
      <c r="E1316"/>
      <c r="F1316"/>
      <c r="G1316" t="inlineStr">
        <is>
          <t>route precedent heuristic</t>
        </is>
      </c>
      <c r="H1316" t="inlineStr">
        <is>
          <t>S008_FDA_IID</t>
        </is>
      </c>
      <c r="I1316" t="inlineStr">
        <is>
          <t>curated</t>
        </is>
      </c>
      <c r="J1316">
        <v>0.55</v>
      </c>
      <c r="K1316"/>
    </row>
    <row r="1317">
      <c r="A1317" t="inlineStr">
        <is>
          <t>SURF_BRIJ_96</t>
        </is>
      </c>
      <c r="B1317" t="inlineStr">
        <is>
          <t>toxicity_or_irritancy_notes</t>
        </is>
      </c>
      <c r="C1317" t="inlineStr">
        <is>
          <t>surfactant irritation/hemolysis is concentration-, route-, and grade-dependent; screen cytotoxicity and osmolality</t>
        </is>
      </c>
      <c r="D1317"/>
      <c r="E1317"/>
      <c r="F1317"/>
      <c r="G1317"/>
      <c r="H1317" t="inlineStr">
        <is>
          <t>S007_EXCIPIENTS_HANDBOOK</t>
        </is>
      </c>
      <c r="I1317" t="inlineStr">
        <is>
          <t>curated</t>
        </is>
      </c>
      <c r="J1317">
        <v>0.7</v>
      </c>
      <c r="K1317"/>
    </row>
    <row r="1318">
      <c r="A1318" t="inlineStr">
        <is>
          <t>SURF_BRIJ_96</t>
        </is>
      </c>
      <c r="B1318" t="inlineStr">
        <is>
          <t>Hansen_delta_D</t>
        </is>
      </c>
      <c r="C1318">
        <v>17.3</v>
      </c>
      <c r="D1318" t="inlineStr">
        <is>
          <t>MPa^0.5</t>
        </is>
      </c>
      <c r="E1318"/>
      <c r="F1318"/>
      <c r="G1318" t="inlineStr">
        <is>
          <t>heuristic group-contribution/nearest-neighbour</t>
        </is>
      </c>
      <c r="H1318" t="inlineStr">
        <is>
          <t>S013_EST_HSP_HEURISTIC</t>
        </is>
      </c>
      <c r="I1318" t="inlineStr">
        <is>
          <t>estimated</t>
        </is>
      </c>
      <c r="J1318">
        <v>0.4</v>
      </c>
      <c r="K1318" t="inlineStr">
        <is>
          <t>Provisional HSP for screening; replace with experimental/literature value before model lock.</t>
        </is>
      </c>
    </row>
    <row r="1319">
      <c r="A1319" t="inlineStr">
        <is>
          <t>SURF_BRIJ_96</t>
        </is>
      </c>
      <c r="B1319" t="inlineStr">
        <is>
          <t>Hansen_delta_P</t>
        </is>
      </c>
      <c r="C1319">
        <v>6.5</v>
      </c>
      <c r="D1319" t="inlineStr">
        <is>
          <t>MPa^0.5</t>
        </is>
      </c>
      <c r="E1319"/>
      <c r="F1319"/>
      <c r="G1319" t="inlineStr">
        <is>
          <t>heuristic group-contribution/nearest-neighbour</t>
        </is>
      </c>
      <c r="H1319" t="inlineStr">
        <is>
          <t>S013_EST_HSP_HEURISTIC</t>
        </is>
      </c>
      <c r="I1319" t="inlineStr">
        <is>
          <t>estimated</t>
        </is>
      </c>
      <c r="J1319">
        <v>0.4</v>
      </c>
      <c r="K1319" t="inlineStr">
        <is>
          <t>Provisional HSP for screening; replace with experimental/literature value before model lock.</t>
        </is>
      </c>
    </row>
    <row r="1320">
      <c r="A1320" t="inlineStr">
        <is>
          <t>SURF_BRIJ_96</t>
        </is>
      </c>
      <c r="B1320" t="inlineStr">
        <is>
          <t>Hansen_delta_H</t>
        </is>
      </c>
      <c r="C1320">
        <v>10.5</v>
      </c>
      <c r="D1320" t="inlineStr">
        <is>
          <t>MPa^0.5</t>
        </is>
      </c>
      <c r="E1320"/>
      <c r="F1320"/>
      <c r="G1320" t="inlineStr">
        <is>
          <t>heuristic group-contribution/nearest-neighbour</t>
        </is>
      </c>
      <c r="H1320" t="inlineStr">
        <is>
          <t>S013_EST_HSP_HEURISTIC</t>
        </is>
      </c>
      <c r="I1320" t="inlineStr">
        <is>
          <t>estimated</t>
        </is>
      </c>
      <c r="J1320">
        <v>0.4</v>
      </c>
      <c r="K1320" t="inlineStr">
        <is>
          <t>Provisional HSP for screening; replace with experimental/literature value before model lock.</t>
        </is>
      </c>
    </row>
    <row r="1321">
      <c r="A1321" t="inlineStr">
        <is>
          <t>SURF_BRIJ_96</t>
        </is>
      </c>
      <c r="B1321" t="inlineStr">
        <is>
          <t>Hildebrand_delta_T</t>
        </is>
      </c>
      <c r="C1321">
        <v>21.26</v>
      </c>
      <c r="D1321" t="inlineStr">
        <is>
          <t>MPa^0.5</t>
        </is>
      </c>
      <c r="E1321"/>
      <c r="F1321"/>
      <c r="G1321" t="inlineStr">
        <is>
          <t>sqrt(deltaD^2+deltaP^2+deltaH^2)</t>
        </is>
      </c>
      <c r="H1321" t="inlineStr">
        <is>
          <t>S012_CALCULATED</t>
        </is>
      </c>
      <c r="I1321" t="inlineStr">
        <is>
          <t>calculated</t>
        </is>
      </c>
      <c r="J1321">
        <v>0.45</v>
      </c>
      <c r="K1321" t="inlineStr">
        <is>
          <t>Derived from stored Hansen components.</t>
        </is>
      </c>
    </row>
    <row r="1322">
      <c r="A1322" t="inlineStr">
        <is>
          <t>SURF_BRIJ_96</t>
        </is>
      </c>
      <c r="B1322" t="inlineStr">
        <is>
          <t>HSP_radius_R0</t>
        </is>
      </c>
      <c r="C1322">
        <v>8.0</v>
      </c>
      <c r="D1322" t="inlineStr">
        <is>
          <t>MPa^0.5</t>
        </is>
      </c>
      <c r="E1322"/>
      <c r="F1322"/>
      <c r="G1322" t="inlineStr">
        <is>
          <t>literature/heuristic solubility sphere</t>
        </is>
      </c>
      <c r="H1322" t="inlineStr">
        <is>
          <t>S013_EST_HSP_HEURISTIC</t>
        </is>
      </c>
      <c r="I1322" t="inlineStr">
        <is>
          <t>estimated</t>
        </is>
      </c>
      <c r="J1322">
        <v>0.4</v>
      </c>
      <c r="K1322" t="inlineStr">
        <is>
          <t>Screening radius only unless experimentally determined.</t>
        </is>
      </c>
    </row>
    <row r="1323">
      <c r="A1323" t="inlineStr">
        <is>
          <t>SURF_BRIJ_96</t>
        </is>
      </c>
      <c r="B1323" t="inlineStr">
        <is>
          <t>molar_volume_cm3_mol</t>
        </is>
      </c>
      <c r="C1323">
        <v>674.29</v>
      </c>
      <c r="D1323" t="inlineStr">
        <is>
          <t>cm3/mol</t>
        </is>
      </c>
      <c r="E1323"/>
      <c r="F1323"/>
      <c r="G1323" t="inlineStr">
        <is>
          <t>MW/density estimate</t>
        </is>
      </c>
      <c r="H1323" t="inlineStr">
        <is>
          <t>S012_CALCULATED</t>
        </is>
      </c>
      <c r="I1323" t="inlineStr">
        <is>
          <t>estimated</t>
        </is>
      </c>
      <c r="J1323">
        <v>0.42</v>
      </c>
      <c r="K1323" t="inlineStr">
        <is>
          <t>Estimated from MW/density; replace with measured molar volume or density-specific grade data.</t>
        </is>
      </c>
    </row>
    <row r="1324">
      <c r="A1324" t="inlineStr">
        <is>
          <t>SURF_BRIJ_96</t>
        </is>
      </c>
      <c r="B1324" t="inlineStr">
        <is>
          <t>headgroup_area_nm2</t>
        </is>
      </c>
      <c r="C1324">
        <v>0.653</v>
      </c>
      <c r="D1324" t="inlineStr">
        <is>
          <t>nm2</t>
        </is>
      </c>
      <c r="E1324"/>
      <c r="F1324"/>
      <c r="G1324" t="inlineStr">
        <is>
          <t>CPP screening heuristic</t>
        </is>
      </c>
      <c r="H1324" t="inlineStr">
        <is>
          <t>S013_EST_HSP_HEURISTIC</t>
        </is>
      </c>
      <c r="I1324" t="inlineStr">
        <is>
          <t>estimated</t>
        </is>
      </c>
      <c r="J1324">
        <v>0.35</v>
      </c>
      <c r="K1324" t="inlineStr">
        <is>
          <t>Replace with monolayer or MD-derived area per molecule for publication-grade CPP.</t>
        </is>
      </c>
    </row>
    <row r="1325">
      <c r="A1325" t="inlineStr">
        <is>
          <t>SURF_BRIJ_98</t>
        </is>
      </c>
      <c r="B1325" t="inlineStr">
        <is>
          <t>molecular_weight_g_mol</t>
        </is>
      </c>
      <c r="C1325">
        <v>1148</v>
      </c>
      <c r="D1325" t="inlineStr">
        <is>
          <t>g/mol</t>
        </is>
      </c>
      <c r="E1325"/>
      <c r="F1325"/>
      <c r="G1325" t="inlineStr">
        <is>
          <t>supplier/handbook average for mixtures</t>
        </is>
      </c>
      <c r="H1325" t="inlineStr">
        <is>
          <t>S007_EXCIPIENTS_HANDBOOK</t>
        </is>
      </c>
      <c r="I1325" t="inlineStr">
        <is>
          <t>supplier-reported</t>
        </is>
      </c>
      <c r="J1325">
        <v>0.65</v>
      </c>
      <c r="K1325"/>
    </row>
    <row r="1326">
      <c r="A1326" t="inlineStr">
        <is>
          <t>SURF_BRIJ_98</t>
        </is>
      </c>
      <c r="B1326" t="inlineStr">
        <is>
          <t>HLB</t>
        </is>
      </c>
      <c r="C1326">
        <v>15.3</v>
      </c>
      <c r="D1326" t="inlineStr">
        <is>
          <t>HLB</t>
        </is>
      </c>
      <c r="E1326"/>
      <c r="F1326"/>
      <c r="G1326" t="inlineStr">
        <is>
          <t>Griffin/Davies HLB literature/supplier value</t>
        </is>
      </c>
      <c r="H1326" t="inlineStr">
        <is>
          <t>S007_EXCIPIENTS_HANDBOOK</t>
        </is>
      </c>
      <c r="I1326" t="inlineStr">
        <is>
          <t>supplier-reported</t>
        </is>
      </c>
      <c r="J1326">
        <v>0.75</v>
      </c>
      <c r="K1326" t="inlineStr">
        <is>
          <t>Grade-dependent; use supplier CoA when available.</t>
        </is>
      </c>
    </row>
    <row r="1327">
      <c r="A1327" t="inlineStr">
        <is>
          <t>SURF_BRIJ_98</t>
        </is>
      </c>
      <c r="B1327" t="inlineStr">
        <is>
          <t>headgroup_type</t>
        </is>
      </c>
      <c r="C1327" t="inlineStr">
        <is>
          <t>polyoxyethylene fatty alcohol</t>
        </is>
      </c>
      <c r="D1327"/>
      <c r="E1327"/>
      <c r="F1327"/>
      <c r="G1327" t="inlineStr">
        <is>
          <t>manual class annotation</t>
        </is>
      </c>
      <c r="H1327" t="inlineStr">
        <is>
          <t>S007_EXCIPIENTS_HANDBOOK</t>
        </is>
      </c>
      <c r="I1327" t="inlineStr">
        <is>
          <t>curated</t>
        </is>
      </c>
      <c r="J1327">
        <v>0.75</v>
      </c>
      <c r="K1327"/>
    </row>
    <row r="1328">
      <c r="A1328" t="inlineStr">
        <is>
          <t>SURF_BRIJ_98</t>
        </is>
      </c>
      <c r="B1328" t="inlineStr">
        <is>
          <t>tail_chain</t>
        </is>
      </c>
      <c r="C1328" t="inlineStr">
        <is>
          <t>C18:1 oleyl + EO20</t>
        </is>
      </c>
      <c r="D1328"/>
      <c r="E1328"/>
      <c r="F1328"/>
      <c r="G1328" t="inlineStr">
        <is>
          <t>fatty-chain annotation</t>
        </is>
      </c>
      <c r="H1328" t="inlineStr">
        <is>
          <t>S007_EXCIPIENTS_HANDBOOK</t>
        </is>
      </c>
      <c r="I1328" t="inlineStr">
        <is>
          <t>curated</t>
        </is>
      </c>
      <c r="J1328">
        <v>0.8</v>
      </c>
      <c r="K1328"/>
    </row>
    <row r="1329">
      <c r="A1329" t="inlineStr">
        <is>
          <t>SURF_BRIJ_98</t>
        </is>
      </c>
      <c r="B1329" t="inlineStr">
        <is>
          <t>tail_carbons</t>
        </is>
      </c>
      <c r="C1329">
        <v>18</v>
      </c>
      <c r="D1329" t="inlineStr">
        <is>
          <t>count</t>
        </is>
      </c>
      <c r="E1329"/>
      <c r="F1329"/>
      <c r="G1329" t="inlineStr">
        <is>
          <t>fatty-chain annotation</t>
        </is>
      </c>
      <c r="H1329" t="inlineStr">
        <is>
          <t>S007_EXCIPIENTS_HANDBOOK</t>
        </is>
      </c>
      <c r="I1329" t="inlineStr">
        <is>
          <t>curated</t>
        </is>
      </c>
      <c r="J1329">
        <v>0.8</v>
      </c>
      <c r="K1329"/>
    </row>
    <row r="1330">
      <c r="A1330" t="inlineStr">
        <is>
          <t>SURF_BRIJ_98</t>
        </is>
      </c>
      <c r="B1330" t="inlineStr">
        <is>
          <t>tail_unsaturation</t>
        </is>
      </c>
      <c r="C1330">
        <v>1</v>
      </c>
      <c r="D1330" t="inlineStr">
        <is>
          <t>double_bonds</t>
        </is>
      </c>
      <c r="E1330"/>
      <c r="F1330"/>
      <c r="G1330" t="inlineStr">
        <is>
          <t>fatty-chain annotation</t>
        </is>
      </c>
      <c r="H1330" t="inlineStr">
        <is>
          <t>S007_EXCIPIENTS_HANDBOOK</t>
        </is>
      </c>
      <c r="I1330" t="inlineStr">
        <is>
          <t>curated</t>
        </is>
      </c>
      <c r="J1330">
        <v>0.8</v>
      </c>
      <c r="K1330"/>
    </row>
    <row r="1331">
      <c r="A1331" t="inlineStr">
        <is>
          <t>SURF_BRIJ_98</t>
        </is>
      </c>
      <c r="B1331" t="inlineStr">
        <is>
          <t>number_of_tails</t>
        </is>
      </c>
      <c r="C1331">
        <v>1</v>
      </c>
      <c r="D1331" t="inlineStr">
        <is>
          <t>count</t>
        </is>
      </c>
      <c r="E1331"/>
      <c r="F1331"/>
      <c r="G1331" t="inlineStr">
        <is>
          <t>fatty-chain annotation</t>
        </is>
      </c>
      <c r="H1331" t="inlineStr">
        <is>
          <t>S007_EXCIPIENTS_HANDBOOK</t>
        </is>
      </c>
      <c r="I1331" t="inlineStr">
        <is>
          <t>curated</t>
        </is>
      </c>
      <c r="J1331">
        <v>0.8</v>
      </c>
      <c r="K1331"/>
    </row>
    <row r="1332">
      <c r="A1332" t="inlineStr">
        <is>
          <t>SURF_BRIJ_98</t>
        </is>
      </c>
      <c r="B1332" t="inlineStr">
        <is>
          <t>charge_type</t>
        </is>
      </c>
      <c r="C1332" t="inlineStr">
        <is>
          <t>nonionic</t>
        </is>
      </c>
      <c r="D1332"/>
      <c r="E1332"/>
      <c r="F1332"/>
      <c r="G1332" t="inlineStr">
        <is>
          <t>ionization class</t>
        </is>
      </c>
      <c r="H1332" t="inlineStr">
        <is>
          <t>S007_EXCIPIENTS_HANDBOOK</t>
        </is>
      </c>
      <c r="I1332" t="inlineStr">
        <is>
          <t>curated</t>
        </is>
      </c>
      <c r="J1332">
        <v>0.85</v>
      </c>
      <c r="K1332"/>
    </row>
    <row r="1333">
      <c r="A1333" t="inlineStr">
        <is>
          <t>SURF_BRIJ_98</t>
        </is>
      </c>
      <c r="B1333" t="inlineStr">
        <is>
          <t>formal_charge</t>
        </is>
      </c>
      <c r="C1333">
        <v>0</v>
      </c>
      <c r="D1333" t="inlineStr">
        <is>
          <t>e</t>
        </is>
      </c>
      <c r="E1333"/>
      <c r="F1333"/>
      <c r="G1333" t="inlineStr">
        <is>
          <t>nominal at neutral pH</t>
        </is>
      </c>
      <c r="H1333" t="inlineStr">
        <is>
          <t>S007_EXCIPIENTS_HANDBOOK</t>
        </is>
      </c>
      <c r="I1333" t="inlineStr">
        <is>
          <t>curated</t>
        </is>
      </c>
      <c r="J1333">
        <v>0.85</v>
      </c>
      <c r="K1333"/>
    </row>
    <row r="1334">
      <c r="A1334" t="inlineStr">
        <is>
          <t>SURF_BRIJ_98</t>
        </is>
      </c>
      <c r="B1334" t="inlineStr">
        <is>
          <t>packing_role</t>
        </is>
      </c>
      <c r="C1334" t="inlineStr">
        <is>
          <t>edge activator / micellar solubilizer</t>
        </is>
      </c>
      <c r="D1334"/>
      <c r="E1334"/>
      <c r="F1334"/>
      <c r="G1334" t="inlineStr">
        <is>
          <t>HLB/chain-rule heuristic</t>
        </is>
      </c>
      <c r="H1334" t="inlineStr">
        <is>
          <t>S007_EXCIPIENTS_HANDBOOK</t>
        </is>
      </c>
      <c r="I1334" t="inlineStr">
        <is>
          <t>curated</t>
        </is>
      </c>
      <c r="J1334">
        <v>0.65</v>
      </c>
      <c r="K1334"/>
    </row>
    <row r="1335">
      <c r="A1335" t="inlineStr">
        <is>
          <t>SURF_BRIJ_98</t>
        </is>
      </c>
      <c r="B1335" t="inlineStr">
        <is>
          <t>edge_activator_flag</t>
        </is>
      </c>
      <c r="C1335" t="inlineStr">
        <is>
          <t>yes</t>
        </is>
      </c>
      <c r="D1335"/>
      <c r="E1335"/>
      <c r="F1335"/>
      <c r="G1335" t="inlineStr">
        <is>
          <t>HLB/charge heuristic</t>
        </is>
      </c>
      <c r="H1335" t="inlineStr">
        <is>
          <t>S007_EXCIPIENTS_HANDBOOK</t>
        </is>
      </c>
      <c r="I1335" t="inlineStr">
        <is>
          <t>curated</t>
        </is>
      </c>
      <c r="J1335">
        <v>0.7</v>
      </c>
      <c r="K1335"/>
    </row>
    <row r="1336">
      <c r="A1336" t="inlineStr">
        <is>
          <t>SURF_BRIJ_98</t>
        </is>
      </c>
      <c r="B1336" t="inlineStr">
        <is>
          <t>vesicle_anchor_flag</t>
        </is>
      </c>
      <c r="C1336" t="inlineStr">
        <is>
          <t>weak/conditional</t>
        </is>
      </c>
      <c r="D1336"/>
      <c r="E1336"/>
      <c r="F1336"/>
      <c r="G1336" t="inlineStr">
        <is>
          <t>chain-length and HLB heuristic</t>
        </is>
      </c>
      <c r="H1336" t="inlineStr">
        <is>
          <t>S007_EXCIPIENTS_HANDBOOK</t>
        </is>
      </c>
      <c r="I1336" t="inlineStr">
        <is>
          <t>curated</t>
        </is>
      </c>
      <c r="J1336">
        <v>0.7</v>
      </c>
      <c r="K1336"/>
    </row>
    <row r="1337">
      <c r="A1337" t="inlineStr">
        <is>
          <t>SURF_BRIJ_98</t>
        </is>
      </c>
      <c r="B1337" t="inlineStr">
        <is>
          <t>micellization_risk_flag</t>
        </is>
      </c>
      <c r="C1337" t="inlineStr">
        <is>
          <t>high</t>
        </is>
      </c>
      <c r="D1337"/>
      <c r="E1337"/>
      <c r="F1337"/>
      <c r="G1337" t="inlineStr">
        <is>
          <t>HLB heuristic</t>
        </is>
      </c>
      <c r="H1337" t="inlineStr">
        <is>
          <t>S007_EXCIPIENTS_HANDBOOK</t>
        </is>
      </c>
      <c r="I1337" t="inlineStr">
        <is>
          <t>curated</t>
        </is>
      </c>
      <c r="J1337">
        <v>0.65</v>
      </c>
      <c r="K1337"/>
    </row>
    <row r="1338">
      <c r="A1338" t="inlineStr">
        <is>
          <t>SURF_BRIJ_98</t>
        </is>
      </c>
      <c r="B1338" t="inlineStr">
        <is>
          <t>route_suitability</t>
        </is>
      </c>
      <c r="C1338" t="inlineStr">
        <is>
          <t>oral/topical; parenteral/inhalation only if grade and safety justified</t>
        </is>
      </c>
      <c r="D1338"/>
      <c r="E1338"/>
      <c r="F1338"/>
      <c r="G1338" t="inlineStr">
        <is>
          <t>route precedent heuristic</t>
        </is>
      </c>
      <c r="H1338" t="inlineStr">
        <is>
          <t>S008_FDA_IID</t>
        </is>
      </c>
      <c r="I1338" t="inlineStr">
        <is>
          <t>curated</t>
        </is>
      </c>
      <c r="J1338">
        <v>0.55</v>
      </c>
      <c r="K1338"/>
    </row>
    <row r="1339">
      <c r="A1339" t="inlineStr">
        <is>
          <t>SURF_BRIJ_98</t>
        </is>
      </c>
      <c r="B1339" t="inlineStr">
        <is>
          <t>toxicity_or_irritancy_notes</t>
        </is>
      </c>
      <c r="C1339" t="inlineStr">
        <is>
          <t>surfactant irritation/hemolysis is concentration-, route-, and grade-dependent; screen cytotoxicity and osmolality</t>
        </is>
      </c>
      <c r="D1339"/>
      <c r="E1339"/>
      <c r="F1339"/>
      <c r="G1339"/>
      <c r="H1339" t="inlineStr">
        <is>
          <t>S007_EXCIPIENTS_HANDBOOK</t>
        </is>
      </c>
      <c r="I1339" t="inlineStr">
        <is>
          <t>curated</t>
        </is>
      </c>
      <c r="J1339">
        <v>0.7</v>
      </c>
      <c r="K1339"/>
    </row>
    <row r="1340">
      <c r="A1340" t="inlineStr">
        <is>
          <t>SURF_BRIJ_98</t>
        </is>
      </c>
      <c r="B1340" t="inlineStr">
        <is>
          <t>Hansen_delta_D</t>
        </is>
      </c>
      <c r="C1340">
        <v>17.2</v>
      </c>
      <c r="D1340" t="inlineStr">
        <is>
          <t>MPa^0.5</t>
        </is>
      </c>
      <c r="E1340"/>
      <c r="F1340"/>
      <c r="G1340" t="inlineStr">
        <is>
          <t>heuristic group-contribution/nearest-neighbour</t>
        </is>
      </c>
      <c r="H1340" t="inlineStr">
        <is>
          <t>S013_EST_HSP_HEURISTIC</t>
        </is>
      </c>
      <c r="I1340" t="inlineStr">
        <is>
          <t>estimated</t>
        </is>
      </c>
      <c r="J1340">
        <v>0.4</v>
      </c>
      <c r="K1340" t="inlineStr">
        <is>
          <t>Provisional HSP for screening; replace with experimental/literature value before model lock.</t>
        </is>
      </c>
    </row>
    <row r="1341">
      <c r="A1341" t="inlineStr">
        <is>
          <t>SURF_BRIJ_98</t>
        </is>
      </c>
      <c r="B1341" t="inlineStr">
        <is>
          <t>Hansen_delta_P</t>
        </is>
      </c>
      <c r="C1341">
        <v>8.5</v>
      </c>
      <c r="D1341" t="inlineStr">
        <is>
          <t>MPa^0.5</t>
        </is>
      </c>
      <c r="E1341"/>
      <c r="F1341"/>
      <c r="G1341" t="inlineStr">
        <is>
          <t>heuristic group-contribution/nearest-neighbour</t>
        </is>
      </c>
      <c r="H1341" t="inlineStr">
        <is>
          <t>S013_EST_HSP_HEURISTIC</t>
        </is>
      </c>
      <c r="I1341" t="inlineStr">
        <is>
          <t>estimated</t>
        </is>
      </c>
      <c r="J1341">
        <v>0.4</v>
      </c>
      <c r="K1341" t="inlineStr">
        <is>
          <t>Provisional HSP for screening; replace with experimental/literature value before model lock.</t>
        </is>
      </c>
    </row>
    <row r="1342">
      <c r="A1342" t="inlineStr">
        <is>
          <t>SURF_BRIJ_98</t>
        </is>
      </c>
      <c r="B1342" t="inlineStr">
        <is>
          <t>Hansen_delta_H</t>
        </is>
      </c>
      <c r="C1342">
        <v>14.0</v>
      </c>
      <c r="D1342" t="inlineStr">
        <is>
          <t>MPa^0.5</t>
        </is>
      </c>
      <c r="E1342"/>
      <c r="F1342"/>
      <c r="G1342" t="inlineStr">
        <is>
          <t>heuristic group-contribution/nearest-neighbour</t>
        </is>
      </c>
      <c r="H1342" t="inlineStr">
        <is>
          <t>S013_EST_HSP_HEURISTIC</t>
        </is>
      </c>
      <c r="I1342" t="inlineStr">
        <is>
          <t>estimated</t>
        </is>
      </c>
      <c r="J1342">
        <v>0.4</v>
      </c>
      <c r="K1342" t="inlineStr">
        <is>
          <t>Provisional HSP for screening; replace with experimental/literature value before model lock.</t>
        </is>
      </c>
    </row>
    <row r="1343">
      <c r="A1343" t="inlineStr">
        <is>
          <t>SURF_BRIJ_98</t>
        </is>
      </c>
      <c r="B1343" t="inlineStr">
        <is>
          <t>Hildebrand_delta_T</t>
        </is>
      </c>
      <c r="C1343">
        <v>23.75</v>
      </c>
      <c r="D1343" t="inlineStr">
        <is>
          <t>MPa^0.5</t>
        </is>
      </c>
      <c r="E1343"/>
      <c r="F1343"/>
      <c r="G1343" t="inlineStr">
        <is>
          <t>sqrt(deltaD^2+deltaP^2+deltaH^2)</t>
        </is>
      </c>
      <c r="H1343" t="inlineStr">
        <is>
          <t>S012_CALCULATED</t>
        </is>
      </c>
      <c r="I1343" t="inlineStr">
        <is>
          <t>calculated</t>
        </is>
      </c>
      <c r="J1343">
        <v>0.45</v>
      </c>
      <c r="K1343" t="inlineStr">
        <is>
          <t>Derived from stored Hansen components.</t>
        </is>
      </c>
    </row>
    <row r="1344">
      <c r="A1344" t="inlineStr">
        <is>
          <t>SURF_BRIJ_98</t>
        </is>
      </c>
      <c r="B1344" t="inlineStr">
        <is>
          <t>HSP_radius_R0</t>
        </is>
      </c>
      <c r="C1344">
        <v>9.0</v>
      </c>
      <c r="D1344" t="inlineStr">
        <is>
          <t>MPa^0.5</t>
        </is>
      </c>
      <c r="E1344"/>
      <c r="F1344"/>
      <c r="G1344" t="inlineStr">
        <is>
          <t>literature/heuristic solubility sphere</t>
        </is>
      </c>
      <c r="H1344" t="inlineStr">
        <is>
          <t>S013_EST_HSP_HEURISTIC</t>
        </is>
      </c>
      <c r="I1344" t="inlineStr">
        <is>
          <t>estimated</t>
        </is>
      </c>
      <c r="J1344">
        <v>0.4</v>
      </c>
      <c r="K1344" t="inlineStr">
        <is>
          <t>Screening radius only unless experimentally determined.</t>
        </is>
      </c>
    </row>
    <row r="1345">
      <c r="A1345" t="inlineStr">
        <is>
          <t>SURF_BRIJ_98</t>
        </is>
      </c>
      <c r="B1345" t="inlineStr">
        <is>
          <t>molar_volume_cm3_mol</t>
        </is>
      </c>
      <c r="C1345">
        <v>1093.33</v>
      </c>
      <c r="D1345" t="inlineStr">
        <is>
          <t>cm3/mol</t>
        </is>
      </c>
      <c r="E1345"/>
      <c r="F1345"/>
      <c r="G1345" t="inlineStr">
        <is>
          <t>MW/density estimate</t>
        </is>
      </c>
      <c r="H1345" t="inlineStr">
        <is>
          <t>S012_CALCULATED</t>
        </is>
      </c>
      <c r="I1345" t="inlineStr">
        <is>
          <t>estimated</t>
        </is>
      </c>
      <c r="J1345">
        <v>0.42</v>
      </c>
      <c r="K1345" t="inlineStr">
        <is>
          <t>Estimated from MW/density; replace with measured molar volume or density-specific grade data.</t>
        </is>
      </c>
    </row>
    <row r="1346">
      <c r="A1346" t="inlineStr">
        <is>
          <t>SURF_BRIJ_98</t>
        </is>
      </c>
      <c r="B1346" t="inlineStr">
        <is>
          <t>headgroup_area_nm2</t>
        </is>
      </c>
      <c r="C1346">
        <v>0.705</v>
      </c>
      <c r="D1346" t="inlineStr">
        <is>
          <t>nm2</t>
        </is>
      </c>
      <c r="E1346"/>
      <c r="F1346"/>
      <c r="G1346" t="inlineStr">
        <is>
          <t>CPP screening heuristic</t>
        </is>
      </c>
      <c r="H1346" t="inlineStr">
        <is>
          <t>S013_EST_HSP_HEURISTIC</t>
        </is>
      </c>
      <c r="I1346" t="inlineStr">
        <is>
          <t>estimated</t>
        </is>
      </c>
      <c r="J1346">
        <v>0.35</v>
      </c>
      <c r="K1346" t="inlineStr">
        <is>
          <t>Replace with monolayer or MD-derived area per molecule for publication-grade CPP.</t>
        </is>
      </c>
    </row>
    <row r="1347">
      <c r="A1347" t="inlineStr">
        <is>
          <t>SURF_MYRJ_45</t>
        </is>
      </c>
      <c r="B1347" t="inlineStr">
        <is>
          <t>molecular_weight_g_mol</t>
        </is>
      </c>
      <c r="C1347">
        <v>600</v>
      </c>
      <c r="D1347" t="inlineStr">
        <is>
          <t>g/mol</t>
        </is>
      </c>
      <c r="E1347"/>
      <c r="F1347"/>
      <c r="G1347" t="inlineStr">
        <is>
          <t>supplier/handbook average for mixtures</t>
        </is>
      </c>
      <c r="H1347" t="inlineStr">
        <is>
          <t>S007_EXCIPIENTS_HANDBOOK</t>
        </is>
      </c>
      <c r="I1347" t="inlineStr">
        <is>
          <t>supplier-reported</t>
        </is>
      </c>
      <c r="J1347">
        <v>0.65</v>
      </c>
      <c r="K1347"/>
    </row>
    <row r="1348">
      <c r="A1348" t="inlineStr">
        <is>
          <t>SURF_MYRJ_45</t>
        </is>
      </c>
      <c r="B1348" t="inlineStr">
        <is>
          <t>HLB</t>
        </is>
      </c>
      <c r="C1348">
        <v>11.1</v>
      </c>
      <c r="D1348" t="inlineStr">
        <is>
          <t>HLB</t>
        </is>
      </c>
      <c r="E1348"/>
      <c r="F1348"/>
      <c r="G1348" t="inlineStr">
        <is>
          <t>Griffin/Davies HLB literature/supplier value</t>
        </is>
      </c>
      <c r="H1348" t="inlineStr">
        <is>
          <t>S007_EXCIPIENTS_HANDBOOK</t>
        </is>
      </c>
      <c r="I1348" t="inlineStr">
        <is>
          <t>supplier-reported</t>
        </is>
      </c>
      <c r="J1348">
        <v>0.75</v>
      </c>
      <c r="K1348" t="inlineStr">
        <is>
          <t>Grade-dependent; use supplier CoA when available.</t>
        </is>
      </c>
    </row>
    <row r="1349">
      <c r="A1349" t="inlineStr">
        <is>
          <t>SURF_MYRJ_45</t>
        </is>
      </c>
      <c r="B1349" t="inlineStr">
        <is>
          <t>headgroup_type</t>
        </is>
      </c>
      <c r="C1349" t="inlineStr">
        <is>
          <t>polyoxyl stearate</t>
        </is>
      </c>
      <c r="D1349"/>
      <c r="E1349"/>
      <c r="F1349"/>
      <c r="G1349" t="inlineStr">
        <is>
          <t>manual class annotation</t>
        </is>
      </c>
      <c r="H1349" t="inlineStr">
        <is>
          <t>S007_EXCIPIENTS_HANDBOOK</t>
        </is>
      </c>
      <c r="I1349" t="inlineStr">
        <is>
          <t>curated</t>
        </is>
      </c>
      <c r="J1349">
        <v>0.75</v>
      </c>
      <c r="K1349"/>
    </row>
    <row r="1350">
      <c r="A1350" t="inlineStr">
        <is>
          <t>SURF_MYRJ_45</t>
        </is>
      </c>
      <c r="B1350" t="inlineStr">
        <is>
          <t>tail_chain</t>
        </is>
      </c>
      <c r="C1350" t="inlineStr">
        <is>
          <t>C18:0 stearate + PEG</t>
        </is>
      </c>
      <c r="D1350"/>
      <c r="E1350"/>
      <c r="F1350"/>
      <c r="G1350" t="inlineStr">
        <is>
          <t>fatty-chain annotation</t>
        </is>
      </c>
      <c r="H1350" t="inlineStr">
        <is>
          <t>S007_EXCIPIENTS_HANDBOOK</t>
        </is>
      </c>
      <c r="I1350" t="inlineStr">
        <is>
          <t>curated</t>
        </is>
      </c>
      <c r="J1350">
        <v>0.8</v>
      </c>
      <c r="K1350"/>
    </row>
    <row r="1351">
      <c r="A1351" t="inlineStr">
        <is>
          <t>SURF_MYRJ_45</t>
        </is>
      </c>
      <c r="B1351" t="inlineStr">
        <is>
          <t>tail_carbons</t>
        </is>
      </c>
      <c r="C1351">
        <v>18</v>
      </c>
      <c r="D1351" t="inlineStr">
        <is>
          <t>count</t>
        </is>
      </c>
      <c r="E1351"/>
      <c r="F1351"/>
      <c r="G1351" t="inlineStr">
        <is>
          <t>fatty-chain annotation</t>
        </is>
      </c>
      <c r="H1351" t="inlineStr">
        <is>
          <t>S007_EXCIPIENTS_HANDBOOK</t>
        </is>
      </c>
      <c r="I1351" t="inlineStr">
        <is>
          <t>curated</t>
        </is>
      </c>
      <c r="J1351">
        <v>0.8</v>
      </c>
      <c r="K1351"/>
    </row>
    <row r="1352">
      <c r="A1352" t="inlineStr">
        <is>
          <t>SURF_MYRJ_45</t>
        </is>
      </c>
      <c r="B1352" t="inlineStr">
        <is>
          <t>tail_unsaturation</t>
        </is>
      </c>
      <c r="C1352">
        <v>0</v>
      </c>
      <c r="D1352" t="inlineStr">
        <is>
          <t>double_bonds</t>
        </is>
      </c>
      <c r="E1352"/>
      <c r="F1352"/>
      <c r="G1352" t="inlineStr">
        <is>
          <t>fatty-chain annotation</t>
        </is>
      </c>
      <c r="H1352" t="inlineStr">
        <is>
          <t>S007_EXCIPIENTS_HANDBOOK</t>
        </is>
      </c>
      <c r="I1352" t="inlineStr">
        <is>
          <t>curated</t>
        </is>
      </c>
      <c r="J1352">
        <v>0.8</v>
      </c>
      <c r="K1352"/>
    </row>
    <row r="1353">
      <c r="A1353" t="inlineStr">
        <is>
          <t>SURF_MYRJ_45</t>
        </is>
      </c>
      <c r="B1353" t="inlineStr">
        <is>
          <t>number_of_tails</t>
        </is>
      </c>
      <c r="C1353">
        <v>1</v>
      </c>
      <c r="D1353" t="inlineStr">
        <is>
          <t>count</t>
        </is>
      </c>
      <c r="E1353"/>
      <c r="F1353"/>
      <c r="G1353" t="inlineStr">
        <is>
          <t>fatty-chain annotation</t>
        </is>
      </c>
      <c r="H1353" t="inlineStr">
        <is>
          <t>S007_EXCIPIENTS_HANDBOOK</t>
        </is>
      </c>
      <c r="I1353" t="inlineStr">
        <is>
          <t>curated</t>
        </is>
      </c>
      <c r="J1353">
        <v>0.8</v>
      </c>
      <c r="K1353"/>
    </row>
    <row r="1354">
      <c r="A1354" t="inlineStr">
        <is>
          <t>SURF_MYRJ_45</t>
        </is>
      </c>
      <c r="B1354" t="inlineStr">
        <is>
          <t>charge_type</t>
        </is>
      </c>
      <c r="C1354" t="inlineStr">
        <is>
          <t>nonionic</t>
        </is>
      </c>
      <c r="D1354"/>
      <c r="E1354"/>
      <c r="F1354"/>
      <c r="G1354" t="inlineStr">
        <is>
          <t>ionization class</t>
        </is>
      </c>
      <c r="H1354" t="inlineStr">
        <is>
          <t>S007_EXCIPIENTS_HANDBOOK</t>
        </is>
      </c>
      <c r="I1354" t="inlineStr">
        <is>
          <t>curated</t>
        </is>
      </c>
      <c r="J1354">
        <v>0.85</v>
      </c>
      <c r="K1354"/>
    </row>
    <row r="1355">
      <c r="A1355" t="inlineStr">
        <is>
          <t>SURF_MYRJ_45</t>
        </is>
      </c>
      <c r="B1355" t="inlineStr">
        <is>
          <t>formal_charge</t>
        </is>
      </c>
      <c r="C1355">
        <v>0</v>
      </c>
      <c r="D1355" t="inlineStr">
        <is>
          <t>e</t>
        </is>
      </c>
      <c r="E1355"/>
      <c r="F1355"/>
      <c r="G1355" t="inlineStr">
        <is>
          <t>nominal at neutral pH</t>
        </is>
      </c>
      <c r="H1355" t="inlineStr">
        <is>
          <t>S007_EXCIPIENTS_HANDBOOK</t>
        </is>
      </c>
      <c r="I1355" t="inlineStr">
        <is>
          <t>curated</t>
        </is>
      </c>
      <c r="J1355">
        <v>0.85</v>
      </c>
      <c r="K1355"/>
    </row>
    <row r="1356">
      <c r="A1356" t="inlineStr">
        <is>
          <t>SURF_MYRJ_45</t>
        </is>
      </c>
      <c r="B1356" t="inlineStr">
        <is>
          <t>packing_role</t>
        </is>
      </c>
      <c r="C1356" t="inlineStr">
        <is>
          <t>edge activator / micellar solubilizer</t>
        </is>
      </c>
      <c r="D1356"/>
      <c r="E1356"/>
      <c r="F1356"/>
      <c r="G1356" t="inlineStr">
        <is>
          <t>HLB/chain-rule heuristic</t>
        </is>
      </c>
      <c r="H1356" t="inlineStr">
        <is>
          <t>S007_EXCIPIENTS_HANDBOOK</t>
        </is>
      </c>
      <c r="I1356" t="inlineStr">
        <is>
          <t>curated</t>
        </is>
      </c>
      <c r="J1356">
        <v>0.65</v>
      </c>
      <c r="K1356"/>
    </row>
    <row r="1357">
      <c r="A1357" t="inlineStr">
        <is>
          <t>SURF_MYRJ_45</t>
        </is>
      </c>
      <c r="B1357" t="inlineStr">
        <is>
          <t>edge_activator_flag</t>
        </is>
      </c>
      <c r="C1357" t="inlineStr">
        <is>
          <t>yes</t>
        </is>
      </c>
      <c r="D1357"/>
      <c r="E1357"/>
      <c r="F1357"/>
      <c r="G1357" t="inlineStr">
        <is>
          <t>HLB/charge heuristic</t>
        </is>
      </c>
      <c r="H1357" t="inlineStr">
        <is>
          <t>S007_EXCIPIENTS_HANDBOOK</t>
        </is>
      </c>
      <c r="I1357" t="inlineStr">
        <is>
          <t>curated</t>
        </is>
      </c>
      <c r="J1357">
        <v>0.7</v>
      </c>
      <c r="K1357"/>
    </row>
    <row r="1358">
      <c r="A1358" t="inlineStr">
        <is>
          <t>SURF_MYRJ_45</t>
        </is>
      </c>
      <c r="B1358" t="inlineStr">
        <is>
          <t>vesicle_anchor_flag</t>
        </is>
      </c>
      <c r="C1358" t="inlineStr">
        <is>
          <t>yes</t>
        </is>
      </c>
      <c r="D1358"/>
      <c r="E1358"/>
      <c r="F1358"/>
      <c r="G1358" t="inlineStr">
        <is>
          <t>chain-length and HLB heuristic</t>
        </is>
      </c>
      <c r="H1358" t="inlineStr">
        <is>
          <t>S007_EXCIPIENTS_HANDBOOK</t>
        </is>
      </c>
      <c r="I1358" t="inlineStr">
        <is>
          <t>curated</t>
        </is>
      </c>
      <c r="J1358">
        <v>0.7</v>
      </c>
      <c r="K1358"/>
    </row>
    <row r="1359">
      <c r="A1359" t="inlineStr">
        <is>
          <t>SURF_MYRJ_45</t>
        </is>
      </c>
      <c r="B1359" t="inlineStr">
        <is>
          <t>micellization_risk_flag</t>
        </is>
      </c>
      <c r="C1359" t="inlineStr">
        <is>
          <t>low-to-moderate</t>
        </is>
      </c>
      <c r="D1359"/>
      <c r="E1359"/>
      <c r="F1359"/>
      <c r="G1359" t="inlineStr">
        <is>
          <t>HLB heuristic</t>
        </is>
      </c>
      <c r="H1359" t="inlineStr">
        <is>
          <t>S007_EXCIPIENTS_HANDBOOK</t>
        </is>
      </c>
      <c r="I1359" t="inlineStr">
        <is>
          <t>curated</t>
        </is>
      </c>
      <c r="J1359">
        <v>0.65</v>
      </c>
      <c r="K1359"/>
    </row>
    <row r="1360">
      <c r="A1360" t="inlineStr">
        <is>
          <t>SURF_MYRJ_45</t>
        </is>
      </c>
      <c r="B1360" t="inlineStr">
        <is>
          <t>route_suitability</t>
        </is>
      </c>
      <c r="C1360" t="inlineStr">
        <is>
          <t>oral/topical; parenteral/inhalation only if grade and safety justified</t>
        </is>
      </c>
      <c r="D1360"/>
      <c r="E1360"/>
      <c r="F1360"/>
      <c r="G1360" t="inlineStr">
        <is>
          <t>route precedent heuristic</t>
        </is>
      </c>
      <c r="H1360" t="inlineStr">
        <is>
          <t>S008_FDA_IID</t>
        </is>
      </c>
      <c r="I1360" t="inlineStr">
        <is>
          <t>curated</t>
        </is>
      </c>
      <c r="J1360">
        <v>0.55</v>
      </c>
      <c r="K1360"/>
    </row>
    <row r="1361">
      <c r="A1361" t="inlineStr">
        <is>
          <t>SURF_MYRJ_45</t>
        </is>
      </c>
      <c r="B1361" t="inlineStr">
        <is>
          <t>toxicity_or_irritancy_notes</t>
        </is>
      </c>
      <c r="C1361" t="inlineStr">
        <is>
          <t>surfactant irritation/hemolysis is concentration-, route-, and grade-dependent; screen cytotoxicity and osmolality</t>
        </is>
      </c>
      <c r="D1361"/>
      <c r="E1361"/>
      <c r="F1361"/>
      <c r="G1361"/>
      <c r="H1361" t="inlineStr">
        <is>
          <t>S007_EXCIPIENTS_HANDBOOK</t>
        </is>
      </c>
      <c r="I1361" t="inlineStr">
        <is>
          <t>curated</t>
        </is>
      </c>
      <c r="J1361">
        <v>0.7</v>
      </c>
      <c r="K1361"/>
    </row>
    <row r="1362">
      <c r="A1362" t="inlineStr">
        <is>
          <t>SURF_MYRJ_45</t>
        </is>
      </c>
      <c r="B1362" t="inlineStr">
        <is>
          <t>Hansen_delta_D</t>
        </is>
      </c>
      <c r="C1362">
        <v>17.3</v>
      </c>
      <c r="D1362" t="inlineStr">
        <is>
          <t>MPa^0.5</t>
        </is>
      </c>
      <c r="E1362"/>
      <c r="F1362"/>
      <c r="G1362" t="inlineStr">
        <is>
          <t>heuristic group-contribution/nearest-neighbour</t>
        </is>
      </c>
      <c r="H1362" t="inlineStr">
        <is>
          <t>S013_EST_HSP_HEURISTIC</t>
        </is>
      </c>
      <c r="I1362" t="inlineStr">
        <is>
          <t>estimated</t>
        </is>
      </c>
      <c r="J1362">
        <v>0.4</v>
      </c>
      <c r="K1362" t="inlineStr">
        <is>
          <t>Provisional HSP for screening; replace with experimental/literature value before model lock.</t>
        </is>
      </c>
    </row>
    <row r="1363">
      <c r="A1363" t="inlineStr">
        <is>
          <t>SURF_MYRJ_45</t>
        </is>
      </c>
      <c r="B1363" t="inlineStr">
        <is>
          <t>Hansen_delta_P</t>
        </is>
      </c>
      <c r="C1363">
        <v>6.5</v>
      </c>
      <c r="D1363" t="inlineStr">
        <is>
          <t>MPa^0.5</t>
        </is>
      </c>
      <c r="E1363"/>
      <c r="F1363"/>
      <c r="G1363" t="inlineStr">
        <is>
          <t>heuristic group-contribution/nearest-neighbour</t>
        </is>
      </c>
      <c r="H1363" t="inlineStr">
        <is>
          <t>S013_EST_HSP_HEURISTIC</t>
        </is>
      </c>
      <c r="I1363" t="inlineStr">
        <is>
          <t>estimated</t>
        </is>
      </c>
      <c r="J1363">
        <v>0.4</v>
      </c>
      <c r="K1363" t="inlineStr">
        <is>
          <t>Provisional HSP for screening; replace with experimental/literature value before model lock.</t>
        </is>
      </c>
    </row>
    <row r="1364">
      <c r="A1364" t="inlineStr">
        <is>
          <t>SURF_MYRJ_45</t>
        </is>
      </c>
      <c r="B1364" t="inlineStr">
        <is>
          <t>Hansen_delta_H</t>
        </is>
      </c>
      <c r="C1364">
        <v>10.5</v>
      </c>
      <c r="D1364" t="inlineStr">
        <is>
          <t>MPa^0.5</t>
        </is>
      </c>
      <c r="E1364"/>
      <c r="F1364"/>
      <c r="G1364" t="inlineStr">
        <is>
          <t>heuristic group-contribution/nearest-neighbour</t>
        </is>
      </c>
      <c r="H1364" t="inlineStr">
        <is>
          <t>S013_EST_HSP_HEURISTIC</t>
        </is>
      </c>
      <c r="I1364" t="inlineStr">
        <is>
          <t>estimated</t>
        </is>
      </c>
      <c r="J1364">
        <v>0.4</v>
      </c>
      <c r="K1364" t="inlineStr">
        <is>
          <t>Provisional HSP for screening; replace with experimental/literature value before model lock.</t>
        </is>
      </c>
    </row>
    <row r="1365">
      <c r="A1365" t="inlineStr">
        <is>
          <t>SURF_MYRJ_45</t>
        </is>
      </c>
      <c r="B1365" t="inlineStr">
        <is>
          <t>Hildebrand_delta_T</t>
        </is>
      </c>
      <c r="C1365">
        <v>21.26</v>
      </c>
      <c r="D1365" t="inlineStr">
        <is>
          <t>MPa^0.5</t>
        </is>
      </c>
      <c r="E1365"/>
      <c r="F1365"/>
      <c r="G1365" t="inlineStr">
        <is>
          <t>sqrt(deltaD^2+deltaP^2+deltaH^2)</t>
        </is>
      </c>
      <c r="H1365" t="inlineStr">
        <is>
          <t>S012_CALCULATED</t>
        </is>
      </c>
      <c r="I1365" t="inlineStr">
        <is>
          <t>calculated</t>
        </is>
      </c>
      <c r="J1365">
        <v>0.45</v>
      </c>
      <c r="K1365" t="inlineStr">
        <is>
          <t>Derived from stored Hansen components.</t>
        </is>
      </c>
    </row>
    <row r="1366">
      <c r="A1366" t="inlineStr">
        <is>
          <t>SURF_MYRJ_45</t>
        </is>
      </c>
      <c r="B1366" t="inlineStr">
        <is>
          <t>HSP_radius_R0</t>
        </is>
      </c>
      <c r="C1366">
        <v>8.0</v>
      </c>
      <c r="D1366" t="inlineStr">
        <is>
          <t>MPa^0.5</t>
        </is>
      </c>
      <c r="E1366"/>
      <c r="F1366"/>
      <c r="G1366" t="inlineStr">
        <is>
          <t>literature/heuristic solubility sphere</t>
        </is>
      </c>
      <c r="H1366" t="inlineStr">
        <is>
          <t>S013_EST_HSP_HEURISTIC</t>
        </is>
      </c>
      <c r="I1366" t="inlineStr">
        <is>
          <t>estimated</t>
        </is>
      </c>
      <c r="J1366">
        <v>0.4</v>
      </c>
      <c r="K1366" t="inlineStr">
        <is>
          <t>Screening radius only unless experimentally determined.</t>
        </is>
      </c>
    </row>
    <row r="1367">
      <c r="A1367" t="inlineStr">
        <is>
          <t>SURF_MYRJ_45</t>
        </is>
      </c>
      <c r="B1367" t="inlineStr">
        <is>
          <t>molar_volume_cm3_mol</t>
        </is>
      </c>
      <c r="C1367">
        <v>571.43</v>
      </c>
      <c r="D1367" t="inlineStr">
        <is>
          <t>cm3/mol</t>
        </is>
      </c>
      <c r="E1367"/>
      <c r="F1367"/>
      <c r="G1367" t="inlineStr">
        <is>
          <t>MW/density estimate</t>
        </is>
      </c>
      <c r="H1367" t="inlineStr">
        <is>
          <t>S012_CALCULATED</t>
        </is>
      </c>
      <c r="I1367" t="inlineStr">
        <is>
          <t>estimated</t>
        </is>
      </c>
      <c r="J1367">
        <v>0.42</v>
      </c>
      <c r="K1367" t="inlineStr">
        <is>
          <t>Estimated from MW/density; replace with measured molar volume or density-specific grade data.</t>
        </is>
      </c>
    </row>
    <row r="1368">
      <c r="A1368" t="inlineStr">
        <is>
          <t>SURF_MYRJ_45</t>
        </is>
      </c>
      <c r="B1368" t="inlineStr">
        <is>
          <t>headgroup_area_nm2</t>
        </is>
      </c>
      <c r="C1368">
        <v>0.55</v>
      </c>
      <c r="D1368" t="inlineStr">
        <is>
          <t>nm2</t>
        </is>
      </c>
      <c r="E1368"/>
      <c r="F1368"/>
      <c r="G1368" t="inlineStr">
        <is>
          <t>CPP screening heuristic</t>
        </is>
      </c>
      <c r="H1368" t="inlineStr">
        <is>
          <t>S013_EST_HSP_HEURISTIC</t>
        </is>
      </c>
      <c r="I1368" t="inlineStr">
        <is>
          <t>estimated</t>
        </is>
      </c>
      <c r="J1368">
        <v>0.35</v>
      </c>
      <c r="K1368" t="inlineStr">
        <is>
          <t>Replace with monolayer or MD-derived area per molecule for publication-grade CPP.</t>
        </is>
      </c>
    </row>
    <row r="1369">
      <c r="A1369" t="inlineStr">
        <is>
          <t>SURF_MYRJ_49</t>
        </is>
      </c>
      <c r="B1369" t="inlineStr">
        <is>
          <t>molecular_weight_g_mol</t>
        </is>
      </c>
      <c r="C1369">
        <v>880</v>
      </c>
      <c r="D1369" t="inlineStr">
        <is>
          <t>g/mol</t>
        </is>
      </c>
      <c r="E1369"/>
      <c r="F1369"/>
      <c r="G1369" t="inlineStr">
        <is>
          <t>supplier/handbook average for mixtures</t>
        </is>
      </c>
      <c r="H1369" t="inlineStr">
        <is>
          <t>S007_EXCIPIENTS_HANDBOOK</t>
        </is>
      </c>
      <c r="I1369" t="inlineStr">
        <is>
          <t>supplier-reported</t>
        </is>
      </c>
      <c r="J1369">
        <v>0.65</v>
      </c>
      <c r="K1369"/>
    </row>
    <row r="1370">
      <c r="A1370" t="inlineStr">
        <is>
          <t>SURF_MYRJ_49</t>
        </is>
      </c>
      <c r="B1370" t="inlineStr">
        <is>
          <t>HLB</t>
        </is>
      </c>
      <c r="C1370">
        <v>15.0</v>
      </c>
      <c r="D1370" t="inlineStr">
        <is>
          <t>HLB</t>
        </is>
      </c>
      <c r="E1370"/>
      <c r="F1370"/>
      <c r="G1370" t="inlineStr">
        <is>
          <t>Griffin/Davies HLB literature/supplier value</t>
        </is>
      </c>
      <c r="H1370" t="inlineStr">
        <is>
          <t>S007_EXCIPIENTS_HANDBOOK</t>
        </is>
      </c>
      <c r="I1370" t="inlineStr">
        <is>
          <t>supplier-reported</t>
        </is>
      </c>
      <c r="J1370">
        <v>0.75</v>
      </c>
      <c r="K1370" t="inlineStr">
        <is>
          <t>Grade-dependent; use supplier CoA when available.</t>
        </is>
      </c>
    </row>
    <row r="1371">
      <c r="A1371" t="inlineStr">
        <is>
          <t>SURF_MYRJ_49</t>
        </is>
      </c>
      <c r="B1371" t="inlineStr">
        <is>
          <t>headgroup_type</t>
        </is>
      </c>
      <c r="C1371" t="inlineStr">
        <is>
          <t>polyoxyl stearate</t>
        </is>
      </c>
      <c r="D1371"/>
      <c r="E1371"/>
      <c r="F1371"/>
      <c r="G1371" t="inlineStr">
        <is>
          <t>manual class annotation</t>
        </is>
      </c>
      <c r="H1371" t="inlineStr">
        <is>
          <t>S007_EXCIPIENTS_HANDBOOK</t>
        </is>
      </c>
      <c r="I1371" t="inlineStr">
        <is>
          <t>curated</t>
        </is>
      </c>
      <c r="J1371">
        <v>0.75</v>
      </c>
      <c r="K1371"/>
    </row>
    <row r="1372">
      <c r="A1372" t="inlineStr">
        <is>
          <t>SURF_MYRJ_49</t>
        </is>
      </c>
      <c r="B1372" t="inlineStr">
        <is>
          <t>tail_chain</t>
        </is>
      </c>
      <c r="C1372" t="inlineStr">
        <is>
          <t>C18:0 stearate + PEG</t>
        </is>
      </c>
      <c r="D1372"/>
      <c r="E1372"/>
      <c r="F1372"/>
      <c r="G1372" t="inlineStr">
        <is>
          <t>fatty-chain annotation</t>
        </is>
      </c>
      <c r="H1372" t="inlineStr">
        <is>
          <t>S007_EXCIPIENTS_HANDBOOK</t>
        </is>
      </c>
      <c r="I1372" t="inlineStr">
        <is>
          <t>curated</t>
        </is>
      </c>
      <c r="J1372">
        <v>0.8</v>
      </c>
      <c r="K1372"/>
    </row>
    <row r="1373">
      <c r="A1373" t="inlineStr">
        <is>
          <t>SURF_MYRJ_49</t>
        </is>
      </c>
      <c r="B1373" t="inlineStr">
        <is>
          <t>tail_carbons</t>
        </is>
      </c>
      <c r="C1373">
        <v>18</v>
      </c>
      <c r="D1373" t="inlineStr">
        <is>
          <t>count</t>
        </is>
      </c>
      <c r="E1373"/>
      <c r="F1373"/>
      <c r="G1373" t="inlineStr">
        <is>
          <t>fatty-chain annotation</t>
        </is>
      </c>
      <c r="H1373" t="inlineStr">
        <is>
          <t>S007_EXCIPIENTS_HANDBOOK</t>
        </is>
      </c>
      <c r="I1373" t="inlineStr">
        <is>
          <t>curated</t>
        </is>
      </c>
      <c r="J1373">
        <v>0.8</v>
      </c>
      <c r="K1373"/>
    </row>
    <row r="1374">
      <c r="A1374" t="inlineStr">
        <is>
          <t>SURF_MYRJ_49</t>
        </is>
      </c>
      <c r="B1374" t="inlineStr">
        <is>
          <t>tail_unsaturation</t>
        </is>
      </c>
      <c r="C1374">
        <v>0</v>
      </c>
      <c r="D1374" t="inlineStr">
        <is>
          <t>double_bonds</t>
        </is>
      </c>
      <c r="E1374"/>
      <c r="F1374"/>
      <c r="G1374" t="inlineStr">
        <is>
          <t>fatty-chain annotation</t>
        </is>
      </c>
      <c r="H1374" t="inlineStr">
        <is>
          <t>S007_EXCIPIENTS_HANDBOOK</t>
        </is>
      </c>
      <c r="I1374" t="inlineStr">
        <is>
          <t>curated</t>
        </is>
      </c>
      <c r="J1374">
        <v>0.8</v>
      </c>
      <c r="K1374"/>
    </row>
    <row r="1375">
      <c r="A1375" t="inlineStr">
        <is>
          <t>SURF_MYRJ_49</t>
        </is>
      </c>
      <c r="B1375" t="inlineStr">
        <is>
          <t>number_of_tails</t>
        </is>
      </c>
      <c r="C1375">
        <v>1</v>
      </c>
      <c r="D1375" t="inlineStr">
        <is>
          <t>count</t>
        </is>
      </c>
      <c r="E1375"/>
      <c r="F1375"/>
      <c r="G1375" t="inlineStr">
        <is>
          <t>fatty-chain annotation</t>
        </is>
      </c>
      <c r="H1375" t="inlineStr">
        <is>
          <t>S007_EXCIPIENTS_HANDBOOK</t>
        </is>
      </c>
      <c r="I1375" t="inlineStr">
        <is>
          <t>curated</t>
        </is>
      </c>
      <c r="J1375">
        <v>0.8</v>
      </c>
      <c r="K1375"/>
    </row>
    <row r="1376">
      <c r="A1376" t="inlineStr">
        <is>
          <t>SURF_MYRJ_49</t>
        </is>
      </c>
      <c r="B1376" t="inlineStr">
        <is>
          <t>charge_type</t>
        </is>
      </c>
      <c r="C1376" t="inlineStr">
        <is>
          <t>nonionic</t>
        </is>
      </c>
      <c r="D1376"/>
      <c r="E1376"/>
      <c r="F1376"/>
      <c r="G1376" t="inlineStr">
        <is>
          <t>ionization class</t>
        </is>
      </c>
      <c r="H1376" t="inlineStr">
        <is>
          <t>S007_EXCIPIENTS_HANDBOOK</t>
        </is>
      </c>
      <c r="I1376" t="inlineStr">
        <is>
          <t>curated</t>
        </is>
      </c>
      <c r="J1376">
        <v>0.85</v>
      </c>
      <c r="K1376"/>
    </row>
    <row r="1377">
      <c r="A1377" t="inlineStr">
        <is>
          <t>SURF_MYRJ_49</t>
        </is>
      </c>
      <c r="B1377" t="inlineStr">
        <is>
          <t>formal_charge</t>
        </is>
      </c>
      <c r="C1377">
        <v>0</v>
      </c>
      <c r="D1377" t="inlineStr">
        <is>
          <t>e</t>
        </is>
      </c>
      <c r="E1377"/>
      <c r="F1377"/>
      <c r="G1377" t="inlineStr">
        <is>
          <t>nominal at neutral pH</t>
        </is>
      </c>
      <c r="H1377" t="inlineStr">
        <is>
          <t>S007_EXCIPIENTS_HANDBOOK</t>
        </is>
      </c>
      <c r="I1377" t="inlineStr">
        <is>
          <t>curated</t>
        </is>
      </c>
      <c r="J1377">
        <v>0.85</v>
      </c>
      <c r="K1377"/>
    </row>
    <row r="1378">
      <c r="A1378" t="inlineStr">
        <is>
          <t>SURF_MYRJ_49</t>
        </is>
      </c>
      <c r="B1378" t="inlineStr">
        <is>
          <t>packing_role</t>
        </is>
      </c>
      <c r="C1378" t="inlineStr">
        <is>
          <t>edge activator / micellar solubilizer</t>
        </is>
      </c>
      <c r="D1378"/>
      <c r="E1378"/>
      <c r="F1378"/>
      <c r="G1378" t="inlineStr">
        <is>
          <t>HLB/chain-rule heuristic</t>
        </is>
      </c>
      <c r="H1378" t="inlineStr">
        <is>
          <t>S007_EXCIPIENTS_HANDBOOK</t>
        </is>
      </c>
      <c r="I1378" t="inlineStr">
        <is>
          <t>curated</t>
        </is>
      </c>
      <c r="J1378">
        <v>0.65</v>
      </c>
      <c r="K1378"/>
    </row>
    <row r="1379">
      <c r="A1379" t="inlineStr">
        <is>
          <t>SURF_MYRJ_49</t>
        </is>
      </c>
      <c r="B1379" t="inlineStr">
        <is>
          <t>edge_activator_flag</t>
        </is>
      </c>
      <c r="C1379" t="inlineStr">
        <is>
          <t>yes</t>
        </is>
      </c>
      <c r="D1379"/>
      <c r="E1379"/>
      <c r="F1379"/>
      <c r="G1379" t="inlineStr">
        <is>
          <t>HLB/charge heuristic</t>
        </is>
      </c>
      <c r="H1379" t="inlineStr">
        <is>
          <t>S007_EXCIPIENTS_HANDBOOK</t>
        </is>
      </c>
      <c r="I1379" t="inlineStr">
        <is>
          <t>curated</t>
        </is>
      </c>
      <c r="J1379">
        <v>0.7</v>
      </c>
      <c r="K1379"/>
    </row>
    <row r="1380">
      <c r="A1380" t="inlineStr">
        <is>
          <t>SURF_MYRJ_49</t>
        </is>
      </c>
      <c r="B1380" t="inlineStr">
        <is>
          <t>vesicle_anchor_flag</t>
        </is>
      </c>
      <c r="C1380" t="inlineStr">
        <is>
          <t>weak/conditional</t>
        </is>
      </c>
      <c r="D1380"/>
      <c r="E1380"/>
      <c r="F1380"/>
      <c r="G1380" t="inlineStr">
        <is>
          <t>chain-length and HLB heuristic</t>
        </is>
      </c>
      <c r="H1380" t="inlineStr">
        <is>
          <t>S007_EXCIPIENTS_HANDBOOK</t>
        </is>
      </c>
      <c r="I1380" t="inlineStr">
        <is>
          <t>curated</t>
        </is>
      </c>
      <c r="J1380">
        <v>0.7</v>
      </c>
      <c r="K1380"/>
    </row>
    <row r="1381">
      <c r="A1381" t="inlineStr">
        <is>
          <t>SURF_MYRJ_49</t>
        </is>
      </c>
      <c r="B1381" t="inlineStr">
        <is>
          <t>micellization_risk_flag</t>
        </is>
      </c>
      <c r="C1381" t="inlineStr">
        <is>
          <t>high</t>
        </is>
      </c>
      <c r="D1381"/>
      <c r="E1381"/>
      <c r="F1381"/>
      <c r="G1381" t="inlineStr">
        <is>
          <t>HLB heuristic</t>
        </is>
      </c>
      <c r="H1381" t="inlineStr">
        <is>
          <t>S007_EXCIPIENTS_HANDBOOK</t>
        </is>
      </c>
      <c r="I1381" t="inlineStr">
        <is>
          <t>curated</t>
        </is>
      </c>
      <c r="J1381">
        <v>0.65</v>
      </c>
      <c r="K1381"/>
    </row>
    <row r="1382">
      <c r="A1382" t="inlineStr">
        <is>
          <t>SURF_MYRJ_49</t>
        </is>
      </c>
      <c r="B1382" t="inlineStr">
        <is>
          <t>route_suitability</t>
        </is>
      </c>
      <c r="C1382" t="inlineStr">
        <is>
          <t>oral/topical; parenteral/inhalation only if grade and safety justified</t>
        </is>
      </c>
      <c r="D1382"/>
      <c r="E1382"/>
      <c r="F1382"/>
      <c r="G1382" t="inlineStr">
        <is>
          <t>route precedent heuristic</t>
        </is>
      </c>
      <c r="H1382" t="inlineStr">
        <is>
          <t>S008_FDA_IID</t>
        </is>
      </c>
      <c r="I1382" t="inlineStr">
        <is>
          <t>curated</t>
        </is>
      </c>
      <c r="J1382">
        <v>0.55</v>
      </c>
      <c r="K1382"/>
    </row>
    <row r="1383">
      <c r="A1383" t="inlineStr">
        <is>
          <t>SURF_MYRJ_49</t>
        </is>
      </c>
      <c r="B1383" t="inlineStr">
        <is>
          <t>toxicity_or_irritancy_notes</t>
        </is>
      </c>
      <c r="C1383" t="inlineStr">
        <is>
          <t>surfactant irritation/hemolysis is concentration-, route-, and grade-dependent; screen cytotoxicity and osmolality</t>
        </is>
      </c>
      <c r="D1383"/>
      <c r="E1383"/>
      <c r="F1383"/>
      <c r="G1383"/>
      <c r="H1383" t="inlineStr">
        <is>
          <t>S007_EXCIPIENTS_HANDBOOK</t>
        </is>
      </c>
      <c r="I1383" t="inlineStr">
        <is>
          <t>curated</t>
        </is>
      </c>
      <c r="J1383">
        <v>0.7</v>
      </c>
      <c r="K1383"/>
    </row>
    <row r="1384">
      <c r="A1384" t="inlineStr">
        <is>
          <t>SURF_MYRJ_49</t>
        </is>
      </c>
      <c r="B1384" t="inlineStr">
        <is>
          <t>Hansen_delta_D</t>
        </is>
      </c>
      <c r="C1384">
        <v>17.2</v>
      </c>
      <c r="D1384" t="inlineStr">
        <is>
          <t>MPa^0.5</t>
        </is>
      </c>
      <c r="E1384"/>
      <c r="F1384"/>
      <c r="G1384" t="inlineStr">
        <is>
          <t>heuristic group-contribution/nearest-neighbour</t>
        </is>
      </c>
      <c r="H1384" t="inlineStr">
        <is>
          <t>S013_EST_HSP_HEURISTIC</t>
        </is>
      </c>
      <c r="I1384" t="inlineStr">
        <is>
          <t>estimated</t>
        </is>
      </c>
      <c r="J1384">
        <v>0.4</v>
      </c>
      <c r="K1384" t="inlineStr">
        <is>
          <t>Provisional HSP for screening; replace with experimental/literature value before model lock.</t>
        </is>
      </c>
    </row>
    <row r="1385">
      <c r="A1385" t="inlineStr">
        <is>
          <t>SURF_MYRJ_49</t>
        </is>
      </c>
      <c r="B1385" t="inlineStr">
        <is>
          <t>Hansen_delta_P</t>
        </is>
      </c>
      <c r="C1385">
        <v>8.5</v>
      </c>
      <c r="D1385" t="inlineStr">
        <is>
          <t>MPa^0.5</t>
        </is>
      </c>
      <c r="E1385"/>
      <c r="F1385"/>
      <c r="G1385" t="inlineStr">
        <is>
          <t>heuristic group-contribution/nearest-neighbour</t>
        </is>
      </c>
      <c r="H1385" t="inlineStr">
        <is>
          <t>S013_EST_HSP_HEURISTIC</t>
        </is>
      </c>
      <c r="I1385" t="inlineStr">
        <is>
          <t>estimated</t>
        </is>
      </c>
      <c r="J1385">
        <v>0.4</v>
      </c>
      <c r="K1385" t="inlineStr">
        <is>
          <t>Provisional HSP for screening; replace with experimental/literature value before model lock.</t>
        </is>
      </c>
    </row>
    <row r="1386">
      <c r="A1386" t="inlineStr">
        <is>
          <t>SURF_MYRJ_49</t>
        </is>
      </c>
      <c r="B1386" t="inlineStr">
        <is>
          <t>Hansen_delta_H</t>
        </is>
      </c>
      <c r="C1386">
        <v>14.0</v>
      </c>
      <c r="D1386" t="inlineStr">
        <is>
          <t>MPa^0.5</t>
        </is>
      </c>
      <c r="E1386"/>
      <c r="F1386"/>
      <c r="G1386" t="inlineStr">
        <is>
          <t>heuristic group-contribution/nearest-neighbour</t>
        </is>
      </c>
      <c r="H1386" t="inlineStr">
        <is>
          <t>S013_EST_HSP_HEURISTIC</t>
        </is>
      </c>
      <c r="I1386" t="inlineStr">
        <is>
          <t>estimated</t>
        </is>
      </c>
      <c r="J1386">
        <v>0.4</v>
      </c>
      <c r="K1386" t="inlineStr">
        <is>
          <t>Provisional HSP for screening; replace with experimental/literature value before model lock.</t>
        </is>
      </c>
    </row>
    <row r="1387">
      <c r="A1387" t="inlineStr">
        <is>
          <t>SURF_MYRJ_49</t>
        </is>
      </c>
      <c r="B1387" t="inlineStr">
        <is>
          <t>Hildebrand_delta_T</t>
        </is>
      </c>
      <c r="C1387">
        <v>23.75</v>
      </c>
      <c r="D1387" t="inlineStr">
        <is>
          <t>MPa^0.5</t>
        </is>
      </c>
      <c r="E1387"/>
      <c r="F1387"/>
      <c r="G1387" t="inlineStr">
        <is>
          <t>sqrt(deltaD^2+deltaP^2+deltaH^2)</t>
        </is>
      </c>
      <c r="H1387" t="inlineStr">
        <is>
          <t>S012_CALCULATED</t>
        </is>
      </c>
      <c r="I1387" t="inlineStr">
        <is>
          <t>calculated</t>
        </is>
      </c>
      <c r="J1387">
        <v>0.45</v>
      </c>
      <c r="K1387" t="inlineStr">
        <is>
          <t>Derived from stored Hansen components.</t>
        </is>
      </c>
    </row>
    <row r="1388">
      <c r="A1388" t="inlineStr">
        <is>
          <t>SURF_MYRJ_49</t>
        </is>
      </c>
      <c r="B1388" t="inlineStr">
        <is>
          <t>HSP_radius_R0</t>
        </is>
      </c>
      <c r="C1388">
        <v>9.0</v>
      </c>
      <c r="D1388" t="inlineStr">
        <is>
          <t>MPa^0.5</t>
        </is>
      </c>
      <c r="E1388"/>
      <c r="F1388"/>
      <c r="G1388" t="inlineStr">
        <is>
          <t>literature/heuristic solubility sphere</t>
        </is>
      </c>
      <c r="H1388" t="inlineStr">
        <is>
          <t>S013_EST_HSP_HEURISTIC</t>
        </is>
      </c>
      <c r="I1388" t="inlineStr">
        <is>
          <t>estimated</t>
        </is>
      </c>
      <c r="J1388">
        <v>0.4</v>
      </c>
      <c r="K1388" t="inlineStr">
        <is>
          <t>Screening radius only unless experimentally determined.</t>
        </is>
      </c>
    </row>
    <row r="1389">
      <c r="A1389" t="inlineStr">
        <is>
          <t>SURF_MYRJ_49</t>
        </is>
      </c>
      <c r="B1389" t="inlineStr">
        <is>
          <t>molar_volume_cm3_mol</t>
        </is>
      </c>
      <c r="C1389">
        <v>838.1</v>
      </c>
      <c r="D1389" t="inlineStr">
        <is>
          <t>cm3/mol</t>
        </is>
      </c>
      <c r="E1389"/>
      <c r="F1389"/>
      <c r="G1389" t="inlineStr">
        <is>
          <t>MW/density estimate</t>
        </is>
      </c>
      <c r="H1389" t="inlineStr">
        <is>
          <t>S012_CALCULATED</t>
        </is>
      </c>
      <c r="I1389" t="inlineStr">
        <is>
          <t>estimated</t>
        </is>
      </c>
      <c r="J1389">
        <v>0.42</v>
      </c>
      <c r="K1389" t="inlineStr">
        <is>
          <t>Estimated from MW/density; replace with measured molar volume or density-specific grade data.</t>
        </is>
      </c>
    </row>
    <row r="1390">
      <c r="A1390" t="inlineStr">
        <is>
          <t>SURF_MYRJ_49</t>
        </is>
      </c>
      <c r="B1390" t="inlineStr">
        <is>
          <t>headgroup_area_nm2</t>
        </is>
      </c>
      <c r="C1390">
        <v>0.62</v>
      </c>
      <c r="D1390" t="inlineStr">
        <is>
          <t>nm2</t>
        </is>
      </c>
      <c r="E1390"/>
      <c r="F1390"/>
      <c r="G1390" t="inlineStr">
        <is>
          <t>CPP screening heuristic</t>
        </is>
      </c>
      <c r="H1390" t="inlineStr">
        <is>
          <t>S013_EST_HSP_HEURISTIC</t>
        </is>
      </c>
      <c r="I1390" t="inlineStr">
        <is>
          <t>estimated</t>
        </is>
      </c>
      <c r="J1390">
        <v>0.35</v>
      </c>
      <c r="K1390" t="inlineStr">
        <is>
          <t>Replace with monolayer or MD-derived area per molecule for publication-grade CPP.</t>
        </is>
      </c>
    </row>
    <row r="1391">
      <c r="A1391" t="inlineStr">
        <is>
          <t>SURF_MYRJ_52</t>
        </is>
      </c>
      <c r="B1391" t="inlineStr">
        <is>
          <t>molecular_weight_g_mol</t>
        </is>
      </c>
      <c r="C1391">
        <v>1830</v>
      </c>
      <c r="D1391" t="inlineStr">
        <is>
          <t>g/mol</t>
        </is>
      </c>
      <c r="E1391"/>
      <c r="F1391"/>
      <c r="G1391" t="inlineStr">
        <is>
          <t>supplier/handbook average for mixtures</t>
        </is>
      </c>
      <c r="H1391" t="inlineStr">
        <is>
          <t>S007_EXCIPIENTS_HANDBOOK</t>
        </is>
      </c>
      <c r="I1391" t="inlineStr">
        <is>
          <t>supplier-reported</t>
        </is>
      </c>
      <c r="J1391">
        <v>0.65</v>
      </c>
      <c r="K1391"/>
    </row>
    <row r="1392">
      <c r="A1392" t="inlineStr">
        <is>
          <t>SURF_MYRJ_52</t>
        </is>
      </c>
      <c r="B1392" t="inlineStr">
        <is>
          <t>HLB</t>
        </is>
      </c>
      <c r="C1392">
        <v>16.9</v>
      </c>
      <c r="D1392" t="inlineStr">
        <is>
          <t>HLB</t>
        </is>
      </c>
      <c r="E1392"/>
      <c r="F1392"/>
      <c r="G1392" t="inlineStr">
        <is>
          <t>Griffin/Davies HLB literature/supplier value</t>
        </is>
      </c>
      <c r="H1392" t="inlineStr">
        <is>
          <t>S007_EXCIPIENTS_HANDBOOK</t>
        </is>
      </c>
      <c r="I1392" t="inlineStr">
        <is>
          <t>supplier-reported</t>
        </is>
      </c>
      <c r="J1392">
        <v>0.75</v>
      </c>
      <c r="K1392" t="inlineStr">
        <is>
          <t>Grade-dependent; use supplier CoA when available.</t>
        </is>
      </c>
    </row>
    <row r="1393">
      <c r="A1393" t="inlineStr">
        <is>
          <t>SURF_MYRJ_52</t>
        </is>
      </c>
      <c r="B1393" t="inlineStr">
        <is>
          <t>headgroup_type</t>
        </is>
      </c>
      <c r="C1393" t="inlineStr">
        <is>
          <t>polyoxyl stearate</t>
        </is>
      </c>
      <c r="D1393"/>
      <c r="E1393"/>
      <c r="F1393"/>
      <c r="G1393" t="inlineStr">
        <is>
          <t>manual class annotation</t>
        </is>
      </c>
      <c r="H1393" t="inlineStr">
        <is>
          <t>S007_EXCIPIENTS_HANDBOOK</t>
        </is>
      </c>
      <c r="I1393" t="inlineStr">
        <is>
          <t>curated</t>
        </is>
      </c>
      <c r="J1393">
        <v>0.75</v>
      </c>
      <c r="K1393"/>
    </row>
    <row r="1394">
      <c r="A1394" t="inlineStr">
        <is>
          <t>SURF_MYRJ_52</t>
        </is>
      </c>
      <c r="B1394" t="inlineStr">
        <is>
          <t>tail_chain</t>
        </is>
      </c>
      <c r="C1394" t="inlineStr">
        <is>
          <t>C18:0 stearate + PEG</t>
        </is>
      </c>
      <c r="D1394"/>
      <c r="E1394"/>
      <c r="F1394"/>
      <c r="G1394" t="inlineStr">
        <is>
          <t>fatty-chain annotation</t>
        </is>
      </c>
      <c r="H1394" t="inlineStr">
        <is>
          <t>S007_EXCIPIENTS_HANDBOOK</t>
        </is>
      </c>
      <c r="I1394" t="inlineStr">
        <is>
          <t>curated</t>
        </is>
      </c>
      <c r="J1394">
        <v>0.8</v>
      </c>
      <c r="K1394"/>
    </row>
    <row r="1395">
      <c r="A1395" t="inlineStr">
        <is>
          <t>SURF_MYRJ_52</t>
        </is>
      </c>
      <c r="B1395" t="inlineStr">
        <is>
          <t>tail_carbons</t>
        </is>
      </c>
      <c r="C1395">
        <v>18</v>
      </c>
      <c r="D1395" t="inlineStr">
        <is>
          <t>count</t>
        </is>
      </c>
      <c r="E1395"/>
      <c r="F1395"/>
      <c r="G1395" t="inlineStr">
        <is>
          <t>fatty-chain annotation</t>
        </is>
      </c>
      <c r="H1395" t="inlineStr">
        <is>
          <t>S007_EXCIPIENTS_HANDBOOK</t>
        </is>
      </c>
      <c r="I1395" t="inlineStr">
        <is>
          <t>curated</t>
        </is>
      </c>
      <c r="J1395">
        <v>0.8</v>
      </c>
      <c r="K1395"/>
    </row>
    <row r="1396">
      <c r="A1396" t="inlineStr">
        <is>
          <t>SURF_MYRJ_52</t>
        </is>
      </c>
      <c r="B1396" t="inlineStr">
        <is>
          <t>tail_unsaturation</t>
        </is>
      </c>
      <c r="C1396">
        <v>0</v>
      </c>
      <c r="D1396" t="inlineStr">
        <is>
          <t>double_bonds</t>
        </is>
      </c>
      <c r="E1396"/>
      <c r="F1396"/>
      <c r="G1396" t="inlineStr">
        <is>
          <t>fatty-chain annotation</t>
        </is>
      </c>
      <c r="H1396" t="inlineStr">
        <is>
          <t>S007_EXCIPIENTS_HANDBOOK</t>
        </is>
      </c>
      <c r="I1396" t="inlineStr">
        <is>
          <t>curated</t>
        </is>
      </c>
      <c r="J1396">
        <v>0.8</v>
      </c>
      <c r="K1396"/>
    </row>
    <row r="1397">
      <c r="A1397" t="inlineStr">
        <is>
          <t>SURF_MYRJ_52</t>
        </is>
      </c>
      <c r="B1397" t="inlineStr">
        <is>
          <t>number_of_tails</t>
        </is>
      </c>
      <c r="C1397">
        <v>1</v>
      </c>
      <c r="D1397" t="inlineStr">
        <is>
          <t>count</t>
        </is>
      </c>
      <c r="E1397"/>
      <c r="F1397"/>
      <c r="G1397" t="inlineStr">
        <is>
          <t>fatty-chain annotation</t>
        </is>
      </c>
      <c r="H1397" t="inlineStr">
        <is>
          <t>S007_EXCIPIENTS_HANDBOOK</t>
        </is>
      </c>
      <c r="I1397" t="inlineStr">
        <is>
          <t>curated</t>
        </is>
      </c>
      <c r="J1397">
        <v>0.8</v>
      </c>
      <c r="K1397"/>
    </row>
    <row r="1398">
      <c r="A1398" t="inlineStr">
        <is>
          <t>SURF_MYRJ_52</t>
        </is>
      </c>
      <c r="B1398" t="inlineStr">
        <is>
          <t>charge_type</t>
        </is>
      </c>
      <c r="C1398" t="inlineStr">
        <is>
          <t>nonionic</t>
        </is>
      </c>
      <c r="D1398"/>
      <c r="E1398"/>
      <c r="F1398"/>
      <c r="G1398" t="inlineStr">
        <is>
          <t>ionization class</t>
        </is>
      </c>
      <c r="H1398" t="inlineStr">
        <is>
          <t>S007_EXCIPIENTS_HANDBOOK</t>
        </is>
      </c>
      <c r="I1398" t="inlineStr">
        <is>
          <t>curated</t>
        </is>
      </c>
      <c r="J1398">
        <v>0.85</v>
      </c>
      <c r="K1398"/>
    </row>
    <row r="1399">
      <c r="A1399" t="inlineStr">
        <is>
          <t>SURF_MYRJ_52</t>
        </is>
      </c>
      <c r="B1399" t="inlineStr">
        <is>
          <t>formal_charge</t>
        </is>
      </c>
      <c r="C1399">
        <v>0</v>
      </c>
      <c r="D1399" t="inlineStr">
        <is>
          <t>e</t>
        </is>
      </c>
      <c r="E1399"/>
      <c r="F1399"/>
      <c r="G1399" t="inlineStr">
        <is>
          <t>nominal at neutral pH</t>
        </is>
      </c>
      <c r="H1399" t="inlineStr">
        <is>
          <t>S007_EXCIPIENTS_HANDBOOK</t>
        </is>
      </c>
      <c r="I1399" t="inlineStr">
        <is>
          <t>curated</t>
        </is>
      </c>
      <c r="J1399">
        <v>0.85</v>
      </c>
      <c r="K1399"/>
    </row>
    <row r="1400">
      <c r="A1400" t="inlineStr">
        <is>
          <t>SURF_MYRJ_52</t>
        </is>
      </c>
      <c r="B1400" t="inlineStr">
        <is>
          <t>packing_role</t>
        </is>
      </c>
      <c r="C1400" t="inlineStr">
        <is>
          <t>edge activator / micellar solubilizer</t>
        </is>
      </c>
      <c r="D1400"/>
      <c r="E1400"/>
      <c r="F1400"/>
      <c r="G1400" t="inlineStr">
        <is>
          <t>HLB/chain-rule heuristic</t>
        </is>
      </c>
      <c r="H1400" t="inlineStr">
        <is>
          <t>S007_EXCIPIENTS_HANDBOOK</t>
        </is>
      </c>
      <c r="I1400" t="inlineStr">
        <is>
          <t>curated</t>
        </is>
      </c>
      <c r="J1400">
        <v>0.65</v>
      </c>
      <c r="K1400"/>
    </row>
    <row r="1401">
      <c r="A1401" t="inlineStr">
        <is>
          <t>SURF_MYRJ_52</t>
        </is>
      </c>
      <c r="B1401" t="inlineStr">
        <is>
          <t>edge_activator_flag</t>
        </is>
      </c>
      <c r="C1401" t="inlineStr">
        <is>
          <t>yes</t>
        </is>
      </c>
      <c r="D1401"/>
      <c r="E1401"/>
      <c r="F1401"/>
      <c r="G1401" t="inlineStr">
        <is>
          <t>HLB/charge heuristic</t>
        </is>
      </c>
      <c r="H1401" t="inlineStr">
        <is>
          <t>S007_EXCIPIENTS_HANDBOOK</t>
        </is>
      </c>
      <c r="I1401" t="inlineStr">
        <is>
          <t>curated</t>
        </is>
      </c>
      <c r="J1401">
        <v>0.7</v>
      </c>
      <c r="K1401"/>
    </row>
    <row r="1402">
      <c r="A1402" t="inlineStr">
        <is>
          <t>SURF_MYRJ_52</t>
        </is>
      </c>
      <c r="B1402" t="inlineStr">
        <is>
          <t>vesicle_anchor_flag</t>
        </is>
      </c>
      <c r="C1402" t="inlineStr">
        <is>
          <t>weak/conditional</t>
        </is>
      </c>
      <c r="D1402"/>
      <c r="E1402"/>
      <c r="F1402"/>
      <c r="G1402" t="inlineStr">
        <is>
          <t>chain-length and HLB heuristic</t>
        </is>
      </c>
      <c r="H1402" t="inlineStr">
        <is>
          <t>S007_EXCIPIENTS_HANDBOOK</t>
        </is>
      </c>
      <c r="I1402" t="inlineStr">
        <is>
          <t>curated</t>
        </is>
      </c>
      <c r="J1402">
        <v>0.7</v>
      </c>
      <c r="K1402"/>
    </row>
    <row r="1403">
      <c r="A1403" t="inlineStr">
        <is>
          <t>SURF_MYRJ_52</t>
        </is>
      </c>
      <c r="B1403" t="inlineStr">
        <is>
          <t>micellization_risk_flag</t>
        </is>
      </c>
      <c r="C1403" t="inlineStr">
        <is>
          <t>high</t>
        </is>
      </c>
      <c r="D1403"/>
      <c r="E1403"/>
      <c r="F1403"/>
      <c r="G1403" t="inlineStr">
        <is>
          <t>HLB heuristic</t>
        </is>
      </c>
      <c r="H1403" t="inlineStr">
        <is>
          <t>S007_EXCIPIENTS_HANDBOOK</t>
        </is>
      </c>
      <c r="I1403" t="inlineStr">
        <is>
          <t>curated</t>
        </is>
      </c>
      <c r="J1403">
        <v>0.65</v>
      </c>
      <c r="K1403"/>
    </row>
    <row r="1404">
      <c r="A1404" t="inlineStr">
        <is>
          <t>SURF_MYRJ_52</t>
        </is>
      </c>
      <c r="B1404" t="inlineStr">
        <is>
          <t>route_suitability</t>
        </is>
      </c>
      <c r="C1404" t="inlineStr">
        <is>
          <t>oral/topical; parenteral/inhalation only if grade and safety justified</t>
        </is>
      </c>
      <c r="D1404"/>
      <c r="E1404"/>
      <c r="F1404"/>
      <c r="G1404" t="inlineStr">
        <is>
          <t>route precedent heuristic</t>
        </is>
      </c>
      <c r="H1404" t="inlineStr">
        <is>
          <t>S008_FDA_IID</t>
        </is>
      </c>
      <c r="I1404" t="inlineStr">
        <is>
          <t>curated</t>
        </is>
      </c>
      <c r="J1404">
        <v>0.55</v>
      </c>
      <c r="K1404"/>
    </row>
    <row r="1405">
      <c r="A1405" t="inlineStr">
        <is>
          <t>SURF_MYRJ_52</t>
        </is>
      </c>
      <c r="B1405" t="inlineStr">
        <is>
          <t>toxicity_or_irritancy_notes</t>
        </is>
      </c>
      <c r="C1405" t="inlineStr">
        <is>
          <t>surfactant irritation/hemolysis is concentration-, route-, and grade-dependent; screen cytotoxicity and osmolality</t>
        </is>
      </c>
      <c r="D1405"/>
      <c r="E1405"/>
      <c r="F1405"/>
      <c r="G1405"/>
      <c r="H1405" t="inlineStr">
        <is>
          <t>S007_EXCIPIENTS_HANDBOOK</t>
        </is>
      </c>
      <c r="I1405" t="inlineStr">
        <is>
          <t>curated</t>
        </is>
      </c>
      <c r="J1405">
        <v>0.7</v>
      </c>
      <c r="K1405"/>
    </row>
    <row r="1406">
      <c r="A1406" t="inlineStr">
        <is>
          <t>SURF_MYRJ_52</t>
        </is>
      </c>
      <c r="B1406" t="inlineStr">
        <is>
          <t>Hansen_delta_D</t>
        </is>
      </c>
      <c r="C1406">
        <v>17.2</v>
      </c>
      <c r="D1406" t="inlineStr">
        <is>
          <t>MPa^0.5</t>
        </is>
      </c>
      <c r="E1406"/>
      <c r="F1406"/>
      <c r="G1406" t="inlineStr">
        <is>
          <t>heuristic group-contribution/nearest-neighbour</t>
        </is>
      </c>
      <c r="H1406" t="inlineStr">
        <is>
          <t>S013_EST_HSP_HEURISTIC</t>
        </is>
      </c>
      <c r="I1406" t="inlineStr">
        <is>
          <t>estimated</t>
        </is>
      </c>
      <c r="J1406">
        <v>0.4</v>
      </c>
      <c r="K1406" t="inlineStr">
        <is>
          <t>Provisional HSP for screening; replace with experimental/literature value before model lock.</t>
        </is>
      </c>
    </row>
    <row r="1407">
      <c r="A1407" t="inlineStr">
        <is>
          <t>SURF_MYRJ_52</t>
        </is>
      </c>
      <c r="B1407" t="inlineStr">
        <is>
          <t>Hansen_delta_P</t>
        </is>
      </c>
      <c r="C1407">
        <v>8.5</v>
      </c>
      <c r="D1407" t="inlineStr">
        <is>
          <t>MPa^0.5</t>
        </is>
      </c>
      <c r="E1407"/>
      <c r="F1407"/>
      <c r="G1407" t="inlineStr">
        <is>
          <t>heuristic group-contribution/nearest-neighbour</t>
        </is>
      </c>
      <c r="H1407" t="inlineStr">
        <is>
          <t>S013_EST_HSP_HEURISTIC</t>
        </is>
      </c>
      <c r="I1407" t="inlineStr">
        <is>
          <t>estimated</t>
        </is>
      </c>
      <c r="J1407">
        <v>0.4</v>
      </c>
      <c r="K1407" t="inlineStr">
        <is>
          <t>Provisional HSP for screening; replace with experimental/literature value before model lock.</t>
        </is>
      </c>
    </row>
    <row r="1408">
      <c r="A1408" t="inlineStr">
        <is>
          <t>SURF_MYRJ_52</t>
        </is>
      </c>
      <c r="B1408" t="inlineStr">
        <is>
          <t>Hansen_delta_H</t>
        </is>
      </c>
      <c r="C1408">
        <v>14.0</v>
      </c>
      <c r="D1408" t="inlineStr">
        <is>
          <t>MPa^0.5</t>
        </is>
      </c>
      <c r="E1408"/>
      <c r="F1408"/>
      <c r="G1408" t="inlineStr">
        <is>
          <t>heuristic group-contribution/nearest-neighbour</t>
        </is>
      </c>
      <c r="H1408" t="inlineStr">
        <is>
          <t>S013_EST_HSP_HEURISTIC</t>
        </is>
      </c>
      <c r="I1408" t="inlineStr">
        <is>
          <t>estimated</t>
        </is>
      </c>
      <c r="J1408">
        <v>0.4</v>
      </c>
      <c r="K1408" t="inlineStr">
        <is>
          <t>Provisional HSP for screening; replace with experimental/literature value before model lock.</t>
        </is>
      </c>
    </row>
    <row r="1409">
      <c r="A1409" t="inlineStr">
        <is>
          <t>SURF_MYRJ_52</t>
        </is>
      </c>
      <c r="B1409" t="inlineStr">
        <is>
          <t>Hildebrand_delta_T</t>
        </is>
      </c>
      <c r="C1409">
        <v>23.75</v>
      </c>
      <c r="D1409" t="inlineStr">
        <is>
          <t>MPa^0.5</t>
        </is>
      </c>
      <c r="E1409"/>
      <c r="F1409"/>
      <c r="G1409" t="inlineStr">
        <is>
          <t>sqrt(deltaD^2+deltaP^2+deltaH^2)</t>
        </is>
      </c>
      <c r="H1409" t="inlineStr">
        <is>
          <t>S012_CALCULATED</t>
        </is>
      </c>
      <c r="I1409" t="inlineStr">
        <is>
          <t>calculated</t>
        </is>
      </c>
      <c r="J1409">
        <v>0.45</v>
      </c>
      <c r="K1409" t="inlineStr">
        <is>
          <t>Derived from stored Hansen components.</t>
        </is>
      </c>
    </row>
    <row r="1410">
      <c r="A1410" t="inlineStr">
        <is>
          <t>SURF_MYRJ_52</t>
        </is>
      </c>
      <c r="B1410" t="inlineStr">
        <is>
          <t>HSP_radius_R0</t>
        </is>
      </c>
      <c r="C1410">
        <v>9.0</v>
      </c>
      <c r="D1410" t="inlineStr">
        <is>
          <t>MPa^0.5</t>
        </is>
      </c>
      <c r="E1410"/>
      <c r="F1410"/>
      <c r="G1410" t="inlineStr">
        <is>
          <t>literature/heuristic solubility sphere</t>
        </is>
      </c>
      <c r="H1410" t="inlineStr">
        <is>
          <t>S013_EST_HSP_HEURISTIC</t>
        </is>
      </c>
      <c r="I1410" t="inlineStr">
        <is>
          <t>estimated</t>
        </is>
      </c>
      <c r="J1410">
        <v>0.4</v>
      </c>
      <c r="K1410" t="inlineStr">
        <is>
          <t>Screening radius only unless experimentally determined.</t>
        </is>
      </c>
    </row>
    <row r="1411">
      <c r="A1411" t="inlineStr">
        <is>
          <t>SURF_MYRJ_52</t>
        </is>
      </c>
      <c r="B1411" t="inlineStr">
        <is>
          <t>molar_volume_cm3_mol</t>
        </is>
      </c>
      <c r="C1411">
        <v>1742.86</v>
      </c>
      <c r="D1411" t="inlineStr">
        <is>
          <t>cm3/mol</t>
        </is>
      </c>
      <c r="E1411"/>
      <c r="F1411"/>
      <c r="G1411" t="inlineStr">
        <is>
          <t>MW/density estimate</t>
        </is>
      </c>
      <c r="H1411" t="inlineStr">
        <is>
          <t>S012_CALCULATED</t>
        </is>
      </c>
      <c r="I1411" t="inlineStr">
        <is>
          <t>estimated</t>
        </is>
      </c>
      <c r="J1411">
        <v>0.42</v>
      </c>
      <c r="K1411" t="inlineStr">
        <is>
          <t>Estimated from MW/density; replace with measured molar volume or density-specific grade data.</t>
        </is>
      </c>
    </row>
    <row r="1412">
      <c r="A1412" t="inlineStr">
        <is>
          <t>SURF_MYRJ_52</t>
        </is>
      </c>
      <c r="B1412" t="inlineStr">
        <is>
          <t>headgroup_area_nm2</t>
        </is>
      </c>
      <c r="C1412">
        <v>0.654</v>
      </c>
      <c r="D1412" t="inlineStr">
        <is>
          <t>nm2</t>
        </is>
      </c>
      <c r="E1412"/>
      <c r="F1412"/>
      <c r="G1412" t="inlineStr">
        <is>
          <t>CPP screening heuristic</t>
        </is>
      </c>
      <c r="H1412" t="inlineStr">
        <is>
          <t>S013_EST_HSP_HEURISTIC</t>
        </is>
      </c>
      <c r="I1412" t="inlineStr">
        <is>
          <t>estimated</t>
        </is>
      </c>
      <c r="J1412">
        <v>0.35</v>
      </c>
      <c r="K1412" t="inlineStr">
        <is>
          <t>Replace with monolayer or MD-derived area per molecule for publication-grade CPP.</t>
        </is>
      </c>
    </row>
    <row r="1413">
      <c r="A1413" t="inlineStr">
        <is>
          <t>SURF_MYRJ_53</t>
        </is>
      </c>
      <c r="B1413" t="inlineStr">
        <is>
          <t>molecular_weight_g_mol</t>
        </is>
      </c>
      <c r="C1413">
        <v>1980</v>
      </c>
      <c r="D1413" t="inlineStr">
        <is>
          <t>g/mol</t>
        </is>
      </c>
      <c r="E1413"/>
      <c r="F1413"/>
      <c r="G1413" t="inlineStr">
        <is>
          <t>supplier/handbook average for mixtures</t>
        </is>
      </c>
      <c r="H1413" t="inlineStr">
        <is>
          <t>S007_EXCIPIENTS_HANDBOOK</t>
        </is>
      </c>
      <c r="I1413" t="inlineStr">
        <is>
          <t>supplier-reported</t>
        </is>
      </c>
      <c r="J1413">
        <v>0.65</v>
      </c>
      <c r="K1413"/>
    </row>
    <row r="1414">
      <c r="A1414" t="inlineStr">
        <is>
          <t>SURF_MYRJ_53</t>
        </is>
      </c>
      <c r="B1414" t="inlineStr">
        <is>
          <t>HLB</t>
        </is>
      </c>
      <c r="C1414">
        <v>17.9</v>
      </c>
      <c r="D1414" t="inlineStr">
        <is>
          <t>HLB</t>
        </is>
      </c>
      <c r="E1414"/>
      <c r="F1414"/>
      <c r="G1414" t="inlineStr">
        <is>
          <t>Griffin/Davies HLB literature/supplier value</t>
        </is>
      </c>
      <c r="H1414" t="inlineStr">
        <is>
          <t>S007_EXCIPIENTS_HANDBOOK</t>
        </is>
      </c>
      <c r="I1414" t="inlineStr">
        <is>
          <t>supplier-reported</t>
        </is>
      </c>
      <c r="J1414">
        <v>0.75</v>
      </c>
      <c r="K1414" t="inlineStr">
        <is>
          <t>Grade-dependent; use supplier CoA when available.</t>
        </is>
      </c>
    </row>
    <row r="1415">
      <c r="A1415" t="inlineStr">
        <is>
          <t>SURF_MYRJ_53</t>
        </is>
      </c>
      <c r="B1415" t="inlineStr">
        <is>
          <t>headgroup_type</t>
        </is>
      </c>
      <c r="C1415" t="inlineStr">
        <is>
          <t>polyoxyl stearate</t>
        </is>
      </c>
      <c r="D1415"/>
      <c r="E1415"/>
      <c r="F1415"/>
      <c r="G1415" t="inlineStr">
        <is>
          <t>manual class annotation</t>
        </is>
      </c>
      <c r="H1415" t="inlineStr">
        <is>
          <t>S007_EXCIPIENTS_HANDBOOK</t>
        </is>
      </c>
      <c r="I1415" t="inlineStr">
        <is>
          <t>curated</t>
        </is>
      </c>
      <c r="J1415">
        <v>0.75</v>
      </c>
      <c r="K1415"/>
    </row>
    <row r="1416">
      <c r="A1416" t="inlineStr">
        <is>
          <t>SURF_MYRJ_53</t>
        </is>
      </c>
      <c r="B1416" t="inlineStr">
        <is>
          <t>tail_chain</t>
        </is>
      </c>
      <c r="C1416" t="inlineStr">
        <is>
          <t>C18:0 stearate + PEG</t>
        </is>
      </c>
      <c r="D1416"/>
      <c r="E1416"/>
      <c r="F1416"/>
      <c r="G1416" t="inlineStr">
        <is>
          <t>fatty-chain annotation</t>
        </is>
      </c>
      <c r="H1416" t="inlineStr">
        <is>
          <t>S007_EXCIPIENTS_HANDBOOK</t>
        </is>
      </c>
      <c r="I1416" t="inlineStr">
        <is>
          <t>curated</t>
        </is>
      </c>
      <c r="J1416">
        <v>0.8</v>
      </c>
      <c r="K1416"/>
    </row>
    <row r="1417">
      <c r="A1417" t="inlineStr">
        <is>
          <t>SURF_MYRJ_53</t>
        </is>
      </c>
      <c r="B1417" t="inlineStr">
        <is>
          <t>tail_carbons</t>
        </is>
      </c>
      <c r="C1417">
        <v>18</v>
      </c>
      <c r="D1417" t="inlineStr">
        <is>
          <t>count</t>
        </is>
      </c>
      <c r="E1417"/>
      <c r="F1417"/>
      <c r="G1417" t="inlineStr">
        <is>
          <t>fatty-chain annotation</t>
        </is>
      </c>
      <c r="H1417" t="inlineStr">
        <is>
          <t>S007_EXCIPIENTS_HANDBOOK</t>
        </is>
      </c>
      <c r="I1417" t="inlineStr">
        <is>
          <t>curated</t>
        </is>
      </c>
      <c r="J1417">
        <v>0.8</v>
      </c>
      <c r="K1417"/>
    </row>
    <row r="1418">
      <c r="A1418" t="inlineStr">
        <is>
          <t>SURF_MYRJ_53</t>
        </is>
      </c>
      <c r="B1418" t="inlineStr">
        <is>
          <t>tail_unsaturation</t>
        </is>
      </c>
      <c r="C1418">
        <v>0</v>
      </c>
      <c r="D1418" t="inlineStr">
        <is>
          <t>double_bonds</t>
        </is>
      </c>
      <c r="E1418"/>
      <c r="F1418"/>
      <c r="G1418" t="inlineStr">
        <is>
          <t>fatty-chain annotation</t>
        </is>
      </c>
      <c r="H1418" t="inlineStr">
        <is>
          <t>S007_EXCIPIENTS_HANDBOOK</t>
        </is>
      </c>
      <c r="I1418" t="inlineStr">
        <is>
          <t>curated</t>
        </is>
      </c>
      <c r="J1418">
        <v>0.8</v>
      </c>
      <c r="K1418"/>
    </row>
    <row r="1419">
      <c r="A1419" t="inlineStr">
        <is>
          <t>SURF_MYRJ_53</t>
        </is>
      </c>
      <c r="B1419" t="inlineStr">
        <is>
          <t>number_of_tails</t>
        </is>
      </c>
      <c r="C1419">
        <v>1</v>
      </c>
      <c r="D1419" t="inlineStr">
        <is>
          <t>count</t>
        </is>
      </c>
      <c r="E1419"/>
      <c r="F1419"/>
      <c r="G1419" t="inlineStr">
        <is>
          <t>fatty-chain annotation</t>
        </is>
      </c>
      <c r="H1419" t="inlineStr">
        <is>
          <t>S007_EXCIPIENTS_HANDBOOK</t>
        </is>
      </c>
      <c r="I1419" t="inlineStr">
        <is>
          <t>curated</t>
        </is>
      </c>
      <c r="J1419">
        <v>0.8</v>
      </c>
      <c r="K1419"/>
    </row>
    <row r="1420">
      <c r="A1420" t="inlineStr">
        <is>
          <t>SURF_MYRJ_53</t>
        </is>
      </c>
      <c r="B1420" t="inlineStr">
        <is>
          <t>charge_type</t>
        </is>
      </c>
      <c r="C1420" t="inlineStr">
        <is>
          <t>nonionic</t>
        </is>
      </c>
      <c r="D1420"/>
      <c r="E1420"/>
      <c r="F1420"/>
      <c r="G1420" t="inlineStr">
        <is>
          <t>ionization class</t>
        </is>
      </c>
      <c r="H1420" t="inlineStr">
        <is>
          <t>S007_EXCIPIENTS_HANDBOOK</t>
        </is>
      </c>
      <c r="I1420" t="inlineStr">
        <is>
          <t>curated</t>
        </is>
      </c>
      <c r="J1420">
        <v>0.85</v>
      </c>
      <c r="K1420"/>
    </row>
    <row r="1421">
      <c r="A1421" t="inlineStr">
        <is>
          <t>SURF_MYRJ_53</t>
        </is>
      </c>
      <c r="B1421" t="inlineStr">
        <is>
          <t>formal_charge</t>
        </is>
      </c>
      <c r="C1421">
        <v>0</v>
      </c>
      <c r="D1421" t="inlineStr">
        <is>
          <t>e</t>
        </is>
      </c>
      <c r="E1421"/>
      <c r="F1421"/>
      <c r="G1421" t="inlineStr">
        <is>
          <t>nominal at neutral pH</t>
        </is>
      </c>
      <c r="H1421" t="inlineStr">
        <is>
          <t>S007_EXCIPIENTS_HANDBOOK</t>
        </is>
      </c>
      <c r="I1421" t="inlineStr">
        <is>
          <t>curated</t>
        </is>
      </c>
      <c r="J1421">
        <v>0.85</v>
      </c>
      <c r="K1421"/>
    </row>
    <row r="1422">
      <c r="A1422" t="inlineStr">
        <is>
          <t>SURF_MYRJ_53</t>
        </is>
      </c>
      <c r="B1422" t="inlineStr">
        <is>
          <t>packing_role</t>
        </is>
      </c>
      <c r="C1422" t="inlineStr">
        <is>
          <t>edge activator / micellar solubilizer</t>
        </is>
      </c>
      <c r="D1422"/>
      <c r="E1422"/>
      <c r="F1422"/>
      <c r="G1422" t="inlineStr">
        <is>
          <t>HLB/chain-rule heuristic</t>
        </is>
      </c>
      <c r="H1422" t="inlineStr">
        <is>
          <t>S007_EXCIPIENTS_HANDBOOK</t>
        </is>
      </c>
      <c r="I1422" t="inlineStr">
        <is>
          <t>curated</t>
        </is>
      </c>
      <c r="J1422">
        <v>0.65</v>
      </c>
      <c r="K1422"/>
    </row>
    <row r="1423">
      <c r="A1423" t="inlineStr">
        <is>
          <t>SURF_MYRJ_53</t>
        </is>
      </c>
      <c r="B1423" t="inlineStr">
        <is>
          <t>edge_activator_flag</t>
        </is>
      </c>
      <c r="C1423" t="inlineStr">
        <is>
          <t>yes</t>
        </is>
      </c>
      <c r="D1423"/>
      <c r="E1423"/>
      <c r="F1423"/>
      <c r="G1423" t="inlineStr">
        <is>
          <t>HLB/charge heuristic</t>
        </is>
      </c>
      <c r="H1423" t="inlineStr">
        <is>
          <t>S007_EXCIPIENTS_HANDBOOK</t>
        </is>
      </c>
      <c r="I1423" t="inlineStr">
        <is>
          <t>curated</t>
        </is>
      </c>
      <c r="J1423">
        <v>0.7</v>
      </c>
      <c r="K1423"/>
    </row>
    <row r="1424">
      <c r="A1424" t="inlineStr">
        <is>
          <t>SURF_MYRJ_53</t>
        </is>
      </c>
      <c r="B1424" t="inlineStr">
        <is>
          <t>vesicle_anchor_flag</t>
        </is>
      </c>
      <c r="C1424" t="inlineStr">
        <is>
          <t>weak/conditional</t>
        </is>
      </c>
      <c r="D1424"/>
      <c r="E1424"/>
      <c r="F1424"/>
      <c r="G1424" t="inlineStr">
        <is>
          <t>chain-length and HLB heuristic</t>
        </is>
      </c>
      <c r="H1424" t="inlineStr">
        <is>
          <t>S007_EXCIPIENTS_HANDBOOK</t>
        </is>
      </c>
      <c r="I1424" t="inlineStr">
        <is>
          <t>curated</t>
        </is>
      </c>
      <c r="J1424">
        <v>0.7</v>
      </c>
      <c r="K1424"/>
    </row>
    <row r="1425">
      <c r="A1425" t="inlineStr">
        <is>
          <t>SURF_MYRJ_53</t>
        </is>
      </c>
      <c r="B1425" t="inlineStr">
        <is>
          <t>micellization_risk_flag</t>
        </is>
      </c>
      <c r="C1425" t="inlineStr">
        <is>
          <t>high</t>
        </is>
      </c>
      <c r="D1425"/>
      <c r="E1425"/>
      <c r="F1425"/>
      <c r="G1425" t="inlineStr">
        <is>
          <t>HLB heuristic</t>
        </is>
      </c>
      <c r="H1425" t="inlineStr">
        <is>
          <t>S007_EXCIPIENTS_HANDBOOK</t>
        </is>
      </c>
      <c r="I1425" t="inlineStr">
        <is>
          <t>curated</t>
        </is>
      </c>
      <c r="J1425">
        <v>0.65</v>
      </c>
      <c r="K1425"/>
    </row>
    <row r="1426">
      <c r="A1426" t="inlineStr">
        <is>
          <t>SURF_MYRJ_53</t>
        </is>
      </c>
      <c r="B1426" t="inlineStr">
        <is>
          <t>route_suitability</t>
        </is>
      </c>
      <c r="C1426" t="inlineStr">
        <is>
          <t>oral/topical; parenteral/inhalation only if grade and safety justified</t>
        </is>
      </c>
      <c r="D1426"/>
      <c r="E1426"/>
      <c r="F1426"/>
      <c r="G1426" t="inlineStr">
        <is>
          <t>route precedent heuristic</t>
        </is>
      </c>
      <c r="H1426" t="inlineStr">
        <is>
          <t>S008_FDA_IID</t>
        </is>
      </c>
      <c r="I1426" t="inlineStr">
        <is>
          <t>curated</t>
        </is>
      </c>
      <c r="J1426">
        <v>0.55</v>
      </c>
      <c r="K1426"/>
    </row>
    <row r="1427">
      <c r="A1427" t="inlineStr">
        <is>
          <t>SURF_MYRJ_53</t>
        </is>
      </c>
      <c r="B1427" t="inlineStr">
        <is>
          <t>toxicity_or_irritancy_notes</t>
        </is>
      </c>
      <c r="C1427" t="inlineStr">
        <is>
          <t>surfactant irritation/hemolysis is concentration-, route-, and grade-dependent; screen cytotoxicity and osmolality</t>
        </is>
      </c>
      <c r="D1427"/>
      <c r="E1427"/>
      <c r="F1427"/>
      <c r="G1427"/>
      <c r="H1427" t="inlineStr">
        <is>
          <t>S007_EXCIPIENTS_HANDBOOK</t>
        </is>
      </c>
      <c r="I1427" t="inlineStr">
        <is>
          <t>curated</t>
        </is>
      </c>
      <c r="J1427">
        <v>0.7</v>
      </c>
      <c r="K1427"/>
    </row>
    <row r="1428">
      <c r="A1428" t="inlineStr">
        <is>
          <t>SURF_MYRJ_53</t>
        </is>
      </c>
      <c r="B1428" t="inlineStr">
        <is>
          <t>Hansen_delta_D</t>
        </is>
      </c>
      <c r="C1428">
        <v>17.2</v>
      </c>
      <c r="D1428" t="inlineStr">
        <is>
          <t>MPa^0.5</t>
        </is>
      </c>
      <c r="E1428"/>
      <c r="F1428"/>
      <c r="G1428" t="inlineStr">
        <is>
          <t>heuristic group-contribution/nearest-neighbour</t>
        </is>
      </c>
      <c r="H1428" t="inlineStr">
        <is>
          <t>S013_EST_HSP_HEURISTIC</t>
        </is>
      </c>
      <c r="I1428" t="inlineStr">
        <is>
          <t>estimated</t>
        </is>
      </c>
      <c r="J1428">
        <v>0.4</v>
      </c>
      <c r="K1428" t="inlineStr">
        <is>
          <t>Provisional HSP for screening; replace with experimental/literature value before model lock.</t>
        </is>
      </c>
    </row>
    <row r="1429">
      <c r="A1429" t="inlineStr">
        <is>
          <t>SURF_MYRJ_53</t>
        </is>
      </c>
      <c r="B1429" t="inlineStr">
        <is>
          <t>Hansen_delta_P</t>
        </is>
      </c>
      <c r="C1429">
        <v>8.5</v>
      </c>
      <c r="D1429" t="inlineStr">
        <is>
          <t>MPa^0.5</t>
        </is>
      </c>
      <c r="E1429"/>
      <c r="F1429"/>
      <c r="G1429" t="inlineStr">
        <is>
          <t>heuristic group-contribution/nearest-neighbour</t>
        </is>
      </c>
      <c r="H1429" t="inlineStr">
        <is>
          <t>S013_EST_HSP_HEURISTIC</t>
        </is>
      </c>
      <c r="I1429" t="inlineStr">
        <is>
          <t>estimated</t>
        </is>
      </c>
      <c r="J1429">
        <v>0.4</v>
      </c>
      <c r="K1429" t="inlineStr">
        <is>
          <t>Provisional HSP for screening; replace with experimental/literature value before model lock.</t>
        </is>
      </c>
    </row>
    <row r="1430">
      <c r="A1430" t="inlineStr">
        <is>
          <t>SURF_MYRJ_53</t>
        </is>
      </c>
      <c r="B1430" t="inlineStr">
        <is>
          <t>Hansen_delta_H</t>
        </is>
      </c>
      <c r="C1430">
        <v>14.0</v>
      </c>
      <c r="D1430" t="inlineStr">
        <is>
          <t>MPa^0.5</t>
        </is>
      </c>
      <c r="E1430"/>
      <c r="F1430"/>
      <c r="G1430" t="inlineStr">
        <is>
          <t>heuristic group-contribution/nearest-neighbour</t>
        </is>
      </c>
      <c r="H1430" t="inlineStr">
        <is>
          <t>S013_EST_HSP_HEURISTIC</t>
        </is>
      </c>
      <c r="I1430" t="inlineStr">
        <is>
          <t>estimated</t>
        </is>
      </c>
      <c r="J1430">
        <v>0.4</v>
      </c>
      <c r="K1430" t="inlineStr">
        <is>
          <t>Provisional HSP for screening; replace with experimental/literature value before model lock.</t>
        </is>
      </c>
    </row>
    <row r="1431">
      <c r="A1431" t="inlineStr">
        <is>
          <t>SURF_MYRJ_53</t>
        </is>
      </c>
      <c r="B1431" t="inlineStr">
        <is>
          <t>Hildebrand_delta_T</t>
        </is>
      </c>
      <c r="C1431">
        <v>23.75</v>
      </c>
      <c r="D1431" t="inlineStr">
        <is>
          <t>MPa^0.5</t>
        </is>
      </c>
      <c r="E1431"/>
      <c r="F1431"/>
      <c r="G1431" t="inlineStr">
        <is>
          <t>sqrt(deltaD^2+deltaP^2+deltaH^2)</t>
        </is>
      </c>
      <c r="H1431" t="inlineStr">
        <is>
          <t>S012_CALCULATED</t>
        </is>
      </c>
      <c r="I1431" t="inlineStr">
        <is>
          <t>calculated</t>
        </is>
      </c>
      <c r="J1431">
        <v>0.45</v>
      </c>
      <c r="K1431" t="inlineStr">
        <is>
          <t>Derived from stored Hansen components.</t>
        </is>
      </c>
    </row>
    <row r="1432">
      <c r="A1432" t="inlineStr">
        <is>
          <t>SURF_MYRJ_53</t>
        </is>
      </c>
      <c r="B1432" t="inlineStr">
        <is>
          <t>HSP_radius_R0</t>
        </is>
      </c>
      <c r="C1432">
        <v>9.0</v>
      </c>
      <c r="D1432" t="inlineStr">
        <is>
          <t>MPa^0.5</t>
        </is>
      </c>
      <c r="E1432"/>
      <c r="F1432"/>
      <c r="G1432" t="inlineStr">
        <is>
          <t>literature/heuristic solubility sphere</t>
        </is>
      </c>
      <c r="H1432" t="inlineStr">
        <is>
          <t>S013_EST_HSP_HEURISTIC</t>
        </is>
      </c>
      <c r="I1432" t="inlineStr">
        <is>
          <t>estimated</t>
        </is>
      </c>
      <c r="J1432">
        <v>0.4</v>
      </c>
      <c r="K1432" t="inlineStr">
        <is>
          <t>Screening radius only unless experimentally determined.</t>
        </is>
      </c>
    </row>
    <row r="1433">
      <c r="A1433" t="inlineStr">
        <is>
          <t>SURF_MYRJ_53</t>
        </is>
      </c>
      <c r="B1433" t="inlineStr">
        <is>
          <t>molar_volume_cm3_mol</t>
        </is>
      </c>
      <c r="C1433">
        <v>1885.71</v>
      </c>
      <c r="D1433" t="inlineStr">
        <is>
          <t>cm3/mol</t>
        </is>
      </c>
      <c r="E1433"/>
      <c r="F1433"/>
      <c r="G1433" t="inlineStr">
        <is>
          <t>MW/density estimate</t>
        </is>
      </c>
      <c r="H1433" t="inlineStr">
        <is>
          <t>S012_CALCULATED</t>
        </is>
      </c>
      <c r="I1433" t="inlineStr">
        <is>
          <t>estimated</t>
        </is>
      </c>
      <c r="J1433">
        <v>0.42</v>
      </c>
      <c r="K1433" t="inlineStr">
        <is>
          <t>Estimated from MW/density; replace with measured molar volume or density-specific grade data.</t>
        </is>
      </c>
    </row>
    <row r="1434">
      <c r="A1434" t="inlineStr">
        <is>
          <t>SURF_MYRJ_53</t>
        </is>
      </c>
      <c r="B1434" t="inlineStr">
        <is>
          <t>headgroup_area_nm2</t>
        </is>
      </c>
      <c r="C1434">
        <v>0.672</v>
      </c>
      <c r="D1434" t="inlineStr">
        <is>
          <t>nm2</t>
        </is>
      </c>
      <c r="E1434"/>
      <c r="F1434"/>
      <c r="G1434" t="inlineStr">
        <is>
          <t>CPP screening heuristic</t>
        </is>
      </c>
      <c r="H1434" t="inlineStr">
        <is>
          <t>S013_EST_HSP_HEURISTIC</t>
        </is>
      </c>
      <c r="I1434" t="inlineStr">
        <is>
          <t>estimated</t>
        </is>
      </c>
      <c r="J1434">
        <v>0.35</v>
      </c>
      <c r="K1434" t="inlineStr">
        <is>
          <t>Replace with monolayer or MD-derived area per molecule for publication-grade CPP.</t>
        </is>
      </c>
    </row>
    <row r="1435">
      <c r="A1435" t="inlineStr">
        <is>
          <t>SURF_MYRJ_59</t>
        </is>
      </c>
      <c r="B1435" t="inlineStr">
        <is>
          <t>molecular_weight_g_mol</t>
        </is>
      </c>
      <c r="C1435">
        <v>2500</v>
      </c>
      <c r="D1435" t="inlineStr">
        <is>
          <t>g/mol</t>
        </is>
      </c>
      <c r="E1435"/>
      <c r="F1435"/>
      <c r="G1435" t="inlineStr">
        <is>
          <t>supplier/handbook average for mixtures</t>
        </is>
      </c>
      <c r="H1435" t="inlineStr">
        <is>
          <t>S007_EXCIPIENTS_HANDBOOK</t>
        </is>
      </c>
      <c r="I1435" t="inlineStr">
        <is>
          <t>supplier-reported</t>
        </is>
      </c>
      <c r="J1435">
        <v>0.65</v>
      </c>
      <c r="K1435"/>
    </row>
    <row r="1436">
      <c r="A1436" t="inlineStr">
        <is>
          <t>SURF_MYRJ_59</t>
        </is>
      </c>
      <c r="B1436" t="inlineStr">
        <is>
          <t>HLB</t>
        </is>
      </c>
      <c r="C1436">
        <v>18.8</v>
      </c>
      <c r="D1436" t="inlineStr">
        <is>
          <t>HLB</t>
        </is>
      </c>
      <c r="E1436"/>
      <c r="F1436"/>
      <c r="G1436" t="inlineStr">
        <is>
          <t>Griffin/Davies HLB literature/supplier value</t>
        </is>
      </c>
      <c r="H1436" t="inlineStr">
        <is>
          <t>S007_EXCIPIENTS_HANDBOOK</t>
        </is>
      </c>
      <c r="I1436" t="inlineStr">
        <is>
          <t>supplier-reported</t>
        </is>
      </c>
      <c r="J1436">
        <v>0.75</v>
      </c>
      <c r="K1436" t="inlineStr">
        <is>
          <t>Grade-dependent; use supplier CoA when available.</t>
        </is>
      </c>
    </row>
    <row r="1437">
      <c r="A1437" t="inlineStr">
        <is>
          <t>SURF_MYRJ_59</t>
        </is>
      </c>
      <c r="B1437" t="inlineStr">
        <is>
          <t>headgroup_type</t>
        </is>
      </c>
      <c r="C1437" t="inlineStr">
        <is>
          <t>polyoxyl stearate</t>
        </is>
      </c>
      <c r="D1437"/>
      <c r="E1437"/>
      <c r="F1437"/>
      <c r="G1437" t="inlineStr">
        <is>
          <t>manual class annotation</t>
        </is>
      </c>
      <c r="H1437" t="inlineStr">
        <is>
          <t>S007_EXCIPIENTS_HANDBOOK</t>
        </is>
      </c>
      <c r="I1437" t="inlineStr">
        <is>
          <t>curated</t>
        </is>
      </c>
      <c r="J1437">
        <v>0.75</v>
      </c>
      <c r="K1437"/>
    </row>
    <row r="1438">
      <c r="A1438" t="inlineStr">
        <is>
          <t>SURF_MYRJ_59</t>
        </is>
      </c>
      <c r="B1438" t="inlineStr">
        <is>
          <t>tail_chain</t>
        </is>
      </c>
      <c r="C1438" t="inlineStr">
        <is>
          <t>C18:0 stearate + PEG</t>
        </is>
      </c>
      <c r="D1438"/>
      <c r="E1438"/>
      <c r="F1438"/>
      <c r="G1438" t="inlineStr">
        <is>
          <t>fatty-chain annotation</t>
        </is>
      </c>
      <c r="H1438" t="inlineStr">
        <is>
          <t>S007_EXCIPIENTS_HANDBOOK</t>
        </is>
      </c>
      <c r="I1438" t="inlineStr">
        <is>
          <t>curated</t>
        </is>
      </c>
      <c r="J1438">
        <v>0.8</v>
      </c>
      <c r="K1438"/>
    </row>
    <row r="1439">
      <c r="A1439" t="inlineStr">
        <is>
          <t>SURF_MYRJ_59</t>
        </is>
      </c>
      <c r="B1439" t="inlineStr">
        <is>
          <t>tail_carbons</t>
        </is>
      </c>
      <c r="C1439">
        <v>18</v>
      </c>
      <c r="D1439" t="inlineStr">
        <is>
          <t>count</t>
        </is>
      </c>
      <c r="E1439"/>
      <c r="F1439"/>
      <c r="G1439" t="inlineStr">
        <is>
          <t>fatty-chain annotation</t>
        </is>
      </c>
      <c r="H1439" t="inlineStr">
        <is>
          <t>S007_EXCIPIENTS_HANDBOOK</t>
        </is>
      </c>
      <c r="I1439" t="inlineStr">
        <is>
          <t>curated</t>
        </is>
      </c>
      <c r="J1439">
        <v>0.8</v>
      </c>
      <c r="K1439"/>
    </row>
    <row r="1440">
      <c r="A1440" t="inlineStr">
        <is>
          <t>SURF_MYRJ_59</t>
        </is>
      </c>
      <c r="B1440" t="inlineStr">
        <is>
          <t>tail_unsaturation</t>
        </is>
      </c>
      <c r="C1440">
        <v>0</v>
      </c>
      <c r="D1440" t="inlineStr">
        <is>
          <t>double_bonds</t>
        </is>
      </c>
      <c r="E1440"/>
      <c r="F1440"/>
      <c r="G1440" t="inlineStr">
        <is>
          <t>fatty-chain annotation</t>
        </is>
      </c>
      <c r="H1440" t="inlineStr">
        <is>
          <t>S007_EXCIPIENTS_HANDBOOK</t>
        </is>
      </c>
      <c r="I1440" t="inlineStr">
        <is>
          <t>curated</t>
        </is>
      </c>
      <c r="J1440">
        <v>0.8</v>
      </c>
      <c r="K1440"/>
    </row>
    <row r="1441">
      <c r="A1441" t="inlineStr">
        <is>
          <t>SURF_MYRJ_59</t>
        </is>
      </c>
      <c r="B1441" t="inlineStr">
        <is>
          <t>number_of_tails</t>
        </is>
      </c>
      <c r="C1441">
        <v>1</v>
      </c>
      <c r="D1441" t="inlineStr">
        <is>
          <t>count</t>
        </is>
      </c>
      <c r="E1441"/>
      <c r="F1441"/>
      <c r="G1441" t="inlineStr">
        <is>
          <t>fatty-chain annotation</t>
        </is>
      </c>
      <c r="H1441" t="inlineStr">
        <is>
          <t>S007_EXCIPIENTS_HANDBOOK</t>
        </is>
      </c>
      <c r="I1441" t="inlineStr">
        <is>
          <t>curated</t>
        </is>
      </c>
      <c r="J1441">
        <v>0.8</v>
      </c>
      <c r="K1441"/>
    </row>
    <row r="1442">
      <c r="A1442" t="inlineStr">
        <is>
          <t>SURF_MYRJ_59</t>
        </is>
      </c>
      <c r="B1442" t="inlineStr">
        <is>
          <t>charge_type</t>
        </is>
      </c>
      <c r="C1442" t="inlineStr">
        <is>
          <t>nonionic</t>
        </is>
      </c>
      <c r="D1442"/>
      <c r="E1442"/>
      <c r="F1442"/>
      <c r="G1442" t="inlineStr">
        <is>
          <t>ionization class</t>
        </is>
      </c>
      <c r="H1442" t="inlineStr">
        <is>
          <t>S007_EXCIPIENTS_HANDBOOK</t>
        </is>
      </c>
      <c r="I1442" t="inlineStr">
        <is>
          <t>curated</t>
        </is>
      </c>
      <c r="J1442">
        <v>0.85</v>
      </c>
      <c r="K1442"/>
    </row>
    <row r="1443">
      <c r="A1443" t="inlineStr">
        <is>
          <t>SURF_MYRJ_59</t>
        </is>
      </c>
      <c r="B1443" t="inlineStr">
        <is>
          <t>formal_charge</t>
        </is>
      </c>
      <c r="C1443">
        <v>0</v>
      </c>
      <c r="D1443" t="inlineStr">
        <is>
          <t>e</t>
        </is>
      </c>
      <c r="E1443"/>
      <c r="F1443"/>
      <c r="G1443" t="inlineStr">
        <is>
          <t>nominal at neutral pH</t>
        </is>
      </c>
      <c r="H1443" t="inlineStr">
        <is>
          <t>S007_EXCIPIENTS_HANDBOOK</t>
        </is>
      </c>
      <c r="I1443" t="inlineStr">
        <is>
          <t>curated</t>
        </is>
      </c>
      <c r="J1443">
        <v>0.85</v>
      </c>
      <c r="K1443"/>
    </row>
    <row r="1444">
      <c r="A1444" t="inlineStr">
        <is>
          <t>SURF_MYRJ_59</t>
        </is>
      </c>
      <c r="B1444" t="inlineStr">
        <is>
          <t>packing_role</t>
        </is>
      </c>
      <c r="C1444" t="inlineStr">
        <is>
          <t>edge activator / micellar solubilizer</t>
        </is>
      </c>
      <c r="D1444"/>
      <c r="E1444"/>
      <c r="F1444"/>
      <c r="G1444" t="inlineStr">
        <is>
          <t>HLB/chain-rule heuristic</t>
        </is>
      </c>
      <c r="H1444" t="inlineStr">
        <is>
          <t>S007_EXCIPIENTS_HANDBOOK</t>
        </is>
      </c>
      <c r="I1444" t="inlineStr">
        <is>
          <t>curated</t>
        </is>
      </c>
      <c r="J1444">
        <v>0.65</v>
      </c>
      <c r="K1444"/>
    </row>
    <row r="1445">
      <c r="A1445" t="inlineStr">
        <is>
          <t>SURF_MYRJ_59</t>
        </is>
      </c>
      <c r="B1445" t="inlineStr">
        <is>
          <t>edge_activator_flag</t>
        </is>
      </c>
      <c r="C1445" t="inlineStr">
        <is>
          <t>yes</t>
        </is>
      </c>
      <c r="D1445"/>
      <c r="E1445"/>
      <c r="F1445"/>
      <c r="G1445" t="inlineStr">
        <is>
          <t>HLB/charge heuristic</t>
        </is>
      </c>
      <c r="H1445" t="inlineStr">
        <is>
          <t>S007_EXCIPIENTS_HANDBOOK</t>
        </is>
      </c>
      <c r="I1445" t="inlineStr">
        <is>
          <t>curated</t>
        </is>
      </c>
      <c r="J1445">
        <v>0.7</v>
      </c>
      <c r="K1445"/>
    </row>
    <row r="1446">
      <c r="A1446" t="inlineStr">
        <is>
          <t>SURF_MYRJ_59</t>
        </is>
      </c>
      <c r="B1446" t="inlineStr">
        <is>
          <t>vesicle_anchor_flag</t>
        </is>
      </c>
      <c r="C1446" t="inlineStr">
        <is>
          <t>weak/conditional</t>
        </is>
      </c>
      <c r="D1446"/>
      <c r="E1446"/>
      <c r="F1446"/>
      <c r="G1446" t="inlineStr">
        <is>
          <t>chain-length and HLB heuristic</t>
        </is>
      </c>
      <c r="H1446" t="inlineStr">
        <is>
          <t>S007_EXCIPIENTS_HANDBOOK</t>
        </is>
      </c>
      <c r="I1446" t="inlineStr">
        <is>
          <t>curated</t>
        </is>
      </c>
      <c r="J1446">
        <v>0.7</v>
      </c>
      <c r="K1446"/>
    </row>
    <row r="1447">
      <c r="A1447" t="inlineStr">
        <is>
          <t>SURF_MYRJ_59</t>
        </is>
      </c>
      <c r="B1447" t="inlineStr">
        <is>
          <t>micellization_risk_flag</t>
        </is>
      </c>
      <c r="C1447" t="inlineStr">
        <is>
          <t>high</t>
        </is>
      </c>
      <c r="D1447"/>
      <c r="E1447"/>
      <c r="F1447"/>
      <c r="G1447" t="inlineStr">
        <is>
          <t>HLB heuristic</t>
        </is>
      </c>
      <c r="H1447" t="inlineStr">
        <is>
          <t>S007_EXCIPIENTS_HANDBOOK</t>
        </is>
      </c>
      <c r="I1447" t="inlineStr">
        <is>
          <t>curated</t>
        </is>
      </c>
      <c r="J1447">
        <v>0.65</v>
      </c>
      <c r="K1447"/>
    </row>
    <row r="1448">
      <c r="A1448" t="inlineStr">
        <is>
          <t>SURF_MYRJ_59</t>
        </is>
      </c>
      <c r="B1448" t="inlineStr">
        <is>
          <t>route_suitability</t>
        </is>
      </c>
      <c r="C1448" t="inlineStr">
        <is>
          <t>oral/topical; parenteral/inhalation only if grade and safety justified</t>
        </is>
      </c>
      <c r="D1448"/>
      <c r="E1448"/>
      <c r="F1448"/>
      <c r="G1448" t="inlineStr">
        <is>
          <t>route precedent heuristic</t>
        </is>
      </c>
      <c r="H1448" t="inlineStr">
        <is>
          <t>S008_FDA_IID</t>
        </is>
      </c>
      <c r="I1448" t="inlineStr">
        <is>
          <t>curated</t>
        </is>
      </c>
      <c r="J1448">
        <v>0.55</v>
      </c>
      <c r="K1448"/>
    </row>
    <row r="1449">
      <c r="A1449" t="inlineStr">
        <is>
          <t>SURF_MYRJ_59</t>
        </is>
      </c>
      <c r="B1449" t="inlineStr">
        <is>
          <t>toxicity_or_irritancy_notes</t>
        </is>
      </c>
      <c r="C1449" t="inlineStr">
        <is>
          <t>surfactant irritation/hemolysis is concentration-, route-, and grade-dependent; screen cytotoxicity and osmolality</t>
        </is>
      </c>
      <c r="D1449"/>
      <c r="E1449"/>
      <c r="F1449"/>
      <c r="G1449"/>
      <c r="H1449" t="inlineStr">
        <is>
          <t>S007_EXCIPIENTS_HANDBOOK</t>
        </is>
      </c>
      <c r="I1449" t="inlineStr">
        <is>
          <t>curated</t>
        </is>
      </c>
      <c r="J1449">
        <v>0.7</v>
      </c>
      <c r="K1449"/>
    </row>
    <row r="1450">
      <c r="A1450" t="inlineStr">
        <is>
          <t>SURF_MYRJ_59</t>
        </is>
      </c>
      <c r="B1450" t="inlineStr">
        <is>
          <t>Hansen_delta_D</t>
        </is>
      </c>
      <c r="C1450">
        <v>17.2</v>
      </c>
      <c r="D1450" t="inlineStr">
        <is>
          <t>MPa^0.5</t>
        </is>
      </c>
      <c r="E1450"/>
      <c r="F1450"/>
      <c r="G1450" t="inlineStr">
        <is>
          <t>heuristic group-contribution/nearest-neighbour</t>
        </is>
      </c>
      <c r="H1450" t="inlineStr">
        <is>
          <t>S013_EST_HSP_HEURISTIC</t>
        </is>
      </c>
      <c r="I1450" t="inlineStr">
        <is>
          <t>estimated</t>
        </is>
      </c>
      <c r="J1450">
        <v>0.4</v>
      </c>
      <c r="K1450" t="inlineStr">
        <is>
          <t>Provisional HSP for screening; replace with experimental/literature value before model lock.</t>
        </is>
      </c>
    </row>
    <row r="1451">
      <c r="A1451" t="inlineStr">
        <is>
          <t>SURF_MYRJ_59</t>
        </is>
      </c>
      <c r="B1451" t="inlineStr">
        <is>
          <t>Hansen_delta_P</t>
        </is>
      </c>
      <c r="C1451">
        <v>8.5</v>
      </c>
      <c r="D1451" t="inlineStr">
        <is>
          <t>MPa^0.5</t>
        </is>
      </c>
      <c r="E1451"/>
      <c r="F1451"/>
      <c r="G1451" t="inlineStr">
        <is>
          <t>heuristic group-contribution/nearest-neighbour</t>
        </is>
      </c>
      <c r="H1451" t="inlineStr">
        <is>
          <t>S013_EST_HSP_HEURISTIC</t>
        </is>
      </c>
      <c r="I1451" t="inlineStr">
        <is>
          <t>estimated</t>
        </is>
      </c>
      <c r="J1451">
        <v>0.4</v>
      </c>
      <c r="K1451" t="inlineStr">
        <is>
          <t>Provisional HSP for screening; replace with experimental/literature value before model lock.</t>
        </is>
      </c>
    </row>
    <row r="1452">
      <c r="A1452" t="inlineStr">
        <is>
          <t>SURF_MYRJ_59</t>
        </is>
      </c>
      <c r="B1452" t="inlineStr">
        <is>
          <t>Hansen_delta_H</t>
        </is>
      </c>
      <c r="C1452">
        <v>14.0</v>
      </c>
      <c r="D1452" t="inlineStr">
        <is>
          <t>MPa^0.5</t>
        </is>
      </c>
      <c r="E1452"/>
      <c r="F1452"/>
      <c r="G1452" t="inlineStr">
        <is>
          <t>heuristic group-contribution/nearest-neighbour</t>
        </is>
      </c>
      <c r="H1452" t="inlineStr">
        <is>
          <t>S013_EST_HSP_HEURISTIC</t>
        </is>
      </c>
      <c r="I1452" t="inlineStr">
        <is>
          <t>estimated</t>
        </is>
      </c>
      <c r="J1452">
        <v>0.4</v>
      </c>
      <c r="K1452" t="inlineStr">
        <is>
          <t>Provisional HSP for screening; replace with experimental/literature value before model lock.</t>
        </is>
      </c>
    </row>
    <row r="1453">
      <c r="A1453" t="inlineStr">
        <is>
          <t>SURF_MYRJ_59</t>
        </is>
      </c>
      <c r="B1453" t="inlineStr">
        <is>
          <t>Hildebrand_delta_T</t>
        </is>
      </c>
      <c r="C1453">
        <v>23.75</v>
      </c>
      <c r="D1453" t="inlineStr">
        <is>
          <t>MPa^0.5</t>
        </is>
      </c>
      <c r="E1453"/>
      <c r="F1453"/>
      <c r="G1453" t="inlineStr">
        <is>
          <t>sqrt(deltaD^2+deltaP^2+deltaH^2)</t>
        </is>
      </c>
      <c r="H1453" t="inlineStr">
        <is>
          <t>S012_CALCULATED</t>
        </is>
      </c>
      <c r="I1453" t="inlineStr">
        <is>
          <t>calculated</t>
        </is>
      </c>
      <c r="J1453">
        <v>0.45</v>
      </c>
      <c r="K1453" t="inlineStr">
        <is>
          <t>Derived from stored Hansen components.</t>
        </is>
      </c>
    </row>
    <row r="1454">
      <c r="A1454" t="inlineStr">
        <is>
          <t>SURF_MYRJ_59</t>
        </is>
      </c>
      <c r="B1454" t="inlineStr">
        <is>
          <t>HSP_radius_R0</t>
        </is>
      </c>
      <c r="C1454">
        <v>9.0</v>
      </c>
      <c r="D1454" t="inlineStr">
        <is>
          <t>MPa^0.5</t>
        </is>
      </c>
      <c r="E1454"/>
      <c r="F1454"/>
      <c r="G1454" t="inlineStr">
        <is>
          <t>literature/heuristic solubility sphere</t>
        </is>
      </c>
      <c r="H1454" t="inlineStr">
        <is>
          <t>S013_EST_HSP_HEURISTIC</t>
        </is>
      </c>
      <c r="I1454" t="inlineStr">
        <is>
          <t>estimated</t>
        </is>
      </c>
      <c r="J1454">
        <v>0.4</v>
      </c>
      <c r="K1454" t="inlineStr">
        <is>
          <t>Screening radius only unless experimentally determined.</t>
        </is>
      </c>
    </row>
    <row r="1455">
      <c r="A1455" t="inlineStr">
        <is>
          <t>SURF_MYRJ_59</t>
        </is>
      </c>
      <c r="B1455" t="inlineStr">
        <is>
          <t>molar_volume_cm3_mol</t>
        </is>
      </c>
      <c r="C1455">
        <v>2380.95</v>
      </c>
      <c r="D1455" t="inlineStr">
        <is>
          <t>cm3/mol</t>
        </is>
      </c>
      <c r="E1455"/>
      <c r="F1455"/>
      <c r="G1455" t="inlineStr">
        <is>
          <t>MW/density estimate</t>
        </is>
      </c>
      <c r="H1455" t="inlineStr">
        <is>
          <t>S012_CALCULATED</t>
        </is>
      </c>
      <c r="I1455" t="inlineStr">
        <is>
          <t>estimated</t>
        </is>
      </c>
      <c r="J1455">
        <v>0.42</v>
      </c>
      <c r="K1455" t="inlineStr">
        <is>
          <t>Estimated from MW/density; replace with measured molar volume or density-specific grade data.</t>
        </is>
      </c>
    </row>
    <row r="1456">
      <c r="A1456" t="inlineStr">
        <is>
          <t>SURF_MYRJ_59</t>
        </is>
      </c>
      <c r="B1456" t="inlineStr">
        <is>
          <t>headgroup_area_nm2</t>
        </is>
      </c>
      <c r="C1456">
        <v>0.688</v>
      </c>
      <c r="D1456" t="inlineStr">
        <is>
          <t>nm2</t>
        </is>
      </c>
      <c r="E1456"/>
      <c r="F1456"/>
      <c r="G1456" t="inlineStr">
        <is>
          <t>CPP screening heuristic</t>
        </is>
      </c>
      <c r="H1456" t="inlineStr">
        <is>
          <t>S013_EST_HSP_HEURISTIC</t>
        </is>
      </c>
      <c r="I1456" t="inlineStr">
        <is>
          <t>estimated</t>
        </is>
      </c>
      <c r="J1456">
        <v>0.35</v>
      </c>
      <c r="K1456" t="inlineStr">
        <is>
          <t>Replace with monolayer or MD-derived area per molecule for publication-grade CPP.</t>
        </is>
      </c>
    </row>
    <row r="1457">
      <c r="A1457" t="inlineStr">
        <is>
          <t>SURF_POLOXAMER_124</t>
        </is>
      </c>
      <c r="B1457" t="inlineStr">
        <is>
          <t>molecular_weight_g_mol</t>
        </is>
      </c>
      <c r="C1457">
        <v>2090</v>
      </c>
      <c r="D1457" t="inlineStr">
        <is>
          <t>g/mol</t>
        </is>
      </c>
      <c r="E1457"/>
      <c r="F1457"/>
      <c r="G1457" t="inlineStr">
        <is>
          <t>supplier/handbook average for mixtures</t>
        </is>
      </c>
      <c r="H1457" t="inlineStr">
        <is>
          <t>S010_BASF_KOLLIPHOR</t>
        </is>
      </c>
      <c r="I1457" t="inlineStr">
        <is>
          <t>supplier-reported</t>
        </is>
      </c>
      <c r="J1457">
        <v>0.65</v>
      </c>
      <c r="K1457"/>
    </row>
    <row r="1458">
      <c r="A1458" t="inlineStr">
        <is>
          <t>SURF_POLOXAMER_124</t>
        </is>
      </c>
      <c r="B1458" t="inlineStr">
        <is>
          <t>HLB</t>
        </is>
      </c>
      <c r="C1458">
        <v>12</v>
      </c>
      <c r="D1458" t="inlineStr">
        <is>
          <t>HLB</t>
        </is>
      </c>
      <c r="E1458"/>
      <c r="F1458"/>
      <c r="G1458" t="inlineStr">
        <is>
          <t>Griffin/Davies HLB literature/supplier value</t>
        </is>
      </c>
      <c r="H1458" t="inlineStr">
        <is>
          <t>S010_BASF_KOLLIPHOR</t>
        </is>
      </c>
      <c r="I1458" t="inlineStr">
        <is>
          <t>supplier-reported</t>
        </is>
      </c>
      <c r="J1458">
        <v>0.75</v>
      </c>
      <c r="K1458" t="inlineStr">
        <is>
          <t>Grade-dependent; use supplier CoA when available.</t>
        </is>
      </c>
    </row>
    <row r="1459">
      <c r="A1459" t="inlineStr">
        <is>
          <t>SURF_POLOXAMER_124</t>
        </is>
      </c>
      <c r="B1459" t="inlineStr">
        <is>
          <t>headgroup_type</t>
        </is>
      </c>
      <c r="C1459" t="inlineStr">
        <is>
          <t>PEO-PPO-PEO block copolymer</t>
        </is>
      </c>
      <c r="D1459"/>
      <c r="E1459"/>
      <c r="F1459"/>
      <c r="G1459" t="inlineStr">
        <is>
          <t>manual class annotation</t>
        </is>
      </c>
      <c r="H1459" t="inlineStr">
        <is>
          <t>S010_BASF_KOLLIPHOR</t>
        </is>
      </c>
      <c r="I1459" t="inlineStr">
        <is>
          <t>curated</t>
        </is>
      </c>
      <c r="J1459">
        <v>0.75</v>
      </c>
      <c r="K1459"/>
    </row>
    <row r="1460">
      <c r="A1460" t="inlineStr">
        <is>
          <t>SURF_POLOXAMER_124</t>
        </is>
      </c>
      <c r="B1460" t="inlineStr">
        <is>
          <t>tail_chain</t>
        </is>
      </c>
      <c r="C1460" t="inlineStr">
        <is>
          <t>PPO block (not fatty acyl)</t>
        </is>
      </c>
      <c r="D1460"/>
      <c r="E1460"/>
      <c r="F1460"/>
      <c r="G1460" t="inlineStr">
        <is>
          <t>fatty-chain annotation</t>
        </is>
      </c>
      <c r="H1460" t="inlineStr">
        <is>
          <t>S010_BASF_KOLLIPHOR</t>
        </is>
      </c>
      <c r="I1460" t="inlineStr">
        <is>
          <t>curated</t>
        </is>
      </c>
      <c r="J1460">
        <v>0.8</v>
      </c>
      <c r="K1460"/>
    </row>
    <row r="1461">
      <c r="A1461" t="inlineStr">
        <is>
          <t>SURF_POLOXAMER_124</t>
        </is>
      </c>
      <c r="B1461" t="inlineStr">
        <is>
          <t>tail_carbons</t>
        </is>
      </c>
      <c r="C1461">
        <v>3</v>
      </c>
      <c r="D1461" t="inlineStr">
        <is>
          <t>count</t>
        </is>
      </c>
      <c r="E1461"/>
      <c r="F1461"/>
      <c r="G1461" t="inlineStr">
        <is>
          <t>fatty-chain annotation</t>
        </is>
      </c>
      <c r="H1461" t="inlineStr">
        <is>
          <t>S010_BASF_KOLLIPHOR</t>
        </is>
      </c>
      <c r="I1461" t="inlineStr">
        <is>
          <t>curated</t>
        </is>
      </c>
      <c r="J1461">
        <v>0.8</v>
      </c>
      <c r="K1461"/>
    </row>
    <row r="1462">
      <c r="A1462" t="inlineStr">
        <is>
          <t>SURF_POLOXAMER_124</t>
        </is>
      </c>
      <c r="B1462" t="inlineStr">
        <is>
          <t>tail_unsaturation</t>
        </is>
      </c>
      <c r="C1462">
        <v>0</v>
      </c>
      <c r="D1462" t="inlineStr">
        <is>
          <t>double_bonds</t>
        </is>
      </c>
      <c r="E1462"/>
      <c r="F1462"/>
      <c r="G1462" t="inlineStr">
        <is>
          <t>fatty-chain annotation</t>
        </is>
      </c>
      <c r="H1462" t="inlineStr">
        <is>
          <t>S010_BASF_KOLLIPHOR</t>
        </is>
      </c>
      <c r="I1462" t="inlineStr">
        <is>
          <t>curated</t>
        </is>
      </c>
      <c r="J1462">
        <v>0.8</v>
      </c>
      <c r="K1462"/>
    </row>
    <row r="1463">
      <c r="A1463" t="inlineStr">
        <is>
          <t>SURF_POLOXAMER_124</t>
        </is>
      </c>
      <c r="B1463" t="inlineStr">
        <is>
          <t>number_of_tails</t>
        </is>
      </c>
      <c r="C1463">
        <v>0</v>
      </c>
      <c r="D1463" t="inlineStr">
        <is>
          <t>count</t>
        </is>
      </c>
      <c r="E1463"/>
      <c r="F1463"/>
      <c r="G1463" t="inlineStr">
        <is>
          <t>fatty-chain annotation</t>
        </is>
      </c>
      <c r="H1463" t="inlineStr">
        <is>
          <t>S010_BASF_KOLLIPHOR</t>
        </is>
      </c>
      <c r="I1463" t="inlineStr">
        <is>
          <t>curated</t>
        </is>
      </c>
      <c r="J1463">
        <v>0.8</v>
      </c>
      <c r="K1463"/>
    </row>
    <row r="1464">
      <c r="A1464" t="inlineStr">
        <is>
          <t>SURF_POLOXAMER_124</t>
        </is>
      </c>
      <c r="B1464" t="inlineStr">
        <is>
          <t>charge_type</t>
        </is>
      </c>
      <c r="C1464" t="inlineStr">
        <is>
          <t>nonionic</t>
        </is>
      </c>
      <c r="D1464"/>
      <c r="E1464"/>
      <c r="F1464"/>
      <c r="G1464" t="inlineStr">
        <is>
          <t>ionization class</t>
        </is>
      </c>
      <c r="H1464" t="inlineStr">
        <is>
          <t>S010_BASF_KOLLIPHOR</t>
        </is>
      </c>
      <c r="I1464" t="inlineStr">
        <is>
          <t>curated</t>
        </is>
      </c>
      <c r="J1464">
        <v>0.85</v>
      </c>
      <c r="K1464"/>
    </row>
    <row r="1465">
      <c r="A1465" t="inlineStr">
        <is>
          <t>SURF_POLOXAMER_124</t>
        </is>
      </c>
      <c r="B1465" t="inlineStr">
        <is>
          <t>formal_charge</t>
        </is>
      </c>
      <c r="C1465">
        <v>0</v>
      </c>
      <c r="D1465" t="inlineStr">
        <is>
          <t>e</t>
        </is>
      </c>
      <c r="E1465"/>
      <c r="F1465"/>
      <c r="G1465" t="inlineStr">
        <is>
          <t>nominal at neutral pH</t>
        </is>
      </c>
      <c r="H1465" t="inlineStr">
        <is>
          <t>S010_BASF_KOLLIPHOR</t>
        </is>
      </c>
      <c r="I1465" t="inlineStr">
        <is>
          <t>curated</t>
        </is>
      </c>
      <c r="J1465">
        <v>0.85</v>
      </c>
      <c r="K1465"/>
    </row>
    <row r="1466">
      <c r="A1466" t="inlineStr">
        <is>
          <t>SURF_POLOXAMER_124</t>
        </is>
      </c>
      <c r="B1466" t="inlineStr">
        <is>
          <t>packing_role</t>
        </is>
      </c>
      <c r="C1466" t="inlineStr">
        <is>
          <t>edge activator / micellar solubilizer</t>
        </is>
      </c>
      <c r="D1466"/>
      <c r="E1466"/>
      <c r="F1466"/>
      <c r="G1466" t="inlineStr">
        <is>
          <t>HLB/chain-rule heuristic</t>
        </is>
      </c>
      <c r="H1466" t="inlineStr">
        <is>
          <t>S010_BASF_KOLLIPHOR</t>
        </is>
      </c>
      <c r="I1466" t="inlineStr">
        <is>
          <t>curated</t>
        </is>
      </c>
      <c r="J1466">
        <v>0.65</v>
      </c>
      <c r="K1466"/>
    </row>
    <row r="1467">
      <c r="A1467" t="inlineStr">
        <is>
          <t>SURF_POLOXAMER_124</t>
        </is>
      </c>
      <c r="B1467" t="inlineStr">
        <is>
          <t>edge_activator_flag</t>
        </is>
      </c>
      <c r="C1467" t="inlineStr">
        <is>
          <t>yes</t>
        </is>
      </c>
      <c r="D1467"/>
      <c r="E1467"/>
      <c r="F1467"/>
      <c r="G1467" t="inlineStr">
        <is>
          <t>HLB/charge heuristic</t>
        </is>
      </c>
      <c r="H1467" t="inlineStr">
        <is>
          <t>S010_BASF_KOLLIPHOR</t>
        </is>
      </c>
      <c r="I1467" t="inlineStr">
        <is>
          <t>curated</t>
        </is>
      </c>
      <c r="J1467">
        <v>0.7</v>
      </c>
      <c r="K1467"/>
    </row>
    <row r="1468">
      <c r="A1468" t="inlineStr">
        <is>
          <t>SURF_POLOXAMER_124</t>
        </is>
      </c>
      <c r="B1468" t="inlineStr">
        <is>
          <t>vesicle_anchor_flag</t>
        </is>
      </c>
      <c r="C1468" t="inlineStr">
        <is>
          <t>weak/conditional</t>
        </is>
      </c>
      <c r="D1468"/>
      <c r="E1468"/>
      <c r="F1468"/>
      <c r="G1468" t="inlineStr">
        <is>
          <t>chain-length and HLB heuristic</t>
        </is>
      </c>
      <c r="H1468" t="inlineStr">
        <is>
          <t>S010_BASF_KOLLIPHOR</t>
        </is>
      </c>
      <c r="I1468" t="inlineStr">
        <is>
          <t>curated</t>
        </is>
      </c>
      <c r="J1468">
        <v>0.7</v>
      </c>
      <c r="K1468"/>
    </row>
    <row r="1469">
      <c r="A1469" t="inlineStr">
        <is>
          <t>SURF_POLOXAMER_124</t>
        </is>
      </c>
      <c r="B1469" t="inlineStr">
        <is>
          <t>micellization_risk_flag</t>
        </is>
      </c>
      <c r="C1469" t="inlineStr">
        <is>
          <t>high</t>
        </is>
      </c>
      <c r="D1469"/>
      <c r="E1469"/>
      <c r="F1469"/>
      <c r="G1469" t="inlineStr">
        <is>
          <t>HLB heuristic</t>
        </is>
      </c>
      <c r="H1469" t="inlineStr">
        <is>
          <t>S010_BASF_KOLLIPHOR</t>
        </is>
      </c>
      <c r="I1469" t="inlineStr">
        <is>
          <t>curated</t>
        </is>
      </c>
      <c r="J1469">
        <v>0.65</v>
      </c>
      <c r="K1469"/>
    </row>
    <row r="1470">
      <c r="A1470" t="inlineStr">
        <is>
          <t>SURF_POLOXAMER_124</t>
        </is>
      </c>
      <c r="B1470" t="inlineStr">
        <is>
          <t>route_suitability</t>
        </is>
      </c>
      <c r="C1470" t="inlineStr">
        <is>
          <t>oral/topical; parenteral/inhalation only if grade and safety justified</t>
        </is>
      </c>
      <c r="D1470"/>
      <c r="E1470"/>
      <c r="F1470"/>
      <c r="G1470" t="inlineStr">
        <is>
          <t>route precedent heuristic</t>
        </is>
      </c>
      <c r="H1470" t="inlineStr">
        <is>
          <t>S008_FDA_IID</t>
        </is>
      </c>
      <c r="I1470" t="inlineStr">
        <is>
          <t>curated</t>
        </is>
      </c>
      <c r="J1470">
        <v>0.55</v>
      </c>
      <c r="K1470"/>
    </row>
    <row r="1471">
      <c r="A1471" t="inlineStr">
        <is>
          <t>SURF_POLOXAMER_124</t>
        </is>
      </c>
      <c r="B1471" t="inlineStr">
        <is>
          <t>toxicity_or_irritancy_notes</t>
        </is>
      </c>
      <c r="C1471" t="inlineStr">
        <is>
          <t>surfactant irritation/hemolysis is concentration-, route-, and grade-dependent; screen cytotoxicity and osmolality</t>
        </is>
      </c>
      <c r="D1471"/>
      <c r="E1471"/>
      <c r="F1471"/>
      <c r="G1471"/>
      <c r="H1471" t="inlineStr">
        <is>
          <t>S007_EXCIPIENTS_HANDBOOK</t>
        </is>
      </c>
      <c r="I1471" t="inlineStr">
        <is>
          <t>curated</t>
        </is>
      </c>
      <c r="J1471">
        <v>0.7</v>
      </c>
      <c r="K1471"/>
    </row>
    <row r="1472">
      <c r="A1472" t="inlineStr">
        <is>
          <t>SURF_POLOXAMER_124</t>
        </is>
      </c>
      <c r="B1472" t="inlineStr">
        <is>
          <t>Hansen_delta_D</t>
        </is>
      </c>
      <c r="C1472">
        <v>17.3</v>
      </c>
      <c r="D1472" t="inlineStr">
        <is>
          <t>MPa^0.5</t>
        </is>
      </c>
      <c r="E1472"/>
      <c r="F1472"/>
      <c r="G1472" t="inlineStr">
        <is>
          <t>heuristic group-contribution/nearest-neighbour</t>
        </is>
      </c>
      <c r="H1472" t="inlineStr">
        <is>
          <t>S013_EST_HSP_HEURISTIC</t>
        </is>
      </c>
      <c r="I1472" t="inlineStr">
        <is>
          <t>estimated</t>
        </is>
      </c>
      <c r="J1472">
        <v>0.4</v>
      </c>
      <c r="K1472" t="inlineStr">
        <is>
          <t>Provisional HSP for screening; replace with experimental/literature value before model lock.</t>
        </is>
      </c>
    </row>
    <row r="1473">
      <c r="A1473" t="inlineStr">
        <is>
          <t>SURF_POLOXAMER_124</t>
        </is>
      </c>
      <c r="B1473" t="inlineStr">
        <is>
          <t>Hansen_delta_P</t>
        </is>
      </c>
      <c r="C1473">
        <v>6.5</v>
      </c>
      <c r="D1473" t="inlineStr">
        <is>
          <t>MPa^0.5</t>
        </is>
      </c>
      <c r="E1473"/>
      <c r="F1473"/>
      <c r="G1473" t="inlineStr">
        <is>
          <t>heuristic group-contribution/nearest-neighbour</t>
        </is>
      </c>
      <c r="H1473" t="inlineStr">
        <is>
          <t>S013_EST_HSP_HEURISTIC</t>
        </is>
      </c>
      <c r="I1473" t="inlineStr">
        <is>
          <t>estimated</t>
        </is>
      </c>
      <c r="J1473">
        <v>0.4</v>
      </c>
      <c r="K1473" t="inlineStr">
        <is>
          <t>Provisional HSP for screening; replace with experimental/literature value before model lock.</t>
        </is>
      </c>
    </row>
    <row r="1474">
      <c r="A1474" t="inlineStr">
        <is>
          <t>SURF_POLOXAMER_124</t>
        </is>
      </c>
      <c r="B1474" t="inlineStr">
        <is>
          <t>Hansen_delta_H</t>
        </is>
      </c>
      <c r="C1474">
        <v>10.5</v>
      </c>
      <c r="D1474" t="inlineStr">
        <is>
          <t>MPa^0.5</t>
        </is>
      </c>
      <c r="E1474"/>
      <c r="F1474"/>
      <c r="G1474" t="inlineStr">
        <is>
          <t>heuristic group-contribution/nearest-neighbour</t>
        </is>
      </c>
      <c r="H1474" t="inlineStr">
        <is>
          <t>S013_EST_HSP_HEURISTIC</t>
        </is>
      </c>
      <c r="I1474" t="inlineStr">
        <is>
          <t>estimated</t>
        </is>
      </c>
      <c r="J1474">
        <v>0.4</v>
      </c>
      <c r="K1474" t="inlineStr">
        <is>
          <t>Provisional HSP for screening; replace with experimental/literature value before model lock.</t>
        </is>
      </c>
    </row>
    <row r="1475">
      <c r="A1475" t="inlineStr">
        <is>
          <t>SURF_POLOXAMER_124</t>
        </is>
      </c>
      <c r="B1475" t="inlineStr">
        <is>
          <t>Hildebrand_delta_T</t>
        </is>
      </c>
      <c r="C1475">
        <v>21.26</v>
      </c>
      <c r="D1475" t="inlineStr">
        <is>
          <t>MPa^0.5</t>
        </is>
      </c>
      <c r="E1475"/>
      <c r="F1475"/>
      <c r="G1475" t="inlineStr">
        <is>
          <t>sqrt(deltaD^2+deltaP^2+deltaH^2)</t>
        </is>
      </c>
      <c r="H1475" t="inlineStr">
        <is>
          <t>S012_CALCULATED</t>
        </is>
      </c>
      <c r="I1475" t="inlineStr">
        <is>
          <t>calculated</t>
        </is>
      </c>
      <c r="J1475">
        <v>0.45</v>
      </c>
      <c r="K1475" t="inlineStr">
        <is>
          <t>Derived from stored Hansen components.</t>
        </is>
      </c>
    </row>
    <row r="1476">
      <c r="A1476" t="inlineStr">
        <is>
          <t>SURF_POLOXAMER_124</t>
        </is>
      </c>
      <c r="B1476" t="inlineStr">
        <is>
          <t>HSP_radius_R0</t>
        </is>
      </c>
      <c r="C1476">
        <v>8.0</v>
      </c>
      <c r="D1476" t="inlineStr">
        <is>
          <t>MPa^0.5</t>
        </is>
      </c>
      <c r="E1476"/>
      <c r="F1476"/>
      <c r="G1476" t="inlineStr">
        <is>
          <t>literature/heuristic solubility sphere</t>
        </is>
      </c>
      <c r="H1476" t="inlineStr">
        <is>
          <t>S013_EST_HSP_HEURISTIC</t>
        </is>
      </c>
      <c r="I1476" t="inlineStr">
        <is>
          <t>estimated</t>
        </is>
      </c>
      <c r="J1476">
        <v>0.4</v>
      </c>
      <c r="K1476" t="inlineStr">
        <is>
          <t>Screening radius only unless experimentally determined.</t>
        </is>
      </c>
    </row>
    <row r="1477">
      <c r="A1477" t="inlineStr">
        <is>
          <t>SURF_POLOXAMER_124</t>
        </is>
      </c>
      <c r="B1477" t="inlineStr">
        <is>
          <t>molar_volume_cm3_mol</t>
        </is>
      </c>
      <c r="C1477">
        <v>1990.48</v>
      </c>
      <c r="D1477" t="inlineStr">
        <is>
          <t>cm3/mol</t>
        </is>
      </c>
      <c r="E1477"/>
      <c r="F1477"/>
      <c r="G1477" t="inlineStr">
        <is>
          <t>MW/density estimate</t>
        </is>
      </c>
      <c r="H1477" t="inlineStr">
        <is>
          <t>S012_CALCULATED</t>
        </is>
      </c>
      <c r="I1477" t="inlineStr">
        <is>
          <t>estimated</t>
        </is>
      </c>
      <c r="J1477">
        <v>0.42</v>
      </c>
      <c r="K1477" t="inlineStr">
        <is>
          <t>Estimated from MW/density; replace with measured molar volume or density-specific grade data.</t>
        </is>
      </c>
    </row>
    <row r="1478">
      <c r="A1478" t="inlineStr">
        <is>
          <t>SURF_POLOXAMER_124</t>
        </is>
      </c>
      <c r="B1478" t="inlineStr">
        <is>
          <t>headgroup_area_nm2</t>
        </is>
      </c>
      <c r="C1478">
        <v>0.566</v>
      </c>
      <c r="D1478" t="inlineStr">
        <is>
          <t>nm2</t>
        </is>
      </c>
      <c r="E1478"/>
      <c r="F1478"/>
      <c r="G1478" t="inlineStr">
        <is>
          <t>CPP screening heuristic</t>
        </is>
      </c>
      <c r="H1478" t="inlineStr">
        <is>
          <t>S013_EST_HSP_HEURISTIC</t>
        </is>
      </c>
      <c r="I1478" t="inlineStr">
        <is>
          <t>estimated</t>
        </is>
      </c>
      <c r="J1478">
        <v>0.35</v>
      </c>
      <c r="K1478" t="inlineStr">
        <is>
          <t>Replace with monolayer or MD-derived area per molecule for publication-grade CPP.</t>
        </is>
      </c>
    </row>
    <row r="1479">
      <c r="A1479" t="inlineStr">
        <is>
          <t>SURF_POLOXAMER_188</t>
        </is>
      </c>
      <c r="B1479" t="inlineStr">
        <is>
          <t>molecular_weight_g_mol</t>
        </is>
      </c>
      <c r="C1479">
        <v>8400</v>
      </c>
      <c r="D1479" t="inlineStr">
        <is>
          <t>g/mol</t>
        </is>
      </c>
      <c r="E1479"/>
      <c r="F1479"/>
      <c r="G1479" t="inlineStr">
        <is>
          <t>supplier/handbook average for mixtures</t>
        </is>
      </c>
      <c r="H1479" t="inlineStr">
        <is>
          <t>S010_BASF_KOLLIPHOR</t>
        </is>
      </c>
      <c r="I1479" t="inlineStr">
        <is>
          <t>supplier-reported</t>
        </is>
      </c>
      <c r="J1479">
        <v>0.65</v>
      </c>
      <c r="K1479"/>
    </row>
    <row r="1480">
      <c r="A1480" t="inlineStr">
        <is>
          <t>SURF_POLOXAMER_188</t>
        </is>
      </c>
      <c r="B1480" t="inlineStr">
        <is>
          <t>HLB</t>
        </is>
      </c>
      <c r="C1480">
        <v>29</v>
      </c>
      <c r="D1480" t="inlineStr">
        <is>
          <t>HLB</t>
        </is>
      </c>
      <c r="E1480"/>
      <c r="F1480"/>
      <c r="G1480" t="inlineStr">
        <is>
          <t>Griffin/Davies HLB literature/supplier value</t>
        </is>
      </c>
      <c r="H1480" t="inlineStr">
        <is>
          <t>S010_BASF_KOLLIPHOR</t>
        </is>
      </c>
      <c r="I1480" t="inlineStr">
        <is>
          <t>supplier-reported</t>
        </is>
      </c>
      <c r="J1480">
        <v>0.75</v>
      </c>
      <c r="K1480" t="inlineStr">
        <is>
          <t>Grade-dependent; use supplier CoA when available.</t>
        </is>
      </c>
    </row>
    <row r="1481">
      <c r="A1481" t="inlineStr">
        <is>
          <t>SURF_POLOXAMER_188</t>
        </is>
      </c>
      <c r="B1481" t="inlineStr">
        <is>
          <t>headgroup_type</t>
        </is>
      </c>
      <c r="C1481" t="inlineStr">
        <is>
          <t>PEO-PPO-PEO block copolymer</t>
        </is>
      </c>
      <c r="D1481"/>
      <c r="E1481"/>
      <c r="F1481"/>
      <c r="G1481" t="inlineStr">
        <is>
          <t>manual class annotation</t>
        </is>
      </c>
      <c r="H1481" t="inlineStr">
        <is>
          <t>S010_BASF_KOLLIPHOR</t>
        </is>
      </c>
      <c r="I1481" t="inlineStr">
        <is>
          <t>curated</t>
        </is>
      </c>
      <c r="J1481">
        <v>0.75</v>
      </c>
      <c r="K1481"/>
    </row>
    <row r="1482">
      <c r="A1482" t="inlineStr">
        <is>
          <t>SURF_POLOXAMER_188</t>
        </is>
      </c>
      <c r="B1482" t="inlineStr">
        <is>
          <t>tail_chain</t>
        </is>
      </c>
      <c r="C1482" t="inlineStr">
        <is>
          <t>PPO block (not fatty acyl)</t>
        </is>
      </c>
      <c r="D1482"/>
      <c r="E1482"/>
      <c r="F1482"/>
      <c r="G1482" t="inlineStr">
        <is>
          <t>fatty-chain annotation</t>
        </is>
      </c>
      <c r="H1482" t="inlineStr">
        <is>
          <t>S010_BASF_KOLLIPHOR</t>
        </is>
      </c>
      <c r="I1482" t="inlineStr">
        <is>
          <t>curated</t>
        </is>
      </c>
      <c r="J1482">
        <v>0.8</v>
      </c>
      <c r="K1482"/>
    </row>
    <row r="1483">
      <c r="A1483" t="inlineStr">
        <is>
          <t>SURF_POLOXAMER_188</t>
        </is>
      </c>
      <c r="B1483" t="inlineStr">
        <is>
          <t>tail_carbons</t>
        </is>
      </c>
      <c r="C1483">
        <v>3</v>
      </c>
      <c r="D1483" t="inlineStr">
        <is>
          <t>count</t>
        </is>
      </c>
      <c r="E1483"/>
      <c r="F1483"/>
      <c r="G1483" t="inlineStr">
        <is>
          <t>fatty-chain annotation</t>
        </is>
      </c>
      <c r="H1483" t="inlineStr">
        <is>
          <t>S010_BASF_KOLLIPHOR</t>
        </is>
      </c>
      <c r="I1483" t="inlineStr">
        <is>
          <t>curated</t>
        </is>
      </c>
      <c r="J1483">
        <v>0.8</v>
      </c>
      <c r="K1483"/>
    </row>
    <row r="1484">
      <c r="A1484" t="inlineStr">
        <is>
          <t>SURF_POLOXAMER_188</t>
        </is>
      </c>
      <c r="B1484" t="inlineStr">
        <is>
          <t>tail_unsaturation</t>
        </is>
      </c>
      <c r="C1484">
        <v>0</v>
      </c>
      <c r="D1484" t="inlineStr">
        <is>
          <t>double_bonds</t>
        </is>
      </c>
      <c r="E1484"/>
      <c r="F1484"/>
      <c r="G1484" t="inlineStr">
        <is>
          <t>fatty-chain annotation</t>
        </is>
      </c>
      <c r="H1484" t="inlineStr">
        <is>
          <t>S010_BASF_KOLLIPHOR</t>
        </is>
      </c>
      <c r="I1484" t="inlineStr">
        <is>
          <t>curated</t>
        </is>
      </c>
      <c r="J1484">
        <v>0.8</v>
      </c>
      <c r="K1484"/>
    </row>
    <row r="1485">
      <c r="A1485" t="inlineStr">
        <is>
          <t>SURF_POLOXAMER_188</t>
        </is>
      </c>
      <c r="B1485" t="inlineStr">
        <is>
          <t>number_of_tails</t>
        </is>
      </c>
      <c r="C1485">
        <v>0</v>
      </c>
      <c r="D1485" t="inlineStr">
        <is>
          <t>count</t>
        </is>
      </c>
      <c r="E1485"/>
      <c r="F1485"/>
      <c r="G1485" t="inlineStr">
        <is>
          <t>fatty-chain annotation</t>
        </is>
      </c>
      <c r="H1485" t="inlineStr">
        <is>
          <t>S010_BASF_KOLLIPHOR</t>
        </is>
      </c>
      <c r="I1485" t="inlineStr">
        <is>
          <t>curated</t>
        </is>
      </c>
      <c r="J1485">
        <v>0.8</v>
      </c>
      <c r="K1485"/>
    </row>
    <row r="1486">
      <c r="A1486" t="inlineStr">
        <is>
          <t>SURF_POLOXAMER_188</t>
        </is>
      </c>
      <c r="B1486" t="inlineStr">
        <is>
          <t>charge_type</t>
        </is>
      </c>
      <c r="C1486" t="inlineStr">
        <is>
          <t>nonionic</t>
        </is>
      </c>
      <c r="D1486"/>
      <c r="E1486"/>
      <c r="F1486"/>
      <c r="G1486" t="inlineStr">
        <is>
          <t>ionization class</t>
        </is>
      </c>
      <c r="H1486" t="inlineStr">
        <is>
          <t>S010_BASF_KOLLIPHOR</t>
        </is>
      </c>
      <c r="I1486" t="inlineStr">
        <is>
          <t>curated</t>
        </is>
      </c>
      <c r="J1486">
        <v>0.85</v>
      </c>
      <c r="K1486"/>
    </row>
    <row r="1487">
      <c r="A1487" t="inlineStr">
        <is>
          <t>SURF_POLOXAMER_188</t>
        </is>
      </c>
      <c r="B1487" t="inlineStr">
        <is>
          <t>formal_charge</t>
        </is>
      </c>
      <c r="C1487">
        <v>0</v>
      </c>
      <c r="D1487" t="inlineStr">
        <is>
          <t>e</t>
        </is>
      </c>
      <c r="E1487"/>
      <c r="F1487"/>
      <c r="G1487" t="inlineStr">
        <is>
          <t>nominal at neutral pH</t>
        </is>
      </c>
      <c r="H1487" t="inlineStr">
        <is>
          <t>S010_BASF_KOLLIPHOR</t>
        </is>
      </c>
      <c r="I1487" t="inlineStr">
        <is>
          <t>curated</t>
        </is>
      </c>
      <c r="J1487">
        <v>0.85</v>
      </c>
      <c r="K1487"/>
    </row>
    <row r="1488">
      <c r="A1488" t="inlineStr">
        <is>
          <t>SURF_POLOXAMER_188</t>
        </is>
      </c>
      <c r="B1488" t="inlineStr">
        <is>
          <t>packing_role</t>
        </is>
      </c>
      <c r="C1488" t="inlineStr">
        <is>
          <t>edge activator / micellar solubilizer</t>
        </is>
      </c>
      <c r="D1488"/>
      <c r="E1488"/>
      <c r="F1488"/>
      <c r="G1488" t="inlineStr">
        <is>
          <t>HLB/chain-rule heuristic</t>
        </is>
      </c>
      <c r="H1488" t="inlineStr">
        <is>
          <t>S010_BASF_KOLLIPHOR</t>
        </is>
      </c>
      <c r="I1488" t="inlineStr">
        <is>
          <t>curated</t>
        </is>
      </c>
      <c r="J1488">
        <v>0.65</v>
      </c>
      <c r="K1488"/>
    </row>
    <row r="1489">
      <c r="A1489" t="inlineStr">
        <is>
          <t>SURF_POLOXAMER_188</t>
        </is>
      </c>
      <c r="B1489" t="inlineStr">
        <is>
          <t>edge_activator_flag</t>
        </is>
      </c>
      <c r="C1489" t="inlineStr">
        <is>
          <t>yes</t>
        </is>
      </c>
      <c r="D1489"/>
      <c r="E1489"/>
      <c r="F1489"/>
      <c r="G1489" t="inlineStr">
        <is>
          <t>HLB/charge heuristic</t>
        </is>
      </c>
      <c r="H1489" t="inlineStr">
        <is>
          <t>S010_BASF_KOLLIPHOR</t>
        </is>
      </c>
      <c r="I1489" t="inlineStr">
        <is>
          <t>curated</t>
        </is>
      </c>
      <c r="J1489">
        <v>0.7</v>
      </c>
      <c r="K1489"/>
    </row>
    <row r="1490">
      <c r="A1490" t="inlineStr">
        <is>
          <t>SURF_POLOXAMER_188</t>
        </is>
      </c>
      <c r="B1490" t="inlineStr">
        <is>
          <t>vesicle_anchor_flag</t>
        </is>
      </c>
      <c r="C1490" t="inlineStr">
        <is>
          <t>weak/conditional</t>
        </is>
      </c>
      <c r="D1490"/>
      <c r="E1490"/>
      <c r="F1490"/>
      <c r="G1490" t="inlineStr">
        <is>
          <t>chain-length and HLB heuristic</t>
        </is>
      </c>
      <c r="H1490" t="inlineStr">
        <is>
          <t>S010_BASF_KOLLIPHOR</t>
        </is>
      </c>
      <c r="I1490" t="inlineStr">
        <is>
          <t>curated</t>
        </is>
      </c>
      <c r="J1490">
        <v>0.7</v>
      </c>
      <c r="K1490"/>
    </row>
    <row r="1491">
      <c r="A1491" t="inlineStr">
        <is>
          <t>SURF_POLOXAMER_188</t>
        </is>
      </c>
      <c r="B1491" t="inlineStr">
        <is>
          <t>micellization_risk_flag</t>
        </is>
      </c>
      <c r="C1491" t="inlineStr">
        <is>
          <t>high</t>
        </is>
      </c>
      <c r="D1491"/>
      <c r="E1491"/>
      <c r="F1491"/>
      <c r="G1491" t="inlineStr">
        <is>
          <t>HLB heuristic</t>
        </is>
      </c>
      <c r="H1491" t="inlineStr">
        <is>
          <t>S010_BASF_KOLLIPHOR</t>
        </is>
      </c>
      <c r="I1491" t="inlineStr">
        <is>
          <t>curated</t>
        </is>
      </c>
      <c r="J1491">
        <v>0.65</v>
      </c>
      <c r="K1491"/>
    </row>
    <row r="1492">
      <c r="A1492" t="inlineStr">
        <is>
          <t>SURF_POLOXAMER_188</t>
        </is>
      </c>
      <c r="B1492" t="inlineStr">
        <is>
          <t>route_suitability</t>
        </is>
      </c>
      <c r="C1492" t="inlineStr">
        <is>
          <t>oral/topical; parenteral/inhalation only if grade and safety justified</t>
        </is>
      </c>
      <c r="D1492"/>
      <c r="E1492"/>
      <c r="F1492"/>
      <c r="G1492" t="inlineStr">
        <is>
          <t>route precedent heuristic</t>
        </is>
      </c>
      <c r="H1492" t="inlineStr">
        <is>
          <t>S008_FDA_IID</t>
        </is>
      </c>
      <c r="I1492" t="inlineStr">
        <is>
          <t>curated</t>
        </is>
      </c>
      <c r="J1492">
        <v>0.55</v>
      </c>
      <c r="K1492"/>
    </row>
    <row r="1493">
      <c r="A1493" t="inlineStr">
        <is>
          <t>SURF_POLOXAMER_188</t>
        </is>
      </c>
      <c r="B1493" t="inlineStr">
        <is>
          <t>toxicity_or_irritancy_notes</t>
        </is>
      </c>
      <c r="C1493" t="inlineStr">
        <is>
          <t>surfactant irritation/hemolysis is concentration-, route-, and grade-dependent; screen cytotoxicity and osmolality</t>
        </is>
      </c>
      <c r="D1493"/>
      <c r="E1493"/>
      <c r="F1493"/>
      <c r="G1493"/>
      <c r="H1493" t="inlineStr">
        <is>
          <t>S007_EXCIPIENTS_HANDBOOK</t>
        </is>
      </c>
      <c r="I1493" t="inlineStr">
        <is>
          <t>curated</t>
        </is>
      </c>
      <c r="J1493">
        <v>0.7</v>
      </c>
      <c r="K1493"/>
    </row>
    <row r="1494">
      <c r="A1494" t="inlineStr">
        <is>
          <t>SURF_POLOXAMER_188</t>
        </is>
      </c>
      <c r="B1494" t="inlineStr">
        <is>
          <t>cloud_point_C</t>
        </is>
      </c>
      <c r="C1494" t="inlineStr">
        <is>
          <t>&gt;100</t>
        </is>
      </c>
      <c r="D1494" t="inlineStr">
        <is>
          <t>°C</t>
        </is>
      </c>
      <c r="E1494"/>
      <c r="F1494"/>
      <c r="G1494" t="inlineStr">
        <is>
          <t>cloud point; concentration-dependent</t>
        </is>
      </c>
      <c r="H1494" t="inlineStr">
        <is>
          <t>S010_BASF_KOLLIPHOR</t>
        </is>
      </c>
      <c r="I1494" t="inlineStr">
        <is>
          <t>supplier-reported</t>
        </is>
      </c>
      <c r="J1494">
        <v>0.55</v>
      </c>
      <c r="K1494"/>
    </row>
    <row r="1495">
      <c r="A1495" t="inlineStr">
        <is>
          <t>SURF_POLOXAMER_188</t>
        </is>
      </c>
      <c r="B1495" t="inlineStr">
        <is>
          <t>Hansen_delta_D</t>
        </is>
      </c>
      <c r="C1495">
        <v>17.2</v>
      </c>
      <c r="D1495" t="inlineStr">
        <is>
          <t>MPa^0.5</t>
        </is>
      </c>
      <c r="E1495"/>
      <c r="F1495"/>
      <c r="G1495" t="inlineStr">
        <is>
          <t>heuristic group-contribution/nearest-neighbour</t>
        </is>
      </c>
      <c r="H1495" t="inlineStr">
        <is>
          <t>S013_EST_HSP_HEURISTIC</t>
        </is>
      </c>
      <c r="I1495" t="inlineStr">
        <is>
          <t>estimated</t>
        </is>
      </c>
      <c r="J1495">
        <v>0.4</v>
      </c>
      <c r="K1495" t="inlineStr">
        <is>
          <t>Provisional HSP for screening; replace with experimental/literature value before model lock.</t>
        </is>
      </c>
    </row>
    <row r="1496">
      <c r="A1496" t="inlineStr">
        <is>
          <t>SURF_POLOXAMER_188</t>
        </is>
      </c>
      <c r="B1496" t="inlineStr">
        <is>
          <t>Hansen_delta_P</t>
        </is>
      </c>
      <c r="C1496">
        <v>8.5</v>
      </c>
      <c r="D1496" t="inlineStr">
        <is>
          <t>MPa^0.5</t>
        </is>
      </c>
      <c r="E1496"/>
      <c r="F1496"/>
      <c r="G1496" t="inlineStr">
        <is>
          <t>heuristic group-contribution/nearest-neighbour</t>
        </is>
      </c>
      <c r="H1496" t="inlineStr">
        <is>
          <t>S013_EST_HSP_HEURISTIC</t>
        </is>
      </c>
      <c r="I1496" t="inlineStr">
        <is>
          <t>estimated</t>
        </is>
      </c>
      <c r="J1496">
        <v>0.4</v>
      </c>
      <c r="K1496" t="inlineStr">
        <is>
          <t>Provisional HSP for screening; replace with experimental/literature value before model lock.</t>
        </is>
      </c>
    </row>
    <row r="1497">
      <c r="A1497" t="inlineStr">
        <is>
          <t>SURF_POLOXAMER_188</t>
        </is>
      </c>
      <c r="B1497" t="inlineStr">
        <is>
          <t>Hansen_delta_H</t>
        </is>
      </c>
      <c r="C1497">
        <v>14.0</v>
      </c>
      <c r="D1497" t="inlineStr">
        <is>
          <t>MPa^0.5</t>
        </is>
      </c>
      <c r="E1497"/>
      <c r="F1497"/>
      <c r="G1497" t="inlineStr">
        <is>
          <t>heuristic group-contribution/nearest-neighbour</t>
        </is>
      </c>
      <c r="H1497" t="inlineStr">
        <is>
          <t>S013_EST_HSP_HEURISTIC</t>
        </is>
      </c>
      <c r="I1497" t="inlineStr">
        <is>
          <t>estimated</t>
        </is>
      </c>
      <c r="J1497">
        <v>0.4</v>
      </c>
      <c r="K1497" t="inlineStr">
        <is>
          <t>Provisional HSP for screening; replace with experimental/literature value before model lock.</t>
        </is>
      </c>
    </row>
    <row r="1498">
      <c r="A1498" t="inlineStr">
        <is>
          <t>SURF_POLOXAMER_188</t>
        </is>
      </c>
      <c r="B1498" t="inlineStr">
        <is>
          <t>Hildebrand_delta_T</t>
        </is>
      </c>
      <c r="C1498">
        <v>23.75</v>
      </c>
      <c r="D1498" t="inlineStr">
        <is>
          <t>MPa^0.5</t>
        </is>
      </c>
      <c r="E1498"/>
      <c r="F1498"/>
      <c r="G1498" t="inlineStr">
        <is>
          <t>sqrt(deltaD^2+deltaP^2+deltaH^2)</t>
        </is>
      </c>
      <c r="H1498" t="inlineStr">
        <is>
          <t>S012_CALCULATED</t>
        </is>
      </c>
      <c r="I1498" t="inlineStr">
        <is>
          <t>calculated</t>
        </is>
      </c>
      <c r="J1498">
        <v>0.45</v>
      </c>
      <c r="K1498" t="inlineStr">
        <is>
          <t>Derived from stored Hansen components.</t>
        </is>
      </c>
    </row>
    <row r="1499">
      <c r="A1499" t="inlineStr">
        <is>
          <t>SURF_POLOXAMER_188</t>
        </is>
      </c>
      <c r="B1499" t="inlineStr">
        <is>
          <t>HSP_radius_R0</t>
        </is>
      </c>
      <c r="C1499">
        <v>9.0</v>
      </c>
      <c r="D1499" t="inlineStr">
        <is>
          <t>MPa^0.5</t>
        </is>
      </c>
      <c r="E1499"/>
      <c r="F1499"/>
      <c r="G1499" t="inlineStr">
        <is>
          <t>literature/heuristic solubility sphere</t>
        </is>
      </c>
      <c r="H1499" t="inlineStr">
        <is>
          <t>S013_EST_HSP_HEURISTIC</t>
        </is>
      </c>
      <c r="I1499" t="inlineStr">
        <is>
          <t>estimated</t>
        </is>
      </c>
      <c r="J1499">
        <v>0.4</v>
      </c>
      <c r="K1499" t="inlineStr">
        <is>
          <t>Screening radius only unless experimentally determined.</t>
        </is>
      </c>
    </row>
    <row r="1500">
      <c r="A1500" t="inlineStr">
        <is>
          <t>SURF_POLOXAMER_188</t>
        </is>
      </c>
      <c r="B1500" t="inlineStr">
        <is>
          <t>molar_volume_cm3_mol</t>
        </is>
      </c>
      <c r="C1500">
        <v>8000.0</v>
      </c>
      <c r="D1500" t="inlineStr">
        <is>
          <t>cm3/mol</t>
        </is>
      </c>
      <c r="E1500"/>
      <c r="F1500"/>
      <c r="G1500" t="inlineStr">
        <is>
          <t>MW/density estimate</t>
        </is>
      </c>
      <c r="H1500" t="inlineStr">
        <is>
          <t>S012_CALCULATED</t>
        </is>
      </c>
      <c r="I1500" t="inlineStr">
        <is>
          <t>estimated</t>
        </is>
      </c>
      <c r="J1500">
        <v>0.42</v>
      </c>
      <c r="K1500" t="inlineStr">
        <is>
          <t>Estimated from MW/density; replace with measured molar volume or density-specific grade data.</t>
        </is>
      </c>
    </row>
    <row r="1501">
      <c r="A1501" t="inlineStr">
        <is>
          <t>SURF_POLOXAMER_188</t>
        </is>
      </c>
      <c r="B1501" t="inlineStr">
        <is>
          <t>headgroup_area_nm2</t>
        </is>
      </c>
      <c r="C1501">
        <v>0.872</v>
      </c>
      <c r="D1501" t="inlineStr">
        <is>
          <t>nm2</t>
        </is>
      </c>
      <c r="E1501"/>
      <c r="F1501"/>
      <c r="G1501" t="inlineStr">
        <is>
          <t>CPP screening heuristic</t>
        </is>
      </c>
      <c r="H1501" t="inlineStr">
        <is>
          <t>S013_EST_HSP_HEURISTIC</t>
        </is>
      </c>
      <c r="I1501" t="inlineStr">
        <is>
          <t>estimated</t>
        </is>
      </c>
      <c r="J1501">
        <v>0.35</v>
      </c>
      <c r="K1501" t="inlineStr">
        <is>
          <t>Replace with monolayer or MD-derived area per molecule for publication-grade CPP.</t>
        </is>
      </c>
    </row>
    <row r="1502">
      <c r="A1502" t="inlineStr">
        <is>
          <t>SURF_POLOXAMER_237</t>
        </is>
      </c>
      <c r="B1502" t="inlineStr">
        <is>
          <t>molecular_weight_g_mol</t>
        </is>
      </c>
      <c r="C1502">
        <v>7700</v>
      </c>
      <c r="D1502" t="inlineStr">
        <is>
          <t>g/mol</t>
        </is>
      </c>
      <c r="E1502"/>
      <c r="F1502"/>
      <c r="G1502" t="inlineStr">
        <is>
          <t>supplier/handbook average for mixtures</t>
        </is>
      </c>
      <c r="H1502" t="inlineStr">
        <is>
          <t>S010_BASF_KOLLIPHOR</t>
        </is>
      </c>
      <c r="I1502" t="inlineStr">
        <is>
          <t>supplier-reported</t>
        </is>
      </c>
      <c r="J1502">
        <v>0.65</v>
      </c>
      <c r="K1502"/>
    </row>
    <row r="1503">
      <c r="A1503" t="inlineStr">
        <is>
          <t>SURF_POLOXAMER_237</t>
        </is>
      </c>
      <c r="B1503" t="inlineStr">
        <is>
          <t>HLB</t>
        </is>
      </c>
      <c r="C1503">
        <v>24</v>
      </c>
      <c r="D1503" t="inlineStr">
        <is>
          <t>HLB</t>
        </is>
      </c>
      <c r="E1503"/>
      <c r="F1503"/>
      <c r="G1503" t="inlineStr">
        <is>
          <t>Griffin/Davies HLB literature/supplier value</t>
        </is>
      </c>
      <c r="H1503" t="inlineStr">
        <is>
          <t>S010_BASF_KOLLIPHOR</t>
        </is>
      </c>
      <c r="I1503" t="inlineStr">
        <is>
          <t>supplier-reported</t>
        </is>
      </c>
      <c r="J1503">
        <v>0.75</v>
      </c>
      <c r="K1503" t="inlineStr">
        <is>
          <t>Grade-dependent; use supplier CoA when available.</t>
        </is>
      </c>
    </row>
    <row r="1504">
      <c r="A1504" t="inlineStr">
        <is>
          <t>SURF_POLOXAMER_237</t>
        </is>
      </c>
      <c r="B1504" t="inlineStr">
        <is>
          <t>headgroup_type</t>
        </is>
      </c>
      <c r="C1504" t="inlineStr">
        <is>
          <t>PEO-PPO-PEO block copolymer</t>
        </is>
      </c>
      <c r="D1504"/>
      <c r="E1504"/>
      <c r="F1504"/>
      <c r="G1504" t="inlineStr">
        <is>
          <t>manual class annotation</t>
        </is>
      </c>
      <c r="H1504" t="inlineStr">
        <is>
          <t>S010_BASF_KOLLIPHOR</t>
        </is>
      </c>
      <c r="I1504" t="inlineStr">
        <is>
          <t>curated</t>
        </is>
      </c>
      <c r="J1504">
        <v>0.75</v>
      </c>
      <c r="K1504"/>
    </row>
    <row r="1505">
      <c r="A1505" t="inlineStr">
        <is>
          <t>SURF_POLOXAMER_237</t>
        </is>
      </c>
      <c r="B1505" t="inlineStr">
        <is>
          <t>tail_chain</t>
        </is>
      </c>
      <c r="C1505" t="inlineStr">
        <is>
          <t>PPO block (not fatty acyl)</t>
        </is>
      </c>
      <c r="D1505"/>
      <c r="E1505"/>
      <c r="F1505"/>
      <c r="G1505" t="inlineStr">
        <is>
          <t>fatty-chain annotation</t>
        </is>
      </c>
      <c r="H1505" t="inlineStr">
        <is>
          <t>S010_BASF_KOLLIPHOR</t>
        </is>
      </c>
      <c r="I1505" t="inlineStr">
        <is>
          <t>curated</t>
        </is>
      </c>
      <c r="J1505">
        <v>0.8</v>
      </c>
      <c r="K1505"/>
    </row>
    <row r="1506">
      <c r="A1506" t="inlineStr">
        <is>
          <t>SURF_POLOXAMER_237</t>
        </is>
      </c>
      <c r="B1506" t="inlineStr">
        <is>
          <t>tail_carbons</t>
        </is>
      </c>
      <c r="C1506">
        <v>3</v>
      </c>
      <c r="D1506" t="inlineStr">
        <is>
          <t>count</t>
        </is>
      </c>
      <c r="E1506"/>
      <c r="F1506"/>
      <c r="G1506" t="inlineStr">
        <is>
          <t>fatty-chain annotation</t>
        </is>
      </c>
      <c r="H1506" t="inlineStr">
        <is>
          <t>S010_BASF_KOLLIPHOR</t>
        </is>
      </c>
      <c r="I1506" t="inlineStr">
        <is>
          <t>curated</t>
        </is>
      </c>
      <c r="J1506">
        <v>0.8</v>
      </c>
      <c r="K1506"/>
    </row>
    <row r="1507">
      <c r="A1507" t="inlineStr">
        <is>
          <t>SURF_POLOXAMER_237</t>
        </is>
      </c>
      <c r="B1507" t="inlineStr">
        <is>
          <t>tail_unsaturation</t>
        </is>
      </c>
      <c r="C1507">
        <v>0</v>
      </c>
      <c r="D1507" t="inlineStr">
        <is>
          <t>double_bonds</t>
        </is>
      </c>
      <c r="E1507"/>
      <c r="F1507"/>
      <c r="G1507" t="inlineStr">
        <is>
          <t>fatty-chain annotation</t>
        </is>
      </c>
      <c r="H1507" t="inlineStr">
        <is>
          <t>S010_BASF_KOLLIPHOR</t>
        </is>
      </c>
      <c r="I1507" t="inlineStr">
        <is>
          <t>curated</t>
        </is>
      </c>
      <c r="J1507">
        <v>0.8</v>
      </c>
      <c r="K1507"/>
    </row>
    <row r="1508">
      <c r="A1508" t="inlineStr">
        <is>
          <t>SURF_POLOXAMER_237</t>
        </is>
      </c>
      <c r="B1508" t="inlineStr">
        <is>
          <t>number_of_tails</t>
        </is>
      </c>
      <c r="C1508">
        <v>0</v>
      </c>
      <c r="D1508" t="inlineStr">
        <is>
          <t>count</t>
        </is>
      </c>
      <c r="E1508"/>
      <c r="F1508"/>
      <c r="G1508" t="inlineStr">
        <is>
          <t>fatty-chain annotation</t>
        </is>
      </c>
      <c r="H1508" t="inlineStr">
        <is>
          <t>S010_BASF_KOLLIPHOR</t>
        </is>
      </c>
      <c r="I1508" t="inlineStr">
        <is>
          <t>curated</t>
        </is>
      </c>
      <c r="J1508">
        <v>0.8</v>
      </c>
      <c r="K1508"/>
    </row>
    <row r="1509">
      <c r="A1509" t="inlineStr">
        <is>
          <t>SURF_POLOXAMER_237</t>
        </is>
      </c>
      <c r="B1509" t="inlineStr">
        <is>
          <t>charge_type</t>
        </is>
      </c>
      <c r="C1509" t="inlineStr">
        <is>
          <t>nonionic</t>
        </is>
      </c>
      <c r="D1509"/>
      <c r="E1509"/>
      <c r="F1509"/>
      <c r="G1509" t="inlineStr">
        <is>
          <t>ionization class</t>
        </is>
      </c>
      <c r="H1509" t="inlineStr">
        <is>
          <t>S010_BASF_KOLLIPHOR</t>
        </is>
      </c>
      <c r="I1509" t="inlineStr">
        <is>
          <t>curated</t>
        </is>
      </c>
      <c r="J1509">
        <v>0.85</v>
      </c>
      <c r="K1509"/>
    </row>
    <row r="1510">
      <c r="A1510" t="inlineStr">
        <is>
          <t>SURF_POLOXAMER_237</t>
        </is>
      </c>
      <c r="B1510" t="inlineStr">
        <is>
          <t>formal_charge</t>
        </is>
      </c>
      <c r="C1510">
        <v>0</v>
      </c>
      <c r="D1510" t="inlineStr">
        <is>
          <t>e</t>
        </is>
      </c>
      <c r="E1510"/>
      <c r="F1510"/>
      <c r="G1510" t="inlineStr">
        <is>
          <t>nominal at neutral pH</t>
        </is>
      </c>
      <c r="H1510" t="inlineStr">
        <is>
          <t>S010_BASF_KOLLIPHOR</t>
        </is>
      </c>
      <c r="I1510" t="inlineStr">
        <is>
          <t>curated</t>
        </is>
      </c>
      <c r="J1510">
        <v>0.85</v>
      </c>
      <c r="K1510"/>
    </row>
    <row r="1511">
      <c r="A1511" t="inlineStr">
        <is>
          <t>SURF_POLOXAMER_237</t>
        </is>
      </c>
      <c r="B1511" t="inlineStr">
        <is>
          <t>packing_role</t>
        </is>
      </c>
      <c r="C1511" t="inlineStr">
        <is>
          <t>edge activator / micellar solubilizer</t>
        </is>
      </c>
      <c r="D1511"/>
      <c r="E1511"/>
      <c r="F1511"/>
      <c r="G1511" t="inlineStr">
        <is>
          <t>HLB/chain-rule heuristic</t>
        </is>
      </c>
      <c r="H1511" t="inlineStr">
        <is>
          <t>S010_BASF_KOLLIPHOR</t>
        </is>
      </c>
      <c r="I1511" t="inlineStr">
        <is>
          <t>curated</t>
        </is>
      </c>
      <c r="J1511">
        <v>0.65</v>
      </c>
      <c r="K1511"/>
    </row>
    <row r="1512">
      <c r="A1512" t="inlineStr">
        <is>
          <t>SURF_POLOXAMER_237</t>
        </is>
      </c>
      <c r="B1512" t="inlineStr">
        <is>
          <t>edge_activator_flag</t>
        </is>
      </c>
      <c r="C1512" t="inlineStr">
        <is>
          <t>yes</t>
        </is>
      </c>
      <c r="D1512"/>
      <c r="E1512"/>
      <c r="F1512"/>
      <c r="G1512" t="inlineStr">
        <is>
          <t>HLB/charge heuristic</t>
        </is>
      </c>
      <c r="H1512" t="inlineStr">
        <is>
          <t>S010_BASF_KOLLIPHOR</t>
        </is>
      </c>
      <c r="I1512" t="inlineStr">
        <is>
          <t>curated</t>
        </is>
      </c>
      <c r="J1512">
        <v>0.7</v>
      </c>
      <c r="K1512"/>
    </row>
    <row r="1513">
      <c r="A1513" t="inlineStr">
        <is>
          <t>SURF_POLOXAMER_237</t>
        </is>
      </c>
      <c r="B1513" t="inlineStr">
        <is>
          <t>vesicle_anchor_flag</t>
        </is>
      </c>
      <c r="C1513" t="inlineStr">
        <is>
          <t>weak/conditional</t>
        </is>
      </c>
      <c r="D1513"/>
      <c r="E1513"/>
      <c r="F1513"/>
      <c r="G1513" t="inlineStr">
        <is>
          <t>chain-length and HLB heuristic</t>
        </is>
      </c>
      <c r="H1513" t="inlineStr">
        <is>
          <t>S010_BASF_KOLLIPHOR</t>
        </is>
      </c>
      <c r="I1513" t="inlineStr">
        <is>
          <t>curated</t>
        </is>
      </c>
      <c r="J1513">
        <v>0.7</v>
      </c>
      <c r="K1513"/>
    </row>
    <row r="1514">
      <c r="A1514" t="inlineStr">
        <is>
          <t>SURF_POLOXAMER_237</t>
        </is>
      </c>
      <c r="B1514" t="inlineStr">
        <is>
          <t>micellization_risk_flag</t>
        </is>
      </c>
      <c r="C1514" t="inlineStr">
        <is>
          <t>high</t>
        </is>
      </c>
      <c r="D1514"/>
      <c r="E1514"/>
      <c r="F1514"/>
      <c r="G1514" t="inlineStr">
        <is>
          <t>HLB heuristic</t>
        </is>
      </c>
      <c r="H1514" t="inlineStr">
        <is>
          <t>S010_BASF_KOLLIPHOR</t>
        </is>
      </c>
      <c r="I1514" t="inlineStr">
        <is>
          <t>curated</t>
        </is>
      </c>
      <c r="J1514">
        <v>0.65</v>
      </c>
      <c r="K1514"/>
    </row>
    <row r="1515">
      <c r="A1515" t="inlineStr">
        <is>
          <t>SURF_POLOXAMER_237</t>
        </is>
      </c>
      <c r="B1515" t="inlineStr">
        <is>
          <t>route_suitability</t>
        </is>
      </c>
      <c r="C1515" t="inlineStr">
        <is>
          <t>oral/topical; parenteral/inhalation only if grade and safety justified</t>
        </is>
      </c>
      <c r="D1515"/>
      <c r="E1515"/>
      <c r="F1515"/>
      <c r="G1515" t="inlineStr">
        <is>
          <t>route precedent heuristic</t>
        </is>
      </c>
      <c r="H1515" t="inlineStr">
        <is>
          <t>S008_FDA_IID</t>
        </is>
      </c>
      <c r="I1515" t="inlineStr">
        <is>
          <t>curated</t>
        </is>
      </c>
      <c r="J1515">
        <v>0.55</v>
      </c>
      <c r="K1515"/>
    </row>
    <row r="1516">
      <c r="A1516" t="inlineStr">
        <is>
          <t>SURF_POLOXAMER_237</t>
        </is>
      </c>
      <c r="B1516" t="inlineStr">
        <is>
          <t>toxicity_or_irritancy_notes</t>
        </is>
      </c>
      <c r="C1516" t="inlineStr">
        <is>
          <t>surfactant irritation/hemolysis is concentration-, route-, and grade-dependent; screen cytotoxicity and osmolality</t>
        </is>
      </c>
      <c r="D1516"/>
      <c r="E1516"/>
      <c r="F1516"/>
      <c r="G1516"/>
      <c r="H1516" t="inlineStr">
        <is>
          <t>S007_EXCIPIENTS_HANDBOOK</t>
        </is>
      </c>
      <c r="I1516" t="inlineStr">
        <is>
          <t>curated</t>
        </is>
      </c>
      <c r="J1516">
        <v>0.7</v>
      </c>
      <c r="K1516"/>
    </row>
    <row r="1517">
      <c r="A1517" t="inlineStr">
        <is>
          <t>SURF_POLOXAMER_237</t>
        </is>
      </c>
      <c r="B1517" t="inlineStr">
        <is>
          <t>cloud_point_C</t>
        </is>
      </c>
      <c r="C1517" t="inlineStr">
        <is>
          <t>&gt;100</t>
        </is>
      </c>
      <c r="D1517" t="inlineStr">
        <is>
          <t>°C</t>
        </is>
      </c>
      <c r="E1517"/>
      <c r="F1517"/>
      <c r="G1517" t="inlineStr">
        <is>
          <t>cloud point; concentration-dependent</t>
        </is>
      </c>
      <c r="H1517" t="inlineStr">
        <is>
          <t>S010_BASF_KOLLIPHOR</t>
        </is>
      </c>
      <c r="I1517" t="inlineStr">
        <is>
          <t>supplier-reported</t>
        </is>
      </c>
      <c r="J1517">
        <v>0.55</v>
      </c>
      <c r="K1517"/>
    </row>
    <row r="1518">
      <c r="A1518" t="inlineStr">
        <is>
          <t>SURF_POLOXAMER_237</t>
        </is>
      </c>
      <c r="B1518" t="inlineStr">
        <is>
          <t>Hansen_delta_D</t>
        </is>
      </c>
      <c r="C1518">
        <v>17.2</v>
      </c>
      <c r="D1518" t="inlineStr">
        <is>
          <t>MPa^0.5</t>
        </is>
      </c>
      <c r="E1518"/>
      <c r="F1518"/>
      <c r="G1518" t="inlineStr">
        <is>
          <t>heuristic group-contribution/nearest-neighbour</t>
        </is>
      </c>
      <c r="H1518" t="inlineStr">
        <is>
          <t>S013_EST_HSP_HEURISTIC</t>
        </is>
      </c>
      <c r="I1518" t="inlineStr">
        <is>
          <t>estimated</t>
        </is>
      </c>
      <c r="J1518">
        <v>0.4</v>
      </c>
      <c r="K1518" t="inlineStr">
        <is>
          <t>Provisional HSP for screening; replace with experimental/literature value before model lock.</t>
        </is>
      </c>
    </row>
    <row r="1519">
      <c r="A1519" t="inlineStr">
        <is>
          <t>SURF_POLOXAMER_237</t>
        </is>
      </c>
      <c r="B1519" t="inlineStr">
        <is>
          <t>Hansen_delta_P</t>
        </is>
      </c>
      <c r="C1519">
        <v>8.5</v>
      </c>
      <c r="D1519" t="inlineStr">
        <is>
          <t>MPa^0.5</t>
        </is>
      </c>
      <c r="E1519"/>
      <c r="F1519"/>
      <c r="G1519" t="inlineStr">
        <is>
          <t>heuristic group-contribution/nearest-neighbour</t>
        </is>
      </c>
      <c r="H1519" t="inlineStr">
        <is>
          <t>S013_EST_HSP_HEURISTIC</t>
        </is>
      </c>
      <c r="I1519" t="inlineStr">
        <is>
          <t>estimated</t>
        </is>
      </c>
      <c r="J1519">
        <v>0.4</v>
      </c>
      <c r="K1519" t="inlineStr">
        <is>
          <t>Provisional HSP for screening; replace with experimental/literature value before model lock.</t>
        </is>
      </c>
    </row>
    <row r="1520">
      <c r="A1520" t="inlineStr">
        <is>
          <t>SURF_POLOXAMER_237</t>
        </is>
      </c>
      <c r="B1520" t="inlineStr">
        <is>
          <t>Hansen_delta_H</t>
        </is>
      </c>
      <c r="C1520">
        <v>14.0</v>
      </c>
      <c r="D1520" t="inlineStr">
        <is>
          <t>MPa^0.5</t>
        </is>
      </c>
      <c r="E1520"/>
      <c r="F1520"/>
      <c r="G1520" t="inlineStr">
        <is>
          <t>heuristic group-contribution/nearest-neighbour</t>
        </is>
      </c>
      <c r="H1520" t="inlineStr">
        <is>
          <t>S013_EST_HSP_HEURISTIC</t>
        </is>
      </c>
      <c r="I1520" t="inlineStr">
        <is>
          <t>estimated</t>
        </is>
      </c>
      <c r="J1520">
        <v>0.4</v>
      </c>
      <c r="K1520" t="inlineStr">
        <is>
          <t>Provisional HSP for screening; replace with experimental/literature value before model lock.</t>
        </is>
      </c>
    </row>
    <row r="1521">
      <c r="A1521" t="inlineStr">
        <is>
          <t>SURF_POLOXAMER_237</t>
        </is>
      </c>
      <c r="B1521" t="inlineStr">
        <is>
          <t>Hildebrand_delta_T</t>
        </is>
      </c>
      <c r="C1521">
        <v>23.75</v>
      </c>
      <c r="D1521" t="inlineStr">
        <is>
          <t>MPa^0.5</t>
        </is>
      </c>
      <c r="E1521"/>
      <c r="F1521"/>
      <c r="G1521" t="inlineStr">
        <is>
          <t>sqrt(deltaD^2+deltaP^2+deltaH^2)</t>
        </is>
      </c>
      <c r="H1521" t="inlineStr">
        <is>
          <t>S012_CALCULATED</t>
        </is>
      </c>
      <c r="I1521" t="inlineStr">
        <is>
          <t>calculated</t>
        </is>
      </c>
      <c r="J1521">
        <v>0.45</v>
      </c>
      <c r="K1521" t="inlineStr">
        <is>
          <t>Derived from stored Hansen components.</t>
        </is>
      </c>
    </row>
    <row r="1522">
      <c r="A1522" t="inlineStr">
        <is>
          <t>SURF_POLOXAMER_237</t>
        </is>
      </c>
      <c r="B1522" t="inlineStr">
        <is>
          <t>HSP_radius_R0</t>
        </is>
      </c>
      <c r="C1522">
        <v>9.0</v>
      </c>
      <c r="D1522" t="inlineStr">
        <is>
          <t>MPa^0.5</t>
        </is>
      </c>
      <c r="E1522"/>
      <c r="F1522"/>
      <c r="G1522" t="inlineStr">
        <is>
          <t>literature/heuristic solubility sphere</t>
        </is>
      </c>
      <c r="H1522" t="inlineStr">
        <is>
          <t>S013_EST_HSP_HEURISTIC</t>
        </is>
      </c>
      <c r="I1522" t="inlineStr">
        <is>
          <t>estimated</t>
        </is>
      </c>
      <c r="J1522">
        <v>0.4</v>
      </c>
      <c r="K1522" t="inlineStr">
        <is>
          <t>Screening radius only unless experimentally determined.</t>
        </is>
      </c>
    </row>
    <row r="1523">
      <c r="A1523" t="inlineStr">
        <is>
          <t>SURF_POLOXAMER_237</t>
        </is>
      </c>
      <c r="B1523" t="inlineStr">
        <is>
          <t>molar_volume_cm3_mol</t>
        </is>
      </c>
      <c r="C1523">
        <v>7333.33</v>
      </c>
      <c r="D1523" t="inlineStr">
        <is>
          <t>cm3/mol</t>
        </is>
      </c>
      <c r="E1523"/>
      <c r="F1523"/>
      <c r="G1523" t="inlineStr">
        <is>
          <t>MW/density estimate</t>
        </is>
      </c>
      <c r="H1523" t="inlineStr">
        <is>
          <t>S012_CALCULATED</t>
        </is>
      </c>
      <c r="I1523" t="inlineStr">
        <is>
          <t>estimated</t>
        </is>
      </c>
      <c r="J1523">
        <v>0.42</v>
      </c>
      <c r="K1523" t="inlineStr">
        <is>
          <t>Estimated from MW/density; replace with measured molar volume or density-specific grade data.</t>
        </is>
      </c>
    </row>
    <row r="1524">
      <c r="A1524" t="inlineStr">
        <is>
          <t>SURF_POLOXAMER_237</t>
        </is>
      </c>
      <c r="B1524" t="inlineStr">
        <is>
          <t>headgroup_area_nm2</t>
        </is>
      </c>
      <c r="C1524">
        <v>0.782</v>
      </c>
      <c r="D1524" t="inlineStr">
        <is>
          <t>nm2</t>
        </is>
      </c>
      <c r="E1524"/>
      <c r="F1524"/>
      <c r="G1524" t="inlineStr">
        <is>
          <t>CPP screening heuristic</t>
        </is>
      </c>
      <c r="H1524" t="inlineStr">
        <is>
          <t>S013_EST_HSP_HEURISTIC</t>
        </is>
      </c>
      <c r="I1524" t="inlineStr">
        <is>
          <t>estimated</t>
        </is>
      </c>
      <c r="J1524">
        <v>0.35</v>
      </c>
      <c r="K1524" t="inlineStr">
        <is>
          <t>Replace with monolayer or MD-derived area per molecule for publication-grade CPP.</t>
        </is>
      </c>
    </row>
    <row r="1525">
      <c r="A1525" t="inlineStr">
        <is>
          <t>SURF_POLOXAMER_338</t>
        </is>
      </c>
      <c r="B1525" t="inlineStr">
        <is>
          <t>molecular_weight_g_mol</t>
        </is>
      </c>
      <c r="C1525">
        <v>14600</v>
      </c>
      <c r="D1525" t="inlineStr">
        <is>
          <t>g/mol</t>
        </is>
      </c>
      <c r="E1525"/>
      <c r="F1525"/>
      <c r="G1525" t="inlineStr">
        <is>
          <t>supplier/handbook average for mixtures</t>
        </is>
      </c>
      <c r="H1525" t="inlineStr">
        <is>
          <t>S010_BASF_KOLLIPHOR</t>
        </is>
      </c>
      <c r="I1525" t="inlineStr">
        <is>
          <t>supplier-reported</t>
        </is>
      </c>
      <c r="J1525">
        <v>0.65</v>
      </c>
      <c r="K1525"/>
    </row>
    <row r="1526">
      <c r="A1526" t="inlineStr">
        <is>
          <t>SURF_POLOXAMER_338</t>
        </is>
      </c>
      <c r="B1526" t="inlineStr">
        <is>
          <t>HLB</t>
        </is>
      </c>
      <c r="C1526">
        <v>27</v>
      </c>
      <c r="D1526" t="inlineStr">
        <is>
          <t>HLB</t>
        </is>
      </c>
      <c r="E1526"/>
      <c r="F1526"/>
      <c r="G1526" t="inlineStr">
        <is>
          <t>Griffin/Davies HLB literature/supplier value</t>
        </is>
      </c>
      <c r="H1526" t="inlineStr">
        <is>
          <t>S010_BASF_KOLLIPHOR</t>
        </is>
      </c>
      <c r="I1526" t="inlineStr">
        <is>
          <t>supplier-reported</t>
        </is>
      </c>
      <c r="J1526">
        <v>0.75</v>
      </c>
      <c r="K1526" t="inlineStr">
        <is>
          <t>Grade-dependent; use supplier CoA when available.</t>
        </is>
      </c>
    </row>
    <row r="1527">
      <c r="A1527" t="inlineStr">
        <is>
          <t>SURF_POLOXAMER_338</t>
        </is>
      </c>
      <c r="B1527" t="inlineStr">
        <is>
          <t>headgroup_type</t>
        </is>
      </c>
      <c r="C1527" t="inlineStr">
        <is>
          <t>PEO-PPO-PEO block copolymer</t>
        </is>
      </c>
      <c r="D1527"/>
      <c r="E1527"/>
      <c r="F1527"/>
      <c r="G1527" t="inlineStr">
        <is>
          <t>manual class annotation</t>
        </is>
      </c>
      <c r="H1527" t="inlineStr">
        <is>
          <t>S010_BASF_KOLLIPHOR</t>
        </is>
      </c>
      <c r="I1527" t="inlineStr">
        <is>
          <t>curated</t>
        </is>
      </c>
      <c r="J1527">
        <v>0.75</v>
      </c>
      <c r="K1527"/>
    </row>
    <row r="1528">
      <c r="A1528" t="inlineStr">
        <is>
          <t>SURF_POLOXAMER_338</t>
        </is>
      </c>
      <c r="B1528" t="inlineStr">
        <is>
          <t>tail_chain</t>
        </is>
      </c>
      <c r="C1528" t="inlineStr">
        <is>
          <t>PPO block (not fatty acyl)</t>
        </is>
      </c>
      <c r="D1528"/>
      <c r="E1528"/>
      <c r="F1528"/>
      <c r="G1528" t="inlineStr">
        <is>
          <t>fatty-chain annotation</t>
        </is>
      </c>
      <c r="H1528" t="inlineStr">
        <is>
          <t>S010_BASF_KOLLIPHOR</t>
        </is>
      </c>
      <c r="I1528" t="inlineStr">
        <is>
          <t>curated</t>
        </is>
      </c>
      <c r="J1528">
        <v>0.8</v>
      </c>
      <c r="K1528"/>
    </row>
    <row r="1529">
      <c r="A1529" t="inlineStr">
        <is>
          <t>SURF_POLOXAMER_338</t>
        </is>
      </c>
      <c r="B1529" t="inlineStr">
        <is>
          <t>tail_carbons</t>
        </is>
      </c>
      <c r="C1529">
        <v>3</v>
      </c>
      <c r="D1529" t="inlineStr">
        <is>
          <t>count</t>
        </is>
      </c>
      <c r="E1529"/>
      <c r="F1529"/>
      <c r="G1529" t="inlineStr">
        <is>
          <t>fatty-chain annotation</t>
        </is>
      </c>
      <c r="H1529" t="inlineStr">
        <is>
          <t>S010_BASF_KOLLIPHOR</t>
        </is>
      </c>
      <c r="I1529" t="inlineStr">
        <is>
          <t>curated</t>
        </is>
      </c>
      <c r="J1529">
        <v>0.8</v>
      </c>
      <c r="K1529"/>
    </row>
    <row r="1530">
      <c r="A1530" t="inlineStr">
        <is>
          <t>SURF_POLOXAMER_338</t>
        </is>
      </c>
      <c r="B1530" t="inlineStr">
        <is>
          <t>tail_unsaturation</t>
        </is>
      </c>
      <c r="C1530">
        <v>0</v>
      </c>
      <c r="D1530" t="inlineStr">
        <is>
          <t>double_bonds</t>
        </is>
      </c>
      <c r="E1530"/>
      <c r="F1530"/>
      <c r="G1530" t="inlineStr">
        <is>
          <t>fatty-chain annotation</t>
        </is>
      </c>
      <c r="H1530" t="inlineStr">
        <is>
          <t>S010_BASF_KOLLIPHOR</t>
        </is>
      </c>
      <c r="I1530" t="inlineStr">
        <is>
          <t>curated</t>
        </is>
      </c>
      <c r="J1530">
        <v>0.8</v>
      </c>
      <c r="K1530"/>
    </row>
    <row r="1531">
      <c r="A1531" t="inlineStr">
        <is>
          <t>SURF_POLOXAMER_338</t>
        </is>
      </c>
      <c r="B1531" t="inlineStr">
        <is>
          <t>number_of_tails</t>
        </is>
      </c>
      <c r="C1531">
        <v>0</v>
      </c>
      <c r="D1531" t="inlineStr">
        <is>
          <t>count</t>
        </is>
      </c>
      <c r="E1531"/>
      <c r="F1531"/>
      <c r="G1531" t="inlineStr">
        <is>
          <t>fatty-chain annotation</t>
        </is>
      </c>
      <c r="H1531" t="inlineStr">
        <is>
          <t>S010_BASF_KOLLIPHOR</t>
        </is>
      </c>
      <c r="I1531" t="inlineStr">
        <is>
          <t>curated</t>
        </is>
      </c>
      <c r="J1531">
        <v>0.8</v>
      </c>
      <c r="K1531"/>
    </row>
    <row r="1532">
      <c r="A1532" t="inlineStr">
        <is>
          <t>SURF_POLOXAMER_338</t>
        </is>
      </c>
      <c r="B1532" t="inlineStr">
        <is>
          <t>charge_type</t>
        </is>
      </c>
      <c r="C1532" t="inlineStr">
        <is>
          <t>nonionic</t>
        </is>
      </c>
      <c r="D1532"/>
      <c r="E1532"/>
      <c r="F1532"/>
      <c r="G1532" t="inlineStr">
        <is>
          <t>ionization class</t>
        </is>
      </c>
      <c r="H1532" t="inlineStr">
        <is>
          <t>S010_BASF_KOLLIPHOR</t>
        </is>
      </c>
      <c r="I1532" t="inlineStr">
        <is>
          <t>curated</t>
        </is>
      </c>
      <c r="J1532">
        <v>0.85</v>
      </c>
      <c r="K1532"/>
    </row>
    <row r="1533">
      <c r="A1533" t="inlineStr">
        <is>
          <t>SURF_POLOXAMER_338</t>
        </is>
      </c>
      <c r="B1533" t="inlineStr">
        <is>
          <t>formal_charge</t>
        </is>
      </c>
      <c r="C1533">
        <v>0</v>
      </c>
      <c r="D1533" t="inlineStr">
        <is>
          <t>e</t>
        </is>
      </c>
      <c r="E1533"/>
      <c r="F1533"/>
      <c r="G1533" t="inlineStr">
        <is>
          <t>nominal at neutral pH</t>
        </is>
      </c>
      <c r="H1533" t="inlineStr">
        <is>
          <t>S010_BASF_KOLLIPHOR</t>
        </is>
      </c>
      <c r="I1533" t="inlineStr">
        <is>
          <t>curated</t>
        </is>
      </c>
      <c r="J1533">
        <v>0.85</v>
      </c>
      <c r="K1533"/>
    </row>
    <row r="1534">
      <c r="A1534" t="inlineStr">
        <is>
          <t>SURF_POLOXAMER_338</t>
        </is>
      </c>
      <c r="B1534" t="inlineStr">
        <is>
          <t>packing_role</t>
        </is>
      </c>
      <c r="C1534" t="inlineStr">
        <is>
          <t>edge activator / micellar solubilizer</t>
        </is>
      </c>
      <c r="D1534"/>
      <c r="E1534"/>
      <c r="F1534"/>
      <c r="G1534" t="inlineStr">
        <is>
          <t>HLB/chain-rule heuristic</t>
        </is>
      </c>
      <c r="H1534" t="inlineStr">
        <is>
          <t>S010_BASF_KOLLIPHOR</t>
        </is>
      </c>
      <c r="I1534" t="inlineStr">
        <is>
          <t>curated</t>
        </is>
      </c>
      <c r="J1534">
        <v>0.65</v>
      </c>
      <c r="K1534"/>
    </row>
    <row r="1535">
      <c r="A1535" t="inlineStr">
        <is>
          <t>SURF_POLOXAMER_338</t>
        </is>
      </c>
      <c r="B1535" t="inlineStr">
        <is>
          <t>edge_activator_flag</t>
        </is>
      </c>
      <c r="C1535" t="inlineStr">
        <is>
          <t>yes</t>
        </is>
      </c>
      <c r="D1535"/>
      <c r="E1535"/>
      <c r="F1535"/>
      <c r="G1535" t="inlineStr">
        <is>
          <t>HLB/charge heuristic</t>
        </is>
      </c>
      <c r="H1535" t="inlineStr">
        <is>
          <t>S010_BASF_KOLLIPHOR</t>
        </is>
      </c>
      <c r="I1535" t="inlineStr">
        <is>
          <t>curated</t>
        </is>
      </c>
      <c r="J1535">
        <v>0.7</v>
      </c>
      <c r="K1535"/>
    </row>
    <row r="1536">
      <c r="A1536" t="inlineStr">
        <is>
          <t>SURF_POLOXAMER_338</t>
        </is>
      </c>
      <c r="B1536" t="inlineStr">
        <is>
          <t>vesicle_anchor_flag</t>
        </is>
      </c>
      <c r="C1536" t="inlineStr">
        <is>
          <t>weak/conditional</t>
        </is>
      </c>
      <c r="D1536"/>
      <c r="E1536"/>
      <c r="F1536"/>
      <c r="G1536" t="inlineStr">
        <is>
          <t>chain-length and HLB heuristic</t>
        </is>
      </c>
      <c r="H1536" t="inlineStr">
        <is>
          <t>S010_BASF_KOLLIPHOR</t>
        </is>
      </c>
      <c r="I1536" t="inlineStr">
        <is>
          <t>curated</t>
        </is>
      </c>
      <c r="J1536">
        <v>0.7</v>
      </c>
      <c r="K1536"/>
    </row>
    <row r="1537">
      <c r="A1537" t="inlineStr">
        <is>
          <t>SURF_POLOXAMER_338</t>
        </is>
      </c>
      <c r="B1537" t="inlineStr">
        <is>
          <t>micellization_risk_flag</t>
        </is>
      </c>
      <c r="C1537" t="inlineStr">
        <is>
          <t>high</t>
        </is>
      </c>
      <c r="D1537"/>
      <c r="E1537"/>
      <c r="F1537"/>
      <c r="G1537" t="inlineStr">
        <is>
          <t>HLB heuristic</t>
        </is>
      </c>
      <c r="H1537" t="inlineStr">
        <is>
          <t>S010_BASF_KOLLIPHOR</t>
        </is>
      </c>
      <c r="I1537" t="inlineStr">
        <is>
          <t>curated</t>
        </is>
      </c>
      <c r="J1537">
        <v>0.65</v>
      </c>
      <c r="K1537"/>
    </row>
    <row r="1538">
      <c r="A1538" t="inlineStr">
        <is>
          <t>SURF_POLOXAMER_338</t>
        </is>
      </c>
      <c r="B1538" t="inlineStr">
        <is>
          <t>route_suitability</t>
        </is>
      </c>
      <c r="C1538" t="inlineStr">
        <is>
          <t>oral/topical; parenteral/inhalation only if grade and safety justified</t>
        </is>
      </c>
      <c r="D1538"/>
      <c r="E1538"/>
      <c r="F1538"/>
      <c r="G1538" t="inlineStr">
        <is>
          <t>route precedent heuristic</t>
        </is>
      </c>
      <c r="H1538" t="inlineStr">
        <is>
          <t>S008_FDA_IID</t>
        </is>
      </c>
      <c r="I1538" t="inlineStr">
        <is>
          <t>curated</t>
        </is>
      </c>
      <c r="J1538">
        <v>0.55</v>
      </c>
      <c r="K1538"/>
    </row>
    <row r="1539">
      <c r="A1539" t="inlineStr">
        <is>
          <t>SURF_POLOXAMER_338</t>
        </is>
      </c>
      <c r="B1539" t="inlineStr">
        <is>
          <t>toxicity_or_irritancy_notes</t>
        </is>
      </c>
      <c r="C1539" t="inlineStr">
        <is>
          <t>surfactant irritation/hemolysis is concentration-, route-, and grade-dependent; screen cytotoxicity and osmolality</t>
        </is>
      </c>
      <c r="D1539"/>
      <c r="E1539"/>
      <c r="F1539"/>
      <c r="G1539"/>
      <c r="H1539" t="inlineStr">
        <is>
          <t>S007_EXCIPIENTS_HANDBOOK</t>
        </is>
      </c>
      <c r="I1539" t="inlineStr">
        <is>
          <t>curated</t>
        </is>
      </c>
      <c r="J1539">
        <v>0.7</v>
      </c>
      <c r="K1539"/>
    </row>
    <row r="1540">
      <c r="A1540" t="inlineStr">
        <is>
          <t>SURF_POLOXAMER_338</t>
        </is>
      </c>
      <c r="B1540" t="inlineStr">
        <is>
          <t>cloud_point_C</t>
        </is>
      </c>
      <c r="C1540" t="inlineStr">
        <is>
          <t>&gt;100</t>
        </is>
      </c>
      <c r="D1540" t="inlineStr">
        <is>
          <t>°C</t>
        </is>
      </c>
      <c r="E1540"/>
      <c r="F1540"/>
      <c r="G1540" t="inlineStr">
        <is>
          <t>cloud point; concentration-dependent</t>
        </is>
      </c>
      <c r="H1540" t="inlineStr">
        <is>
          <t>S010_BASF_KOLLIPHOR</t>
        </is>
      </c>
      <c r="I1540" t="inlineStr">
        <is>
          <t>supplier-reported</t>
        </is>
      </c>
      <c r="J1540">
        <v>0.55</v>
      </c>
      <c r="K1540"/>
    </row>
    <row r="1541">
      <c r="A1541" t="inlineStr">
        <is>
          <t>SURF_POLOXAMER_338</t>
        </is>
      </c>
      <c r="B1541" t="inlineStr">
        <is>
          <t>Hansen_delta_D</t>
        </is>
      </c>
      <c r="C1541">
        <v>17.2</v>
      </c>
      <c r="D1541" t="inlineStr">
        <is>
          <t>MPa^0.5</t>
        </is>
      </c>
      <c r="E1541"/>
      <c r="F1541"/>
      <c r="G1541" t="inlineStr">
        <is>
          <t>heuristic group-contribution/nearest-neighbour</t>
        </is>
      </c>
      <c r="H1541" t="inlineStr">
        <is>
          <t>S013_EST_HSP_HEURISTIC</t>
        </is>
      </c>
      <c r="I1541" t="inlineStr">
        <is>
          <t>estimated</t>
        </is>
      </c>
      <c r="J1541">
        <v>0.4</v>
      </c>
      <c r="K1541" t="inlineStr">
        <is>
          <t>Provisional HSP for screening; replace with experimental/literature value before model lock.</t>
        </is>
      </c>
    </row>
    <row r="1542">
      <c r="A1542" t="inlineStr">
        <is>
          <t>SURF_POLOXAMER_338</t>
        </is>
      </c>
      <c r="B1542" t="inlineStr">
        <is>
          <t>Hansen_delta_P</t>
        </is>
      </c>
      <c r="C1542">
        <v>8.5</v>
      </c>
      <c r="D1542" t="inlineStr">
        <is>
          <t>MPa^0.5</t>
        </is>
      </c>
      <c r="E1542"/>
      <c r="F1542"/>
      <c r="G1542" t="inlineStr">
        <is>
          <t>heuristic group-contribution/nearest-neighbour</t>
        </is>
      </c>
      <c r="H1542" t="inlineStr">
        <is>
          <t>S013_EST_HSP_HEURISTIC</t>
        </is>
      </c>
      <c r="I1542" t="inlineStr">
        <is>
          <t>estimated</t>
        </is>
      </c>
      <c r="J1542">
        <v>0.4</v>
      </c>
      <c r="K1542" t="inlineStr">
        <is>
          <t>Provisional HSP for screening; replace with experimental/literature value before model lock.</t>
        </is>
      </c>
    </row>
    <row r="1543">
      <c r="A1543" t="inlineStr">
        <is>
          <t>SURF_POLOXAMER_338</t>
        </is>
      </c>
      <c r="B1543" t="inlineStr">
        <is>
          <t>Hansen_delta_H</t>
        </is>
      </c>
      <c r="C1543">
        <v>14.0</v>
      </c>
      <c r="D1543" t="inlineStr">
        <is>
          <t>MPa^0.5</t>
        </is>
      </c>
      <c r="E1543"/>
      <c r="F1543"/>
      <c r="G1543" t="inlineStr">
        <is>
          <t>heuristic group-contribution/nearest-neighbour</t>
        </is>
      </c>
      <c r="H1543" t="inlineStr">
        <is>
          <t>S013_EST_HSP_HEURISTIC</t>
        </is>
      </c>
      <c r="I1543" t="inlineStr">
        <is>
          <t>estimated</t>
        </is>
      </c>
      <c r="J1543">
        <v>0.4</v>
      </c>
      <c r="K1543" t="inlineStr">
        <is>
          <t>Provisional HSP for screening; replace with experimental/literature value before model lock.</t>
        </is>
      </c>
    </row>
    <row r="1544">
      <c r="A1544" t="inlineStr">
        <is>
          <t>SURF_POLOXAMER_338</t>
        </is>
      </c>
      <c r="B1544" t="inlineStr">
        <is>
          <t>Hildebrand_delta_T</t>
        </is>
      </c>
      <c r="C1544">
        <v>23.75</v>
      </c>
      <c r="D1544" t="inlineStr">
        <is>
          <t>MPa^0.5</t>
        </is>
      </c>
      <c r="E1544"/>
      <c r="F1544"/>
      <c r="G1544" t="inlineStr">
        <is>
          <t>sqrt(deltaD^2+deltaP^2+deltaH^2)</t>
        </is>
      </c>
      <c r="H1544" t="inlineStr">
        <is>
          <t>S012_CALCULATED</t>
        </is>
      </c>
      <c r="I1544" t="inlineStr">
        <is>
          <t>calculated</t>
        </is>
      </c>
      <c r="J1544">
        <v>0.45</v>
      </c>
      <c r="K1544" t="inlineStr">
        <is>
          <t>Derived from stored Hansen components.</t>
        </is>
      </c>
    </row>
    <row r="1545">
      <c r="A1545" t="inlineStr">
        <is>
          <t>SURF_POLOXAMER_338</t>
        </is>
      </c>
      <c r="B1545" t="inlineStr">
        <is>
          <t>HSP_radius_R0</t>
        </is>
      </c>
      <c r="C1545">
        <v>9.0</v>
      </c>
      <c r="D1545" t="inlineStr">
        <is>
          <t>MPa^0.5</t>
        </is>
      </c>
      <c r="E1545"/>
      <c r="F1545"/>
      <c r="G1545" t="inlineStr">
        <is>
          <t>literature/heuristic solubility sphere</t>
        </is>
      </c>
      <c r="H1545" t="inlineStr">
        <is>
          <t>S013_EST_HSP_HEURISTIC</t>
        </is>
      </c>
      <c r="I1545" t="inlineStr">
        <is>
          <t>estimated</t>
        </is>
      </c>
      <c r="J1545">
        <v>0.4</v>
      </c>
      <c r="K1545" t="inlineStr">
        <is>
          <t>Screening radius only unless experimentally determined.</t>
        </is>
      </c>
    </row>
    <row r="1546">
      <c r="A1546" t="inlineStr">
        <is>
          <t>SURF_POLOXAMER_338</t>
        </is>
      </c>
      <c r="B1546" t="inlineStr">
        <is>
          <t>molar_volume_cm3_mol</t>
        </is>
      </c>
      <c r="C1546">
        <v>13904.76</v>
      </c>
      <c r="D1546" t="inlineStr">
        <is>
          <t>cm3/mol</t>
        </is>
      </c>
      <c r="E1546"/>
      <c r="F1546"/>
      <c r="G1546" t="inlineStr">
        <is>
          <t>MW/density estimate</t>
        </is>
      </c>
      <c r="H1546" t="inlineStr">
        <is>
          <t>S012_CALCULATED</t>
        </is>
      </c>
      <c r="I1546" t="inlineStr">
        <is>
          <t>estimated</t>
        </is>
      </c>
      <c r="J1546">
        <v>0.42</v>
      </c>
      <c r="K1546" t="inlineStr">
        <is>
          <t>Estimated from MW/density; replace with measured molar volume or density-specific grade data.</t>
        </is>
      </c>
    </row>
    <row r="1547">
      <c r="A1547" t="inlineStr">
        <is>
          <t>SURF_POLOXAMER_338</t>
        </is>
      </c>
      <c r="B1547" t="inlineStr">
        <is>
          <t>headgroup_area_nm2</t>
        </is>
      </c>
      <c r="C1547">
        <v>0.836</v>
      </c>
      <c r="D1547" t="inlineStr">
        <is>
          <t>nm2</t>
        </is>
      </c>
      <c r="E1547"/>
      <c r="F1547"/>
      <c r="G1547" t="inlineStr">
        <is>
          <t>CPP screening heuristic</t>
        </is>
      </c>
      <c r="H1547" t="inlineStr">
        <is>
          <t>S013_EST_HSP_HEURISTIC</t>
        </is>
      </c>
      <c r="I1547" t="inlineStr">
        <is>
          <t>estimated</t>
        </is>
      </c>
      <c r="J1547">
        <v>0.35</v>
      </c>
      <c r="K1547" t="inlineStr">
        <is>
          <t>Replace with monolayer or MD-derived area per molecule for publication-grade CPP.</t>
        </is>
      </c>
    </row>
    <row r="1548">
      <c r="A1548" t="inlineStr">
        <is>
          <t>SURF_POLOXAMER_407</t>
        </is>
      </c>
      <c r="B1548" t="inlineStr">
        <is>
          <t>molecular_weight_g_mol</t>
        </is>
      </c>
      <c r="C1548">
        <v>12600</v>
      </c>
      <c r="D1548" t="inlineStr">
        <is>
          <t>g/mol</t>
        </is>
      </c>
      <c r="E1548"/>
      <c r="F1548"/>
      <c r="G1548" t="inlineStr">
        <is>
          <t>supplier/handbook average for mixtures</t>
        </is>
      </c>
      <c r="H1548" t="inlineStr">
        <is>
          <t>S010_BASF_KOLLIPHOR</t>
        </is>
      </c>
      <c r="I1548" t="inlineStr">
        <is>
          <t>supplier-reported</t>
        </is>
      </c>
      <c r="J1548">
        <v>0.65</v>
      </c>
      <c r="K1548"/>
    </row>
    <row r="1549">
      <c r="A1549" t="inlineStr">
        <is>
          <t>SURF_POLOXAMER_407</t>
        </is>
      </c>
      <c r="B1549" t="inlineStr">
        <is>
          <t>HLB</t>
        </is>
      </c>
      <c r="C1549">
        <v>21</v>
      </c>
      <c r="D1549" t="inlineStr">
        <is>
          <t>HLB</t>
        </is>
      </c>
      <c r="E1549"/>
      <c r="F1549"/>
      <c r="G1549" t="inlineStr">
        <is>
          <t>Griffin/Davies HLB literature/supplier value</t>
        </is>
      </c>
      <c r="H1549" t="inlineStr">
        <is>
          <t>S010_BASF_KOLLIPHOR</t>
        </is>
      </c>
      <c r="I1549" t="inlineStr">
        <is>
          <t>supplier-reported</t>
        </is>
      </c>
      <c r="J1549">
        <v>0.75</v>
      </c>
      <c r="K1549" t="inlineStr">
        <is>
          <t>Grade-dependent; use supplier CoA when available.</t>
        </is>
      </c>
    </row>
    <row r="1550">
      <c r="A1550" t="inlineStr">
        <is>
          <t>SURF_POLOXAMER_407</t>
        </is>
      </c>
      <c r="B1550" t="inlineStr">
        <is>
          <t>headgroup_type</t>
        </is>
      </c>
      <c r="C1550" t="inlineStr">
        <is>
          <t>PEO-PPO-PEO block copolymer</t>
        </is>
      </c>
      <c r="D1550"/>
      <c r="E1550"/>
      <c r="F1550"/>
      <c r="G1550" t="inlineStr">
        <is>
          <t>manual class annotation</t>
        </is>
      </c>
      <c r="H1550" t="inlineStr">
        <is>
          <t>S010_BASF_KOLLIPHOR</t>
        </is>
      </c>
      <c r="I1550" t="inlineStr">
        <is>
          <t>curated</t>
        </is>
      </c>
      <c r="J1550">
        <v>0.75</v>
      </c>
      <c r="K1550"/>
    </row>
    <row r="1551">
      <c r="A1551" t="inlineStr">
        <is>
          <t>SURF_POLOXAMER_407</t>
        </is>
      </c>
      <c r="B1551" t="inlineStr">
        <is>
          <t>tail_chain</t>
        </is>
      </c>
      <c r="C1551" t="inlineStr">
        <is>
          <t>PPO block (not fatty acyl)</t>
        </is>
      </c>
      <c r="D1551"/>
      <c r="E1551"/>
      <c r="F1551"/>
      <c r="G1551" t="inlineStr">
        <is>
          <t>fatty-chain annotation</t>
        </is>
      </c>
      <c r="H1551" t="inlineStr">
        <is>
          <t>S010_BASF_KOLLIPHOR</t>
        </is>
      </c>
      <c r="I1551" t="inlineStr">
        <is>
          <t>curated</t>
        </is>
      </c>
      <c r="J1551">
        <v>0.8</v>
      </c>
      <c r="K1551"/>
    </row>
    <row r="1552">
      <c r="A1552" t="inlineStr">
        <is>
          <t>SURF_POLOXAMER_407</t>
        </is>
      </c>
      <c r="B1552" t="inlineStr">
        <is>
          <t>tail_carbons</t>
        </is>
      </c>
      <c r="C1552">
        <v>3</v>
      </c>
      <c r="D1552" t="inlineStr">
        <is>
          <t>count</t>
        </is>
      </c>
      <c r="E1552"/>
      <c r="F1552"/>
      <c r="G1552" t="inlineStr">
        <is>
          <t>fatty-chain annotation</t>
        </is>
      </c>
      <c r="H1552" t="inlineStr">
        <is>
          <t>S010_BASF_KOLLIPHOR</t>
        </is>
      </c>
      <c r="I1552" t="inlineStr">
        <is>
          <t>curated</t>
        </is>
      </c>
      <c r="J1552">
        <v>0.8</v>
      </c>
      <c r="K1552"/>
    </row>
    <row r="1553">
      <c r="A1553" t="inlineStr">
        <is>
          <t>SURF_POLOXAMER_407</t>
        </is>
      </c>
      <c r="B1553" t="inlineStr">
        <is>
          <t>tail_unsaturation</t>
        </is>
      </c>
      <c r="C1553">
        <v>0</v>
      </c>
      <c r="D1553" t="inlineStr">
        <is>
          <t>double_bonds</t>
        </is>
      </c>
      <c r="E1553"/>
      <c r="F1553"/>
      <c r="G1553" t="inlineStr">
        <is>
          <t>fatty-chain annotation</t>
        </is>
      </c>
      <c r="H1553" t="inlineStr">
        <is>
          <t>S010_BASF_KOLLIPHOR</t>
        </is>
      </c>
      <c r="I1553" t="inlineStr">
        <is>
          <t>curated</t>
        </is>
      </c>
      <c r="J1553">
        <v>0.8</v>
      </c>
      <c r="K1553"/>
    </row>
    <row r="1554">
      <c r="A1554" t="inlineStr">
        <is>
          <t>SURF_POLOXAMER_407</t>
        </is>
      </c>
      <c r="B1554" t="inlineStr">
        <is>
          <t>number_of_tails</t>
        </is>
      </c>
      <c r="C1554">
        <v>0</v>
      </c>
      <c r="D1554" t="inlineStr">
        <is>
          <t>count</t>
        </is>
      </c>
      <c r="E1554"/>
      <c r="F1554"/>
      <c r="G1554" t="inlineStr">
        <is>
          <t>fatty-chain annotation</t>
        </is>
      </c>
      <c r="H1554" t="inlineStr">
        <is>
          <t>S010_BASF_KOLLIPHOR</t>
        </is>
      </c>
      <c r="I1554" t="inlineStr">
        <is>
          <t>curated</t>
        </is>
      </c>
      <c r="J1554">
        <v>0.8</v>
      </c>
      <c r="K1554"/>
    </row>
    <row r="1555">
      <c r="A1555" t="inlineStr">
        <is>
          <t>SURF_POLOXAMER_407</t>
        </is>
      </c>
      <c r="B1555" t="inlineStr">
        <is>
          <t>charge_type</t>
        </is>
      </c>
      <c r="C1555" t="inlineStr">
        <is>
          <t>nonionic</t>
        </is>
      </c>
      <c r="D1555"/>
      <c r="E1555"/>
      <c r="F1555"/>
      <c r="G1555" t="inlineStr">
        <is>
          <t>ionization class</t>
        </is>
      </c>
      <c r="H1555" t="inlineStr">
        <is>
          <t>S010_BASF_KOLLIPHOR</t>
        </is>
      </c>
      <c r="I1555" t="inlineStr">
        <is>
          <t>curated</t>
        </is>
      </c>
      <c r="J1555">
        <v>0.85</v>
      </c>
      <c r="K1555"/>
    </row>
    <row r="1556">
      <c r="A1556" t="inlineStr">
        <is>
          <t>SURF_POLOXAMER_407</t>
        </is>
      </c>
      <c r="B1556" t="inlineStr">
        <is>
          <t>formal_charge</t>
        </is>
      </c>
      <c r="C1556">
        <v>0</v>
      </c>
      <c r="D1556" t="inlineStr">
        <is>
          <t>e</t>
        </is>
      </c>
      <c r="E1556"/>
      <c r="F1556"/>
      <c r="G1556" t="inlineStr">
        <is>
          <t>nominal at neutral pH</t>
        </is>
      </c>
      <c r="H1556" t="inlineStr">
        <is>
          <t>S010_BASF_KOLLIPHOR</t>
        </is>
      </c>
      <c r="I1556" t="inlineStr">
        <is>
          <t>curated</t>
        </is>
      </c>
      <c r="J1556">
        <v>0.85</v>
      </c>
      <c r="K1556"/>
    </row>
    <row r="1557">
      <c r="A1557" t="inlineStr">
        <is>
          <t>SURF_POLOXAMER_407</t>
        </is>
      </c>
      <c r="B1557" t="inlineStr">
        <is>
          <t>packing_role</t>
        </is>
      </c>
      <c r="C1557" t="inlineStr">
        <is>
          <t>edge activator / micellar solubilizer</t>
        </is>
      </c>
      <c r="D1557"/>
      <c r="E1557"/>
      <c r="F1557"/>
      <c r="G1557" t="inlineStr">
        <is>
          <t>HLB/chain-rule heuristic</t>
        </is>
      </c>
      <c r="H1557" t="inlineStr">
        <is>
          <t>S010_BASF_KOLLIPHOR</t>
        </is>
      </c>
      <c r="I1557" t="inlineStr">
        <is>
          <t>curated</t>
        </is>
      </c>
      <c r="J1557">
        <v>0.65</v>
      </c>
      <c r="K1557"/>
    </row>
    <row r="1558">
      <c r="A1558" t="inlineStr">
        <is>
          <t>SURF_POLOXAMER_407</t>
        </is>
      </c>
      <c r="B1558" t="inlineStr">
        <is>
          <t>edge_activator_flag</t>
        </is>
      </c>
      <c r="C1558" t="inlineStr">
        <is>
          <t>yes</t>
        </is>
      </c>
      <c r="D1558"/>
      <c r="E1558"/>
      <c r="F1558"/>
      <c r="G1558" t="inlineStr">
        <is>
          <t>HLB/charge heuristic</t>
        </is>
      </c>
      <c r="H1558" t="inlineStr">
        <is>
          <t>S010_BASF_KOLLIPHOR</t>
        </is>
      </c>
      <c r="I1558" t="inlineStr">
        <is>
          <t>curated</t>
        </is>
      </c>
      <c r="J1558">
        <v>0.7</v>
      </c>
      <c r="K1558"/>
    </row>
    <row r="1559">
      <c r="A1559" t="inlineStr">
        <is>
          <t>SURF_POLOXAMER_407</t>
        </is>
      </c>
      <c r="B1559" t="inlineStr">
        <is>
          <t>vesicle_anchor_flag</t>
        </is>
      </c>
      <c r="C1559" t="inlineStr">
        <is>
          <t>weak/conditional</t>
        </is>
      </c>
      <c r="D1559"/>
      <c r="E1559"/>
      <c r="F1559"/>
      <c r="G1559" t="inlineStr">
        <is>
          <t>chain-length and HLB heuristic</t>
        </is>
      </c>
      <c r="H1559" t="inlineStr">
        <is>
          <t>S010_BASF_KOLLIPHOR</t>
        </is>
      </c>
      <c r="I1559" t="inlineStr">
        <is>
          <t>curated</t>
        </is>
      </c>
      <c r="J1559">
        <v>0.7</v>
      </c>
      <c r="K1559"/>
    </row>
    <row r="1560">
      <c r="A1560" t="inlineStr">
        <is>
          <t>SURF_POLOXAMER_407</t>
        </is>
      </c>
      <c r="B1560" t="inlineStr">
        <is>
          <t>micellization_risk_flag</t>
        </is>
      </c>
      <c r="C1560" t="inlineStr">
        <is>
          <t>high</t>
        </is>
      </c>
      <c r="D1560"/>
      <c r="E1560"/>
      <c r="F1560"/>
      <c r="G1560" t="inlineStr">
        <is>
          <t>HLB heuristic</t>
        </is>
      </c>
      <c r="H1560" t="inlineStr">
        <is>
          <t>S010_BASF_KOLLIPHOR</t>
        </is>
      </c>
      <c r="I1560" t="inlineStr">
        <is>
          <t>curated</t>
        </is>
      </c>
      <c r="J1560">
        <v>0.65</v>
      </c>
      <c r="K1560"/>
    </row>
    <row r="1561">
      <c r="A1561" t="inlineStr">
        <is>
          <t>SURF_POLOXAMER_407</t>
        </is>
      </c>
      <c r="B1561" t="inlineStr">
        <is>
          <t>route_suitability</t>
        </is>
      </c>
      <c r="C1561" t="inlineStr">
        <is>
          <t>oral/topical; parenteral/inhalation only if grade and safety justified</t>
        </is>
      </c>
      <c r="D1561"/>
      <c r="E1561"/>
      <c r="F1561"/>
      <c r="G1561" t="inlineStr">
        <is>
          <t>route precedent heuristic</t>
        </is>
      </c>
      <c r="H1561" t="inlineStr">
        <is>
          <t>S008_FDA_IID</t>
        </is>
      </c>
      <c r="I1561" t="inlineStr">
        <is>
          <t>curated</t>
        </is>
      </c>
      <c r="J1561">
        <v>0.55</v>
      </c>
      <c r="K1561"/>
    </row>
    <row r="1562">
      <c r="A1562" t="inlineStr">
        <is>
          <t>SURF_POLOXAMER_407</t>
        </is>
      </c>
      <c r="B1562" t="inlineStr">
        <is>
          <t>toxicity_or_irritancy_notes</t>
        </is>
      </c>
      <c r="C1562" t="inlineStr">
        <is>
          <t>surfactant irritation/hemolysis is concentration-, route-, and grade-dependent; screen cytotoxicity and osmolality</t>
        </is>
      </c>
      <c r="D1562"/>
      <c r="E1562"/>
      <c r="F1562"/>
      <c r="G1562"/>
      <c r="H1562" t="inlineStr">
        <is>
          <t>S007_EXCIPIENTS_HANDBOOK</t>
        </is>
      </c>
      <c r="I1562" t="inlineStr">
        <is>
          <t>curated</t>
        </is>
      </c>
      <c r="J1562">
        <v>0.7</v>
      </c>
      <c r="K1562"/>
    </row>
    <row r="1563">
      <c r="A1563" t="inlineStr">
        <is>
          <t>SURF_POLOXAMER_407</t>
        </is>
      </c>
      <c r="B1563" t="inlineStr">
        <is>
          <t>cloud_point_C</t>
        </is>
      </c>
      <c r="C1563" t="inlineStr">
        <is>
          <t>&gt;100</t>
        </is>
      </c>
      <c r="D1563" t="inlineStr">
        <is>
          <t>°C</t>
        </is>
      </c>
      <c r="E1563"/>
      <c r="F1563"/>
      <c r="G1563" t="inlineStr">
        <is>
          <t>cloud point; concentration-dependent</t>
        </is>
      </c>
      <c r="H1563" t="inlineStr">
        <is>
          <t>S010_BASF_KOLLIPHOR</t>
        </is>
      </c>
      <c r="I1563" t="inlineStr">
        <is>
          <t>supplier-reported</t>
        </is>
      </c>
      <c r="J1563">
        <v>0.55</v>
      </c>
      <c r="K1563"/>
    </row>
    <row r="1564">
      <c r="A1564" t="inlineStr">
        <is>
          <t>SURF_POLOXAMER_407</t>
        </is>
      </c>
      <c r="B1564" t="inlineStr">
        <is>
          <t>Hansen_delta_D</t>
        </is>
      </c>
      <c r="C1564">
        <v>17.2</v>
      </c>
      <c r="D1564" t="inlineStr">
        <is>
          <t>MPa^0.5</t>
        </is>
      </c>
      <c r="E1564"/>
      <c r="F1564"/>
      <c r="G1564" t="inlineStr">
        <is>
          <t>heuristic group-contribution/nearest-neighbour</t>
        </is>
      </c>
      <c r="H1564" t="inlineStr">
        <is>
          <t>S013_EST_HSP_HEURISTIC</t>
        </is>
      </c>
      <c r="I1564" t="inlineStr">
        <is>
          <t>estimated</t>
        </is>
      </c>
      <c r="J1564">
        <v>0.4</v>
      </c>
      <c r="K1564" t="inlineStr">
        <is>
          <t>Provisional HSP for screening; replace with experimental/literature value before model lock.</t>
        </is>
      </c>
    </row>
    <row r="1565">
      <c r="A1565" t="inlineStr">
        <is>
          <t>SURF_POLOXAMER_407</t>
        </is>
      </c>
      <c r="B1565" t="inlineStr">
        <is>
          <t>Hansen_delta_P</t>
        </is>
      </c>
      <c r="C1565">
        <v>8.5</v>
      </c>
      <c r="D1565" t="inlineStr">
        <is>
          <t>MPa^0.5</t>
        </is>
      </c>
      <c r="E1565"/>
      <c r="F1565"/>
      <c r="G1565" t="inlineStr">
        <is>
          <t>heuristic group-contribution/nearest-neighbour</t>
        </is>
      </c>
      <c r="H1565" t="inlineStr">
        <is>
          <t>S013_EST_HSP_HEURISTIC</t>
        </is>
      </c>
      <c r="I1565" t="inlineStr">
        <is>
          <t>estimated</t>
        </is>
      </c>
      <c r="J1565">
        <v>0.4</v>
      </c>
      <c r="K1565" t="inlineStr">
        <is>
          <t>Provisional HSP for screening; replace with experimental/literature value before model lock.</t>
        </is>
      </c>
    </row>
    <row r="1566">
      <c r="A1566" t="inlineStr">
        <is>
          <t>SURF_POLOXAMER_407</t>
        </is>
      </c>
      <c r="B1566" t="inlineStr">
        <is>
          <t>Hansen_delta_H</t>
        </is>
      </c>
      <c r="C1566">
        <v>14.0</v>
      </c>
      <c r="D1566" t="inlineStr">
        <is>
          <t>MPa^0.5</t>
        </is>
      </c>
      <c r="E1566"/>
      <c r="F1566"/>
      <c r="G1566" t="inlineStr">
        <is>
          <t>heuristic group-contribution/nearest-neighbour</t>
        </is>
      </c>
      <c r="H1566" t="inlineStr">
        <is>
          <t>S013_EST_HSP_HEURISTIC</t>
        </is>
      </c>
      <c r="I1566" t="inlineStr">
        <is>
          <t>estimated</t>
        </is>
      </c>
      <c r="J1566">
        <v>0.4</v>
      </c>
      <c r="K1566" t="inlineStr">
        <is>
          <t>Provisional HSP for screening; replace with experimental/literature value before model lock.</t>
        </is>
      </c>
    </row>
    <row r="1567">
      <c r="A1567" t="inlineStr">
        <is>
          <t>SURF_POLOXAMER_407</t>
        </is>
      </c>
      <c r="B1567" t="inlineStr">
        <is>
          <t>Hildebrand_delta_T</t>
        </is>
      </c>
      <c r="C1567">
        <v>23.75</v>
      </c>
      <c r="D1567" t="inlineStr">
        <is>
          <t>MPa^0.5</t>
        </is>
      </c>
      <c r="E1567"/>
      <c r="F1567"/>
      <c r="G1567" t="inlineStr">
        <is>
          <t>sqrt(deltaD^2+deltaP^2+deltaH^2)</t>
        </is>
      </c>
      <c r="H1567" t="inlineStr">
        <is>
          <t>S012_CALCULATED</t>
        </is>
      </c>
      <c r="I1567" t="inlineStr">
        <is>
          <t>calculated</t>
        </is>
      </c>
      <c r="J1567">
        <v>0.45</v>
      </c>
      <c r="K1567" t="inlineStr">
        <is>
          <t>Derived from stored Hansen components.</t>
        </is>
      </c>
    </row>
    <row r="1568">
      <c r="A1568" t="inlineStr">
        <is>
          <t>SURF_POLOXAMER_407</t>
        </is>
      </c>
      <c r="B1568" t="inlineStr">
        <is>
          <t>HSP_radius_R0</t>
        </is>
      </c>
      <c r="C1568">
        <v>9.0</v>
      </c>
      <c r="D1568" t="inlineStr">
        <is>
          <t>MPa^0.5</t>
        </is>
      </c>
      <c r="E1568"/>
      <c r="F1568"/>
      <c r="G1568" t="inlineStr">
        <is>
          <t>literature/heuristic solubility sphere</t>
        </is>
      </c>
      <c r="H1568" t="inlineStr">
        <is>
          <t>S013_EST_HSP_HEURISTIC</t>
        </is>
      </c>
      <c r="I1568" t="inlineStr">
        <is>
          <t>estimated</t>
        </is>
      </c>
      <c r="J1568">
        <v>0.4</v>
      </c>
      <c r="K1568" t="inlineStr">
        <is>
          <t>Screening radius only unless experimentally determined.</t>
        </is>
      </c>
    </row>
    <row r="1569">
      <c r="A1569" t="inlineStr">
        <is>
          <t>SURF_POLOXAMER_407</t>
        </is>
      </c>
      <c r="B1569" t="inlineStr">
        <is>
          <t>molar_volume_cm3_mol</t>
        </is>
      </c>
      <c r="C1569">
        <v>12000.0</v>
      </c>
      <c r="D1569" t="inlineStr">
        <is>
          <t>cm3/mol</t>
        </is>
      </c>
      <c r="E1569"/>
      <c r="F1569"/>
      <c r="G1569" t="inlineStr">
        <is>
          <t>MW/density estimate</t>
        </is>
      </c>
      <c r="H1569" t="inlineStr">
        <is>
          <t>S012_CALCULATED</t>
        </is>
      </c>
      <c r="I1569" t="inlineStr">
        <is>
          <t>estimated</t>
        </is>
      </c>
      <c r="J1569">
        <v>0.42</v>
      </c>
      <c r="K1569" t="inlineStr">
        <is>
          <t>Estimated from MW/density; replace with measured molar volume or density-specific grade data.</t>
        </is>
      </c>
    </row>
    <row r="1570">
      <c r="A1570" t="inlineStr">
        <is>
          <t>SURF_POLOXAMER_407</t>
        </is>
      </c>
      <c r="B1570" t="inlineStr">
        <is>
          <t>headgroup_area_nm2</t>
        </is>
      </c>
      <c r="C1570">
        <v>0.728</v>
      </c>
      <c r="D1570" t="inlineStr">
        <is>
          <t>nm2</t>
        </is>
      </c>
      <c r="E1570"/>
      <c r="F1570"/>
      <c r="G1570" t="inlineStr">
        <is>
          <t>CPP screening heuristic</t>
        </is>
      </c>
      <c r="H1570" t="inlineStr">
        <is>
          <t>S013_EST_HSP_HEURISTIC</t>
        </is>
      </c>
      <c r="I1570" t="inlineStr">
        <is>
          <t>estimated</t>
        </is>
      </c>
      <c r="J1570">
        <v>0.35</v>
      </c>
      <c r="K1570" t="inlineStr">
        <is>
          <t>Replace with monolayer or MD-derived area per molecule for publication-grade CPP.</t>
        </is>
      </c>
    </row>
    <row r="1571">
      <c r="A1571" t="inlineStr">
        <is>
          <t>SURF_POLOXAMER_P85</t>
        </is>
      </c>
      <c r="B1571" t="inlineStr">
        <is>
          <t>molecular_weight_g_mol</t>
        </is>
      </c>
      <c r="C1571">
        <v>4600</v>
      </c>
      <c r="D1571" t="inlineStr">
        <is>
          <t>g/mol</t>
        </is>
      </c>
      <c r="E1571"/>
      <c r="F1571"/>
      <c r="G1571" t="inlineStr">
        <is>
          <t>supplier/handbook average for mixtures</t>
        </is>
      </c>
      <c r="H1571" t="inlineStr">
        <is>
          <t>S010_BASF_KOLLIPHOR</t>
        </is>
      </c>
      <c r="I1571" t="inlineStr">
        <is>
          <t>supplier-reported</t>
        </is>
      </c>
      <c r="J1571">
        <v>0.65</v>
      </c>
      <c r="K1571"/>
    </row>
    <row r="1572">
      <c r="A1572" t="inlineStr">
        <is>
          <t>SURF_POLOXAMER_P85</t>
        </is>
      </c>
      <c r="B1572" t="inlineStr">
        <is>
          <t>HLB</t>
        </is>
      </c>
      <c r="C1572">
        <v>16</v>
      </c>
      <c r="D1572" t="inlineStr">
        <is>
          <t>HLB</t>
        </is>
      </c>
      <c r="E1572"/>
      <c r="F1572"/>
      <c r="G1572" t="inlineStr">
        <is>
          <t>Griffin/Davies HLB literature/supplier value</t>
        </is>
      </c>
      <c r="H1572" t="inlineStr">
        <is>
          <t>S010_BASF_KOLLIPHOR</t>
        </is>
      </c>
      <c r="I1572" t="inlineStr">
        <is>
          <t>supplier-reported</t>
        </is>
      </c>
      <c r="J1572">
        <v>0.75</v>
      </c>
      <c r="K1572" t="inlineStr">
        <is>
          <t>Grade-dependent; use supplier CoA when available.</t>
        </is>
      </c>
    </row>
    <row r="1573">
      <c r="A1573" t="inlineStr">
        <is>
          <t>SURF_POLOXAMER_P85</t>
        </is>
      </c>
      <c r="B1573" t="inlineStr">
        <is>
          <t>headgroup_type</t>
        </is>
      </c>
      <c r="C1573" t="inlineStr">
        <is>
          <t>PEO-PPO-PEO block copolymer</t>
        </is>
      </c>
      <c r="D1573"/>
      <c r="E1573"/>
      <c r="F1573"/>
      <c r="G1573" t="inlineStr">
        <is>
          <t>manual class annotation</t>
        </is>
      </c>
      <c r="H1573" t="inlineStr">
        <is>
          <t>S010_BASF_KOLLIPHOR</t>
        </is>
      </c>
      <c r="I1573" t="inlineStr">
        <is>
          <t>curated</t>
        </is>
      </c>
      <c r="J1573">
        <v>0.75</v>
      </c>
      <c r="K1573"/>
    </row>
    <row r="1574">
      <c r="A1574" t="inlineStr">
        <is>
          <t>SURF_POLOXAMER_P85</t>
        </is>
      </c>
      <c r="B1574" t="inlineStr">
        <is>
          <t>tail_chain</t>
        </is>
      </c>
      <c r="C1574" t="inlineStr">
        <is>
          <t>PPO block (not fatty acyl)</t>
        </is>
      </c>
      <c r="D1574"/>
      <c r="E1574"/>
      <c r="F1574"/>
      <c r="G1574" t="inlineStr">
        <is>
          <t>fatty-chain annotation</t>
        </is>
      </c>
      <c r="H1574" t="inlineStr">
        <is>
          <t>S010_BASF_KOLLIPHOR</t>
        </is>
      </c>
      <c r="I1574" t="inlineStr">
        <is>
          <t>curated</t>
        </is>
      </c>
      <c r="J1574">
        <v>0.8</v>
      </c>
      <c r="K1574"/>
    </row>
    <row r="1575">
      <c r="A1575" t="inlineStr">
        <is>
          <t>SURF_POLOXAMER_P85</t>
        </is>
      </c>
      <c r="B1575" t="inlineStr">
        <is>
          <t>tail_carbons</t>
        </is>
      </c>
      <c r="C1575">
        <v>3</v>
      </c>
      <c r="D1575" t="inlineStr">
        <is>
          <t>count</t>
        </is>
      </c>
      <c r="E1575"/>
      <c r="F1575"/>
      <c r="G1575" t="inlineStr">
        <is>
          <t>fatty-chain annotation</t>
        </is>
      </c>
      <c r="H1575" t="inlineStr">
        <is>
          <t>S010_BASF_KOLLIPHOR</t>
        </is>
      </c>
      <c r="I1575" t="inlineStr">
        <is>
          <t>curated</t>
        </is>
      </c>
      <c r="J1575">
        <v>0.8</v>
      </c>
      <c r="K1575"/>
    </row>
    <row r="1576">
      <c r="A1576" t="inlineStr">
        <is>
          <t>SURF_POLOXAMER_P85</t>
        </is>
      </c>
      <c r="B1576" t="inlineStr">
        <is>
          <t>tail_unsaturation</t>
        </is>
      </c>
      <c r="C1576">
        <v>0</v>
      </c>
      <c r="D1576" t="inlineStr">
        <is>
          <t>double_bonds</t>
        </is>
      </c>
      <c r="E1576"/>
      <c r="F1576"/>
      <c r="G1576" t="inlineStr">
        <is>
          <t>fatty-chain annotation</t>
        </is>
      </c>
      <c r="H1576" t="inlineStr">
        <is>
          <t>S010_BASF_KOLLIPHOR</t>
        </is>
      </c>
      <c r="I1576" t="inlineStr">
        <is>
          <t>curated</t>
        </is>
      </c>
      <c r="J1576">
        <v>0.8</v>
      </c>
      <c r="K1576"/>
    </row>
    <row r="1577">
      <c r="A1577" t="inlineStr">
        <is>
          <t>SURF_POLOXAMER_P85</t>
        </is>
      </c>
      <c r="B1577" t="inlineStr">
        <is>
          <t>number_of_tails</t>
        </is>
      </c>
      <c r="C1577">
        <v>0</v>
      </c>
      <c r="D1577" t="inlineStr">
        <is>
          <t>count</t>
        </is>
      </c>
      <c r="E1577"/>
      <c r="F1577"/>
      <c r="G1577" t="inlineStr">
        <is>
          <t>fatty-chain annotation</t>
        </is>
      </c>
      <c r="H1577" t="inlineStr">
        <is>
          <t>S010_BASF_KOLLIPHOR</t>
        </is>
      </c>
      <c r="I1577" t="inlineStr">
        <is>
          <t>curated</t>
        </is>
      </c>
      <c r="J1577">
        <v>0.8</v>
      </c>
      <c r="K1577"/>
    </row>
    <row r="1578">
      <c r="A1578" t="inlineStr">
        <is>
          <t>SURF_POLOXAMER_P85</t>
        </is>
      </c>
      <c r="B1578" t="inlineStr">
        <is>
          <t>charge_type</t>
        </is>
      </c>
      <c r="C1578" t="inlineStr">
        <is>
          <t>nonionic</t>
        </is>
      </c>
      <c r="D1578"/>
      <c r="E1578"/>
      <c r="F1578"/>
      <c r="G1578" t="inlineStr">
        <is>
          <t>ionization class</t>
        </is>
      </c>
      <c r="H1578" t="inlineStr">
        <is>
          <t>S010_BASF_KOLLIPHOR</t>
        </is>
      </c>
      <c r="I1578" t="inlineStr">
        <is>
          <t>curated</t>
        </is>
      </c>
      <c r="J1578">
        <v>0.85</v>
      </c>
      <c r="K1578"/>
    </row>
    <row r="1579">
      <c r="A1579" t="inlineStr">
        <is>
          <t>SURF_POLOXAMER_P85</t>
        </is>
      </c>
      <c r="B1579" t="inlineStr">
        <is>
          <t>formal_charge</t>
        </is>
      </c>
      <c r="C1579">
        <v>0</v>
      </c>
      <c r="D1579" t="inlineStr">
        <is>
          <t>e</t>
        </is>
      </c>
      <c r="E1579"/>
      <c r="F1579"/>
      <c r="G1579" t="inlineStr">
        <is>
          <t>nominal at neutral pH</t>
        </is>
      </c>
      <c r="H1579" t="inlineStr">
        <is>
          <t>S010_BASF_KOLLIPHOR</t>
        </is>
      </c>
      <c r="I1579" t="inlineStr">
        <is>
          <t>curated</t>
        </is>
      </c>
      <c r="J1579">
        <v>0.85</v>
      </c>
      <c r="K1579"/>
    </row>
    <row r="1580">
      <c r="A1580" t="inlineStr">
        <is>
          <t>SURF_POLOXAMER_P85</t>
        </is>
      </c>
      <c r="B1580" t="inlineStr">
        <is>
          <t>packing_role</t>
        </is>
      </c>
      <c r="C1580" t="inlineStr">
        <is>
          <t>edge activator / micellar solubilizer</t>
        </is>
      </c>
      <c r="D1580"/>
      <c r="E1580"/>
      <c r="F1580"/>
      <c r="G1580" t="inlineStr">
        <is>
          <t>HLB/chain-rule heuristic</t>
        </is>
      </c>
      <c r="H1580" t="inlineStr">
        <is>
          <t>S010_BASF_KOLLIPHOR</t>
        </is>
      </c>
      <c r="I1580" t="inlineStr">
        <is>
          <t>curated</t>
        </is>
      </c>
      <c r="J1580">
        <v>0.65</v>
      </c>
      <c r="K1580"/>
    </row>
    <row r="1581">
      <c r="A1581" t="inlineStr">
        <is>
          <t>SURF_POLOXAMER_P85</t>
        </is>
      </c>
      <c r="B1581" t="inlineStr">
        <is>
          <t>edge_activator_flag</t>
        </is>
      </c>
      <c r="C1581" t="inlineStr">
        <is>
          <t>yes</t>
        </is>
      </c>
      <c r="D1581"/>
      <c r="E1581"/>
      <c r="F1581"/>
      <c r="G1581" t="inlineStr">
        <is>
          <t>HLB/charge heuristic</t>
        </is>
      </c>
      <c r="H1581" t="inlineStr">
        <is>
          <t>S010_BASF_KOLLIPHOR</t>
        </is>
      </c>
      <c r="I1581" t="inlineStr">
        <is>
          <t>curated</t>
        </is>
      </c>
      <c r="J1581">
        <v>0.7</v>
      </c>
      <c r="K1581"/>
    </row>
    <row r="1582">
      <c r="A1582" t="inlineStr">
        <is>
          <t>SURF_POLOXAMER_P85</t>
        </is>
      </c>
      <c r="B1582" t="inlineStr">
        <is>
          <t>vesicle_anchor_flag</t>
        </is>
      </c>
      <c r="C1582" t="inlineStr">
        <is>
          <t>weak/conditional</t>
        </is>
      </c>
      <c r="D1582"/>
      <c r="E1582"/>
      <c r="F1582"/>
      <c r="G1582" t="inlineStr">
        <is>
          <t>chain-length and HLB heuristic</t>
        </is>
      </c>
      <c r="H1582" t="inlineStr">
        <is>
          <t>S010_BASF_KOLLIPHOR</t>
        </is>
      </c>
      <c r="I1582" t="inlineStr">
        <is>
          <t>curated</t>
        </is>
      </c>
      <c r="J1582">
        <v>0.7</v>
      </c>
      <c r="K1582"/>
    </row>
    <row r="1583">
      <c r="A1583" t="inlineStr">
        <is>
          <t>SURF_POLOXAMER_P85</t>
        </is>
      </c>
      <c r="B1583" t="inlineStr">
        <is>
          <t>micellization_risk_flag</t>
        </is>
      </c>
      <c r="C1583" t="inlineStr">
        <is>
          <t>high</t>
        </is>
      </c>
      <c r="D1583"/>
      <c r="E1583"/>
      <c r="F1583"/>
      <c r="G1583" t="inlineStr">
        <is>
          <t>HLB heuristic</t>
        </is>
      </c>
      <c r="H1583" t="inlineStr">
        <is>
          <t>S010_BASF_KOLLIPHOR</t>
        </is>
      </c>
      <c r="I1583" t="inlineStr">
        <is>
          <t>curated</t>
        </is>
      </c>
      <c r="J1583">
        <v>0.65</v>
      </c>
      <c r="K1583"/>
    </row>
    <row r="1584">
      <c r="A1584" t="inlineStr">
        <is>
          <t>SURF_POLOXAMER_P85</t>
        </is>
      </c>
      <c r="B1584" t="inlineStr">
        <is>
          <t>route_suitability</t>
        </is>
      </c>
      <c r="C1584" t="inlineStr">
        <is>
          <t>oral/topical; parenteral/inhalation only if grade and safety justified</t>
        </is>
      </c>
      <c r="D1584"/>
      <c r="E1584"/>
      <c r="F1584"/>
      <c r="G1584" t="inlineStr">
        <is>
          <t>route precedent heuristic</t>
        </is>
      </c>
      <c r="H1584" t="inlineStr">
        <is>
          <t>S008_FDA_IID</t>
        </is>
      </c>
      <c r="I1584" t="inlineStr">
        <is>
          <t>curated</t>
        </is>
      </c>
      <c r="J1584">
        <v>0.55</v>
      </c>
      <c r="K1584"/>
    </row>
    <row r="1585">
      <c r="A1585" t="inlineStr">
        <is>
          <t>SURF_POLOXAMER_P85</t>
        </is>
      </c>
      <c r="B1585" t="inlineStr">
        <is>
          <t>toxicity_or_irritancy_notes</t>
        </is>
      </c>
      <c r="C1585" t="inlineStr">
        <is>
          <t>surfactant irritation/hemolysis is concentration-, route-, and grade-dependent; screen cytotoxicity and osmolality</t>
        </is>
      </c>
      <c r="D1585"/>
      <c r="E1585"/>
      <c r="F1585"/>
      <c r="G1585"/>
      <c r="H1585" t="inlineStr">
        <is>
          <t>S007_EXCIPIENTS_HANDBOOK</t>
        </is>
      </c>
      <c r="I1585" t="inlineStr">
        <is>
          <t>curated</t>
        </is>
      </c>
      <c r="J1585">
        <v>0.7</v>
      </c>
      <c r="K1585"/>
    </row>
    <row r="1586">
      <c r="A1586" t="inlineStr">
        <is>
          <t>SURF_POLOXAMER_P85</t>
        </is>
      </c>
      <c r="B1586" t="inlineStr">
        <is>
          <t>Hansen_delta_D</t>
        </is>
      </c>
      <c r="C1586">
        <v>17.2</v>
      </c>
      <c r="D1586" t="inlineStr">
        <is>
          <t>MPa^0.5</t>
        </is>
      </c>
      <c r="E1586"/>
      <c r="F1586"/>
      <c r="G1586" t="inlineStr">
        <is>
          <t>heuristic group-contribution/nearest-neighbour</t>
        </is>
      </c>
      <c r="H1586" t="inlineStr">
        <is>
          <t>S013_EST_HSP_HEURISTIC</t>
        </is>
      </c>
      <c r="I1586" t="inlineStr">
        <is>
          <t>estimated</t>
        </is>
      </c>
      <c r="J1586">
        <v>0.4</v>
      </c>
      <c r="K1586" t="inlineStr">
        <is>
          <t>Provisional HSP for screening; replace with experimental/literature value before model lock.</t>
        </is>
      </c>
    </row>
    <row r="1587">
      <c r="A1587" t="inlineStr">
        <is>
          <t>SURF_POLOXAMER_P85</t>
        </is>
      </c>
      <c r="B1587" t="inlineStr">
        <is>
          <t>Hansen_delta_P</t>
        </is>
      </c>
      <c r="C1587">
        <v>8.5</v>
      </c>
      <c r="D1587" t="inlineStr">
        <is>
          <t>MPa^0.5</t>
        </is>
      </c>
      <c r="E1587"/>
      <c r="F1587"/>
      <c r="G1587" t="inlineStr">
        <is>
          <t>heuristic group-contribution/nearest-neighbour</t>
        </is>
      </c>
      <c r="H1587" t="inlineStr">
        <is>
          <t>S013_EST_HSP_HEURISTIC</t>
        </is>
      </c>
      <c r="I1587" t="inlineStr">
        <is>
          <t>estimated</t>
        </is>
      </c>
      <c r="J1587">
        <v>0.4</v>
      </c>
      <c r="K1587" t="inlineStr">
        <is>
          <t>Provisional HSP for screening; replace with experimental/literature value before model lock.</t>
        </is>
      </c>
    </row>
    <row r="1588">
      <c r="A1588" t="inlineStr">
        <is>
          <t>SURF_POLOXAMER_P85</t>
        </is>
      </c>
      <c r="B1588" t="inlineStr">
        <is>
          <t>Hansen_delta_H</t>
        </is>
      </c>
      <c r="C1588">
        <v>14.0</v>
      </c>
      <c r="D1588" t="inlineStr">
        <is>
          <t>MPa^0.5</t>
        </is>
      </c>
      <c r="E1588"/>
      <c r="F1588"/>
      <c r="G1588" t="inlineStr">
        <is>
          <t>heuristic group-contribution/nearest-neighbour</t>
        </is>
      </c>
      <c r="H1588" t="inlineStr">
        <is>
          <t>S013_EST_HSP_HEURISTIC</t>
        </is>
      </c>
      <c r="I1588" t="inlineStr">
        <is>
          <t>estimated</t>
        </is>
      </c>
      <c r="J1588">
        <v>0.4</v>
      </c>
      <c r="K1588" t="inlineStr">
        <is>
          <t>Provisional HSP for screening; replace with experimental/literature value before model lock.</t>
        </is>
      </c>
    </row>
    <row r="1589">
      <c r="A1589" t="inlineStr">
        <is>
          <t>SURF_POLOXAMER_P85</t>
        </is>
      </c>
      <c r="B1589" t="inlineStr">
        <is>
          <t>Hildebrand_delta_T</t>
        </is>
      </c>
      <c r="C1589">
        <v>23.75</v>
      </c>
      <c r="D1589" t="inlineStr">
        <is>
          <t>MPa^0.5</t>
        </is>
      </c>
      <c r="E1589"/>
      <c r="F1589"/>
      <c r="G1589" t="inlineStr">
        <is>
          <t>sqrt(deltaD^2+deltaP^2+deltaH^2)</t>
        </is>
      </c>
      <c r="H1589" t="inlineStr">
        <is>
          <t>S012_CALCULATED</t>
        </is>
      </c>
      <c r="I1589" t="inlineStr">
        <is>
          <t>calculated</t>
        </is>
      </c>
      <c r="J1589">
        <v>0.45</v>
      </c>
      <c r="K1589" t="inlineStr">
        <is>
          <t>Derived from stored Hansen components.</t>
        </is>
      </c>
    </row>
    <row r="1590">
      <c r="A1590" t="inlineStr">
        <is>
          <t>SURF_POLOXAMER_P85</t>
        </is>
      </c>
      <c r="B1590" t="inlineStr">
        <is>
          <t>HSP_radius_R0</t>
        </is>
      </c>
      <c r="C1590">
        <v>9.0</v>
      </c>
      <c r="D1590" t="inlineStr">
        <is>
          <t>MPa^0.5</t>
        </is>
      </c>
      <c r="E1590"/>
      <c r="F1590"/>
      <c r="G1590" t="inlineStr">
        <is>
          <t>literature/heuristic solubility sphere</t>
        </is>
      </c>
      <c r="H1590" t="inlineStr">
        <is>
          <t>S013_EST_HSP_HEURISTIC</t>
        </is>
      </c>
      <c r="I1590" t="inlineStr">
        <is>
          <t>estimated</t>
        </is>
      </c>
      <c r="J1590">
        <v>0.4</v>
      </c>
      <c r="K1590" t="inlineStr">
        <is>
          <t>Screening radius only unless experimentally determined.</t>
        </is>
      </c>
    </row>
    <row r="1591">
      <c r="A1591" t="inlineStr">
        <is>
          <t>SURF_POLOXAMER_P85</t>
        </is>
      </c>
      <c r="B1591" t="inlineStr">
        <is>
          <t>molar_volume_cm3_mol</t>
        </is>
      </c>
      <c r="C1591">
        <v>4380.95</v>
      </c>
      <c r="D1591" t="inlineStr">
        <is>
          <t>cm3/mol</t>
        </is>
      </c>
      <c r="E1591"/>
      <c r="F1591"/>
      <c r="G1591" t="inlineStr">
        <is>
          <t>MW/density estimate</t>
        </is>
      </c>
      <c r="H1591" t="inlineStr">
        <is>
          <t>S012_CALCULATED</t>
        </is>
      </c>
      <c r="I1591" t="inlineStr">
        <is>
          <t>estimated</t>
        </is>
      </c>
      <c r="J1591">
        <v>0.42</v>
      </c>
      <c r="K1591" t="inlineStr">
        <is>
          <t>Estimated from MW/density; replace with measured molar volume or density-specific grade data.</t>
        </is>
      </c>
    </row>
    <row r="1592">
      <c r="A1592" t="inlineStr">
        <is>
          <t>SURF_POLOXAMER_P85</t>
        </is>
      </c>
      <c r="B1592" t="inlineStr">
        <is>
          <t>headgroup_area_nm2</t>
        </is>
      </c>
      <c r="C1592">
        <v>0.638</v>
      </c>
      <c r="D1592" t="inlineStr">
        <is>
          <t>nm2</t>
        </is>
      </c>
      <c r="E1592"/>
      <c r="F1592"/>
      <c r="G1592" t="inlineStr">
        <is>
          <t>CPP screening heuristic</t>
        </is>
      </c>
      <c r="H1592" t="inlineStr">
        <is>
          <t>S013_EST_HSP_HEURISTIC</t>
        </is>
      </c>
      <c r="I1592" t="inlineStr">
        <is>
          <t>estimated</t>
        </is>
      </c>
      <c r="J1592">
        <v>0.35</v>
      </c>
      <c r="K1592" t="inlineStr">
        <is>
          <t>Replace with monolayer or MD-derived area per molecule for publication-grade CPP.</t>
        </is>
      </c>
    </row>
    <row r="1593">
      <c r="A1593" t="inlineStr">
        <is>
          <t>SURF_POLOXAMER_L64</t>
        </is>
      </c>
      <c r="B1593" t="inlineStr">
        <is>
          <t>molecular_weight_g_mol</t>
        </is>
      </c>
      <c r="C1593">
        <v>2900</v>
      </c>
      <c r="D1593" t="inlineStr">
        <is>
          <t>g/mol</t>
        </is>
      </c>
      <c r="E1593"/>
      <c r="F1593"/>
      <c r="G1593" t="inlineStr">
        <is>
          <t>supplier/handbook average for mixtures</t>
        </is>
      </c>
      <c r="H1593" t="inlineStr">
        <is>
          <t>S010_BASF_KOLLIPHOR</t>
        </is>
      </c>
      <c r="I1593" t="inlineStr">
        <is>
          <t>supplier-reported</t>
        </is>
      </c>
      <c r="J1593">
        <v>0.65</v>
      </c>
      <c r="K1593"/>
    </row>
    <row r="1594">
      <c r="A1594" t="inlineStr">
        <is>
          <t>SURF_POLOXAMER_L64</t>
        </is>
      </c>
      <c r="B1594" t="inlineStr">
        <is>
          <t>HLB</t>
        </is>
      </c>
      <c r="C1594">
        <v>15</v>
      </c>
      <c r="D1594" t="inlineStr">
        <is>
          <t>HLB</t>
        </is>
      </c>
      <c r="E1594"/>
      <c r="F1594"/>
      <c r="G1594" t="inlineStr">
        <is>
          <t>Griffin/Davies HLB literature/supplier value</t>
        </is>
      </c>
      <c r="H1594" t="inlineStr">
        <is>
          <t>S010_BASF_KOLLIPHOR</t>
        </is>
      </c>
      <c r="I1594" t="inlineStr">
        <is>
          <t>supplier-reported</t>
        </is>
      </c>
      <c r="J1594">
        <v>0.75</v>
      </c>
      <c r="K1594" t="inlineStr">
        <is>
          <t>Grade-dependent; use supplier CoA when available.</t>
        </is>
      </c>
    </row>
    <row r="1595">
      <c r="A1595" t="inlineStr">
        <is>
          <t>SURF_POLOXAMER_L64</t>
        </is>
      </c>
      <c r="B1595" t="inlineStr">
        <is>
          <t>headgroup_type</t>
        </is>
      </c>
      <c r="C1595" t="inlineStr">
        <is>
          <t>PEO-PPO-PEO block copolymer</t>
        </is>
      </c>
      <c r="D1595"/>
      <c r="E1595"/>
      <c r="F1595"/>
      <c r="G1595" t="inlineStr">
        <is>
          <t>manual class annotation</t>
        </is>
      </c>
      <c r="H1595" t="inlineStr">
        <is>
          <t>S010_BASF_KOLLIPHOR</t>
        </is>
      </c>
      <c r="I1595" t="inlineStr">
        <is>
          <t>curated</t>
        </is>
      </c>
      <c r="J1595">
        <v>0.75</v>
      </c>
      <c r="K1595"/>
    </row>
    <row r="1596">
      <c r="A1596" t="inlineStr">
        <is>
          <t>SURF_POLOXAMER_L64</t>
        </is>
      </c>
      <c r="B1596" t="inlineStr">
        <is>
          <t>tail_chain</t>
        </is>
      </c>
      <c r="C1596" t="inlineStr">
        <is>
          <t>PPO block (not fatty acyl)</t>
        </is>
      </c>
      <c r="D1596"/>
      <c r="E1596"/>
      <c r="F1596"/>
      <c r="G1596" t="inlineStr">
        <is>
          <t>fatty-chain annotation</t>
        </is>
      </c>
      <c r="H1596" t="inlineStr">
        <is>
          <t>S010_BASF_KOLLIPHOR</t>
        </is>
      </c>
      <c r="I1596" t="inlineStr">
        <is>
          <t>curated</t>
        </is>
      </c>
      <c r="J1596">
        <v>0.8</v>
      </c>
      <c r="K1596"/>
    </row>
    <row r="1597">
      <c r="A1597" t="inlineStr">
        <is>
          <t>SURF_POLOXAMER_L64</t>
        </is>
      </c>
      <c r="B1597" t="inlineStr">
        <is>
          <t>tail_carbons</t>
        </is>
      </c>
      <c r="C1597">
        <v>3</v>
      </c>
      <c r="D1597" t="inlineStr">
        <is>
          <t>count</t>
        </is>
      </c>
      <c r="E1597"/>
      <c r="F1597"/>
      <c r="G1597" t="inlineStr">
        <is>
          <t>fatty-chain annotation</t>
        </is>
      </c>
      <c r="H1597" t="inlineStr">
        <is>
          <t>S010_BASF_KOLLIPHOR</t>
        </is>
      </c>
      <c r="I1597" t="inlineStr">
        <is>
          <t>curated</t>
        </is>
      </c>
      <c r="J1597">
        <v>0.8</v>
      </c>
      <c r="K1597"/>
    </row>
    <row r="1598">
      <c r="A1598" t="inlineStr">
        <is>
          <t>SURF_POLOXAMER_L64</t>
        </is>
      </c>
      <c r="B1598" t="inlineStr">
        <is>
          <t>tail_unsaturation</t>
        </is>
      </c>
      <c r="C1598">
        <v>0</v>
      </c>
      <c r="D1598" t="inlineStr">
        <is>
          <t>double_bonds</t>
        </is>
      </c>
      <c r="E1598"/>
      <c r="F1598"/>
      <c r="G1598" t="inlineStr">
        <is>
          <t>fatty-chain annotation</t>
        </is>
      </c>
      <c r="H1598" t="inlineStr">
        <is>
          <t>S010_BASF_KOLLIPHOR</t>
        </is>
      </c>
      <c r="I1598" t="inlineStr">
        <is>
          <t>curated</t>
        </is>
      </c>
      <c r="J1598">
        <v>0.8</v>
      </c>
      <c r="K1598"/>
    </row>
    <row r="1599">
      <c r="A1599" t="inlineStr">
        <is>
          <t>SURF_POLOXAMER_L64</t>
        </is>
      </c>
      <c r="B1599" t="inlineStr">
        <is>
          <t>number_of_tails</t>
        </is>
      </c>
      <c r="C1599">
        <v>0</v>
      </c>
      <c r="D1599" t="inlineStr">
        <is>
          <t>count</t>
        </is>
      </c>
      <c r="E1599"/>
      <c r="F1599"/>
      <c r="G1599" t="inlineStr">
        <is>
          <t>fatty-chain annotation</t>
        </is>
      </c>
      <c r="H1599" t="inlineStr">
        <is>
          <t>S010_BASF_KOLLIPHOR</t>
        </is>
      </c>
      <c r="I1599" t="inlineStr">
        <is>
          <t>curated</t>
        </is>
      </c>
      <c r="J1599">
        <v>0.8</v>
      </c>
      <c r="K1599"/>
    </row>
    <row r="1600">
      <c r="A1600" t="inlineStr">
        <is>
          <t>SURF_POLOXAMER_L64</t>
        </is>
      </c>
      <c r="B1600" t="inlineStr">
        <is>
          <t>charge_type</t>
        </is>
      </c>
      <c r="C1600" t="inlineStr">
        <is>
          <t>nonionic</t>
        </is>
      </c>
      <c r="D1600"/>
      <c r="E1600"/>
      <c r="F1600"/>
      <c r="G1600" t="inlineStr">
        <is>
          <t>ionization class</t>
        </is>
      </c>
      <c r="H1600" t="inlineStr">
        <is>
          <t>S010_BASF_KOLLIPHOR</t>
        </is>
      </c>
      <c r="I1600" t="inlineStr">
        <is>
          <t>curated</t>
        </is>
      </c>
      <c r="J1600">
        <v>0.85</v>
      </c>
      <c r="K1600"/>
    </row>
    <row r="1601">
      <c r="A1601" t="inlineStr">
        <is>
          <t>SURF_POLOXAMER_L64</t>
        </is>
      </c>
      <c r="B1601" t="inlineStr">
        <is>
          <t>formal_charge</t>
        </is>
      </c>
      <c r="C1601">
        <v>0</v>
      </c>
      <c r="D1601" t="inlineStr">
        <is>
          <t>e</t>
        </is>
      </c>
      <c r="E1601"/>
      <c r="F1601"/>
      <c r="G1601" t="inlineStr">
        <is>
          <t>nominal at neutral pH</t>
        </is>
      </c>
      <c r="H1601" t="inlineStr">
        <is>
          <t>S010_BASF_KOLLIPHOR</t>
        </is>
      </c>
      <c r="I1601" t="inlineStr">
        <is>
          <t>curated</t>
        </is>
      </c>
      <c r="J1601">
        <v>0.85</v>
      </c>
      <c r="K1601"/>
    </row>
    <row r="1602">
      <c r="A1602" t="inlineStr">
        <is>
          <t>SURF_POLOXAMER_L64</t>
        </is>
      </c>
      <c r="B1602" t="inlineStr">
        <is>
          <t>packing_role</t>
        </is>
      </c>
      <c r="C1602" t="inlineStr">
        <is>
          <t>edge activator / micellar solubilizer</t>
        </is>
      </c>
      <c r="D1602"/>
      <c r="E1602"/>
      <c r="F1602"/>
      <c r="G1602" t="inlineStr">
        <is>
          <t>HLB/chain-rule heuristic</t>
        </is>
      </c>
      <c r="H1602" t="inlineStr">
        <is>
          <t>S010_BASF_KOLLIPHOR</t>
        </is>
      </c>
      <c r="I1602" t="inlineStr">
        <is>
          <t>curated</t>
        </is>
      </c>
      <c r="J1602">
        <v>0.65</v>
      </c>
      <c r="K1602"/>
    </row>
    <row r="1603">
      <c r="A1603" t="inlineStr">
        <is>
          <t>SURF_POLOXAMER_L64</t>
        </is>
      </c>
      <c r="B1603" t="inlineStr">
        <is>
          <t>edge_activator_flag</t>
        </is>
      </c>
      <c r="C1603" t="inlineStr">
        <is>
          <t>yes</t>
        </is>
      </c>
      <c r="D1603"/>
      <c r="E1603"/>
      <c r="F1603"/>
      <c r="G1603" t="inlineStr">
        <is>
          <t>HLB/charge heuristic</t>
        </is>
      </c>
      <c r="H1603" t="inlineStr">
        <is>
          <t>S010_BASF_KOLLIPHOR</t>
        </is>
      </c>
      <c r="I1603" t="inlineStr">
        <is>
          <t>curated</t>
        </is>
      </c>
      <c r="J1603">
        <v>0.7</v>
      </c>
      <c r="K1603"/>
    </row>
    <row r="1604">
      <c r="A1604" t="inlineStr">
        <is>
          <t>SURF_POLOXAMER_L64</t>
        </is>
      </c>
      <c r="B1604" t="inlineStr">
        <is>
          <t>vesicle_anchor_flag</t>
        </is>
      </c>
      <c r="C1604" t="inlineStr">
        <is>
          <t>weak/conditional</t>
        </is>
      </c>
      <c r="D1604"/>
      <c r="E1604"/>
      <c r="F1604"/>
      <c r="G1604" t="inlineStr">
        <is>
          <t>chain-length and HLB heuristic</t>
        </is>
      </c>
      <c r="H1604" t="inlineStr">
        <is>
          <t>S010_BASF_KOLLIPHOR</t>
        </is>
      </c>
      <c r="I1604" t="inlineStr">
        <is>
          <t>curated</t>
        </is>
      </c>
      <c r="J1604">
        <v>0.7</v>
      </c>
      <c r="K1604"/>
    </row>
    <row r="1605">
      <c r="A1605" t="inlineStr">
        <is>
          <t>SURF_POLOXAMER_L64</t>
        </is>
      </c>
      <c r="B1605" t="inlineStr">
        <is>
          <t>micellization_risk_flag</t>
        </is>
      </c>
      <c r="C1605" t="inlineStr">
        <is>
          <t>high</t>
        </is>
      </c>
      <c r="D1605"/>
      <c r="E1605"/>
      <c r="F1605"/>
      <c r="G1605" t="inlineStr">
        <is>
          <t>HLB heuristic</t>
        </is>
      </c>
      <c r="H1605" t="inlineStr">
        <is>
          <t>S010_BASF_KOLLIPHOR</t>
        </is>
      </c>
      <c r="I1605" t="inlineStr">
        <is>
          <t>curated</t>
        </is>
      </c>
      <c r="J1605">
        <v>0.65</v>
      </c>
      <c r="K1605"/>
    </row>
    <row r="1606">
      <c r="A1606" t="inlineStr">
        <is>
          <t>SURF_POLOXAMER_L64</t>
        </is>
      </c>
      <c r="B1606" t="inlineStr">
        <is>
          <t>route_suitability</t>
        </is>
      </c>
      <c r="C1606" t="inlineStr">
        <is>
          <t>oral/topical; parenteral/inhalation only if grade and safety justified</t>
        </is>
      </c>
      <c r="D1606"/>
      <c r="E1606"/>
      <c r="F1606"/>
      <c r="G1606" t="inlineStr">
        <is>
          <t>route precedent heuristic</t>
        </is>
      </c>
      <c r="H1606" t="inlineStr">
        <is>
          <t>S008_FDA_IID</t>
        </is>
      </c>
      <c r="I1606" t="inlineStr">
        <is>
          <t>curated</t>
        </is>
      </c>
      <c r="J1606">
        <v>0.55</v>
      </c>
      <c r="K1606"/>
    </row>
    <row r="1607">
      <c r="A1607" t="inlineStr">
        <is>
          <t>SURF_POLOXAMER_L64</t>
        </is>
      </c>
      <c r="B1607" t="inlineStr">
        <is>
          <t>toxicity_or_irritancy_notes</t>
        </is>
      </c>
      <c r="C1607" t="inlineStr">
        <is>
          <t>surfactant irritation/hemolysis is concentration-, route-, and grade-dependent; screen cytotoxicity and osmolality</t>
        </is>
      </c>
      <c r="D1607"/>
      <c r="E1607"/>
      <c r="F1607"/>
      <c r="G1607"/>
      <c r="H1607" t="inlineStr">
        <is>
          <t>S007_EXCIPIENTS_HANDBOOK</t>
        </is>
      </c>
      <c r="I1607" t="inlineStr">
        <is>
          <t>curated</t>
        </is>
      </c>
      <c r="J1607">
        <v>0.7</v>
      </c>
      <c r="K1607"/>
    </row>
    <row r="1608">
      <c r="A1608" t="inlineStr">
        <is>
          <t>SURF_POLOXAMER_L64</t>
        </is>
      </c>
      <c r="B1608" t="inlineStr">
        <is>
          <t>Hansen_delta_D</t>
        </is>
      </c>
      <c r="C1608">
        <v>17.2</v>
      </c>
      <c r="D1608" t="inlineStr">
        <is>
          <t>MPa^0.5</t>
        </is>
      </c>
      <c r="E1608"/>
      <c r="F1608"/>
      <c r="G1608" t="inlineStr">
        <is>
          <t>heuristic group-contribution/nearest-neighbour</t>
        </is>
      </c>
      <c r="H1608" t="inlineStr">
        <is>
          <t>S013_EST_HSP_HEURISTIC</t>
        </is>
      </c>
      <c r="I1608" t="inlineStr">
        <is>
          <t>estimated</t>
        </is>
      </c>
      <c r="J1608">
        <v>0.4</v>
      </c>
      <c r="K1608" t="inlineStr">
        <is>
          <t>Provisional HSP for screening; replace with experimental/literature value before model lock.</t>
        </is>
      </c>
    </row>
    <row r="1609">
      <c r="A1609" t="inlineStr">
        <is>
          <t>SURF_POLOXAMER_L64</t>
        </is>
      </c>
      <c r="B1609" t="inlineStr">
        <is>
          <t>Hansen_delta_P</t>
        </is>
      </c>
      <c r="C1609">
        <v>8.5</v>
      </c>
      <c r="D1609" t="inlineStr">
        <is>
          <t>MPa^0.5</t>
        </is>
      </c>
      <c r="E1609"/>
      <c r="F1609"/>
      <c r="G1609" t="inlineStr">
        <is>
          <t>heuristic group-contribution/nearest-neighbour</t>
        </is>
      </c>
      <c r="H1609" t="inlineStr">
        <is>
          <t>S013_EST_HSP_HEURISTIC</t>
        </is>
      </c>
      <c r="I1609" t="inlineStr">
        <is>
          <t>estimated</t>
        </is>
      </c>
      <c r="J1609">
        <v>0.4</v>
      </c>
      <c r="K1609" t="inlineStr">
        <is>
          <t>Provisional HSP for screening; replace with experimental/literature value before model lock.</t>
        </is>
      </c>
    </row>
    <row r="1610">
      <c r="A1610" t="inlineStr">
        <is>
          <t>SURF_POLOXAMER_L64</t>
        </is>
      </c>
      <c r="B1610" t="inlineStr">
        <is>
          <t>Hansen_delta_H</t>
        </is>
      </c>
      <c r="C1610">
        <v>14.0</v>
      </c>
      <c r="D1610" t="inlineStr">
        <is>
          <t>MPa^0.5</t>
        </is>
      </c>
      <c r="E1610"/>
      <c r="F1610"/>
      <c r="G1610" t="inlineStr">
        <is>
          <t>heuristic group-contribution/nearest-neighbour</t>
        </is>
      </c>
      <c r="H1610" t="inlineStr">
        <is>
          <t>S013_EST_HSP_HEURISTIC</t>
        </is>
      </c>
      <c r="I1610" t="inlineStr">
        <is>
          <t>estimated</t>
        </is>
      </c>
      <c r="J1610">
        <v>0.4</v>
      </c>
      <c r="K1610" t="inlineStr">
        <is>
          <t>Provisional HSP for screening; replace with experimental/literature value before model lock.</t>
        </is>
      </c>
    </row>
    <row r="1611">
      <c r="A1611" t="inlineStr">
        <is>
          <t>SURF_POLOXAMER_L64</t>
        </is>
      </c>
      <c r="B1611" t="inlineStr">
        <is>
          <t>Hildebrand_delta_T</t>
        </is>
      </c>
      <c r="C1611">
        <v>23.75</v>
      </c>
      <c r="D1611" t="inlineStr">
        <is>
          <t>MPa^0.5</t>
        </is>
      </c>
      <c r="E1611"/>
      <c r="F1611"/>
      <c r="G1611" t="inlineStr">
        <is>
          <t>sqrt(deltaD^2+deltaP^2+deltaH^2)</t>
        </is>
      </c>
      <c r="H1611" t="inlineStr">
        <is>
          <t>S012_CALCULATED</t>
        </is>
      </c>
      <c r="I1611" t="inlineStr">
        <is>
          <t>calculated</t>
        </is>
      </c>
      <c r="J1611">
        <v>0.45</v>
      </c>
      <c r="K1611" t="inlineStr">
        <is>
          <t>Derived from stored Hansen components.</t>
        </is>
      </c>
    </row>
    <row r="1612">
      <c r="A1612" t="inlineStr">
        <is>
          <t>SURF_POLOXAMER_L64</t>
        </is>
      </c>
      <c r="B1612" t="inlineStr">
        <is>
          <t>HSP_radius_R0</t>
        </is>
      </c>
      <c r="C1612">
        <v>9.0</v>
      </c>
      <c r="D1612" t="inlineStr">
        <is>
          <t>MPa^0.5</t>
        </is>
      </c>
      <c r="E1612"/>
      <c r="F1612"/>
      <c r="G1612" t="inlineStr">
        <is>
          <t>literature/heuristic solubility sphere</t>
        </is>
      </c>
      <c r="H1612" t="inlineStr">
        <is>
          <t>S013_EST_HSP_HEURISTIC</t>
        </is>
      </c>
      <c r="I1612" t="inlineStr">
        <is>
          <t>estimated</t>
        </is>
      </c>
      <c r="J1612">
        <v>0.4</v>
      </c>
      <c r="K1612" t="inlineStr">
        <is>
          <t>Screening radius only unless experimentally determined.</t>
        </is>
      </c>
    </row>
    <row r="1613">
      <c r="A1613" t="inlineStr">
        <is>
          <t>SURF_POLOXAMER_L64</t>
        </is>
      </c>
      <c r="B1613" t="inlineStr">
        <is>
          <t>molar_volume_cm3_mol</t>
        </is>
      </c>
      <c r="C1613">
        <v>2761.9</v>
      </c>
      <c r="D1613" t="inlineStr">
        <is>
          <t>cm3/mol</t>
        </is>
      </c>
      <c r="E1613"/>
      <c r="F1613"/>
      <c r="G1613" t="inlineStr">
        <is>
          <t>MW/density estimate</t>
        </is>
      </c>
      <c r="H1613" t="inlineStr">
        <is>
          <t>S012_CALCULATED</t>
        </is>
      </c>
      <c r="I1613" t="inlineStr">
        <is>
          <t>estimated</t>
        </is>
      </c>
      <c r="J1613">
        <v>0.42</v>
      </c>
      <c r="K1613" t="inlineStr">
        <is>
          <t>Estimated from MW/density; replace with measured molar volume or density-specific grade data.</t>
        </is>
      </c>
    </row>
    <row r="1614">
      <c r="A1614" t="inlineStr">
        <is>
          <t>SURF_POLOXAMER_L64</t>
        </is>
      </c>
      <c r="B1614" t="inlineStr">
        <is>
          <t>headgroup_area_nm2</t>
        </is>
      </c>
      <c r="C1614">
        <v>0.62</v>
      </c>
      <c r="D1614" t="inlineStr">
        <is>
          <t>nm2</t>
        </is>
      </c>
      <c r="E1614"/>
      <c r="F1614"/>
      <c r="G1614" t="inlineStr">
        <is>
          <t>CPP screening heuristic</t>
        </is>
      </c>
      <c r="H1614" t="inlineStr">
        <is>
          <t>S013_EST_HSP_HEURISTIC</t>
        </is>
      </c>
      <c r="I1614" t="inlineStr">
        <is>
          <t>estimated</t>
        </is>
      </c>
      <c r="J1614">
        <v>0.35</v>
      </c>
      <c r="K1614" t="inlineStr">
        <is>
          <t>Replace with monolayer or MD-derived area per molecule for publication-grade CPP.</t>
        </is>
      </c>
    </row>
    <row r="1615">
      <c r="A1615" t="inlineStr">
        <is>
          <t>SURF_KOLLIPHOR_P188</t>
        </is>
      </c>
      <c r="B1615" t="inlineStr">
        <is>
          <t>molecular_weight_g_mol</t>
        </is>
      </c>
      <c r="C1615">
        <v>8400</v>
      </c>
      <c r="D1615" t="inlineStr">
        <is>
          <t>g/mol</t>
        </is>
      </c>
      <c r="E1615"/>
      <c r="F1615"/>
      <c r="G1615" t="inlineStr">
        <is>
          <t>supplier/handbook average for mixtures</t>
        </is>
      </c>
      <c r="H1615" t="inlineStr">
        <is>
          <t>S010_BASF_KOLLIPHOR</t>
        </is>
      </c>
      <c r="I1615" t="inlineStr">
        <is>
          <t>supplier-reported</t>
        </is>
      </c>
      <c r="J1615">
        <v>0.65</v>
      </c>
      <c r="K1615"/>
    </row>
    <row r="1616">
      <c r="A1616" t="inlineStr">
        <is>
          <t>SURF_KOLLIPHOR_P188</t>
        </is>
      </c>
      <c r="B1616" t="inlineStr">
        <is>
          <t>HLB</t>
        </is>
      </c>
      <c r="C1616">
        <v>29</v>
      </c>
      <c r="D1616" t="inlineStr">
        <is>
          <t>HLB</t>
        </is>
      </c>
      <c r="E1616"/>
      <c r="F1616"/>
      <c r="G1616" t="inlineStr">
        <is>
          <t>Griffin/Davies HLB literature/supplier value</t>
        </is>
      </c>
      <c r="H1616" t="inlineStr">
        <is>
          <t>S010_BASF_KOLLIPHOR</t>
        </is>
      </c>
      <c r="I1616" t="inlineStr">
        <is>
          <t>supplier-reported</t>
        </is>
      </c>
      <c r="J1616">
        <v>0.75</v>
      </c>
      <c r="K1616" t="inlineStr">
        <is>
          <t>Grade-dependent; use supplier CoA when available.</t>
        </is>
      </c>
    </row>
    <row r="1617">
      <c r="A1617" t="inlineStr">
        <is>
          <t>SURF_KOLLIPHOR_P188</t>
        </is>
      </c>
      <c r="B1617" t="inlineStr">
        <is>
          <t>headgroup_type</t>
        </is>
      </c>
      <c r="C1617" t="inlineStr">
        <is>
          <t>PEO-PPO-PEO block copolymer</t>
        </is>
      </c>
      <c r="D1617"/>
      <c r="E1617"/>
      <c r="F1617"/>
      <c r="G1617" t="inlineStr">
        <is>
          <t>manual class annotation</t>
        </is>
      </c>
      <c r="H1617" t="inlineStr">
        <is>
          <t>S010_BASF_KOLLIPHOR</t>
        </is>
      </c>
      <c r="I1617" t="inlineStr">
        <is>
          <t>curated</t>
        </is>
      </c>
      <c r="J1617">
        <v>0.75</v>
      </c>
      <c r="K1617"/>
    </row>
    <row r="1618">
      <c r="A1618" t="inlineStr">
        <is>
          <t>SURF_KOLLIPHOR_P188</t>
        </is>
      </c>
      <c r="B1618" t="inlineStr">
        <is>
          <t>tail_chain</t>
        </is>
      </c>
      <c r="C1618" t="inlineStr">
        <is>
          <t>PPO block (not fatty acyl)</t>
        </is>
      </c>
      <c r="D1618"/>
      <c r="E1618"/>
      <c r="F1618"/>
      <c r="G1618" t="inlineStr">
        <is>
          <t>fatty-chain annotation</t>
        </is>
      </c>
      <c r="H1618" t="inlineStr">
        <is>
          <t>S010_BASF_KOLLIPHOR</t>
        </is>
      </c>
      <c r="I1618" t="inlineStr">
        <is>
          <t>curated</t>
        </is>
      </c>
      <c r="J1618">
        <v>0.8</v>
      </c>
      <c r="K1618"/>
    </row>
    <row r="1619">
      <c r="A1619" t="inlineStr">
        <is>
          <t>SURF_KOLLIPHOR_P188</t>
        </is>
      </c>
      <c r="B1619" t="inlineStr">
        <is>
          <t>tail_carbons</t>
        </is>
      </c>
      <c r="C1619">
        <v>3</v>
      </c>
      <c r="D1619" t="inlineStr">
        <is>
          <t>count</t>
        </is>
      </c>
      <c r="E1619"/>
      <c r="F1619"/>
      <c r="G1619" t="inlineStr">
        <is>
          <t>fatty-chain annotation</t>
        </is>
      </c>
      <c r="H1619" t="inlineStr">
        <is>
          <t>S010_BASF_KOLLIPHOR</t>
        </is>
      </c>
      <c r="I1619" t="inlineStr">
        <is>
          <t>curated</t>
        </is>
      </c>
      <c r="J1619">
        <v>0.8</v>
      </c>
      <c r="K1619"/>
    </row>
    <row r="1620">
      <c r="A1620" t="inlineStr">
        <is>
          <t>SURF_KOLLIPHOR_P188</t>
        </is>
      </c>
      <c r="B1620" t="inlineStr">
        <is>
          <t>tail_unsaturation</t>
        </is>
      </c>
      <c r="C1620">
        <v>0</v>
      </c>
      <c r="D1620" t="inlineStr">
        <is>
          <t>double_bonds</t>
        </is>
      </c>
      <c r="E1620"/>
      <c r="F1620"/>
      <c r="G1620" t="inlineStr">
        <is>
          <t>fatty-chain annotation</t>
        </is>
      </c>
      <c r="H1620" t="inlineStr">
        <is>
          <t>S010_BASF_KOLLIPHOR</t>
        </is>
      </c>
      <c r="I1620" t="inlineStr">
        <is>
          <t>curated</t>
        </is>
      </c>
      <c r="J1620">
        <v>0.8</v>
      </c>
      <c r="K1620"/>
    </row>
    <row r="1621">
      <c r="A1621" t="inlineStr">
        <is>
          <t>SURF_KOLLIPHOR_P188</t>
        </is>
      </c>
      <c r="B1621" t="inlineStr">
        <is>
          <t>number_of_tails</t>
        </is>
      </c>
      <c r="C1621">
        <v>0</v>
      </c>
      <c r="D1621" t="inlineStr">
        <is>
          <t>count</t>
        </is>
      </c>
      <c r="E1621"/>
      <c r="F1621"/>
      <c r="G1621" t="inlineStr">
        <is>
          <t>fatty-chain annotation</t>
        </is>
      </c>
      <c r="H1621" t="inlineStr">
        <is>
          <t>S010_BASF_KOLLIPHOR</t>
        </is>
      </c>
      <c r="I1621" t="inlineStr">
        <is>
          <t>curated</t>
        </is>
      </c>
      <c r="J1621">
        <v>0.8</v>
      </c>
      <c r="K1621"/>
    </row>
    <row r="1622">
      <c r="A1622" t="inlineStr">
        <is>
          <t>SURF_KOLLIPHOR_P188</t>
        </is>
      </c>
      <c r="B1622" t="inlineStr">
        <is>
          <t>charge_type</t>
        </is>
      </c>
      <c r="C1622" t="inlineStr">
        <is>
          <t>nonionic</t>
        </is>
      </c>
      <c r="D1622"/>
      <c r="E1622"/>
      <c r="F1622"/>
      <c r="G1622" t="inlineStr">
        <is>
          <t>ionization class</t>
        </is>
      </c>
      <c r="H1622" t="inlineStr">
        <is>
          <t>S010_BASF_KOLLIPHOR</t>
        </is>
      </c>
      <c r="I1622" t="inlineStr">
        <is>
          <t>curated</t>
        </is>
      </c>
      <c r="J1622">
        <v>0.85</v>
      </c>
      <c r="K1622"/>
    </row>
    <row r="1623">
      <c r="A1623" t="inlineStr">
        <is>
          <t>SURF_KOLLIPHOR_P188</t>
        </is>
      </c>
      <c r="B1623" t="inlineStr">
        <is>
          <t>formal_charge</t>
        </is>
      </c>
      <c r="C1623">
        <v>0</v>
      </c>
      <c r="D1623" t="inlineStr">
        <is>
          <t>e</t>
        </is>
      </c>
      <c r="E1623"/>
      <c r="F1623"/>
      <c r="G1623" t="inlineStr">
        <is>
          <t>nominal at neutral pH</t>
        </is>
      </c>
      <c r="H1623" t="inlineStr">
        <is>
          <t>S010_BASF_KOLLIPHOR</t>
        </is>
      </c>
      <c r="I1623" t="inlineStr">
        <is>
          <t>curated</t>
        </is>
      </c>
      <c r="J1623">
        <v>0.85</v>
      </c>
      <c r="K1623"/>
    </row>
    <row r="1624">
      <c r="A1624" t="inlineStr">
        <is>
          <t>SURF_KOLLIPHOR_P188</t>
        </is>
      </c>
      <c r="B1624" t="inlineStr">
        <is>
          <t>packing_role</t>
        </is>
      </c>
      <c r="C1624" t="inlineStr">
        <is>
          <t>edge activator / micellar solubilizer</t>
        </is>
      </c>
      <c r="D1624"/>
      <c r="E1624"/>
      <c r="F1624"/>
      <c r="G1624" t="inlineStr">
        <is>
          <t>HLB/chain-rule heuristic</t>
        </is>
      </c>
      <c r="H1624" t="inlineStr">
        <is>
          <t>S010_BASF_KOLLIPHOR</t>
        </is>
      </c>
      <c r="I1624" t="inlineStr">
        <is>
          <t>curated</t>
        </is>
      </c>
      <c r="J1624">
        <v>0.65</v>
      </c>
      <c r="K1624"/>
    </row>
    <row r="1625">
      <c r="A1625" t="inlineStr">
        <is>
          <t>SURF_KOLLIPHOR_P188</t>
        </is>
      </c>
      <c r="B1625" t="inlineStr">
        <is>
          <t>edge_activator_flag</t>
        </is>
      </c>
      <c r="C1625" t="inlineStr">
        <is>
          <t>yes</t>
        </is>
      </c>
      <c r="D1625"/>
      <c r="E1625"/>
      <c r="F1625"/>
      <c r="G1625" t="inlineStr">
        <is>
          <t>HLB/charge heuristic</t>
        </is>
      </c>
      <c r="H1625" t="inlineStr">
        <is>
          <t>S010_BASF_KOLLIPHOR</t>
        </is>
      </c>
      <c r="I1625" t="inlineStr">
        <is>
          <t>curated</t>
        </is>
      </c>
      <c r="J1625">
        <v>0.7</v>
      </c>
      <c r="K1625"/>
    </row>
    <row r="1626">
      <c r="A1626" t="inlineStr">
        <is>
          <t>SURF_KOLLIPHOR_P188</t>
        </is>
      </c>
      <c r="B1626" t="inlineStr">
        <is>
          <t>vesicle_anchor_flag</t>
        </is>
      </c>
      <c r="C1626" t="inlineStr">
        <is>
          <t>weak/conditional</t>
        </is>
      </c>
      <c r="D1626"/>
      <c r="E1626"/>
      <c r="F1626"/>
      <c r="G1626" t="inlineStr">
        <is>
          <t>chain-length and HLB heuristic</t>
        </is>
      </c>
      <c r="H1626" t="inlineStr">
        <is>
          <t>S010_BASF_KOLLIPHOR</t>
        </is>
      </c>
      <c r="I1626" t="inlineStr">
        <is>
          <t>curated</t>
        </is>
      </c>
      <c r="J1626">
        <v>0.7</v>
      </c>
      <c r="K1626"/>
    </row>
    <row r="1627">
      <c r="A1627" t="inlineStr">
        <is>
          <t>SURF_KOLLIPHOR_P188</t>
        </is>
      </c>
      <c r="B1627" t="inlineStr">
        <is>
          <t>micellization_risk_flag</t>
        </is>
      </c>
      <c r="C1627" t="inlineStr">
        <is>
          <t>high</t>
        </is>
      </c>
      <c r="D1627"/>
      <c r="E1627"/>
      <c r="F1627"/>
      <c r="G1627" t="inlineStr">
        <is>
          <t>HLB heuristic</t>
        </is>
      </c>
      <c r="H1627" t="inlineStr">
        <is>
          <t>S010_BASF_KOLLIPHOR</t>
        </is>
      </c>
      <c r="I1627" t="inlineStr">
        <is>
          <t>curated</t>
        </is>
      </c>
      <c r="J1627">
        <v>0.65</v>
      </c>
      <c r="K1627"/>
    </row>
    <row r="1628">
      <c r="A1628" t="inlineStr">
        <is>
          <t>SURF_KOLLIPHOR_P188</t>
        </is>
      </c>
      <c r="B1628" t="inlineStr">
        <is>
          <t>route_suitability</t>
        </is>
      </c>
      <c r="C1628" t="inlineStr">
        <is>
          <t>oral/topical; parenteral/inhalation only if grade and safety justified</t>
        </is>
      </c>
      <c r="D1628"/>
      <c r="E1628"/>
      <c r="F1628"/>
      <c r="G1628" t="inlineStr">
        <is>
          <t>route precedent heuristic</t>
        </is>
      </c>
      <c r="H1628" t="inlineStr">
        <is>
          <t>S008_FDA_IID</t>
        </is>
      </c>
      <c r="I1628" t="inlineStr">
        <is>
          <t>curated</t>
        </is>
      </c>
      <c r="J1628">
        <v>0.55</v>
      </c>
      <c r="K1628"/>
    </row>
    <row r="1629">
      <c r="A1629" t="inlineStr">
        <is>
          <t>SURF_KOLLIPHOR_P188</t>
        </is>
      </c>
      <c r="B1629" t="inlineStr">
        <is>
          <t>toxicity_or_irritancy_notes</t>
        </is>
      </c>
      <c r="C1629" t="inlineStr">
        <is>
          <t>surfactant irritation/hemolysis is concentration-, route-, and grade-dependent; screen cytotoxicity and osmolality</t>
        </is>
      </c>
      <c r="D1629"/>
      <c r="E1629"/>
      <c r="F1629"/>
      <c r="G1629"/>
      <c r="H1629" t="inlineStr">
        <is>
          <t>S007_EXCIPIENTS_HANDBOOK</t>
        </is>
      </c>
      <c r="I1629" t="inlineStr">
        <is>
          <t>curated</t>
        </is>
      </c>
      <c r="J1629">
        <v>0.7</v>
      </c>
      <c r="K1629"/>
    </row>
    <row r="1630">
      <c r="A1630" t="inlineStr">
        <is>
          <t>SURF_KOLLIPHOR_P188</t>
        </is>
      </c>
      <c r="B1630" t="inlineStr">
        <is>
          <t>cloud_point_C</t>
        </is>
      </c>
      <c r="C1630" t="inlineStr">
        <is>
          <t>&gt;100</t>
        </is>
      </c>
      <c r="D1630" t="inlineStr">
        <is>
          <t>°C</t>
        </is>
      </c>
      <c r="E1630"/>
      <c r="F1630"/>
      <c r="G1630" t="inlineStr">
        <is>
          <t>cloud point; concentration-dependent</t>
        </is>
      </c>
      <c r="H1630" t="inlineStr">
        <is>
          <t>S010_BASF_KOLLIPHOR</t>
        </is>
      </c>
      <c r="I1630" t="inlineStr">
        <is>
          <t>supplier-reported</t>
        </is>
      </c>
      <c r="J1630">
        <v>0.55</v>
      </c>
      <c r="K1630"/>
    </row>
    <row r="1631">
      <c r="A1631" t="inlineStr">
        <is>
          <t>SURF_KOLLIPHOR_P188</t>
        </is>
      </c>
      <c r="B1631" t="inlineStr">
        <is>
          <t>Hansen_delta_D</t>
        </is>
      </c>
      <c r="C1631">
        <v>17.2</v>
      </c>
      <c r="D1631" t="inlineStr">
        <is>
          <t>MPa^0.5</t>
        </is>
      </c>
      <c r="E1631"/>
      <c r="F1631"/>
      <c r="G1631" t="inlineStr">
        <is>
          <t>heuristic group-contribution/nearest-neighbour</t>
        </is>
      </c>
      <c r="H1631" t="inlineStr">
        <is>
          <t>S013_EST_HSP_HEURISTIC</t>
        </is>
      </c>
      <c r="I1631" t="inlineStr">
        <is>
          <t>estimated</t>
        </is>
      </c>
      <c r="J1631">
        <v>0.4</v>
      </c>
      <c r="K1631" t="inlineStr">
        <is>
          <t>Provisional HSP for screening; replace with experimental/literature value before model lock.</t>
        </is>
      </c>
    </row>
    <row r="1632">
      <c r="A1632" t="inlineStr">
        <is>
          <t>SURF_KOLLIPHOR_P188</t>
        </is>
      </c>
      <c r="B1632" t="inlineStr">
        <is>
          <t>Hansen_delta_P</t>
        </is>
      </c>
      <c r="C1632">
        <v>8.5</v>
      </c>
      <c r="D1632" t="inlineStr">
        <is>
          <t>MPa^0.5</t>
        </is>
      </c>
      <c r="E1632"/>
      <c r="F1632"/>
      <c r="G1632" t="inlineStr">
        <is>
          <t>heuristic group-contribution/nearest-neighbour</t>
        </is>
      </c>
      <c r="H1632" t="inlineStr">
        <is>
          <t>S013_EST_HSP_HEURISTIC</t>
        </is>
      </c>
      <c r="I1632" t="inlineStr">
        <is>
          <t>estimated</t>
        </is>
      </c>
      <c r="J1632">
        <v>0.4</v>
      </c>
      <c r="K1632" t="inlineStr">
        <is>
          <t>Provisional HSP for screening; replace with experimental/literature value before model lock.</t>
        </is>
      </c>
    </row>
    <row r="1633">
      <c r="A1633" t="inlineStr">
        <is>
          <t>SURF_KOLLIPHOR_P188</t>
        </is>
      </c>
      <c r="B1633" t="inlineStr">
        <is>
          <t>Hansen_delta_H</t>
        </is>
      </c>
      <c r="C1633">
        <v>14.0</v>
      </c>
      <c r="D1633" t="inlineStr">
        <is>
          <t>MPa^0.5</t>
        </is>
      </c>
      <c r="E1633"/>
      <c r="F1633"/>
      <c r="G1633" t="inlineStr">
        <is>
          <t>heuristic group-contribution/nearest-neighbour</t>
        </is>
      </c>
      <c r="H1633" t="inlineStr">
        <is>
          <t>S013_EST_HSP_HEURISTIC</t>
        </is>
      </c>
      <c r="I1633" t="inlineStr">
        <is>
          <t>estimated</t>
        </is>
      </c>
      <c r="J1633">
        <v>0.4</v>
      </c>
      <c r="K1633" t="inlineStr">
        <is>
          <t>Provisional HSP for screening; replace with experimental/literature value before model lock.</t>
        </is>
      </c>
    </row>
    <row r="1634">
      <c r="A1634" t="inlineStr">
        <is>
          <t>SURF_KOLLIPHOR_P188</t>
        </is>
      </c>
      <c r="B1634" t="inlineStr">
        <is>
          <t>Hildebrand_delta_T</t>
        </is>
      </c>
      <c r="C1634">
        <v>23.75</v>
      </c>
      <c r="D1634" t="inlineStr">
        <is>
          <t>MPa^0.5</t>
        </is>
      </c>
      <c r="E1634"/>
      <c r="F1634"/>
      <c r="G1634" t="inlineStr">
        <is>
          <t>sqrt(deltaD^2+deltaP^2+deltaH^2)</t>
        </is>
      </c>
      <c r="H1634" t="inlineStr">
        <is>
          <t>S012_CALCULATED</t>
        </is>
      </c>
      <c r="I1634" t="inlineStr">
        <is>
          <t>calculated</t>
        </is>
      </c>
      <c r="J1634">
        <v>0.45</v>
      </c>
      <c r="K1634" t="inlineStr">
        <is>
          <t>Derived from stored Hansen components.</t>
        </is>
      </c>
    </row>
    <row r="1635">
      <c r="A1635" t="inlineStr">
        <is>
          <t>SURF_KOLLIPHOR_P188</t>
        </is>
      </c>
      <c r="B1635" t="inlineStr">
        <is>
          <t>HSP_radius_R0</t>
        </is>
      </c>
      <c r="C1635">
        <v>9.0</v>
      </c>
      <c r="D1635" t="inlineStr">
        <is>
          <t>MPa^0.5</t>
        </is>
      </c>
      <c r="E1635"/>
      <c r="F1635"/>
      <c r="G1635" t="inlineStr">
        <is>
          <t>literature/heuristic solubility sphere</t>
        </is>
      </c>
      <c r="H1635" t="inlineStr">
        <is>
          <t>S013_EST_HSP_HEURISTIC</t>
        </is>
      </c>
      <c r="I1635" t="inlineStr">
        <is>
          <t>estimated</t>
        </is>
      </c>
      <c r="J1635">
        <v>0.4</v>
      </c>
      <c r="K1635" t="inlineStr">
        <is>
          <t>Screening radius only unless experimentally determined.</t>
        </is>
      </c>
    </row>
    <row r="1636">
      <c r="A1636" t="inlineStr">
        <is>
          <t>SURF_KOLLIPHOR_P188</t>
        </is>
      </c>
      <c r="B1636" t="inlineStr">
        <is>
          <t>molar_volume_cm3_mol</t>
        </is>
      </c>
      <c r="C1636">
        <v>8000.0</v>
      </c>
      <c r="D1636" t="inlineStr">
        <is>
          <t>cm3/mol</t>
        </is>
      </c>
      <c r="E1636"/>
      <c r="F1636"/>
      <c r="G1636" t="inlineStr">
        <is>
          <t>MW/density estimate</t>
        </is>
      </c>
      <c r="H1636" t="inlineStr">
        <is>
          <t>S012_CALCULATED</t>
        </is>
      </c>
      <c r="I1636" t="inlineStr">
        <is>
          <t>estimated</t>
        </is>
      </c>
      <c r="J1636">
        <v>0.42</v>
      </c>
      <c r="K1636" t="inlineStr">
        <is>
          <t>Estimated from MW/density; replace with measured molar volume or density-specific grade data.</t>
        </is>
      </c>
    </row>
    <row r="1637">
      <c r="A1637" t="inlineStr">
        <is>
          <t>SURF_KOLLIPHOR_P188</t>
        </is>
      </c>
      <c r="B1637" t="inlineStr">
        <is>
          <t>headgroup_area_nm2</t>
        </is>
      </c>
      <c r="C1637">
        <v>0.872</v>
      </c>
      <c r="D1637" t="inlineStr">
        <is>
          <t>nm2</t>
        </is>
      </c>
      <c r="E1637"/>
      <c r="F1637"/>
      <c r="G1637" t="inlineStr">
        <is>
          <t>CPP screening heuristic</t>
        </is>
      </c>
      <c r="H1637" t="inlineStr">
        <is>
          <t>S013_EST_HSP_HEURISTIC</t>
        </is>
      </c>
      <c r="I1637" t="inlineStr">
        <is>
          <t>estimated</t>
        </is>
      </c>
      <c r="J1637">
        <v>0.35</v>
      </c>
      <c r="K1637" t="inlineStr">
        <is>
          <t>Replace with monolayer or MD-derived area per molecule for publication-grade CPP.</t>
        </is>
      </c>
    </row>
    <row r="1638">
      <c r="A1638" t="inlineStr">
        <is>
          <t>SURF_KOLLIPHOR_P407</t>
        </is>
      </c>
      <c r="B1638" t="inlineStr">
        <is>
          <t>molecular_weight_g_mol</t>
        </is>
      </c>
      <c r="C1638">
        <v>12600</v>
      </c>
      <c r="D1638" t="inlineStr">
        <is>
          <t>g/mol</t>
        </is>
      </c>
      <c r="E1638"/>
      <c r="F1638"/>
      <c r="G1638" t="inlineStr">
        <is>
          <t>supplier/handbook average for mixtures</t>
        </is>
      </c>
      <c r="H1638" t="inlineStr">
        <is>
          <t>S010_BASF_KOLLIPHOR</t>
        </is>
      </c>
      <c r="I1638" t="inlineStr">
        <is>
          <t>supplier-reported</t>
        </is>
      </c>
      <c r="J1638">
        <v>0.65</v>
      </c>
      <c r="K1638"/>
    </row>
    <row r="1639">
      <c r="A1639" t="inlineStr">
        <is>
          <t>SURF_KOLLIPHOR_P407</t>
        </is>
      </c>
      <c r="B1639" t="inlineStr">
        <is>
          <t>HLB</t>
        </is>
      </c>
      <c r="C1639">
        <v>21</v>
      </c>
      <c r="D1639" t="inlineStr">
        <is>
          <t>HLB</t>
        </is>
      </c>
      <c r="E1639"/>
      <c r="F1639"/>
      <c r="G1639" t="inlineStr">
        <is>
          <t>Griffin/Davies HLB literature/supplier value</t>
        </is>
      </c>
      <c r="H1639" t="inlineStr">
        <is>
          <t>S010_BASF_KOLLIPHOR</t>
        </is>
      </c>
      <c r="I1639" t="inlineStr">
        <is>
          <t>supplier-reported</t>
        </is>
      </c>
      <c r="J1639">
        <v>0.75</v>
      </c>
      <c r="K1639" t="inlineStr">
        <is>
          <t>Grade-dependent; use supplier CoA when available.</t>
        </is>
      </c>
    </row>
    <row r="1640">
      <c r="A1640" t="inlineStr">
        <is>
          <t>SURF_KOLLIPHOR_P407</t>
        </is>
      </c>
      <c r="B1640" t="inlineStr">
        <is>
          <t>headgroup_type</t>
        </is>
      </c>
      <c r="C1640" t="inlineStr">
        <is>
          <t>PEO-PPO-PEO block copolymer</t>
        </is>
      </c>
      <c r="D1640"/>
      <c r="E1640"/>
      <c r="F1640"/>
      <c r="G1640" t="inlineStr">
        <is>
          <t>manual class annotation</t>
        </is>
      </c>
      <c r="H1640" t="inlineStr">
        <is>
          <t>S010_BASF_KOLLIPHOR</t>
        </is>
      </c>
      <c r="I1640" t="inlineStr">
        <is>
          <t>curated</t>
        </is>
      </c>
      <c r="J1640">
        <v>0.75</v>
      </c>
      <c r="K1640"/>
    </row>
    <row r="1641">
      <c r="A1641" t="inlineStr">
        <is>
          <t>SURF_KOLLIPHOR_P407</t>
        </is>
      </c>
      <c r="B1641" t="inlineStr">
        <is>
          <t>tail_chain</t>
        </is>
      </c>
      <c r="C1641" t="inlineStr">
        <is>
          <t>PPO block (not fatty acyl)</t>
        </is>
      </c>
      <c r="D1641"/>
      <c r="E1641"/>
      <c r="F1641"/>
      <c r="G1641" t="inlineStr">
        <is>
          <t>fatty-chain annotation</t>
        </is>
      </c>
      <c r="H1641" t="inlineStr">
        <is>
          <t>S010_BASF_KOLLIPHOR</t>
        </is>
      </c>
      <c r="I1641" t="inlineStr">
        <is>
          <t>curated</t>
        </is>
      </c>
      <c r="J1641">
        <v>0.8</v>
      </c>
      <c r="K1641"/>
    </row>
    <row r="1642">
      <c r="A1642" t="inlineStr">
        <is>
          <t>SURF_KOLLIPHOR_P407</t>
        </is>
      </c>
      <c r="B1642" t="inlineStr">
        <is>
          <t>tail_carbons</t>
        </is>
      </c>
      <c r="C1642">
        <v>3</v>
      </c>
      <c r="D1642" t="inlineStr">
        <is>
          <t>count</t>
        </is>
      </c>
      <c r="E1642"/>
      <c r="F1642"/>
      <c r="G1642" t="inlineStr">
        <is>
          <t>fatty-chain annotation</t>
        </is>
      </c>
      <c r="H1642" t="inlineStr">
        <is>
          <t>S010_BASF_KOLLIPHOR</t>
        </is>
      </c>
      <c r="I1642" t="inlineStr">
        <is>
          <t>curated</t>
        </is>
      </c>
      <c r="J1642">
        <v>0.8</v>
      </c>
      <c r="K1642"/>
    </row>
    <row r="1643">
      <c r="A1643" t="inlineStr">
        <is>
          <t>SURF_KOLLIPHOR_P407</t>
        </is>
      </c>
      <c r="B1643" t="inlineStr">
        <is>
          <t>tail_unsaturation</t>
        </is>
      </c>
      <c r="C1643">
        <v>0</v>
      </c>
      <c r="D1643" t="inlineStr">
        <is>
          <t>double_bonds</t>
        </is>
      </c>
      <c r="E1643"/>
      <c r="F1643"/>
      <c r="G1643" t="inlineStr">
        <is>
          <t>fatty-chain annotation</t>
        </is>
      </c>
      <c r="H1643" t="inlineStr">
        <is>
          <t>S010_BASF_KOLLIPHOR</t>
        </is>
      </c>
      <c r="I1643" t="inlineStr">
        <is>
          <t>curated</t>
        </is>
      </c>
      <c r="J1643">
        <v>0.8</v>
      </c>
      <c r="K1643"/>
    </row>
    <row r="1644">
      <c r="A1644" t="inlineStr">
        <is>
          <t>SURF_KOLLIPHOR_P407</t>
        </is>
      </c>
      <c r="B1644" t="inlineStr">
        <is>
          <t>number_of_tails</t>
        </is>
      </c>
      <c r="C1644">
        <v>0</v>
      </c>
      <c r="D1644" t="inlineStr">
        <is>
          <t>count</t>
        </is>
      </c>
      <c r="E1644"/>
      <c r="F1644"/>
      <c r="G1644" t="inlineStr">
        <is>
          <t>fatty-chain annotation</t>
        </is>
      </c>
      <c r="H1644" t="inlineStr">
        <is>
          <t>S010_BASF_KOLLIPHOR</t>
        </is>
      </c>
      <c r="I1644" t="inlineStr">
        <is>
          <t>curated</t>
        </is>
      </c>
      <c r="J1644">
        <v>0.8</v>
      </c>
      <c r="K1644"/>
    </row>
    <row r="1645">
      <c r="A1645" t="inlineStr">
        <is>
          <t>SURF_KOLLIPHOR_P407</t>
        </is>
      </c>
      <c r="B1645" t="inlineStr">
        <is>
          <t>charge_type</t>
        </is>
      </c>
      <c r="C1645" t="inlineStr">
        <is>
          <t>nonionic</t>
        </is>
      </c>
      <c r="D1645"/>
      <c r="E1645"/>
      <c r="F1645"/>
      <c r="G1645" t="inlineStr">
        <is>
          <t>ionization class</t>
        </is>
      </c>
      <c r="H1645" t="inlineStr">
        <is>
          <t>S010_BASF_KOLLIPHOR</t>
        </is>
      </c>
      <c r="I1645" t="inlineStr">
        <is>
          <t>curated</t>
        </is>
      </c>
      <c r="J1645">
        <v>0.85</v>
      </c>
      <c r="K1645"/>
    </row>
    <row r="1646">
      <c r="A1646" t="inlineStr">
        <is>
          <t>SURF_KOLLIPHOR_P407</t>
        </is>
      </c>
      <c r="B1646" t="inlineStr">
        <is>
          <t>formal_charge</t>
        </is>
      </c>
      <c r="C1646">
        <v>0</v>
      </c>
      <c r="D1646" t="inlineStr">
        <is>
          <t>e</t>
        </is>
      </c>
      <c r="E1646"/>
      <c r="F1646"/>
      <c r="G1646" t="inlineStr">
        <is>
          <t>nominal at neutral pH</t>
        </is>
      </c>
      <c r="H1646" t="inlineStr">
        <is>
          <t>S010_BASF_KOLLIPHOR</t>
        </is>
      </c>
      <c r="I1646" t="inlineStr">
        <is>
          <t>curated</t>
        </is>
      </c>
      <c r="J1646">
        <v>0.85</v>
      </c>
      <c r="K1646"/>
    </row>
    <row r="1647">
      <c r="A1647" t="inlineStr">
        <is>
          <t>SURF_KOLLIPHOR_P407</t>
        </is>
      </c>
      <c r="B1647" t="inlineStr">
        <is>
          <t>packing_role</t>
        </is>
      </c>
      <c r="C1647" t="inlineStr">
        <is>
          <t>edge activator / micellar solubilizer</t>
        </is>
      </c>
      <c r="D1647"/>
      <c r="E1647"/>
      <c r="F1647"/>
      <c r="G1647" t="inlineStr">
        <is>
          <t>HLB/chain-rule heuristic</t>
        </is>
      </c>
      <c r="H1647" t="inlineStr">
        <is>
          <t>S010_BASF_KOLLIPHOR</t>
        </is>
      </c>
      <c r="I1647" t="inlineStr">
        <is>
          <t>curated</t>
        </is>
      </c>
      <c r="J1647">
        <v>0.65</v>
      </c>
      <c r="K1647"/>
    </row>
    <row r="1648">
      <c r="A1648" t="inlineStr">
        <is>
          <t>SURF_KOLLIPHOR_P407</t>
        </is>
      </c>
      <c r="B1648" t="inlineStr">
        <is>
          <t>edge_activator_flag</t>
        </is>
      </c>
      <c r="C1648" t="inlineStr">
        <is>
          <t>yes</t>
        </is>
      </c>
      <c r="D1648"/>
      <c r="E1648"/>
      <c r="F1648"/>
      <c r="G1648" t="inlineStr">
        <is>
          <t>HLB/charge heuristic</t>
        </is>
      </c>
      <c r="H1648" t="inlineStr">
        <is>
          <t>S010_BASF_KOLLIPHOR</t>
        </is>
      </c>
      <c r="I1648" t="inlineStr">
        <is>
          <t>curated</t>
        </is>
      </c>
      <c r="J1648">
        <v>0.7</v>
      </c>
      <c r="K1648"/>
    </row>
    <row r="1649">
      <c r="A1649" t="inlineStr">
        <is>
          <t>SURF_KOLLIPHOR_P407</t>
        </is>
      </c>
      <c r="B1649" t="inlineStr">
        <is>
          <t>vesicle_anchor_flag</t>
        </is>
      </c>
      <c r="C1649" t="inlineStr">
        <is>
          <t>weak/conditional</t>
        </is>
      </c>
      <c r="D1649"/>
      <c r="E1649"/>
      <c r="F1649"/>
      <c r="G1649" t="inlineStr">
        <is>
          <t>chain-length and HLB heuristic</t>
        </is>
      </c>
      <c r="H1649" t="inlineStr">
        <is>
          <t>S010_BASF_KOLLIPHOR</t>
        </is>
      </c>
      <c r="I1649" t="inlineStr">
        <is>
          <t>curated</t>
        </is>
      </c>
      <c r="J1649">
        <v>0.7</v>
      </c>
      <c r="K1649"/>
    </row>
    <row r="1650">
      <c r="A1650" t="inlineStr">
        <is>
          <t>SURF_KOLLIPHOR_P407</t>
        </is>
      </c>
      <c r="B1650" t="inlineStr">
        <is>
          <t>micellization_risk_flag</t>
        </is>
      </c>
      <c r="C1650" t="inlineStr">
        <is>
          <t>high</t>
        </is>
      </c>
      <c r="D1650"/>
      <c r="E1650"/>
      <c r="F1650"/>
      <c r="G1650" t="inlineStr">
        <is>
          <t>HLB heuristic</t>
        </is>
      </c>
      <c r="H1650" t="inlineStr">
        <is>
          <t>S010_BASF_KOLLIPHOR</t>
        </is>
      </c>
      <c r="I1650" t="inlineStr">
        <is>
          <t>curated</t>
        </is>
      </c>
      <c r="J1650">
        <v>0.65</v>
      </c>
      <c r="K1650"/>
    </row>
    <row r="1651">
      <c r="A1651" t="inlineStr">
        <is>
          <t>SURF_KOLLIPHOR_P407</t>
        </is>
      </c>
      <c r="B1651" t="inlineStr">
        <is>
          <t>route_suitability</t>
        </is>
      </c>
      <c r="C1651" t="inlineStr">
        <is>
          <t>oral/topical; parenteral/inhalation only if grade and safety justified</t>
        </is>
      </c>
      <c r="D1651"/>
      <c r="E1651"/>
      <c r="F1651"/>
      <c r="G1651" t="inlineStr">
        <is>
          <t>route precedent heuristic</t>
        </is>
      </c>
      <c r="H1651" t="inlineStr">
        <is>
          <t>S008_FDA_IID</t>
        </is>
      </c>
      <c r="I1651" t="inlineStr">
        <is>
          <t>curated</t>
        </is>
      </c>
      <c r="J1651">
        <v>0.55</v>
      </c>
      <c r="K1651"/>
    </row>
    <row r="1652">
      <c r="A1652" t="inlineStr">
        <is>
          <t>SURF_KOLLIPHOR_P407</t>
        </is>
      </c>
      <c r="B1652" t="inlineStr">
        <is>
          <t>toxicity_or_irritancy_notes</t>
        </is>
      </c>
      <c r="C1652" t="inlineStr">
        <is>
          <t>surfactant irritation/hemolysis is concentration-, route-, and grade-dependent; screen cytotoxicity and osmolality</t>
        </is>
      </c>
      <c r="D1652"/>
      <c r="E1652"/>
      <c r="F1652"/>
      <c r="G1652"/>
      <c r="H1652" t="inlineStr">
        <is>
          <t>S007_EXCIPIENTS_HANDBOOK</t>
        </is>
      </c>
      <c r="I1652" t="inlineStr">
        <is>
          <t>curated</t>
        </is>
      </c>
      <c r="J1652">
        <v>0.7</v>
      </c>
      <c r="K1652"/>
    </row>
    <row r="1653">
      <c r="A1653" t="inlineStr">
        <is>
          <t>SURF_KOLLIPHOR_P407</t>
        </is>
      </c>
      <c r="B1653" t="inlineStr">
        <is>
          <t>cloud_point_C</t>
        </is>
      </c>
      <c r="C1653" t="inlineStr">
        <is>
          <t>&gt;100</t>
        </is>
      </c>
      <c r="D1653" t="inlineStr">
        <is>
          <t>°C</t>
        </is>
      </c>
      <c r="E1653"/>
      <c r="F1653"/>
      <c r="G1653" t="inlineStr">
        <is>
          <t>cloud point; concentration-dependent</t>
        </is>
      </c>
      <c r="H1653" t="inlineStr">
        <is>
          <t>S010_BASF_KOLLIPHOR</t>
        </is>
      </c>
      <c r="I1653" t="inlineStr">
        <is>
          <t>supplier-reported</t>
        </is>
      </c>
      <c r="J1653">
        <v>0.55</v>
      </c>
      <c r="K1653"/>
    </row>
    <row r="1654">
      <c r="A1654" t="inlineStr">
        <is>
          <t>SURF_KOLLIPHOR_P407</t>
        </is>
      </c>
      <c r="B1654" t="inlineStr">
        <is>
          <t>Hansen_delta_D</t>
        </is>
      </c>
      <c r="C1654">
        <v>17.2</v>
      </c>
      <c r="D1654" t="inlineStr">
        <is>
          <t>MPa^0.5</t>
        </is>
      </c>
      <c r="E1654"/>
      <c r="F1654"/>
      <c r="G1654" t="inlineStr">
        <is>
          <t>heuristic group-contribution/nearest-neighbour</t>
        </is>
      </c>
      <c r="H1654" t="inlineStr">
        <is>
          <t>S013_EST_HSP_HEURISTIC</t>
        </is>
      </c>
      <c r="I1654" t="inlineStr">
        <is>
          <t>estimated</t>
        </is>
      </c>
      <c r="J1654">
        <v>0.4</v>
      </c>
      <c r="K1654" t="inlineStr">
        <is>
          <t>Provisional HSP for screening; replace with experimental/literature value before model lock.</t>
        </is>
      </c>
    </row>
    <row r="1655">
      <c r="A1655" t="inlineStr">
        <is>
          <t>SURF_KOLLIPHOR_P407</t>
        </is>
      </c>
      <c r="B1655" t="inlineStr">
        <is>
          <t>Hansen_delta_P</t>
        </is>
      </c>
      <c r="C1655">
        <v>8.5</v>
      </c>
      <c r="D1655" t="inlineStr">
        <is>
          <t>MPa^0.5</t>
        </is>
      </c>
      <c r="E1655"/>
      <c r="F1655"/>
      <c r="G1655" t="inlineStr">
        <is>
          <t>heuristic group-contribution/nearest-neighbour</t>
        </is>
      </c>
      <c r="H1655" t="inlineStr">
        <is>
          <t>S013_EST_HSP_HEURISTIC</t>
        </is>
      </c>
      <c r="I1655" t="inlineStr">
        <is>
          <t>estimated</t>
        </is>
      </c>
      <c r="J1655">
        <v>0.4</v>
      </c>
      <c r="K1655" t="inlineStr">
        <is>
          <t>Provisional HSP for screening; replace with experimental/literature value before model lock.</t>
        </is>
      </c>
    </row>
    <row r="1656">
      <c r="A1656" t="inlineStr">
        <is>
          <t>SURF_KOLLIPHOR_P407</t>
        </is>
      </c>
      <c r="B1656" t="inlineStr">
        <is>
          <t>Hansen_delta_H</t>
        </is>
      </c>
      <c r="C1656">
        <v>14.0</v>
      </c>
      <c r="D1656" t="inlineStr">
        <is>
          <t>MPa^0.5</t>
        </is>
      </c>
      <c r="E1656"/>
      <c r="F1656"/>
      <c r="G1656" t="inlineStr">
        <is>
          <t>heuristic group-contribution/nearest-neighbour</t>
        </is>
      </c>
      <c r="H1656" t="inlineStr">
        <is>
          <t>S013_EST_HSP_HEURISTIC</t>
        </is>
      </c>
      <c r="I1656" t="inlineStr">
        <is>
          <t>estimated</t>
        </is>
      </c>
      <c r="J1656">
        <v>0.4</v>
      </c>
      <c r="K1656" t="inlineStr">
        <is>
          <t>Provisional HSP for screening; replace with experimental/literature value before model lock.</t>
        </is>
      </c>
    </row>
    <row r="1657">
      <c r="A1657" t="inlineStr">
        <is>
          <t>SURF_KOLLIPHOR_P407</t>
        </is>
      </c>
      <c r="B1657" t="inlineStr">
        <is>
          <t>Hildebrand_delta_T</t>
        </is>
      </c>
      <c r="C1657">
        <v>23.75</v>
      </c>
      <c r="D1657" t="inlineStr">
        <is>
          <t>MPa^0.5</t>
        </is>
      </c>
      <c r="E1657"/>
      <c r="F1657"/>
      <c r="G1657" t="inlineStr">
        <is>
          <t>sqrt(deltaD^2+deltaP^2+deltaH^2)</t>
        </is>
      </c>
      <c r="H1657" t="inlineStr">
        <is>
          <t>S012_CALCULATED</t>
        </is>
      </c>
      <c r="I1657" t="inlineStr">
        <is>
          <t>calculated</t>
        </is>
      </c>
      <c r="J1657">
        <v>0.45</v>
      </c>
      <c r="K1657" t="inlineStr">
        <is>
          <t>Derived from stored Hansen components.</t>
        </is>
      </c>
    </row>
    <row r="1658">
      <c r="A1658" t="inlineStr">
        <is>
          <t>SURF_KOLLIPHOR_P407</t>
        </is>
      </c>
      <c r="B1658" t="inlineStr">
        <is>
          <t>HSP_radius_R0</t>
        </is>
      </c>
      <c r="C1658">
        <v>9.0</v>
      </c>
      <c r="D1658" t="inlineStr">
        <is>
          <t>MPa^0.5</t>
        </is>
      </c>
      <c r="E1658"/>
      <c r="F1658"/>
      <c r="G1658" t="inlineStr">
        <is>
          <t>literature/heuristic solubility sphere</t>
        </is>
      </c>
      <c r="H1658" t="inlineStr">
        <is>
          <t>S013_EST_HSP_HEURISTIC</t>
        </is>
      </c>
      <c r="I1658" t="inlineStr">
        <is>
          <t>estimated</t>
        </is>
      </c>
      <c r="J1658">
        <v>0.4</v>
      </c>
      <c r="K1658" t="inlineStr">
        <is>
          <t>Screening radius only unless experimentally determined.</t>
        </is>
      </c>
    </row>
    <row r="1659">
      <c r="A1659" t="inlineStr">
        <is>
          <t>SURF_KOLLIPHOR_P407</t>
        </is>
      </c>
      <c r="B1659" t="inlineStr">
        <is>
          <t>molar_volume_cm3_mol</t>
        </is>
      </c>
      <c r="C1659">
        <v>12000.0</v>
      </c>
      <c r="D1659" t="inlineStr">
        <is>
          <t>cm3/mol</t>
        </is>
      </c>
      <c r="E1659"/>
      <c r="F1659"/>
      <c r="G1659" t="inlineStr">
        <is>
          <t>MW/density estimate</t>
        </is>
      </c>
      <c r="H1659" t="inlineStr">
        <is>
          <t>S012_CALCULATED</t>
        </is>
      </c>
      <c r="I1659" t="inlineStr">
        <is>
          <t>estimated</t>
        </is>
      </c>
      <c r="J1659">
        <v>0.42</v>
      </c>
      <c r="K1659" t="inlineStr">
        <is>
          <t>Estimated from MW/density; replace with measured molar volume or density-specific grade data.</t>
        </is>
      </c>
    </row>
    <row r="1660">
      <c r="A1660" t="inlineStr">
        <is>
          <t>SURF_KOLLIPHOR_P407</t>
        </is>
      </c>
      <c r="B1660" t="inlineStr">
        <is>
          <t>headgroup_area_nm2</t>
        </is>
      </c>
      <c r="C1660">
        <v>0.728</v>
      </c>
      <c r="D1660" t="inlineStr">
        <is>
          <t>nm2</t>
        </is>
      </c>
      <c r="E1660"/>
      <c r="F1660"/>
      <c r="G1660" t="inlineStr">
        <is>
          <t>CPP screening heuristic</t>
        </is>
      </c>
      <c r="H1660" t="inlineStr">
        <is>
          <t>S013_EST_HSP_HEURISTIC</t>
        </is>
      </c>
      <c r="I1660" t="inlineStr">
        <is>
          <t>estimated</t>
        </is>
      </c>
      <c r="J1660">
        <v>0.35</v>
      </c>
      <c r="K1660" t="inlineStr">
        <is>
          <t>Replace with monolayer or MD-derived area per molecule for publication-grade CPP.</t>
        </is>
      </c>
    </row>
    <row r="1661">
      <c r="A1661" t="inlineStr">
        <is>
          <t>SURF_KOLLIPHOR_HS15_SOLUTOL_HS15</t>
        </is>
      </c>
      <c r="B1661" t="inlineStr">
        <is>
          <t>molecular_weight_g_mol</t>
        </is>
      </c>
      <c r="C1661">
        <v>963</v>
      </c>
      <c r="D1661" t="inlineStr">
        <is>
          <t>g/mol</t>
        </is>
      </c>
      <c r="E1661"/>
      <c r="F1661"/>
      <c r="G1661" t="inlineStr">
        <is>
          <t>supplier/handbook average for mixtures</t>
        </is>
      </c>
      <c r="H1661" t="inlineStr">
        <is>
          <t>S010_BASF_KOLLIPHOR</t>
        </is>
      </c>
      <c r="I1661" t="inlineStr">
        <is>
          <t>supplier-reported</t>
        </is>
      </c>
      <c r="J1661">
        <v>0.65</v>
      </c>
      <c r="K1661"/>
    </row>
    <row r="1662">
      <c r="A1662" t="inlineStr">
        <is>
          <t>SURF_KOLLIPHOR_HS15_SOLUTOL_HS15</t>
        </is>
      </c>
      <c r="B1662" t="inlineStr">
        <is>
          <t>HLB</t>
        </is>
      </c>
      <c r="C1662">
        <v>15</v>
      </c>
      <c r="D1662" t="inlineStr">
        <is>
          <t>HLB</t>
        </is>
      </c>
      <c r="E1662"/>
      <c r="F1662"/>
      <c r="G1662" t="inlineStr">
        <is>
          <t>Griffin/Davies HLB literature/supplier value</t>
        </is>
      </c>
      <c r="H1662" t="inlineStr">
        <is>
          <t>S010_BASF_KOLLIPHOR</t>
        </is>
      </c>
      <c r="I1662" t="inlineStr">
        <is>
          <t>supplier-reported</t>
        </is>
      </c>
      <c r="J1662">
        <v>0.75</v>
      </c>
      <c r="K1662" t="inlineStr">
        <is>
          <t>Grade-dependent; use supplier CoA when available.</t>
        </is>
      </c>
    </row>
    <row r="1663">
      <c r="A1663" t="inlineStr">
        <is>
          <t>SURF_KOLLIPHOR_HS15_SOLUTOL_HS15</t>
        </is>
      </c>
      <c r="B1663" t="inlineStr">
        <is>
          <t>headgroup_type</t>
        </is>
      </c>
      <c r="C1663" t="inlineStr">
        <is>
          <t>polyoxyethylated lipid ester</t>
        </is>
      </c>
      <c r="D1663"/>
      <c r="E1663"/>
      <c r="F1663"/>
      <c r="G1663" t="inlineStr">
        <is>
          <t>manual class annotation</t>
        </is>
      </c>
      <c r="H1663" t="inlineStr">
        <is>
          <t>S010_BASF_KOLLIPHOR</t>
        </is>
      </c>
      <c r="I1663" t="inlineStr">
        <is>
          <t>curated</t>
        </is>
      </c>
      <c r="J1663">
        <v>0.75</v>
      </c>
      <c r="K1663"/>
    </row>
    <row r="1664">
      <c r="A1664" t="inlineStr">
        <is>
          <t>SURF_KOLLIPHOR_HS15_SOLUTOL_HS15</t>
        </is>
      </c>
      <c r="B1664" t="inlineStr">
        <is>
          <t>tail_chain</t>
        </is>
      </c>
      <c r="C1664" t="inlineStr">
        <is>
          <t>hydroxystearate + PEG</t>
        </is>
      </c>
      <c r="D1664"/>
      <c r="E1664"/>
      <c r="F1664"/>
      <c r="G1664" t="inlineStr">
        <is>
          <t>fatty-chain annotation</t>
        </is>
      </c>
      <c r="H1664" t="inlineStr">
        <is>
          <t>S010_BASF_KOLLIPHOR</t>
        </is>
      </c>
      <c r="I1664" t="inlineStr">
        <is>
          <t>curated</t>
        </is>
      </c>
      <c r="J1664">
        <v>0.8</v>
      </c>
      <c r="K1664"/>
    </row>
    <row r="1665">
      <c r="A1665" t="inlineStr">
        <is>
          <t>SURF_KOLLIPHOR_HS15_SOLUTOL_HS15</t>
        </is>
      </c>
      <c r="B1665" t="inlineStr">
        <is>
          <t>tail_carbons</t>
        </is>
      </c>
      <c r="C1665">
        <v>18</v>
      </c>
      <c r="D1665" t="inlineStr">
        <is>
          <t>count</t>
        </is>
      </c>
      <c r="E1665"/>
      <c r="F1665"/>
      <c r="G1665" t="inlineStr">
        <is>
          <t>fatty-chain annotation</t>
        </is>
      </c>
      <c r="H1665" t="inlineStr">
        <is>
          <t>S010_BASF_KOLLIPHOR</t>
        </is>
      </c>
      <c r="I1665" t="inlineStr">
        <is>
          <t>curated</t>
        </is>
      </c>
      <c r="J1665">
        <v>0.8</v>
      </c>
      <c r="K1665"/>
    </row>
    <row r="1666">
      <c r="A1666" t="inlineStr">
        <is>
          <t>SURF_KOLLIPHOR_HS15_SOLUTOL_HS15</t>
        </is>
      </c>
      <c r="B1666" t="inlineStr">
        <is>
          <t>tail_unsaturation</t>
        </is>
      </c>
      <c r="C1666">
        <v>0</v>
      </c>
      <c r="D1666" t="inlineStr">
        <is>
          <t>double_bonds</t>
        </is>
      </c>
      <c r="E1666"/>
      <c r="F1666"/>
      <c r="G1666" t="inlineStr">
        <is>
          <t>fatty-chain annotation</t>
        </is>
      </c>
      <c r="H1666" t="inlineStr">
        <is>
          <t>S010_BASF_KOLLIPHOR</t>
        </is>
      </c>
      <c r="I1666" t="inlineStr">
        <is>
          <t>curated</t>
        </is>
      </c>
      <c r="J1666">
        <v>0.8</v>
      </c>
      <c r="K1666"/>
    </row>
    <row r="1667">
      <c r="A1667" t="inlineStr">
        <is>
          <t>SURF_KOLLIPHOR_HS15_SOLUTOL_HS15</t>
        </is>
      </c>
      <c r="B1667" t="inlineStr">
        <is>
          <t>number_of_tails</t>
        </is>
      </c>
      <c r="C1667">
        <v>1</v>
      </c>
      <c r="D1667" t="inlineStr">
        <is>
          <t>count</t>
        </is>
      </c>
      <c r="E1667"/>
      <c r="F1667"/>
      <c r="G1667" t="inlineStr">
        <is>
          <t>fatty-chain annotation</t>
        </is>
      </c>
      <c r="H1667" t="inlineStr">
        <is>
          <t>S010_BASF_KOLLIPHOR</t>
        </is>
      </c>
      <c r="I1667" t="inlineStr">
        <is>
          <t>curated</t>
        </is>
      </c>
      <c r="J1667">
        <v>0.8</v>
      </c>
      <c r="K1667"/>
    </row>
    <row r="1668">
      <c r="A1668" t="inlineStr">
        <is>
          <t>SURF_KOLLIPHOR_HS15_SOLUTOL_HS15</t>
        </is>
      </c>
      <c r="B1668" t="inlineStr">
        <is>
          <t>charge_type</t>
        </is>
      </c>
      <c r="C1668" t="inlineStr">
        <is>
          <t>nonionic</t>
        </is>
      </c>
      <c r="D1668"/>
      <c r="E1668"/>
      <c r="F1668"/>
      <c r="G1668" t="inlineStr">
        <is>
          <t>ionization class</t>
        </is>
      </c>
      <c r="H1668" t="inlineStr">
        <is>
          <t>S010_BASF_KOLLIPHOR</t>
        </is>
      </c>
      <c r="I1668" t="inlineStr">
        <is>
          <t>curated</t>
        </is>
      </c>
      <c r="J1668">
        <v>0.85</v>
      </c>
      <c r="K1668"/>
    </row>
    <row r="1669">
      <c r="A1669" t="inlineStr">
        <is>
          <t>SURF_KOLLIPHOR_HS15_SOLUTOL_HS15</t>
        </is>
      </c>
      <c r="B1669" t="inlineStr">
        <is>
          <t>formal_charge</t>
        </is>
      </c>
      <c r="C1669">
        <v>0</v>
      </c>
      <c r="D1669" t="inlineStr">
        <is>
          <t>e</t>
        </is>
      </c>
      <c r="E1669"/>
      <c r="F1669"/>
      <c r="G1669" t="inlineStr">
        <is>
          <t>nominal at neutral pH</t>
        </is>
      </c>
      <c r="H1669" t="inlineStr">
        <is>
          <t>S010_BASF_KOLLIPHOR</t>
        </is>
      </c>
      <c r="I1669" t="inlineStr">
        <is>
          <t>curated</t>
        </is>
      </c>
      <c r="J1669">
        <v>0.85</v>
      </c>
      <c r="K1669"/>
    </row>
    <row r="1670">
      <c r="A1670" t="inlineStr">
        <is>
          <t>SURF_KOLLIPHOR_HS15_SOLUTOL_HS15</t>
        </is>
      </c>
      <c r="B1670" t="inlineStr">
        <is>
          <t>packing_role</t>
        </is>
      </c>
      <c r="C1670" t="inlineStr">
        <is>
          <t>edge activator / micellar solubilizer</t>
        </is>
      </c>
      <c r="D1670"/>
      <c r="E1670"/>
      <c r="F1670"/>
      <c r="G1670" t="inlineStr">
        <is>
          <t>HLB/chain-rule heuristic</t>
        </is>
      </c>
      <c r="H1670" t="inlineStr">
        <is>
          <t>S010_BASF_KOLLIPHOR</t>
        </is>
      </c>
      <c r="I1670" t="inlineStr">
        <is>
          <t>curated</t>
        </is>
      </c>
      <c r="J1670">
        <v>0.65</v>
      </c>
      <c r="K1670"/>
    </row>
    <row r="1671">
      <c r="A1671" t="inlineStr">
        <is>
          <t>SURF_KOLLIPHOR_HS15_SOLUTOL_HS15</t>
        </is>
      </c>
      <c r="B1671" t="inlineStr">
        <is>
          <t>edge_activator_flag</t>
        </is>
      </c>
      <c r="C1671" t="inlineStr">
        <is>
          <t>yes</t>
        </is>
      </c>
      <c r="D1671"/>
      <c r="E1671"/>
      <c r="F1671"/>
      <c r="G1671" t="inlineStr">
        <is>
          <t>HLB/charge heuristic</t>
        </is>
      </c>
      <c r="H1671" t="inlineStr">
        <is>
          <t>S010_BASF_KOLLIPHOR</t>
        </is>
      </c>
      <c r="I1671" t="inlineStr">
        <is>
          <t>curated</t>
        </is>
      </c>
      <c r="J1671">
        <v>0.7</v>
      </c>
      <c r="K1671"/>
    </row>
    <row r="1672">
      <c r="A1672" t="inlineStr">
        <is>
          <t>SURF_KOLLIPHOR_HS15_SOLUTOL_HS15</t>
        </is>
      </c>
      <c r="B1672" t="inlineStr">
        <is>
          <t>vesicle_anchor_flag</t>
        </is>
      </c>
      <c r="C1672" t="inlineStr">
        <is>
          <t>weak/conditional</t>
        </is>
      </c>
      <c r="D1672"/>
      <c r="E1672"/>
      <c r="F1672"/>
      <c r="G1672" t="inlineStr">
        <is>
          <t>chain-length and HLB heuristic</t>
        </is>
      </c>
      <c r="H1672" t="inlineStr">
        <is>
          <t>S010_BASF_KOLLIPHOR</t>
        </is>
      </c>
      <c r="I1672" t="inlineStr">
        <is>
          <t>curated</t>
        </is>
      </c>
      <c r="J1672">
        <v>0.7</v>
      </c>
      <c r="K1672"/>
    </row>
    <row r="1673">
      <c r="A1673" t="inlineStr">
        <is>
          <t>SURF_KOLLIPHOR_HS15_SOLUTOL_HS15</t>
        </is>
      </c>
      <c r="B1673" t="inlineStr">
        <is>
          <t>micellization_risk_flag</t>
        </is>
      </c>
      <c r="C1673" t="inlineStr">
        <is>
          <t>high</t>
        </is>
      </c>
      <c r="D1673"/>
      <c r="E1673"/>
      <c r="F1673"/>
      <c r="G1673" t="inlineStr">
        <is>
          <t>HLB heuristic</t>
        </is>
      </c>
      <c r="H1673" t="inlineStr">
        <is>
          <t>S010_BASF_KOLLIPHOR</t>
        </is>
      </c>
      <c r="I1673" t="inlineStr">
        <is>
          <t>curated</t>
        </is>
      </c>
      <c r="J1673">
        <v>0.65</v>
      </c>
      <c r="K1673"/>
    </row>
    <row r="1674">
      <c r="A1674" t="inlineStr">
        <is>
          <t>SURF_KOLLIPHOR_HS15_SOLUTOL_HS15</t>
        </is>
      </c>
      <c r="B1674" t="inlineStr">
        <is>
          <t>route_suitability</t>
        </is>
      </c>
      <c r="C1674" t="inlineStr">
        <is>
          <t>oral/topical; parenteral/inhalation only if grade and safety justified</t>
        </is>
      </c>
      <c r="D1674"/>
      <c r="E1674"/>
      <c r="F1674"/>
      <c r="G1674" t="inlineStr">
        <is>
          <t>route precedent heuristic</t>
        </is>
      </c>
      <c r="H1674" t="inlineStr">
        <is>
          <t>S008_FDA_IID</t>
        </is>
      </c>
      <c r="I1674" t="inlineStr">
        <is>
          <t>curated</t>
        </is>
      </c>
      <c r="J1674">
        <v>0.55</v>
      </c>
      <c r="K1674"/>
    </row>
    <row r="1675">
      <c r="A1675" t="inlineStr">
        <is>
          <t>SURF_KOLLIPHOR_HS15_SOLUTOL_HS15</t>
        </is>
      </c>
      <c r="B1675" t="inlineStr">
        <is>
          <t>toxicity_or_irritancy_notes</t>
        </is>
      </c>
      <c r="C1675" t="inlineStr">
        <is>
          <t>surfactant irritation/hemolysis is concentration-, route-, and grade-dependent; screen cytotoxicity and osmolality</t>
        </is>
      </c>
      <c r="D1675"/>
      <c r="E1675"/>
      <c r="F1675"/>
      <c r="G1675"/>
      <c r="H1675" t="inlineStr">
        <is>
          <t>S007_EXCIPIENTS_HANDBOOK</t>
        </is>
      </c>
      <c r="I1675" t="inlineStr">
        <is>
          <t>curated</t>
        </is>
      </c>
      <c r="J1675">
        <v>0.7</v>
      </c>
      <c r="K1675"/>
    </row>
    <row r="1676">
      <c r="A1676" t="inlineStr">
        <is>
          <t>SURF_KOLLIPHOR_HS15_SOLUTOL_HS15</t>
        </is>
      </c>
      <c r="B1676" t="inlineStr">
        <is>
          <t>Hansen_delta_D</t>
        </is>
      </c>
      <c r="C1676">
        <v>17.2</v>
      </c>
      <c r="D1676" t="inlineStr">
        <is>
          <t>MPa^0.5</t>
        </is>
      </c>
      <c r="E1676"/>
      <c r="F1676"/>
      <c r="G1676" t="inlineStr">
        <is>
          <t>heuristic group-contribution/nearest-neighbour</t>
        </is>
      </c>
      <c r="H1676" t="inlineStr">
        <is>
          <t>S013_EST_HSP_HEURISTIC</t>
        </is>
      </c>
      <c r="I1676" t="inlineStr">
        <is>
          <t>estimated</t>
        </is>
      </c>
      <c r="J1676">
        <v>0.4</v>
      </c>
      <c r="K1676" t="inlineStr">
        <is>
          <t>Provisional HSP for screening; replace with experimental/literature value before model lock.</t>
        </is>
      </c>
    </row>
    <row r="1677">
      <c r="A1677" t="inlineStr">
        <is>
          <t>SURF_KOLLIPHOR_HS15_SOLUTOL_HS15</t>
        </is>
      </c>
      <c r="B1677" t="inlineStr">
        <is>
          <t>Hansen_delta_P</t>
        </is>
      </c>
      <c r="C1677">
        <v>8.5</v>
      </c>
      <c r="D1677" t="inlineStr">
        <is>
          <t>MPa^0.5</t>
        </is>
      </c>
      <c r="E1677"/>
      <c r="F1677"/>
      <c r="G1677" t="inlineStr">
        <is>
          <t>heuristic group-contribution/nearest-neighbour</t>
        </is>
      </c>
      <c r="H1677" t="inlineStr">
        <is>
          <t>S013_EST_HSP_HEURISTIC</t>
        </is>
      </c>
      <c r="I1677" t="inlineStr">
        <is>
          <t>estimated</t>
        </is>
      </c>
      <c r="J1677">
        <v>0.4</v>
      </c>
      <c r="K1677" t="inlineStr">
        <is>
          <t>Provisional HSP for screening; replace with experimental/literature value before model lock.</t>
        </is>
      </c>
    </row>
    <row r="1678">
      <c r="A1678" t="inlineStr">
        <is>
          <t>SURF_KOLLIPHOR_HS15_SOLUTOL_HS15</t>
        </is>
      </c>
      <c r="B1678" t="inlineStr">
        <is>
          <t>Hansen_delta_H</t>
        </is>
      </c>
      <c r="C1678">
        <v>14.0</v>
      </c>
      <c r="D1678" t="inlineStr">
        <is>
          <t>MPa^0.5</t>
        </is>
      </c>
      <c r="E1678"/>
      <c r="F1678"/>
      <c r="G1678" t="inlineStr">
        <is>
          <t>heuristic group-contribution/nearest-neighbour</t>
        </is>
      </c>
      <c r="H1678" t="inlineStr">
        <is>
          <t>S013_EST_HSP_HEURISTIC</t>
        </is>
      </c>
      <c r="I1678" t="inlineStr">
        <is>
          <t>estimated</t>
        </is>
      </c>
      <c r="J1678">
        <v>0.4</v>
      </c>
      <c r="K1678" t="inlineStr">
        <is>
          <t>Provisional HSP for screening; replace with experimental/literature value before model lock.</t>
        </is>
      </c>
    </row>
    <row r="1679">
      <c r="A1679" t="inlineStr">
        <is>
          <t>SURF_KOLLIPHOR_HS15_SOLUTOL_HS15</t>
        </is>
      </c>
      <c r="B1679" t="inlineStr">
        <is>
          <t>Hildebrand_delta_T</t>
        </is>
      </c>
      <c r="C1679">
        <v>23.75</v>
      </c>
      <c r="D1679" t="inlineStr">
        <is>
          <t>MPa^0.5</t>
        </is>
      </c>
      <c r="E1679"/>
      <c r="F1679"/>
      <c r="G1679" t="inlineStr">
        <is>
          <t>sqrt(deltaD^2+deltaP^2+deltaH^2)</t>
        </is>
      </c>
      <c r="H1679" t="inlineStr">
        <is>
          <t>S012_CALCULATED</t>
        </is>
      </c>
      <c r="I1679" t="inlineStr">
        <is>
          <t>calculated</t>
        </is>
      </c>
      <c r="J1679">
        <v>0.45</v>
      </c>
      <c r="K1679" t="inlineStr">
        <is>
          <t>Derived from stored Hansen components.</t>
        </is>
      </c>
    </row>
    <row r="1680">
      <c r="A1680" t="inlineStr">
        <is>
          <t>SURF_KOLLIPHOR_HS15_SOLUTOL_HS15</t>
        </is>
      </c>
      <c r="B1680" t="inlineStr">
        <is>
          <t>HSP_radius_R0</t>
        </is>
      </c>
      <c r="C1680">
        <v>9.0</v>
      </c>
      <c r="D1680" t="inlineStr">
        <is>
          <t>MPa^0.5</t>
        </is>
      </c>
      <c r="E1680"/>
      <c r="F1680"/>
      <c r="G1680" t="inlineStr">
        <is>
          <t>literature/heuristic solubility sphere</t>
        </is>
      </c>
      <c r="H1680" t="inlineStr">
        <is>
          <t>S013_EST_HSP_HEURISTIC</t>
        </is>
      </c>
      <c r="I1680" t="inlineStr">
        <is>
          <t>estimated</t>
        </is>
      </c>
      <c r="J1680">
        <v>0.4</v>
      </c>
      <c r="K1680" t="inlineStr">
        <is>
          <t>Screening radius only unless experimentally determined.</t>
        </is>
      </c>
    </row>
    <row r="1681">
      <c r="A1681" t="inlineStr">
        <is>
          <t>SURF_KOLLIPHOR_HS15_SOLUTOL_HS15</t>
        </is>
      </c>
      <c r="B1681" t="inlineStr">
        <is>
          <t>molar_volume_cm3_mol</t>
        </is>
      </c>
      <c r="C1681">
        <v>917.14</v>
      </c>
      <c r="D1681" t="inlineStr">
        <is>
          <t>cm3/mol</t>
        </is>
      </c>
      <c r="E1681"/>
      <c r="F1681"/>
      <c r="G1681" t="inlineStr">
        <is>
          <t>MW/density estimate</t>
        </is>
      </c>
      <c r="H1681" t="inlineStr">
        <is>
          <t>S012_CALCULATED</t>
        </is>
      </c>
      <c r="I1681" t="inlineStr">
        <is>
          <t>estimated</t>
        </is>
      </c>
      <c r="J1681">
        <v>0.42</v>
      </c>
      <c r="K1681" t="inlineStr">
        <is>
          <t>Estimated from MW/density; replace with measured molar volume or density-specific grade data.</t>
        </is>
      </c>
    </row>
    <row r="1682">
      <c r="A1682" t="inlineStr">
        <is>
          <t>SURF_KOLLIPHOR_HS15_SOLUTOL_HS15</t>
        </is>
      </c>
      <c r="B1682" t="inlineStr">
        <is>
          <t>headgroup_area_nm2</t>
        </is>
      </c>
      <c r="C1682">
        <v>0.62</v>
      </c>
      <c r="D1682" t="inlineStr">
        <is>
          <t>nm2</t>
        </is>
      </c>
      <c r="E1682"/>
      <c r="F1682"/>
      <c r="G1682" t="inlineStr">
        <is>
          <t>CPP screening heuristic</t>
        </is>
      </c>
      <c r="H1682" t="inlineStr">
        <is>
          <t>S013_EST_HSP_HEURISTIC</t>
        </is>
      </c>
      <c r="I1682" t="inlineStr">
        <is>
          <t>estimated</t>
        </is>
      </c>
      <c r="J1682">
        <v>0.35</v>
      </c>
      <c r="K1682" t="inlineStr">
        <is>
          <t>Replace with monolayer or MD-derived area per molecule for publication-grade CPP.</t>
        </is>
      </c>
    </row>
    <row r="1683">
      <c r="A1683" t="inlineStr">
        <is>
          <t>SURF_KOLLIPHOR_EL_CREMOPHOR_EL</t>
        </is>
      </c>
      <c r="B1683" t="inlineStr">
        <is>
          <t>molecular_weight_g_mol</t>
        </is>
      </c>
      <c r="C1683">
        <v>2500</v>
      </c>
      <c r="D1683" t="inlineStr">
        <is>
          <t>g/mol</t>
        </is>
      </c>
      <c r="E1683"/>
      <c r="F1683"/>
      <c r="G1683" t="inlineStr">
        <is>
          <t>supplier/handbook average for mixtures</t>
        </is>
      </c>
      <c r="H1683" t="inlineStr">
        <is>
          <t>S010_BASF_KOLLIPHOR</t>
        </is>
      </c>
      <c r="I1683" t="inlineStr">
        <is>
          <t>supplier-reported</t>
        </is>
      </c>
      <c r="J1683">
        <v>0.65</v>
      </c>
      <c r="K1683"/>
    </row>
    <row r="1684">
      <c r="A1684" t="inlineStr">
        <is>
          <t>SURF_KOLLIPHOR_EL_CREMOPHOR_EL</t>
        </is>
      </c>
      <c r="B1684" t="inlineStr">
        <is>
          <t>HLB</t>
        </is>
      </c>
      <c r="C1684">
        <v>13.5</v>
      </c>
      <c r="D1684" t="inlineStr">
        <is>
          <t>HLB</t>
        </is>
      </c>
      <c r="E1684"/>
      <c r="F1684"/>
      <c r="G1684" t="inlineStr">
        <is>
          <t>Griffin/Davies HLB literature/supplier value</t>
        </is>
      </c>
      <c r="H1684" t="inlineStr">
        <is>
          <t>S010_BASF_KOLLIPHOR</t>
        </is>
      </c>
      <c r="I1684" t="inlineStr">
        <is>
          <t>supplier-reported</t>
        </is>
      </c>
      <c r="J1684">
        <v>0.75</v>
      </c>
      <c r="K1684" t="inlineStr">
        <is>
          <t>Grade-dependent; use supplier CoA when available.</t>
        </is>
      </c>
    </row>
    <row r="1685">
      <c r="A1685" t="inlineStr">
        <is>
          <t>SURF_KOLLIPHOR_EL_CREMOPHOR_EL</t>
        </is>
      </c>
      <c r="B1685" t="inlineStr">
        <is>
          <t>headgroup_type</t>
        </is>
      </c>
      <c r="C1685" t="inlineStr">
        <is>
          <t>polyoxyethylated lipid ester</t>
        </is>
      </c>
      <c r="D1685"/>
      <c r="E1685"/>
      <c r="F1685"/>
      <c r="G1685" t="inlineStr">
        <is>
          <t>manual class annotation</t>
        </is>
      </c>
      <c r="H1685" t="inlineStr">
        <is>
          <t>S010_BASF_KOLLIPHOR</t>
        </is>
      </c>
      <c r="I1685" t="inlineStr">
        <is>
          <t>curated</t>
        </is>
      </c>
      <c r="J1685">
        <v>0.75</v>
      </c>
      <c r="K1685"/>
    </row>
    <row r="1686">
      <c r="A1686" t="inlineStr">
        <is>
          <t>SURF_KOLLIPHOR_EL_CREMOPHOR_EL</t>
        </is>
      </c>
      <c r="B1686" t="inlineStr">
        <is>
          <t>tail_chain</t>
        </is>
      </c>
      <c r="C1686" t="inlineStr">
        <is>
          <t>castor oil ethoxylate</t>
        </is>
      </c>
      <c r="D1686"/>
      <c r="E1686"/>
      <c r="F1686"/>
      <c r="G1686" t="inlineStr">
        <is>
          <t>fatty-chain annotation</t>
        </is>
      </c>
      <c r="H1686" t="inlineStr">
        <is>
          <t>S010_BASF_KOLLIPHOR</t>
        </is>
      </c>
      <c r="I1686" t="inlineStr">
        <is>
          <t>curated</t>
        </is>
      </c>
      <c r="J1686">
        <v>0.8</v>
      </c>
      <c r="K1686"/>
    </row>
    <row r="1687">
      <c r="A1687" t="inlineStr">
        <is>
          <t>SURF_KOLLIPHOR_EL_CREMOPHOR_EL</t>
        </is>
      </c>
      <c r="B1687" t="inlineStr">
        <is>
          <t>tail_carbons</t>
        </is>
      </c>
      <c r="C1687">
        <v>18</v>
      </c>
      <c r="D1687" t="inlineStr">
        <is>
          <t>count</t>
        </is>
      </c>
      <c r="E1687"/>
      <c r="F1687"/>
      <c r="G1687" t="inlineStr">
        <is>
          <t>fatty-chain annotation</t>
        </is>
      </c>
      <c r="H1687" t="inlineStr">
        <is>
          <t>S010_BASF_KOLLIPHOR</t>
        </is>
      </c>
      <c r="I1687" t="inlineStr">
        <is>
          <t>curated</t>
        </is>
      </c>
      <c r="J1687">
        <v>0.8</v>
      </c>
      <c r="K1687"/>
    </row>
    <row r="1688">
      <c r="A1688" t="inlineStr">
        <is>
          <t>SURF_KOLLIPHOR_EL_CREMOPHOR_EL</t>
        </is>
      </c>
      <c r="B1688" t="inlineStr">
        <is>
          <t>tail_unsaturation</t>
        </is>
      </c>
      <c r="C1688">
        <v>1</v>
      </c>
      <c r="D1688" t="inlineStr">
        <is>
          <t>double_bonds</t>
        </is>
      </c>
      <c r="E1688"/>
      <c r="F1688"/>
      <c r="G1688" t="inlineStr">
        <is>
          <t>fatty-chain annotation</t>
        </is>
      </c>
      <c r="H1688" t="inlineStr">
        <is>
          <t>S010_BASF_KOLLIPHOR</t>
        </is>
      </c>
      <c r="I1688" t="inlineStr">
        <is>
          <t>curated</t>
        </is>
      </c>
      <c r="J1688">
        <v>0.8</v>
      </c>
      <c r="K1688"/>
    </row>
    <row r="1689">
      <c r="A1689" t="inlineStr">
        <is>
          <t>SURF_KOLLIPHOR_EL_CREMOPHOR_EL</t>
        </is>
      </c>
      <c r="B1689" t="inlineStr">
        <is>
          <t>number_of_tails</t>
        </is>
      </c>
      <c r="C1689">
        <v>1</v>
      </c>
      <c r="D1689" t="inlineStr">
        <is>
          <t>count</t>
        </is>
      </c>
      <c r="E1689"/>
      <c r="F1689"/>
      <c r="G1689" t="inlineStr">
        <is>
          <t>fatty-chain annotation</t>
        </is>
      </c>
      <c r="H1689" t="inlineStr">
        <is>
          <t>S010_BASF_KOLLIPHOR</t>
        </is>
      </c>
      <c r="I1689" t="inlineStr">
        <is>
          <t>curated</t>
        </is>
      </c>
      <c r="J1689">
        <v>0.8</v>
      </c>
      <c r="K1689"/>
    </row>
    <row r="1690">
      <c r="A1690" t="inlineStr">
        <is>
          <t>SURF_KOLLIPHOR_EL_CREMOPHOR_EL</t>
        </is>
      </c>
      <c r="B1690" t="inlineStr">
        <is>
          <t>charge_type</t>
        </is>
      </c>
      <c r="C1690" t="inlineStr">
        <is>
          <t>nonionic</t>
        </is>
      </c>
      <c r="D1690"/>
      <c r="E1690"/>
      <c r="F1690"/>
      <c r="G1690" t="inlineStr">
        <is>
          <t>ionization class</t>
        </is>
      </c>
      <c r="H1690" t="inlineStr">
        <is>
          <t>S010_BASF_KOLLIPHOR</t>
        </is>
      </c>
      <c r="I1690" t="inlineStr">
        <is>
          <t>curated</t>
        </is>
      </c>
      <c r="J1690">
        <v>0.85</v>
      </c>
      <c r="K1690"/>
    </row>
    <row r="1691">
      <c r="A1691" t="inlineStr">
        <is>
          <t>SURF_KOLLIPHOR_EL_CREMOPHOR_EL</t>
        </is>
      </c>
      <c r="B1691" t="inlineStr">
        <is>
          <t>formal_charge</t>
        </is>
      </c>
      <c r="C1691">
        <v>0</v>
      </c>
      <c r="D1691" t="inlineStr">
        <is>
          <t>e</t>
        </is>
      </c>
      <c r="E1691"/>
      <c r="F1691"/>
      <c r="G1691" t="inlineStr">
        <is>
          <t>nominal at neutral pH</t>
        </is>
      </c>
      <c r="H1691" t="inlineStr">
        <is>
          <t>S010_BASF_KOLLIPHOR</t>
        </is>
      </c>
      <c r="I1691" t="inlineStr">
        <is>
          <t>curated</t>
        </is>
      </c>
      <c r="J1691">
        <v>0.85</v>
      </c>
      <c r="K1691"/>
    </row>
    <row r="1692">
      <c r="A1692" t="inlineStr">
        <is>
          <t>SURF_KOLLIPHOR_EL_CREMOPHOR_EL</t>
        </is>
      </c>
      <c r="B1692" t="inlineStr">
        <is>
          <t>packing_role</t>
        </is>
      </c>
      <c r="C1692" t="inlineStr">
        <is>
          <t>edge activator / micellar solubilizer</t>
        </is>
      </c>
      <c r="D1692"/>
      <c r="E1692"/>
      <c r="F1692"/>
      <c r="G1692" t="inlineStr">
        <is>
          <t>HLB/chain-rule heuristic</t>
        </is>
      </c>
      <c r="H1692" t="inlineStr">
        <is>
          <t>S010_BASF_KOLLIPHOR</t>
        </is>
      </c>
      <c r="I1692" t="inlineStr">
        <is>
          <t>curated</t>
        </is>
      </c>
      <c r="J1692">
        <v>0.65</v>
      </c>
      <c r="K1692"/>
    </row>
    <row r="1693">
      <c r="A1693" t="inlineStr">
        <is>
          <t>SURF_KOLLIPHOR_EL_CREMOPHOR_EL</t>
        </is>
      </c>
      <c r="B1693" t="inlineStr">
        <is>
          <t>edge_activator_flag</t>
        </is>
      </c>
      <c r="C1693" t="inlineStr">
        <is>
          <t>yes</t>
        </is>
      </c>
      <c r="D1693"/>
      <c r="E1693"/>
      <c r="F1693"/>
      <c r="G1693" t="inlineStr">
        <is>
          <t>HLB/charge heuristic</t>
        </is>
      </c>
      <c r="H1693" t="inlineStr">
        <is>
          <t>S010_BASF_KOLLIPHOR</t>
        </is>
      </c>
      <c r="I1693" t="inlineStr">
        <is>
          <t>curated</t>
        </is>
      </c>
      <c r="J1693">
        <v>0.7</v>
      </c>
      <c r="K1693"/>
    </row>
    <row r="1694">
      <c r="A1694" t="inlineStr">
        <is>
          <t>SURF_KOLLIPHOR_EL_CREMOPHOR_EL</t>
        </is>
      </c>
      <c r="B1694" t="inlineStr">
        <is>
          <t>vesicle_anchor_flag</t>
        </is>
      </c>
      <c r="C1694" t="inlineStr">
        <is>
          <t>weak/conditional</t>
        </is>
      </c>
      <c r="D1694"/>
      <c r="E1694"/>
      <c r="F1694"/>
      <c r="G1694" t="inlineStr">
        <is>
          <t>chain-length and HLB heuristic</t>
        </is>
      </c>
      <c r="H1694" t="inlineStr">
        <is>
          <t>S010_BASF_KOLLIPHOR</t>
        </is>
      </c>
      <c r="I1694" t="inlineStr">
        <is>
          <t>curated</t>
        </is>
      </c>
      <c r="J1694">
        <v>0.7</v>
      </c>
      <c r="K1694"/>
    </row>
    <row r="1695">
      <c r="A1695" t="inlineStr">
        <is>
          <t>SURF_KOLLIPHOR_EL_CREMOPHOR_EL</t>
        </is>
      </c>
      <c r="B1695" t="inlineStr">
        <is>
          <t>micellization_risk_flag</t>
        </is>
      </c>
      <c r="C1695" t="inlineStr">
        <is>
          <t>high</t>
        </is>
      </c>
      <c r="D1695"/>
      <c r="E1695"/>
      <c r="F1695"/>
      <c r="G1695" t="inlineStr">
        <is>
          <t>HLB heuristic</t>
        </is>
      </c>
      <c r="H1695" t="inlineStr">
        <is>
          <t>S010_BASF_KOLLIPHOR</t>
        </is>
      </c>
      <c r="I1695" t="inlineStr">
        <is>
          <t>curated</t>
        </is>
      </c>
      <c r="J1695">
        <v>0.65</v>
      </c>
      <c r="K1695"/>
    </row>
    <row r="1696">
      <c r="A1696" t="inlineStr">
        <is>
          <t>SURF_KOLLIPHOR_EL_CREMOPHOR_EL</t>
        </is>
      </c>
      <c r="B1696" t="inlineStr">
        <is>
          <t>route_suitability</t>
        </is>
      </c>
      <c r="C1696" t="inlineStr">
        <is>
          <t>oral/topical; parenteral/inhalation only if grade and safety justified</t>
        </is>
      </c>
      <c r="D1696"/>
      <c r="E1696"/>
      <c r="F1696"/>
      <c r="G1696" t="inlineStr">
        <is>
          <t>route precedent heuristic</t>
        </is>
      </c>
      <c r="H1696" t="inlineStr">
        <is>
          <t>S008_FDA_IID</t>
        </is>
      </c>
      <c r="I1696" t="inlineStr">
        <is>
          <t>curated</t>
        </is>
      </c>
      <c r="J1696">
        <v>0.55</v>
      </c>
      <c r="K1696"/>
    </row>
    <row r="1697">
      <c r="A1697" t="inlineStr">
        <is>
          <t>SURF_KOLLIPHOR_EL_CREMOPHOR_EL</t>
        </is>
      </c>
      <c r="B1697" t="inlineStr">
        <is>
          <t>toxicity_or_irritancy_notes</t>
        </is>
      </c>
      <c r="C1697" t="inlineStr">
        <is>
          <t>surfactant irritation/hemolysis is concentration-, route-, and grade-dependent; screen cytotoxicity and osmolality</t>
        </is>
      </c>
      <c r="D1697"/>
      <c r="E1697"/>
      <c r="F1697"/>
      <c r="G1697"/>
      <c r="H1697" t="inlineStr">
        <is>
          <t>S007_EXCIPIENTS_HANDBOOK</t>
        </is>
      </c>
      <c r="I1697" t="inlineStr">
        <is>
          <t>curated</t>
        </is>
      </c>
      <c r="J1697">
        <v>0.7</v>
      </c>
      <c r="K1697"/>
    </row>
    <row r="1698">
      <c r="A1698" t="inlineStr">
        <is>
          <t>SURF_KOLLIPHOR_EL_CREMOPHOR_EL</t>
        </is>
      </c>
      <c r="B1698" t="inlineStr">
        <is>
          <t>Hansen_delta_D</t>
        </is>
      </c>
      <c r="C1698">
        <v>17.3</v>
      </c>
      <c r="D1698" t="inlineStr">
        <is>
          <t>MPa^0.5</t>
        </is>
      </c>
      <c r="E1698"/>
      <c r="F1698"/>
      <c r="G1698" t="inlineStr">
        <is>
          <t>heuristic group-contribution/nearest-neighbour</t>
        </is>
      </c>
      <c r="H1698" t="inlineStr">
        <is>
          <t>S013_EST_HSP_HEURISTIC</t>
        </is>
      </c>
      <c r="I1698" t="inlineStr">
        <is>
          <t>estimated</t>
        </is>
      </c>
      <c r="J1698">
        <v>0.4</v>
      </c>
      <c r="K1698" t="inlineStr">
        <is>
          <t>Provisional HSP for screening; replace with experimental/literature value before model lock.</t>
        </is>
      </c>
    </row>
    <row r="1699">
      <c r="A1699" t="inlineStr">
        <is>
          <t>SURF_KOLLIPHOR_EL_CREMOPHOR_EL</t>
        </is>
      </c>
      <c r="B1699" t="inlineStr">
        <is>
          <t>Hansen_delta_P</t>
        </is>
      </c>
      <c r="C1699">
        <v>6.5</v>
      </c>
      <c r="D1699" t="inlineStr">
        <is>
          <t>MPa^0.5</t>
        </is>
      </c>
      <c r="E1699"/>
      <c r="F1699"/>
      <c r="G1699" t="inlineStr">
        <is>
          <t>heuristic group-contribution/nearest-neighbour</t>
        </is>
      </c>
      <c r="H1699" t="inlineStr">
        <is>
          <t>S013_EST_HSP_HEURISTIC</t>
        </is>
      </c>
      <c r="I1699" t="inlineStr">
        <is>
          <t>estimated</t>
        </is>
      </c>
      <c r="J1699">
        <v>0.4</v>
      </c>
      <c r="K1699" t="inlineStr">
        <is>
          <t>Provisional HSP for screening; replace with experimental/literature value before model lock.</t>
        </is>
      </c>
    </row>
    <row r="1700">
      <c r="A1700" t="inlineStr">
        <is>
          <t>SURF_KOLLIPHOR_EL_CREMOPHOR_EL</t>
        </is>
      </c>
      <c r="B1700" t="inlineStr">
        <is>
          <t>Hansen_delta_H</t>
        </is>
      </c>
      <c r="C1700">
        <v>10.5</v>
      </c>
      <c r="D1700" t="inlineStr">
        <is>
          <t>MPa^0.5</t>
        </is>
      </c>
      <c r="E1700"/>
      <c r="F1700"/>
      <c r="G1700" t="inlineStr">
        <is>
          <t>heuristic group-contribution/nearest-neighbour</t>
        </is>
      </c>
      <c r="H1700" t="inlineStr">
        <is>
          <t>S013_EST_HSP_HEURISTIC</t>
        </is>
      </c>
      <c r="I1700" t="inlineStr">
        <is>
          <t>estimated</t>
        </is>
      </c>
      <c r="J1700">
        <v>0.4</v>
      </c>
      <c r="K1700" t="inlineStr">
        <is>
          <t>Provisional HSP for screening; replace with experimental/literature value before model lock.</t>
        </is>
      </c>
    </row>
    <row r="1701">
      <c r="A1701" t="inlineStr">
        <is>
          <t>SURF_KOLLIPHOR_EL_CREMOPHOR_EL</t>
        </is>
      </c>
      <c r="B1701" t="inlineStr">
        <is>
          <t>Hildebrand_delta_T</t>
        </is>
      </c>
      <c r="C1701">
        <v>21.26</v>
      </c>
      <c r="D1701" t="inlineStr">
        <is>
          <t>MPa^0.5</t>
        </is>
      </c>
      <c r="E1701"/>
      <c r="F1701"/>
      <c r="G1701" t="inlineStr">
        <is>
          <t>sqrt(deltaD^2+deltaP^2+deltaH^2)</t>
        </is>
      </c>
      <c r="H1701" t="inlineStr">
        <is>
          <t>S012_CALCULATED</t>
        </is>
      </c>
      <c r="I1701" t="inlineStr">
        <is>
          <t>calculated</t>
        </is>
      </c>
      <c r="J1701">
        <v>0.45</v>
      </c>
      <c r="K1701" t="inlineStr">
        <is>
          <t>Derived from stored Hansen components.</t>
        </is>
      </c>
    </row>
    <row r="1702">
      <c r="A1702" t="inlineStr">
        <is>
          <t>SURF_KOLLIPHOR_EL_CREMOPHOR_EL</t>
        </is>
      </c>
      <c r="B1702" t="inlineStr">
        <is>
          <t>HSP_radius_R0</t>
        </is>
      </c>
      <c r="C1702">
        <v>8.0</v>
      </c>
      <c r="D1702" t="inlineStr">
        <is>
          <t>MPa^0.5</t>
        </is>
      </c>
      <c r="E1702"/>
      <c r="F1702"/>
      <c r="G1702" t="inlineStr">
        <is>
          <t>literature/heuristic solubility sphere</t>
        </is>
      </c>
      <c r="H1702" t="inlineStr">
        <is>
          <t>S013_EST_HSP_HEURISTIC</t>
        </is>
      </c>
      <c r="I1702" t="inlineStr">
        <is>
          <t>estimated</t>
        </is>
      </c>
      <c r="J1702">
        <v>0.4</v>
      </c>
      <c r="K1702" t="inlineStr">
        <is>
          <t>Screening radius only unless experimentally determined.</t>
        </is>
      </c>
    </row>
    <row r="1703">
      <c r="A1703" t="inlineStr">
        <is>
          <t>SURF_KOLLIPHOR_EL_CREMOPHOR_EL</t>
        </is>
      </c>
      <c r="B1703" t="inlineStr">
        <is>
          <t>molar_volume_cm3_mol</t>
        </is>
      </c>
      <c r="C1703">
        <v>2380.95</v>
      </c>
      <c r="D1703" t="inlineStr">
        <is>
          <t>cm3/mol</t>
        </is>
      </c>
      <c r="E1703"/>
      <c r="F1703"/>
      <c r="G1703" t="inlineStr">
        <is>
          <t>MW/density estimate</t>
        </is>
      </c>
      <c r="H1703" t="inlineStr">
        <is>
          <t>S012_CALCULATED</t>
        </is>
      </c>
      <c r="I1703" t="inlineStr">
        <is>
          <t>estimated</t>
        </is>
      </c>
      <c r="J1703">
        <v>0.42</v>
      </c>
      <c r="K1703" t="inlineStr">
        <is>
          <t>Estimated from MW/density; replace with measured molar volume or density-specific grade data.</t>
        </is>
      </c>
    </row>
    <row r="1704">
      <c r="A1704" t="inlineStr">
        <is>
          <t>SURF_KOLLIPHOR_EL_CREMOPHOR_EL</t>
        </is>
      </c>
      <c r="B1704" t="inlineStr">
        <is>
          <t>headgroup_area_nm2</t>
        </is>
      </c>
      <c r="C1704">
        <v>0.593</v>
      </c>
      <c r="D1704" t="inlineStr">
        <is>
          <t>nm2</t>
        </is>
      </c>
      <c r="E1704"/>
      <c r="F1704"/>
      <c r="G1704" t="inlineStr">
        <is>
          <t>CPP screening heuristic</t>
        </is>
      </c>
      <c r="H1704" t="inlineStr">
        <is>
          <t>S013_EST_HSP_HEURISTIC</t>
        </is>
      </c>
      <c r="I1704" t="inlineStr">
        <is>
          <t>estimated</t>
        </is>
      </c>
      <c r="J1704">
        <v>0.35</v>
      </c>
      <c r="K1704" t="inlineStr">
        <is>
          <t>Replace with monolayer or MD-derived area per molecule for publication-grade CPP.</t>
        </is>
      </c>
    </row>
    <row r="1705">
      <c r="A1705" t="inlineStr">
        <is>
          <t>SURF_KOLLIPHOR_RH40_CREMOPHOR_RH40</t>
        </is>
      </c>
      <c r="B1705" t="inlineStr">
        <is>
          <t>molecular_weight_g_mol</t>
        </is>
      </c>
      <c r="C1705">
        <v>2500</v>
      </c>
      <c r="D1705" t="inlineStr">
        <is>
          <t>g/mol</t>
        </is>
      </c>
      <c r="E1705"/>
      <c r="F1705"/>
      <c r="G1705" t="inlineStr">
        <is>
          <t>supplier/handbook average for mixtures</t>
        </is>
      </c>
      <c r="H1705" t="inlineStr">
        <is>
          <t>S010_BASF_KOLLIPHOR</t>
        </is>
      </c>
      <c r="I1705" t="inlineStr">
        <is>
          <t>supplier-reported</t>
        </is>
      </c>
      <c r="J1705">
        <v>0.65</v>
      </c>
      <c r="K1705"/>
    </row>
    <row r="1706">
      <c r="A1706" t="inlineStr">
        <is>
          <t>SURF_KOLLIPHOR_RH40_CREMOPHOR_RH40</t>
        </is>
      </c>
      <c r="B1706" t="inlineStr">
        <is>
          <t>HLB</t>
        </is>
      </c>
      <c r="C1706">
        <v>14.5</v>
      </c>
      <c r="D1706" t="inlineStr">
        <is>
          <t>HLB</t>
        </is>
      </c>
      <c r="E1706"/>
      <c r="F1706"/>
      <c r="G1706" t="inlineStr">
        <is>
          <t>Griffin/Davies HLB literature/supplier value</t>
        </is>
      </c>
      <c r="H1706" t="inlineStr">
        <is>
          <t>S010_BASF_KOLLIPHOR</t>
        </is>
      </c>
      <c r="I1706" t="inlineStr">
        <is>
          <t>supplier-reported</t>
        </is>
      </c>
      <c r="J1706">
        <v>0.75</v>
      </c>
      <c r="K1706" t="inlineStr">
        <is>
          <t>Grade-dependent; use supplier CoA when available.</t>
        </is>
      </c>
    </row>
    <row r="1707">
      <c r="A1707" t="inlineStr">
        <is>
          <t>SURF_KOLLIPHOR_RH40_CREMOPHOR_RH40</t>
        </is>
      </c>
      <c r="B1707" t="inlineStr">
        <is>
          <t>headgroup_type</t>
        </is>
      </c>
      <c r="C1707" t="inlineStr">
        <is>
          <t>polyoxyethylated lipid ester</t>
        </is>
      </c>
      <c r="D1707"/>
      <c r="E1707"/>
      <c r="F1707"/>
      <c r="G1707" t="inlineStr">
        <is>
          <t>manual class annotation</t>
        </is>
      </c>
      <c r="H1707" t="inlineStr">
        <is>
          <t>S010_BASF_KOLLIPHOR</t>
        </is>
      </c>
      <c r="I1707" t="inlineStr">
        <is>
          <t>curated</t>
        </is>
      </c>
      <c r="J1707">
        <v>0.75</v>
      </c>
      <c r="K1707"/>
    </row>
    <row r="1708">
      <c r="A1708" t="inlineStr">
        <is>
          <t>SURF_KOLLIPHOR_RH40_CREMOPHOR_RH40</t>
        </is>
      </c>
      <c r="B1708" t="inlineStr">
        <is>
          <t>tail_chain</t>
        </is>
      </c>
      <c r="C1708" t="inlineStr">
        <is>
          <t>hydrogenated castor oil ethoxylate</t>
        </is>
      </c>
      <c r="D1708"/>
      <c r="E1708"/>
      <c r="F1708"/>
      <c r="G1708" t="inlineStr">
        <is>
          <t>fatty-chain annotation</t>
        </is>
      </c>
      <c r="H1708" t="inlineStr">
        <is>
          <t>S010_BASF_KOLLIPHOR</t>
        </is>
      </c>
      <c r="I1708" t="inlineStr">
        <is>
          <t>curated</t>
        </is>
      </c>
      <c r="J1708">
        <v>0.8</v>
      </c>
      <c r="K1708"/>
    </row>
    <row r="1709">
      <c r="A1709" t="inlineStr">
        <is>
          <t>SURF_KOLLIPHOR_RH40_CREMOPHOR_RH40</t>
        </is>
      </c>
      <c r="B1709" t="inlineStr">
        <is>
          <t>tail_carbons</t>
        </is>
      </c>
      <c r="C1709">
        <v>18</v>
      </c>
      <c r="D1709" t="inlineStr">
        <is>
          <t>count</t>
        </is>
      </c>
      <c r="E1709"/>
      <c r="F1709"/>
      <c r="G1709" t="inlineStr">
        <is>
          <t>fatty-chain annotation</t>
        </is>
      </c>
      <c r="H1709" t="inlineStr">
        <is>
          <t>S010_BASF_KOLLIPHOR</t>
        </is>
      </c>
      <c r="I1709" t="inlineStr">
        <is>
          <t>curated</t>
        </is>
      </c>
      <c r="J1709">
        <v>0.8</v>
      </c>
      <c r="K1709"/>
    </row>
    <row r="1710">
      <c r="A1710" t="inlineStr">
        <is>
          <t>SURF_KOLLIPHOR_RH40_CREMOPHOR_RH40</t>
        </is>
      </c>
      <c r="B1710" t="inlineStr">
        <is>
          <t>tail_unsaturation</t>
        </is>
      </c>
      <c r="C1710">
        <v>0</v>
      </c>
      <c r="D1710" t="inlineStr">
        <is>
          <t>double_bonds</t>
        </is>
      </c>
      <c r="E1710"/>
      <c r="F1710"/>
      <c r="G1710" t="inlineStr">
        <is>
          <t>fatty-chain annotation</t>
        </is>
      </c>
      <c r="H1710" t="inlineStr">
        <is>
          <t>S010_BASF_KOLLIPHOR</t>
        </is>
      </c>
      <c r="I1710" t="inlineStr">
        <is>
          <t>curated</t>
        </is>
      </c>
      <c r="J1710">
        <v>0.8</v>
      </c>
      <c r="K1710"/>
    </row>
    <row r="1711">
      <c r="A1711" t="inlineStr">
        <is>
          <t>SURF_KOLLIPHOR_RH40_CREMOPHOR_RH40</t>
        </is>
      </c>
      <c r="B1711" t="inlineStr">
        <is>
          <t>number_of_tails</t>
        </is>
      </c>
      <c r="C1711">
        <v>1</v>
      </c>
      <c r="D1711" t="inlineStr">
        <is>
          <t>count</t>
        </is>
      </c>
      <c r="E1711"/>
      <c r="F1711"/>
      <c r="G1711" t="inlineStr">
        <is>
          <t>fatty-chain annotation</t>
        </is>
      </c>
      <c r="H1711" t="inlineStr">
        <is>
          <t>S010_BASF_KOLLIPHOR</t>
        </is>
      </c>
      <c r="I1711" t="inlineStr">
        <is>
          <t>curated</t>
        </is>
      </c>
      <c r="J1711">
        <v>0.8</v>
      </c>
      <c r="K1711"/>
    </row>
    <row r="1712">
      <c r="A1712" t="inlineStr">
        <is>
          <t>SURF_KOLLIPHOR_RH40_CREMOPHOR_RH40</t>
        </is>
      </c>
      <c r="B1712" t="inlineStr">
        <is>
          <t>charge_type</t>
        </is>
      </c>
      <c r="C1712" t="inlineStr">
        <is>
          <t>nonionic</t>
        </is>
      </c>
      <c r="D1712"/>
      <c r="E1712"/>
      <c r="F1712"/>
      <c r="G1712" t="inlineStr">
        <is>
          <t>ionization class</t>
        </is>
      </c>
      <c r="H1712" t="inlineStr">
        <is>
          <t>S010_BASF_KOLLIPHOR</t>
        </is>
      </c>
      <c r="I1712" t="inlineStr">
        <is>
          <t>curated</t>
        </is>
      </c>
      <c r="J1712">
        <v>0.85</v>
      </c>
      <c r="K1712"/>
    </row>
    <row r="1713">
      <c r="A1713" t="inlineStr">
        <is>
          <t>SURF_KOLLIPHOR_RH40_CREMOPHOR_RH40</t>
        </is>
      </c>
      <c r="B1713" t="inlineStr">
        <is>
          <t>formal_charge</t>
        </is>
      </c>
      <c r="C1713">
        <v>0</v>
      </c>
      <c r="D1713" t="inlineStr">
        <is>
          <t>e</t>
        </is>
      </c>
      <c r="E1713"/>
      <c r="F1713"/>
      <c r="G1713" t="inlineStr">
        <is>
          <t>nominal at neutral pH</t>
        </is>
      </c>
      <c r="H1713" t="inlineStr">
        <is>
          <t>S010_BASF_KOLLIPHOR</t>
        </is>
      </c>
      <c r="I1713" t="inlineStr">
        <is>
          <t>curated</t>
        </is>
      </c>
      <c r="J1713">
        <v>0.85</v>
      </c>
      <c r="K1713"/>
    </row>
    <row r="1714">
      <c r="A1714" t="inlineStr">
        <is>
          <t>SURF_KOLLIPHOR_RH40_CREMOPHOR_RH40</t>
        </is>
      </c>
      <c r="B1714" t="inlineStr">
        <is>
          <t>packing_role</t>
        </is>
      </c>
      <c r="C1714" t="inlineStr">
        <is>
          <t>edge activator / micellar solubilizer</t>
        </is>
      </c>
      <c r="D1714"/>
      <c r="E1714"/>
      <c r="F1714"/>
      <c r="G1714" t="inlineStr">
        <is>
          <t>HLB/chain-rule heuristic</t>
        </is>
      </c>
      <c r="H1714" t="inlineStr">
        <is>
          <t>S010_BASF_KOLLIPHOR</t>
        </is>
      </c>
      <c r="I1714" t="inlineStr">
        <is>
          <t>curated</t>
        </is>
      </c>
      <c r="J1714">
        <v>0.65</v>
      </c>
      <c r="K1714"/>
    </row>
    <row r="1715">
      <c r="A1715" t="inlineStr">
        <is>
          <t>SURF_KOLLIPHOR_RH40_CREMOPHOR_RH40</t>
        </is>
      </c>
      <c r="B1715" t="inlineStr">
        <is>
          <t>edge_activator_flag</t>
        </is>
      </c>
      <c r="C1715" t="inlineStr">
        <is>
          <t>yes</t>
        </is>
      </c>
      <c r="D1715"/>
      <c r="E1715"/>
      <c r="F1715"/>
      <c r="G1715" t="inlineStr">
        <is>
          <t>HLB/charge heuristic</t>
        </is>
      </c>
      <c r="H1715" t="inlineStr">
        <is>
          <t>S010_BASF_KOLLIPHOR</t>
        </is>
      </c>
      <c r="I1715" t="inlineStr">
        <is>
          <t>curated</t>
        </is>
      </c>
      <c r="J1715">
        <v>0.7</v>
      </c>
      <c r="K1715"/>
    </row>
    <row r="1716">
      <c r="A1716" t="inlineStr">
        <is>
          <t>SURF_KOLLIPHOR_RH40_CREMOPHOR_RH40</t>
        </is>
      </c>
      <c r="B1716" t="inlineStr">
        <is>
          <t>vesicle_anchor_flag</t>
        </is>
      </c>
      <c r="C1716" t="inlineStr">
        <is>
          <t>weak/conditional</t>
        </is>
      </c>
      <c r="D1716"/>
      <c r="E1716"/>
      <c r="F1716"/>
      <c r="G1716" t="inlineStr">
        <is>
          <t>chain-length and HLB heuristic</t>
        </is>
      </c>
      <c r="H1716" t="inlineStr">
        <is>
          <t>S010_BASF_KOLLIPHOR</t>
        </is>
      </c>
      <c r="I1716" t="inlineStr">
        <is>
          <t>curated</t>
        </is>
      </c>
      <c r="J1716">
        <v>0.7</v>
      </c>
      <c r="K1716"/>
    </row>
    <row r="1717">
      <c r="A1717" t="inlineStr">
        <is>
          <t>SURF_KOLLIPHOR_RH40_CREMOPHOR_RH40</t>
        </is>
      </c>
      <c r="B1717" t="inlineStr">
        <is>
          <t>micellization_risk_flag</t>
        </is>
      </c>
      <c r="C1717" t="inlineStr">
        <is>
          <t>high</t>
        </is>
      </c>
      <c r="D1717"/>
      <c r="E1717"/>
      <c r="F1717"/>
      <c r="G1717" t="inlineStr">
        <is>
          <t>HLB heuristic</t>
        </is>
      </c>
      <c r="H1717" t="inlineStr">
        <is>
          <t>S010_BASF_KOLLIPHOR</t>
        </is>
      </c>
      <c r="I1717" t="inlineStr">
        <is>
          <t>curated</t>
        </is>
      </c>
      <c r="J1717">
        <v>0.65</v>
      </c>
      <c r="K1717"/>
    </row>
    <row r="1718">
      <c r="A1718" t="inlineStr">
        <is>
          <t>SURF_KOLLIPHOR_RH40_CREMOPHOR_RH40</t>
        </is>
      </c>
      <c r="B1718" t="inlineStr">
        <is>
          <t>route_suitability</t>
        </is>
      </c>
      <c r="C1718" t="inlineStr">
        <is>
          <t>oral/topical; parenteral/inhalation only if grade and safety justified</t>
        </is>
      </c>
      <c r="D1718"/>
      <c r="E1718"/>
      <c r="F1718"/>
      <c r="G1718" t="inlineStr">
        <is>
          <t>route precedent heuristic</t>
        </is>
      </c>
      <c r="H1718" t="inlineStr">
        <is>
          <t>S008_FDA_IID</t>
        </is>
      </c>
      <c r="I1718" t="inlineStr">
        <is>
          <t>curated</t>
        </is>
      </c>
      <c r="J1718">
        <v>0.55</v>
      </c>
      <c r="K1718"/>
    </row>
    <row r="1719">
      <c r="A1719" t="inlineStr">
        <is>
          <t>SURF_KOLLIPHOR_RH40_CREMOPHOR_RH40</t>
        </is>
      </c>
      <c r="B1719" t="inlineStr">
        <is>
          <t>toxicity_or_irritancy_notes</t>
        </is>
      </c>
      <c r="C1719" t="inlineStr">
        <is>
          <t>surfactant irritation/hemolysis is concentration-, route-, and grade-dependent; screen cytotoxicity and osmolality</t>
        </is>
      </c>
      <c r="D1719"/>
      <c r="E1719"/>
      <c r="F1719"/>
      <c r="G1719"/>
      <c r="H1719" t="inlineStr">
        <is>
          <t>S007_EXCIPIENTS_HANDBOOK</t>
        </is>
      </c>
      <c r="I1719" t="inlineStr">
        <is>
          <t>curated</t>
        </is>
      </c>
      <c r="J1719">
        <v>0.7</v>
      </c>
      <c r="K1719"/>
    </row>
    <row r="1720">
      <c r="A1720" t="inlineStr">
        <is>
          <t>SURF_KOLLIPHOR_RH40_CREMOPHOR_RH40</t>
        </is>
      </c>
      <c r="B1720" t="inlineStr">
        <is>
          <t>Hansen_delta_D</t>
        </is>
      </c>
      <c r="C1720">
        <v>17.2</v>
      </c>
      <c r="D1720" t="inlineStr">
        <is>
          <t>MPa^0.5</t>
        </is>
      </c>
      <c r="E1720"/>
      <c r="F1720"/>
      <c r="G1720" t="inlineStr">
        <is>
          <t>heuristic group-contribution/nearest-neighbour</t>
        </is>
      </c>
      <c r="H1720" t="inlineStr">
        <is>
          <t>S013_EST_HSP_HEURISTIC</t>
        </is>
      </c>
      <c r="I1720" t="inlineStr">
        <is>
          <t>estimated</t>
        </is>
      </c>
      <c r="J1720">
        <v>0.4</v>
      </c>
      <c r="K1720" t="inlineStr">
        <is>
          <t>Provisional HSP for screening; replace with experimental/literature value before model lock.</t>
        </is>
      </c>
    </row>
    <row r="1721">
      <c r="A1721" t="inlineStr">
        <is>
          <t>SURF_KOLLIPHOR_RH40_CREMOPHOR_RH40</t>
        </is>
      </c>
      <c r="B1721" t="inlineStr">
        <is>
          <t>Hansen_delta_P</t>
        </is>
      </c>
      <c r="C1721">
        <v>8.5</v>
      </c>
      <c r="D1721" t="inlineStr">
        <is>
          <t>MPa^0.5</t>
        </is>
      </c>
      <c r="E1721"/>
      <c r="F1721"/>
      <c r="G1721" t="inlineStr">
        <is>
          <t>heuristic group-contribution/nearest-neighbour</t>
        </is>
      </c>
      <c r="H1721" t="inlineStr">
        <is>
          <t>S013_EST_HSP_HEURISTIC</t>
        </is>
      </c>
      <c r="I1721" t="inlineStr">
        <is>
          <t>estimated</t>
        </is>
      </c>
      <c r="J1721">
        <v>0.4</v>
      </c>
      <c r="K1721" t="inlineStr">
        <is>
          <t>Provisional HSP for screening; replace with experimental/literature value before model lock.</t>
        </is>
      </c>
    </row>
    <row r="1722">
      <c r="A1722" t="inlineStr">
        <is>
          <t>SURF_KOLLIPHOR_RH40_CREMOPHOR_RH40</t>
        </is>
      </c>
      <c r="B1722" t="inlineStr">
        <is>
          <t>Hansen_delta_H</t>
        </is>
      </c>
      <c r="C1722">
        <v>14.0</v>
      </c>
      <c r="D1722" t="inlineStr">
        <is>
          <t>MPa^0.5</t>
        </is>
      </c>
      <c r="E1722"/>
      <c r="F1722"/>
      <c r="G1722" t="inlineStr">
        <is>
          <t>heuristic group-contribution/nearest-neighbour</t>
        </is>
      </c>
      <c r="H1722" t="inlineStr">
        <is>
          <t>S013_EST_HSP_HEURISTIC</t>
        </is>
      </c>
      <c r="I1722" t="inlineStr">
        <is>
          <t>estimated</t>
        </is>
      </c>
      <c r="J1722">
        <v>0.4</v>
      </c>
      <c r="K1722" t="inlineStr">
        <is>
          <t>Provisional HSP for screening; replace with experimental/literature value before model lock.</t>
        </is>
      </c>
    </row>
    <row r="1723">
      <c r="A1723" t="inlineStr">
        <is>
          <t>SURF_KOLLIPHOR_RH40_CREMOPHOR_RH40</t>
        </is>
      </c>
      <c r="B1723" t="inlineStr">
        <is>
          <t>Hildebrand_delta_T</t>
        </is>
      </c>
      <c r="C1723">
        <v>23.75</v>
      </c>
      <c r="D1723" t="inlineStr">
        <is>
          <t>MPa^0.5</t>
        </is>
      </c>
      <c r="E1723"/>
      <c r="F1723"/>
      <c r="G1723" t="inlineStr">
        <is>
          <t>sqrt(deltaD^2+deltaP^2+deltaH^2)</t>
        </is>
      </c>
      <c r="H1723" t="inlineStr">
        <is>
          <t>S012_CALCULATED</t>
        </is>
      </c>
      <c r="I1723" t="inlineStr">
        <is>
          <t>calculated</t>
        </is>
      </c>
      <c r="J1723">
        <v>0.45</v>
      </c>
      <c r="K1723" t="inlineStr">
        <is>
          <t>Derived from stored Hansen components.</t>
        </is>
      </c>
    </row>
    <row r="1724">
      <c r="A1724" t="inlineStr">
        <is>
          <t>SURF_KOLLIPHOR_RH40_CREMOPHOR_RH40</t>
        </is>
      </c>
      <c r="B1724" t="inlineStr">
        <is>
          <t>HSP_radius_R0</t>
        </is>
      </c>
      <c r="C1724">
        <v>9.0</v>
      </c>
      <c r="D1724" t="inlineStr">
        <is>
          <t>MPa^0.5</t>
        </is>
      </c>
      <c r="E1724"/>
      <c r="F1724"/>
      <c r="G1724" t="inlineStr">
        <is>
          <t>literature/heuristic solubility sphere</t>
        </is>
      </c>
      <c r="H1724" t="inlineStr">
        <is>
          <t>S013_EST_HSP_HEURISTIC</t>
        </is>
      </c>
      <c r="I1724" t="inlineStr">
        <is>
          <t>estimated</t>
        </is>
      </c>
      <c r="J1724">
        <v>0.4</v>
      </c>
      <c r="K1724" t="inlineStr">
        <is>
          <t>Screening radius only unless experimentally determined.</t>
        </is>
      </c>
    </row>
    <row r="1725">
      <c r="A1725" t="inlineStr">
        <is>
          <t>SURF_KOLLIPHOR_RH40_CREMOPHOR_RH40</t>
        </is>
      </c>
      <c r="B1725" t="inlineStr">
        <is>
          <t>molar_volume_cm3_mol</t>
        </is>
      </c>
      <c r="C1725">
        <v>2380.95</v>
      </c>
      <c r="D1725" t="inlineStr">
        <is>
          <t>cm3/mol</t>
        </is>
      </c>
      <c r="E1725"/>
      <c r="F1725"/>
      <c r="G1725" t="inlineStr">
        <is>
          <t>MW/density estimate</t>
        </is>
      </c>
      <c r="H1725" t="inlineStr">
        <is>
          <t>S012_CALCULATED</t>
        </is>
      </c>
      <c r="I1725" t="inlineStr">
        <is>
          <t>estimated</t>
        </is>
      </c>
      <c r="J1725">
        <v>0.42</v>
      </c>
      <c r="K1725" t="inlineStr">
        <is>
          <t>Estimated from MW/density; replace with measured molar volume or density-specific grade data.</t>
        </is>
      </c>
    </row>
    <row r="1726">
      <c r="A1726" t="inlineStr">
        <is>
          <t>SURF_KOLLIPHOR_RH40_CREMOPHOR_RH40</t>
        </is>
      </c>
      <c r="B1726" t="inlineStr">
        <is>
          <t>headgroup_area_nm2</t>
        </is>
      </c>
      <c r="C1726">
        <v>0.611</v>
      </c>
      <c r="D1726" t="inlineStr">
        <is>
          <t>nm2</t>
        </is>
      </c>
      <c r="E1726"/>
      <c r="F1726"/>
      <c r="G1726" t="inlineStr">
        <is>
          <t>CPP screening heuristic</t>
        </is>
      </c>
      <c r="H1726" t="inlineStr">
        <is>
          <t>S013_EST_HSP_HEURISTIC</t>
        </is>
      </c>
      <c r="I1726" t="inlineStr">
        <is>
          <t>estimated</t>
        </is>
      </c>
      <c r="J1726">
        <v>0.35</v>
      </c>
      <c r="K1726" t="inlineStr">
        <is>
          <t>Replace with monolayer or MD-derived area per molecule for publication-grade CPP.</t>
        </is>
      </c>
    </row>
    <row r="1727">
      <c r="A1727" t="inlineStr">
        <is>
          <t>SURF_LABRASOL</t>
        </is>
      </c>
      <c r="B1727" t="inlineStr">
        <is>
          <t>molecular_weight_g_mol</t>
        </is>
      </c>
      <c r="C1727">
        <v>0</v>
      </c>
      <c r="D1727" t="inlineStr">
        <is>
          <t>g/mol</t>
        </is>
      </c>
      <c r="E1727"/>
      <c r="F1727"/>
      <c r="G1727" t="inlineStr">
        <is>
          <t>supplier/handbook average for mixtures</t>
        </is>
      </c>
      <c r="H1727" t="inlineStr">
        <is>
          <t>S009_GATTEFOSSE</t>
        </is>
      </c>
      <c r="I1727" t="inlineStr">
        <is>
          <t>unknown</t>
        </is>
      </c>
      <c r="J1727">
        <v>0.0</v>
      </c>
      <c r="K1727"/>
    </row>
    <row r="1728">
      <c r="A1728" t="inlineStr">
        <is>
          <t>SURF_LABRASOL</t>
        </is>
      </c>
      <c r="B1728" t="inlineStr">
        <is>
          <t>HLB</t>
        </is>
      </c>
      <c r="C1728">
        <v>14</v>
      </c>
      <c r="D1728" t="inlineStr">
        <is>
          <t>HLB</t>
        </is>
      </c>
      <c r="E1728"/>
      <c r="F1728"/>
      <c r="G1728" t="inlineStr">
        <is>
          <t>Griffin/Davies HLB literature/supplier value</t>
        </is>
      </c>
      <c r="H1728" t="inlineStr">
        <is>
          <t>S009_GATTEFOSSE</t>
        </is>
      </c>
      <c r="I1728" t="inlineStr">
        <is>
          <t>supplier-reported</t>
        </is>
      </c>
      <c r="J1728">
        <v>0.75</v>
      </c>
      <c r="K1728" t="inlineStr">
        <is>
          <t>Grade-dependent; use supplier CoA when available.</t>
        </is>
      </c>
    </row>
    <row r="1729">
      <c r="A1729" t="inlineStr">
        <is>
          <t>SURF_LABRASOL</t>
        </is>
      </c>
      <c r="B1729" t="inlineStr">
        <is>
          <t>headgroup_type</t>
        </is>
      </c>
      <c r="C1729" t="inlineStr">
        <is>
          <t>polyoxylglyceride</t>
        </is>
      </c>
      <c r="D1729"/>
      <c r="E1729"/>
      <c r="F1729"/>
      <c r="G1729" t="inlineStr">
        <is>
          <t>manual class annotation</t>
        </is>
      </c>
      <c r="H1729" t="inlineStr">
        <is>
          <t>S009_GATTEFOSSE</t>
        </is>
      </c>
      <c r="I1729" t="inlineStr">
        <is>
          <t>curated</t>
        </is>
      </c>
      <c r="J1729">
        <v>0.75</v>
      </c>
      <c r="K1729"/>
    </row>
    <row r="1730">
      <c r="A1730" t="inlineStr">
        <is>
          <t>SURF_LABRASOL</t>
        </is>
      </c>
      <c r="B1730" t="inlineStr">
        <is>
          <t>tail_chain</t>
        </is>
      </c>
      <c r="C1730" t="inlineStr">
        <is>
          <t>caprylocaproyl polyoxylglycerides</t>
        </is>
      </c>
      <c r="D1730"/>
      <c r="E1730"/>
      <c r="F1730"/>
      <c r="G1730" t="inlineStr">
        <is>
          <t>fatty-chain annotation</t>
        </is>
      </c>
      <c r="H1730" t="inlineStr">
        <is>
          <t>S009_GATTEFOSSE</t>
        </is>
      </c>
      <c r="I1730" t="inlineStr">
        <is>
          <t>curated</t>
        </is>
      </c>
      <c r="J1730">
        <v>0.8</v>
      </c>
      <c r="K1730"/>
    </row>
    <row r="1731">
      <c r="A1731" t="inlineStr">
        <is>
          <t>SURF_LABRASOL</t>
        </is>
      </c>
      <c r="B1731" t="inlineStr">
        <is>
          <t>tail_carbons</t>
        </is>
      </c>
      <c r="C1731">
        <v>8</v>
      </c>
      <c r="D1731" t="inlineStr">
        <is>
          <t>count</t>
        </is>
      </c>
      <c r="E1731"/>
      <c r="F1731"/>
      <c r="G1731" t="inlineStr">
        <is>
          <t>fatty-chain annotation</t>
        </is>
      </c>
      <c r="H1731" t="inlineStr">
        <is>
          <t>S009_GATTEFOSSE</t>
        </is>
      </c>
      <c r="I1731" t="inlineStr">
        <is>
          <t>curated</t>
        </is>
      </c>
      <c r="J1731">
        <v>0.8</v>
      </c>
      <c r="K1731"/>
    </row>
    <row r="1732">
      <c r="A1732" t="inlineStr">
        <is>
          <t>SURF_LABRASOL</t>
        </is>
      </c>
      <c r="B1732" t="inlineStr">
        <is>
          <t>tail_unsaturation</t>
        </is>
      </c>
      <c r="C1732">
        <v>0</v>
      </c>
      <c r="D1732" t="inlineStr">
        <is>
          <t>double_bonds</t>
        </is>
      </c>
      <c r="E1732"/>
      <c r="F1732"/>
      <c r="G1732" t="inlineStr">
        <is>
          <t>fatty-chain annotation</t>
        </is>
      </c>
      <c r="H1732" t="inlineStr">
        <is>
          <t>S009_GATTEFOSSE</t>
        </is>
      </c>
      <c r="I1732" t="inlineStr">
        <is>
          <t>curated</t>
        </is>
      </c>
      <c r="J1732">
        <v>0.8</v>
      </c>
      <c r="K1732"/>
    </row>
    <row r="1733">
      <c r="A1733" t="inlineStr">
        <is>
          <t>SURF_LABRASOL</t>
        </is>
      </c>
      <c r="B1733" t="inlineStr">
        <is>
          <t>number_of_tails</t>
        </is>
      </c>
      <c r="C1733">
        <v>1</v>
      </c>
      <c r="D1733" t="inlineStr">
        <is>
          <t>count</t>
        </is>
      </c>
      <c r="E1733"/>
      <c r="F1733"/>
      <c r="G1733" t="inlineStr">
        <is>
          <t>fatty-chain annotation</t>
        </is>
      </c>
      <c r="H1733" t="inlineStr">
        <is>
          <t>S009_GATTEFOSSE</t>
        </is>
      </c>
      <c r="I1733" t="inlineStr">
        <is>
          <t>curated</t>
        </is>
      </c>
      <c r="J1733">
        <v>0.8</v>
      </c>
      <c r="K1733"/>
    </row>
    <row r="1734">
      <c r="A1734" t="inlineStr">
        <is>
          <t>SURF_LABRASOL</t>
        </is>
      </c>
      <c r="B1734" t="inlineStr">
        <is>
          <t>charge_type</t>
        </is>
      </c>
      <c r="C1734" t="inlineStr">
        <is>
          <t>nonionic</t>
        </is>
      </c>
      <c r="D1734"/>
      <c r="E1734"/>
      <c r="F1734"/>
      <c r="G1734" t="inlineStr">
        <is>
          <t>ionization class</t>
        </is>
      </c>
      <c r="H1734" t="inlineStr">
        <is>
          <t>S009_GATTEFOSSE</t>
        </is>
      </c>
      <c r="I1734" t="inlineStr">
        <is>
          <t>curated</t>
        </is>
      </c>
      <c r="J1734">
        <v>0.85</v>
      </c>
      <c r="K1734"/>
    </row>
    <row r="1735">
      <c r="A1735" t="inlineStr">
        <is>
          <t>SURF_LABRASOL</t>
        </is>
      </c>
      <c r="B1735" t="inlineStr">
        <is>
          <t>formal_charge</t>
        </is>
      </c>
      <c r="C1735">
        <v>0</v>
      </c>
      <c r="D1735" t="inlineStr">
        <is>
          <t>e</t>
        </is>
      </c>
      <c r="E1735"/>
      <c r="F1735"/>
      <c r="G1735" t="inlineStr">
        <is>
          <t>nominal at neutral pH</t>
        </is>
      </c>
      <c r="H1735" t="inlineStr">
        <is>
          <t>S009_GATTEFOSSE</t>
        </is>
      </c>
      <c r="I1735" t="inlineStr">
        <is>
          <t>curated</t>
        </is>
      </c>
      <c r="J1735">
        <v>0.85</v>
      </c>
      <c r="K1735"/>
    </row>
    <row r="1736">
      <c r="A1736" t="inlineStr">
        <is>
          <t>SURF_LABRASOL</t>
        </is>
      </c>
      <c r="B1736" t="inlineStr">
        <is>
          <t>packing_role</t>
        </is>
      </c>
      <c r="C1736" t="inlineStr">
        <is>
          <t>edge activator / micellar solubilizer</t>
        </is>
      </c>
      <c r="D1736"/>
      <c r="E1736"/>
      <c r="F1736"/>
      <c r="G1736" t="inlineStr">
        <is>
          <t>HLB/chain-rule heuristic</t>
        </is>
      </c>
      <c r="H1736" t="inlineStr">
        <is>
          <t>S009_GATTEFOSSE</t>
        </is>
      </c>
      <c r="I1736" t="inlineStr">
        <is>
          <t>curated</t>
        </is>
      </c>
      <c r="J1736">
        <v>0.65</v>
      </c>
      <c r="K1736"/>
    </row>
    <row r="1737">
      <c r="A1737" t="inlineStr">
        <is>
          <t>SURF_LABRASOL</t>
        </is>
      </c>
      <c r="B1737" t="inlineStr">
        <is>
          <t>edge_activator_flag</t>
        </is>
      </c>
      <c r="C1737" t="inlineStr">
        <is>
          <t>yes</t>
        </is>
      </c>
      <c r="D1737"/>
      <c r="E1737"/>
      <c r="F1737"/>
      <c r="G1737" t="inlineStr">
        <is>
          <t>HLB/charge heuristic</t>
        </is>
      </c>
      <c r="H1737" t="inlineStr">
        <is>
          <t>S009_GATTEFOSSE</t>
        </is>
      </c>
      <c r="I1737" t="inlineStr">
        <is>
          <t>curated</t>
        </is>
      </c>
      <c r="J1737">
        <v>0.7</v>
      </c>
      <c r="K1737"/>
    </row>
    <row r="1738">
      <c r="A1738" t="inlineStr">
        <is>
          <t>SURF_LABRASOL</t>
        </is>
      </c>
      <c r="B1738" t="inlineStr">
        <is>
          <t>vesicle_anchor_flag</t>
        </is>
      </c>
      <c r="C1738" t="inlineStr">
        <is>
          <t>weak/conditional</t>
        </is>
      </c>
      <c r="D1738"/>
      <c r="E1738"/>
      <c r="F1738"/>
      <c r="G1738" t="inlineStr">
        <is>
          <t>chain-length and HLB heuristic</t>
        </is>
      </c>
      <c r="H1738" t="inlineStr">
        <is>
          <t>S009_GATTEFOSSE</t>
        </is>
      </c>
      <c r="I1738" t="inlineStr">
        <is>
          <t>curated</t>
        </is>
      </c>
      <c r="J1738">
        <v>0.7</v>
      </c>
      <c r="K1738"/>
    </row>
    <row r="1739">
      <c r="A1739" t="inlineStr">
        <is>
          <t>SURF_LABRASOL</t>
        </is>
      </c>
      <c r="B1739" t="inlineStr">
        <is>
          <t>micellization_risk_flag</t>
        </is>
      </c>
      <c r="C1739" t="inlineStr">
        <is>
          <t>high</t>
        </is>
      </c>
      <c r="D1739"/>
      <c r="E1739"/>
      <c r="F1739"/>
      <c r="G1739" t="inlineStr">
        <is>
          <t>HLB heuristic</t>
        </is>
      </c>
      <c r="H1739" t="inlineStr">
        <is>
          <t>S009_GATTEFOSSE</t>
        </is>
      </c>
      <c r="I1739" t="inlineStr">
        <is>
          <t>curated</t>
        </is>
      </c>
      <c r="J1739">
        <v>0.65</v>
      </c>
      <c r="K1739"/>
    </row>
    <row r="1740">
      <c r="A1740" t="inlineStr">
        <is>
          <t>SURF_LABRASOL</t>
        </is>
      </c>
      <c r="B1740" t="inlineStr">
        <is>
          <t>route_suitability</t>
        </is>
      </c>
      <c r="C1740" t="inlineStr">
        <is>
          <t>oral/topical; parenteral/inhalation only if grade and safety justified</t>
        </is>
      </c>
      <c r="D1740"/>
      <c r="E1740"/>
      <c r="F1740"/>
      <c r="G1740" t="inlineStr">
        <is>
          <t>route precedent heuristic</t>
        </is>
      </c>
      <c r="H1740" t="inlineStr">
        <is>
          <t>S008_FDA_IID</t>
        </is>
      </c>
      <c r="I1740" t="inlineStr">
        <is>
          <t>curated</t>
        </is>
      </c>
      <c r="J1740">
        <v>0.55</v>
      </c>
      <c r="K1740"/>
    </row>
    <row r="1741">
      <c r="A1741" t="inlineStr">
        <is>
          <t>SURF_LABRASOL</t>
        </is>
      </c>
      <c r="B1741" t="inlineStr">
        <is>
          <t>toxicity_or_irritancy_notes</t>
        </is>
      </c>
      <c r="C1741" t="inlineStr">
        <is>
          <t>surfactant irritation/hemolysis is concentration-, route-, and grade-dependent; screen cytotoxicity and osmolality</t>
        </is>
      </c>
      <c r="D1741"/>
      <c r="E1741"/>
      <c r="F1741"/>
      <c r="G1741"/>
      <c r="H1741" t="inlineStr">
        <is>
          <t>S007_EXCIPIENTS_HANDBOOK</t>
        </is>
      </c>
      <c r="I1741" t="inlineStr">
        <is>
          <t>curated</t>
        </is>
      </c>
      <c r="J1741">
        <v>0.7</v>
      </c>
      <c r="K1741"/>
    </row>
    <row r="1742">
      <c r="A1742" t="inlineStr">
        <is>
          <t>SURF_LABRASOL</t>
        </is>
      </c>
      <c r="B1742" t="inlineStr">
        <is>
          <t>Hansen_delta_D</t>
        </is>
      </c>
      <c r="C1742">
        <v>17.2</v>
      </c>
      <c r="D1742" t="inlineStr">
        <is>
          <t>MPa^0.5</t>
        </is>
      </c>
      <c r="E1742"/>
      <c r="F1742"/>
      <c r="G1742" t="inlineStr">
        <is>
          <t>heuristic group-contribution/nearest-neighbour</t>
        </is>
      </c>
      <c r="H1742" t="inlineStr">
        <is>
          <t>S013_EST_HSP_HEURISTIC</t>
        </is>
      </c>
      <c r="I1742" t="inlineStr">
        <is>
          <t>estimated</t>
        </is>
      </c>
      <c r="J1742">
        <v>0.4</v>
      </c>
      <c r="K1742" t="inlineStr">
        <is>
          <t>Provisional HSP for screening; replace with experimental/literature value before model lock.</t>
        </is>
      </c>
    </row>
    <row r="1743">
      <c r="A1743" t="inlineStr">
        <is>
          <t>SURF_LABRASOL</t>
        </is>
      </c>
      <c r="B1743" t="inlineStr">
        <is>
          <t>Hansen_delta_P</t>
        </is>
      </c>
      <c r="C1743">
        <v>8.5</v>
      </c>
      <c r="D1743" t="inlineStr">
        <is>
          <t>MPa^0.5</t>
        </is>
      </c>
      <c r="E1743"/>
      <c r="F1743"/>
      <c r="G1743" t="inlineStr">
        <is>
          <t>heuristic group-contribution/nearest-neighbour</t>
        </is>
      </c>
      <c r="H1743" t="inlineStr">
        <is>
          <t>S013_EST_HSP_HEURISTIC</t>
        </is>
      </c>
      <c r="I1743" t="inlineStr">
        <is>
          <t>estimated</t>
        </is>
      </c>
      <c r="J1743">
        <v>0.4</v>
      </c>
      <c r="K1743" t="inlineStr">
        <is>
          <t>Provisional HSP for screening; replace with experimental/literature value before model lock.</t>
        </is>
      </c>
    </row>
    <row r="1744">
      <c r="A1744" t="inlineStr">
        <is>
          <t>SURF_LABRASOL</t>
        </is>
      </c>
      <c r="B1744" t="inlineStr">
        <is>
          <t>Hansen_delta_H</t>
        </is>
      </c>
      <c r="C1744">
        <v>14.0</v>
      </c>
      <c r="D1744" t="inlineStr">
        <is>
          <t>MPa^0.5</t>
        </is>
      </c>
      <c r="E1744"/>
      <c r="F1744"/>
      <c r="G1744" t="inlineStr">
        <is>
          <t>heuristic group-contribution/nearest-neighbour</t>
        </is>
      </c>
      <c r="H1744" t="inlineStr">
        <is>
          <t>S013_EST_HSP_HEURISTIC</t>
        </is>
      </c>
      <c r="I1744" t="inlineStr">
        <is>
          <t>estimated</t>
        </is>
      </c>
      <c r="J1744">
        <v>0.4</v>
      </c>
      <c r="K1744" t="inlineStr">
        <is>
          <t>Provisional HSP for screening; replace with experimental/literature value before model lock.</t>
        </is>
      </c>
    </row>
    <row r="1745">
      <c r="A1745" t="inlineStr">
        <is>
          <t>SURF_LABRASOL</t>
        </is>
      </c>
      <c r="B1745" t="inlineStr">
        <is>
          <t>Hildebrand_delta_T</t>
        </is>
      </c>
      <c r="C1745">
        <v>23.75</v>
      </c>
      <c r="D1745" t="inlineStr">
        <is>
          <t>MPa^0.5</t>
        </is>
      </c>
      <c r="E1745"/>
      <c r="F1745"/>
      <c r="G1745" t="inlineStr">
        <is>
          <t>sqrt(deltaD^2+deltaP^2+deltaH^2)</t>
        </is>
      </c>
      <c r="H1745" t="inlineStr">
        <is>
          <t>S012_CALCULATED</t>
        </is>
      </c>
      <c r="I1745" t="inlineStr">
        <is>
          <t>calculated</t>
        </is>
      </c>
      <c r="J1745">
        <v>0.45</v>
      </c>
      <c r="K1745" t="inlineStr">
        <is>
          <t>Derived from stored Hansen components.</t>
        </is>
      </c>
    </row>
    <row r="1746">
      <c r="A1746" t="inlineStr">
        <is>
          <t>SURF_LABRASOL</t>
        </is>
      </c>
      <c r="B1746" t="inlineStr">
        <is>
          <t>HSP_radius_R0</t>
        </is>
      </c>
      <c r="C1746">
        <v>9.0</v>
      </c>
      <c r="D1746" t="inlineStr">
        <is>
          <t>MPa^0.5</t>
        </is>
      </c>
      <c r="E1746"/>
      <c r="F1746"/>
      <c r="G1746" t="inlineStr">
        <is>
          <t>literature/heuristic solubility sphere</t>
        </is>
      </c>
      <c r="H1746" t="inlineStr">
        <is>
          <t>S013_EST_HSP_HEURISTIC</t>
        </is>
      </c>
      <c r="I1746" t="inlineStr">
        <is>
          <t>estimated</t>
        </is>
      </c>
      <c r="J1746">
        <v>0.4</v>
      </c>
      <c r="K1746" t="inlineStr">
        <is>
          <t>Screening radius only unless experimentally determined.</t>
        </is>
      </c>
    </row>
    <row r="1747">
      <c r="A1747" t="inlineStr">
        <is>
          <t>SURF_LABRASOL</t>
        </is>
      </c>
      <c r="B1747" t="inlineStr">
        <is>
          <t>headgroup_area_nm2</t>
        </is>
      </c>
      <c r="C1747">
        <v>0.602</v>
      </c>
      <c r="D1747" t="inlineStr">
        <is>
          <t>nm2</t>
        </is>
      </c>
      <c r="E1747"/>
      <c r="F1747"/>
      <c r="G1747" t="inlineStr">
        <is>
          <t>CPP screening heuristic</t>
        </is>
      </c>
      <c r="H1747" t="inlineStr">
        <is>
          <t>S013_EST_HSP_HEURISTIC</t>
        </is>
      </c>
      <c r="I1747" t="inlineStr">
        <is>
          <t>estimated</t>
        </is>
      </c>
      <c r="J1747">
        <v>0.35</v>
      </c>
      <c r="K1747" t="inlineStr">
        <is>
          <t>Replace with monolayer or MD-derived area per molecule for publication-grade CPP.</t>
        </is>
      </c>
    </row>
    <row r="1748">
      <c r="A1748" t="inlineStr">
        <is>
          <t>SURF_TRANSCUTOL_P</t>
        </is>
      </c>
      <c r="B1748" t="inlineStr">
        <is>
          <t>molecular_weight_g_mol</t>
        </is>
      </c>
      <c r="C1748">
        <v>134.17</v>
      </c>
      <c r="D1748" t="inlineStr">
        <is>
          <t>g/mol</t>
        </is>
      </c>
      <c r="E1748"/>
      <c r="F1748"/>
      <c r="G1748" t="inlineStr">
        <is>
          <t>supplier/handbook average for mixtures</t>
        </is>
      </c>
      <c r="H1748" t="inlineStr">
        <is>
          <t>S009_GATTEFOSSE</t>
        </is>
      </c>
      <c r="I1748" t="inlineStr">
        <is>
          <t>supplier-reported</t>
        </is>
      </c>
      <c r="J1748">
        <v>0.65</v>
      </c>
      <c r="K1748"/>
    </row>
    <row r="1749">
      <c r="A1749" t="inlineStr">
        <is>
          <t>SURF_TRANSCUTOL_P</t>
        </is>
      </c>
      <c r="B1749" t="inlineStr">
        <is>
          <t>HLB</t>
        </is>
      </c>
      <c r="C1749">
        <v>4.2</v>
      </c>
      <c r="D1749" t="inlineStr">
        <is>
          <t>HLB</t>
        </is>
      </c>
      <c r="E1749"/>
      <c r="F1749"/>
      <c r="G1749" t="inlineStr">
        <is>
          <t>Griffin/Davies HLB literature/supplier value</t>
        </is>
      </c>
      <c r="H1749" t="inlineStr">
        <is>
          <t>S009_GATTEFOSSE</t>
        </is>
      </c>
      <c r="I1749" t="inlineStr">
        <is>
          <t>supplier-reported</t>
        </is>
      </c>
      <c r="J1749">
        <v>0.75</v>
      </c>
      <c r="K1749" t="inlineStr">
        <is>
          <t>Grade-dependent; use supplier CoA when available.</t>
        </is>
      </c>
    </row>
    <row r="1750">
      <c r="A1750" t="inlineStr">
        <is>
          <t>SURF_TRANSCUTOL_P</t>
        </is>
      </c>
      <c r="B1750" t="inlineStr">
        <is>
          <t>headgroup_type</t>
        </is>
      </c>
      <c r="C1750" t="inlineStr">
        <is>
          <t>glycol ether</t>
        </is>
      </c>
      <c r="D1750"/>
      <c r="E1750"/>
      <c r="F1750"/>
      <c r="G1750" t="inlineStr">
        <is>
          <t>manual class annotation</t>
        </is>
      </c>
      <c r="H1750" t="inlineStr">
        <is>
          <t>S009_GATTEFOSSE</t>
        </is>
      </c>
      <c r="I1750" t="inlineStr">
        <is>
          <t>curated</t>
        </is>
      </c>
      <c r="J1750">
        <v>0.75</v>
      </c>
      <c r="K1750"/>
    </row>
    <row r="1751">
      <c r="A1751" t="inlineStr">
        <is>
          <t>SURF_TRANSCUTOL_P</t>
        </is>
      </c>
      <c r="B1751" t="inlineStr">
        <is>
          <t>tail_chain</t>
        </is>
      </c>
      <c r="C1751" t="inlineStr">
        <is>
          <t>diethylene glycol monoethyl ether</t>
        </is>
      </c>
      <c r="D1751"/>
      <c r="E1751"/>
      <c r="F1751"/>
      <c r="G1751" t="inlineStr">
        <is>
          <t>fatty-chain annotation</t>
        </is>
      </c>
      <c r="H1751" t="inlineStr">
        <is>
          <t>S009_GATTEFOSSE</t>
        </is>
      </c>
      <c r="I1751" t="inlineStr">
        <is>
          <t>curated</t>
        </is>
      </c>
      <c r="J1751">
        <v>0.8</v>
      </c>
      <c r="K1751"/>
    </row>
    <row r="1752">
      <c r="A1752" t="inlineStr">
        <is>
          <t>SURF_TRANSCUTOL_P</t>
        </is>
      </c>
      <c r="B1752" t="inlineStr">
        <is>
          <t>tail_carbons</t>
        </is>
      </c>
      <c r="C1752">
        <v>2</v>
      </c>
      <c r="D1752" t="inlineStr">
        <is>
          <t>count</t>
        </is>
      </c>
      <c r="E1752"/>
      <c r="F1752"/>
      <c r="G1752" t="inlineStr">
        <is>
          <t>fatty-chain annotation</t>
        </is>
      </c>
      <c r="H1752" t="inlineStr">
        <is>
          <t>S009_GATTEFOSSE</t>
        </is>
      </c>
      <c r="I1752" t="inlineStr">
        <is>
          <t>curated</t>
        </is>
      </c>
      <c r="J1752">
        <v>0.8</v>
      </c>
      <c r="K1752"/>
    </row>
    <row r="1753">
      <c r="A1753" t="inlineStr">
        <is>
          <t>SURF_TRANSCUTOL_P</t>
        </is>
      </c>
      <c r="B1753" t="inlineStr">
        <is>
          <t>tail_unsaturation</t>
        </is>
      </c>
      <c r="C1753">
        <v>0</v>
      </c>
      <c r="D1753" t="inlineStr">
        <is>
          <t>double_bonds</t>
        </is>
      </c>
      <c r="E1753"/>
      <c r="F1753"/>
      <c r="G1753" t="inlineStr">
        <is>
          <t>fatty-chain annotation</t>
        </is>
      </c>
      <c r="H1753" t="inlineStr">
        <is>
          <t>S009_GATTEFOSSE</t>
        </is>
      </c>
      <c r="I1753" t="inlineStr">
        <is>
          <t>curated</t>
        </is>
      </c>
      <c r="J1753">
        <v>0.8</v>
      </c>
      <c r="K1753"/>
    </row>
    <row r="1754">
      <c r="A1754" t="inlineStr">
        <is>
          <t>SURF_TRANSCUTOL_P</t>
        </is>
      </c>
      <c r="B1754" t="inlineStr">
        <is>
          <t>number_of_tails</t>
        </is>
      </c>
      <c r="C1754">
        <v>0</v>
      </c>
      <c r="D1754" t="inlineStr">
        <is>
          <t>count</t>
        </is>
      </c>
      <c r="E1754"/>
      <c r="F1754"/>
      <c r="G1754" t="inlineStr">
        <is>
          <t>fatty-chain annotation</t>
        </is>
      </c>
      <c r="H1754" t="inlineStr">
        <is>
          <t>S009_GATTEFOSSE</t>
        </is>
      </c>
      <c r="I1754" t="inlineStr">
        <is>
          <t>curated</t>
        </is>
      </c>
      <c r="J1754">
        <v>0.8</v>
      </c>
      <c r="K1754"/>
    </row>
    <row r="1755">
      <c r="A1755" t="inlineStr">
        <is>
          <t>SURF_TRANSCUTOL_P</t>
        </is>
      </c>
      <c r="B1755" t="inlineStr">
        <is>
          <t>charge_type</t>
        </is>
      </c>
      <c r="C1755" t="inlineStr">
        <is>
          <t>nonionic</t>
        </is>
      </c>
      <c r="D1755"/>
      <c r="E1755"/>
      <c r="F1755"/>
      <c r="G1755" t="inlineStr">
        <is>
          <t>ionization class</t>
        </is>
      </c>
      <c r="H1755" t="inlineStr">
        <is>
          <t>S009_GATTEFOSSE</t>
        </is>
      </c>
      <c r="I1755" t="inlineStr">
        <is>
          <t>curated</t>
        </is>
      </c>
      <c r="J1755">
        <v>0.85</v>
      </c>
      <c r="K1755"/>
    </row>
    <row r="1756">
      <c r="A1756" t="inlineStr">
        <is>
          <t>SURF_TRANSCUTOL_P</t>
        </is>
      </c>
      <c r="B1756" t="inlineStr">
        <is>
          <t>formal_charge</t>
        </is>
      </c>
      <c r="C1756">
        <v>0</v>
      </c>
      <c r="D1756" t="inlineStr">
        <is>
          <t>e</t>
        </is>
      </c>
      <c r="E1756"/>
      <c r="F1756"/>
      <c r="G1756" t="inlineStr">
        <is>
          <t>nominal at neutral pH</t>
        </is>
      </c>
      <c r="H1756" t="inlineStr">
        <is>
          <t>S009_GATTEFOSSE</t>
        </is>
      </c>
      <c r="I1756" t="inlineStr">
        <is>
          <t>curated</t>
        </is>
      </c>
      <c r="J1756">
        <v>0.85</v>
      </c>
      <c r="K1756"/>
    </row>
    <row r="1757">
      <c r="A1757" t="inlineStr">
        <is>
          <t>SURF_TRANSCUTOL_P</t>
        </is>
      </c>
      <c r="B1757" t="inlineStr">
        <is>
          <t>packing_role</t>
        </is>
      </c>
      <c r="C1757" t="inlineStr">
        <is>
          <t>edge activator / micellar solubilizer</t>
        </is>
      </c>
      <c r="D1757"/>
      <c r="E1757"/>
      <c r="F1757"/>
      <c r="G1757" t="inlineStr">
        <is>
          <t>HLB/chain-rule heuristic</t>
        </is>
      </c>
      <c r="H1757" t="inlineStr">
        <is>
          <t>S009_GATTEFOSSE</t>
        </is>
      </c>
      <c r="I1757" t="inlineStr">
        <is>
          <t>curated</t>
        </is>
      </c>
      <c r="J1757">
        <v>0.65</v>
      </c>
      <c r="K1757"/>
    </row>
    <row r="1758">
      <c r="A1758" t="inlineStr">
        <is>
          <t>SURF_TRANSCUTOL_P</t>
        </is>
      </c>
      <c r="B1758" t="inlineStr">
        <is>
          <t>edge_activator_flag</t>
        </is>
      </c>
      <c r="C1758" t="inlineStr">
        <is>
          <t>conditional</t>
        </is>
      </c>
      <c r="D1758"/>
      <c r="E1758"/>
      <c r="F1758"/>
      <c r="G1758" t="inlineStr">
        <is>
          <t>HLB/charge heuristic</t>
        </is>
      </c>
      <c r="H1758" t="inlineStr">
        <is>
          <t>S009_GATTEFOSSE</t>
        </is>
      </c>
      <c r="I1758" t="inlineStr">
        <is>
          <t>curated</t>
        </is>
      </c>
      <c r="J1758">
        <v>0.7</v>
      </c>
      <c r="K1758"/>
    </row>
    <row r="1759">
      <c r="A1759" t="inlineStr">
        <is>
          <t>SURF_TRANSCUTOL_P</t>
        </is>
      </c>
      <c r="B1759" t="inlineStr">
        <is>
          <t>vesicle_anchor_flag</t>
        </is>
      </c>
      <c r="C1759" t="inlineStr">
        <is>
          <t>weak/conditional</t>
        </is>
      </c>
      <c r="D1759"/>
      <c r="E1759"/>
      <c r="F1759"/>
      <c r="G1759" t="inlineStr">
        <is>
          <t>chain-length and HLB heuristic</t>
        </is>
      </c>
      <c r="H1759" t="inlineStr">
        <is>
          <t>S009_GATTEFOSSE</t>
        </is>
      </c>
      <c r="I1759" t="inlineStr">
        <is>
          <t>curated</t>
        </is>
      </c>
      <c r="J1759">
        <v>0.7</v>
      </c>
      <c r="K1759"/>
    </row>
    <row r="1760">
      <c r="A1760" t="inlineStr">
        <is>
          <t>SURF_TRANSCUTOL_P</t>
        </is>
      </c>
      <c r="B1760" t="inlineStr">
        <is>
          <t>micellization_risk_flag</t>
        </is>
      </c>
      <c r="C1760" t="inlineStr">
        <is>
          <t>low-to-moderate</t>
        </is>
      </c>
      <c r="D1760"/>
      <c r="E1760"/>
      <c r="F1760"/>
      <c r="G1760" t="inlineStr">
        <is>
          <t>HLB heuristic</t>
        </is>
      </c>
      <c r="H1760" t="inlineStr">
        <is>
          <t>S009_GATTEFOSSE</t>
        </is>
      </c>
      <c r="I1760" t="inlineStr">
        <is>
          <t>curated</t>
        </is>
      </c>
      <c r="J1760">
        <v>0.65</v>
      </c>
      <c r="K1760"/>
    </row>
    <row r="1761">
      <c r="A1761" t="inlineStr">
        <is>
          <t>SURF_TRANSCUTOL_P</t>
        </is>
      </c>
      <c r="B1761" t="inlineStr">
        <is>
          <t>route_suitability</t>
        </is>
      </c>
      <c r="C1761" t="inlineStr">
        <is>
          <t>oral/topical; parenteral/inhalation only if grade and safety justified</t>
        </is>
      </c>
      <c r="D1761"/>
      <c r="E1761"/>
      <c r="F1761"/>
      <c r="G1761" t="inlineStr">
        <is>
          <t>route precedent heuristic</t>
        </is>
      </c>
      <c r="H1761" t="inlineStr">
        <is>
          <t>S008_FDA_IID</t>
        </is>
      </c>
      <c r="I1761" t="inlineStr">
        <is>
          <t>curated</t>
        </is>
      </c>
      <c r="J1761">
        <v>0.55</v>
      </c>
      <c r="K1761"/>
    </row>
    <row r="1762">
      <c r="A1762" t="inlineStr">
        <is>
          <t>SURF_TRANSCUTOL_P</t>
        </is>
      </c>
      <c r="B1762" t="inlineStr">
        <is>
          <t>toxicity_or_irritancy_notes</t>
        </is>
      </c>
      <c r="C1762" t="inlineStr">
        <is>
          <t>surfactant irritation/hemolysis is concentration-, route-, and grade-dependent; screen cytotoxicity and osmolality</t>
        </is>
      </c>
      <c r="D1762"/>
      <c r="E1762"/>
      <c r="F1762"/>
      <c r="G1762"/>
      <c r="H1762" t="inlineStr">
        <is>
          <t>S007_EXCIPIENTS_HANDBOOK</t>
        </is>
      </c>
      <c r="I1762" t="inlineStr">
        <is>
          <t>curated</t>
        </is>
      </c>
      <c r="J1762">
        <v>0.7</v>
      </c>
      <c r="K1762"/>
    </row>
    <row r="1763">
      <c r="A1763" t="inlineStr">
        <is>
          <t>SURF_TRANSCUTOL_P</t>
        </is>
      </c>
      <c r="B1763" t="inlineStr">
        <is>
          <t>Hansen_delta_D</t>
        </is>
      </c>
      <c r="C1763">
        <v>17.0</v>
      </c>
      <c r="D1763" t="inlineStr">
        <is>
          <t>MPa^0.5</t>
        </is>
      </c>
      <c r="E1763"/>
      <c r="F1763"/>
      <c r="G1763" t="inlineStr">
        <is>
          <t>heuristic group-contribution/nearest-neighbour</t>
        </is>
      </c>
      <c r="H1763" t="inlineStr">
        <is>
          <t>S013_EST_HSP_HEURISTIC</t>
        </is>
      </c>
      <c r="I1763" t="inlineStr">
        <is>
          <t>estimated</t>
        </is>
      </c>
      <c r="J1763">
        <v>0.4</v>
      </c>
      <c r="K1763" t="inlineStr">
        <is>
          <t>Provisional HSP for screening; replace with experimental/literature value before model lock.</t>
        </is>
      </c>
    </row>
    <row r="1764">
      <c r="A1764" t="inlineStr">
        <is>
          <t>SURF_TRANSCUTOL_P</t>
        </is>
      </c>
      <c r="B1764" t="inlineStr">
        <is>
          <t>Hansen_delta_P</t>
        </is>
      </c>
      <c r="C1764">
        <v>4.0</v>
      </c>
      <c r="D1764" t="inlineStr">
        <is>
          <t>MPa^0.5</t>
        </is>
      </c>
      <c r="E1764"/>
      <c r="F1764"/>
      <c r="G1764" t="inlineStr">
        <is>
          <t>heuristic group-contribution/nearest-neighbour</t>
        </is>
      </c>
      <c r="H1764" t="inlineStr">
        <is>
          <t>S013_EST_HSP_HEURISTIC</t>
        </is>
      </c>
      <c r="I1764" t="inlineStr">
        <is>
          <t>estimated</t>
        </is>
      </c>
      <c r="J1764">
        <v>0.4</v>
      </c>
      <c r="K1764" t="inlineStr">
        <is>
          <t>Provisional HSP for screening; replace with experimental/literature value before model lock.</t>
        </is>
      </c>
    </row>
    <row r="1765">
      <c r="A1765" t="inlineStr">
        <is>
          <t>SURF_TRANSCUTOL_P</t>
        </is>
      </c>
      <c r="B1765" t="inlineStr">
        <is>
          <t>Hansen_delta_H</t>
        </is>
      </c>
      <c r="C1765">
        <v>7.0</v>
      </c>
      <c r="D1765" t="inlineStr">
        <is>
          <t>MPa^0.5</t>
        </is>
      </c>
      <c r="E1765"/>
      <c r="F1765"/>
      <c r="G1765" t="inlineStr">
        <is>
          <t>heuristic group-contribution/nearest-neighbour</t>
        </is>
      </c>
      <c r="H1765" t="inlineStr">
        <is>
          <t>S013_EST_HSP_HEURISTIC</t>
        </is>
      </c>
      <c r="I1765" t="inlineStr">
        <is>
          <t>estimated</t>
        </is>
      </c>
      <c r="J1765">
        <v>0.4</v>
      </c>
      <c r="K1765" t="inlineStr">
        <is>
          <t>Provisional HSP for screening; replace with experimental/literature value before model lock.</t>
        </is>
      </c>
    </row>
    <row r="1766">
      <c r="A1766" t="inlineStr">
        <is>
          <t>SURF_TRANSCUTOL_P</t>
        </is>
      </c>
      <c r="B1766" t="inlineStr">
        <is>
          <t>Hildebrand_delta_T</t>
        </is>
      </c>
      <c r="C1766">
        <v>18.81</v>
      </c>
      <c r="D1766" t="inlineStr">
        <is>
          <t>MPa^0.5</t>
        </is>
      </c>
      <c r="E1766"/>
      <c r="F1766"/>
      <c r="G1766" t="inlineStr">
        <is>
          <t>sqrt(deltaD^2+deltaP^2+deltaH^2)</t>
        </is>
      </c>
      <c r="H1766" t="inlineStr">
        <is>
          <t>S012_CALCULATED</t>
        </is>
      </c>
      <c r="I1766" t="inlineStr">
        <is>
          <t>calculated</t>
        </is>
      </c>
      <c r="J1766">
        <v>0.45</v>
      </c>
      <c r="K1766" t="inlineStr">
        <is>
          <t>Derived from stored Hansen components.</t>
        </is>
      </c>
    </row>
    <row r="1767">
      <c r="A1767" t="inlineStr">
        <is>
          <t>SURF_TRANSCUTOL_P</t>
        </is>
      </c>
      <c r="B1767" t="inlineStr">
        <is>
          <t>HSP_radius_R0</t>
        </is>
      </c>
      <c r="C1767">
        <v>7.0</v>
      </c>
      <c r="D1767" t="inlineStr">
        <is>
          <t>MPa^0.5</t>
        </is>
      </c>
      <c r="E1767"/>
      <c r="F1767"/>
      <c r="G1767" t="inlineStr">
        <is>
          <t>literature/heuristic solubility sphere</t>
        </is>
      </c>
      <c r="H1767" t="inlineStr">
        <is>
          <t>S013_EST_HSP_HEURISTIC</t>
        </is>
      </c>
      <c r="I1767" t="inlineStr">
        <is>
          <t>estimated</t>
        </is>
      </c>
      <c r="J1767">
        <v>0.4</v>
      </c>
      <c r="K1767" t="inlineStr">
        <is>
          <t>Screening radius only unless experimentally determined.</t>
        </is>
      </c>
    </row>
    <row r="1768">
      <c r="A1768" t="inlineStr">
        <is>
          <t>SURF_TRANSCUTOL_P</t>
        </is>
      </c>
      <c r="B1768" t="inlineStr">
        <is>
          <t>molar_volume_cm3_mol</t>
        </is>
      </c>
      <c r="C1768">
        <v>136.91</v>
      </c>
      <c r="D1768" t="inlineStr">
        <is>
          <t>cm3/mol</t>
        </is>
      </c>
      <c r="E1768"/>
      <c r="F1768"/>
      <c r="G1768" t="inlineStr">
        <is>
          <t>MW/density estimate</t>
        </is>
      </c>
      <c r="H1768" t="inlineStr">
        <is>
          <t>S012_CALCULATED</t>
        </is>
      </c>
      <c r="I1768" t="inlineStr">
        <is>
          <t>estimated</t>
        </is>
      </c>
      <c r="J1768">
        <v>0.42</v>
      </c>
      <c r="K1768" t="inlineStr">
        <is>
          <t>Estimated from MW/density; replace with measured molar volume or density-specific grade data.</t>
        </is>
      </c>
    </row>
    <row r="1769">
      <c r="A1769" t="inlineStr">
        <is>
          <t>SURF_TRANSCUTOL_P</t>
        </is>
      </c>
      <c r="B1769" t="inlineStr">
        <is>
          <t>headgroup_area_nm2</t>
        </is>
      </c>
      <c r="C1769">
        <v>0.426</v>
      </c>
      <c r="D1769" t="inlineStr">
        <is>
          <t>nm2</t>
        </is>
      </c>
      <c r="E1769"/>
      <c r="F1769"/>
      <c r="G1769" t="inlineStr">
        <is>
          <t>CPP screening heuristic</t>
        </is>
      </c>
      <c r="H1769" t="inlineStr">
        <is>
          <t>S013_EST_HSP_HEURISTIC</t>
        </is>
      </c>
      <c r="I1769" t="inlineStr">
        <is>
          <t>estimated</t>
        </is>
      </c>
      <c r="J1769">
        <v>0.35</v>
      </c>
      <c r="K1769" t="inlineStr">
        <is>
          <t>Replace with monolayer or MD-derived area per molecule for publication-grade CPP.</t>
        </is>
      </c>
    </row>
    <row r="1770">
      <c r="A1770" t="inlineStr">
        <is>
          <t>SURF_VITAMIN_E_TPGS</t>
        </is>
      </c>
      <c r="B1770" t="inlineStr">
        <is>
          <t>molecular_weight_g_mol</t>
        </is>
      </c>
      <c r="C1770">
        <v>1513</v>
      </c>
      <c r="D1770" t="inlineStr">
        <is>
          <t>g/mol</t>
        </is>
      </c>
      <c r="E1770"/>
      <c r="F1770"/>
      <c r="G1770" t="inlineStr">
        <is>
          <t>supplier/handbook average for mixtures</t>
        </is>
      </c>
      <c r="H1770" t="inlineStr">
        <is>
          <t>S007_EXCIPIENTS_HANDBOOK</t>
        </is>
      </c>
      <c r="I1770" t="inlineStr">
        <is>
          <t>supplier-reported</t>
        </is>
      </c>
      <c r="J1770">
        <v>0.65</v>
      </c>
      <c r="K1770"/>
    </row>
    <row r="1771">
      <c r="A1771" t="inlineStr">
        <is>
          <t>SURF_VITAMIN_E_TPGS</t>
        </is>
      </c>
      <c r="B1771" t="inlineStr">
        <is>
          <t>HLB</t>
        </is>
      </c>
      <c r="C1771">
        <v>13.2</v>
      </c>
      <c r="D1771" t="inlineStr">
        <is>
          <t>HLB</t>
        </is>
      </c>
      <c r="E1771"/>
      <c r="F1771"/>
      <c r="G1771" t="inlineStr">
        <is>
          <t>Griffin/Davies HLB literature/supplier value</t>
        </is>
      </c>
      <c r="H1771" t="inlineStr">
        <is>
          <t>S007_EXCIPIENTS_HANDBOOK</t>
        </is>
      </c>
      <c r="I1771" t="inlineStr">
        <is>
          <t>supplier-reported</t>
        </is>
      </c>
      <c r="J1771">
        <v>0.75</v>
      </c>
      <c r="K1771" t="inlineStr">
        <is>
          <t>Grade-dependent; use supplier CoA when available.</t>
        </is>
      </c>
    </row>
    <row r="1772">
      <c r="A1772" t="inlineStr">
        <is>
          <t>SURF_VITAMIN_E_TPGS</t>
        </is>
      </c>
      <c r="B1772" t="inlineStr">
        <is>
          <t>headgroup_type</t>
        </is>
      </c>
      <c r="C1772" t="inlineStr">
        <is>
          <t>PEGylated tocopherol succinate</t>
        </is>
      </c>
      <c r="D1772"/>
      <c r="E1772"/>
      <c r="F1772"/>
      <c r="G1772" t="inlineStr">
        <is>
          <t>manual class annotation</t>
        </is>
      </c>
      <c r="H1772" t="inlineStr">
        <is>
          <t>S007_EXCIPIENTS_HANDBOOK</t>
        </is>
      </c>
      <c r="I1772" t="inlineStr">
        <is>
          <t>curated</t>
        </is>
      </c>
      <c r="J1772">
        <v>0.75</v>
      </c>
      <c r="K1772"/>
    </row>
    <row r="1773">
      <c r="A1773" t="inlineStr">
        <is>
          <t>SURF_VITAMIN_E_TPGS</t>
        </is>
      </c>
      <c r="B1773" t="inlineStr">
        <is>
          <t>tail_chain</t>
        </is>
      </c>
      <c r="C1773" t="inlineStr">
        <is>
          <t>tocopherol succinate + PEG1000</t>
        </is>
      </c>
      <c r="D1773"/>
      <c r="E1773"/>
      <c r="F1773"/>
      <c r="G1773" t="inlineStr">
        <is>
          <t>fatty-chain annotation</t>
        </is>
      </c>
      <c r="H1773" t="inlineStr">
        <is>
          <t>S007_EXCIPIENTS_HANDBOOK</t>
        </is>
      </c>
      <c r="I1773" t="inlineStr">
        <is>
          <t>curated</t>
        </is>
      </c>
      <c r="J1773">
        <v>0.8</v>
      </c>
      <c r="K1773"/>
    </row>
    <row r="1774">
      <c r="A1774" t="inlineStr">
        <is>
          <t>SURF_VITAMIN_E_TPGS</t>
        </is>
      </c>
      <c r="B1774" t="inlineStr">
        <is>
          <t>tail_carbons</t>
        </is>
      </c>
      <c r="C1774">
        <v>16</v>
      </c>
      <c r="D1774" t="inlineStr">
        <is>
          <t>count</t>
        </is>
      </c>
      <c r="E1774"/>
      <c r="F1774"/>
      <c r="G1774" t="inlineStr">
        <is>
          <t>fatty-chain annotation</t>
        </is>
      </c>
      <c r="H1774" t="inlineStr">
        <is>
          <t>S007_EXCIPIENTS_HANDBOOK</t>
        </is>
      </c>
      <c r="I1774" t="inlineStr">
        <is>
          <t>curated</t>
        </is>
      </c>
      <c r="J1774">
        <v>0.8</v>
      </c>
      <c r="K1774"/>
    </row>
    <row r="1775">
      <c r="A1775" t="inlineStr">
        <is>
          <t>SURF_VITAMIN_E_TPGS</t>
        </is>
      </c>
      <c r="B1775" t="inlineStr">
        <is>
          <t>tail_unsaturation</t>
        </is>
      </c>
      <c r="C1775">
        <v>0</v>
      </c>
      <c r="D1775" t="inlineStr">
        <is>
          <t>double_bonds</t>
        </is>
      </c>
      <c r="E1775"/>
      <c r="F1775"/>
      <c r="G1775" t="inlineStr">
        <is>
          <t>fatty-chain annotation</t>
        </is>
      </c>
      <c r="H1775" t="inlineStr">
        <is>
          <t>S007_EXCIPIENTS_HANDBOOK</t>
        </is>
      </c>
      <c r="I1775" t="inlineStr">
        <is>
          <t>curated</t>
        </is>
      </c>
      <c r="J1775">
        <v>0.8</v>
      </c>
      <c r="K1775"/>
    </row>
    <row r="1776">
      <c r="A1776" t="inlineStr">
        <is>
          <t>SURF_VITAMIN_E_TPGS</t>
        </is>
      </c>
      <c r="B1776" t="inlineStr">
        <is>
          <t>number_of_tails</t>
        </is>
      </c>
      <c r="C1776">
        <v>1</v>
      </c>
      <c r="D1776" t="inlineStr">
        <is>
          <t>count</t>
        </is>
      </c>
      <c r="E1776"/>
      <c r="F1776"/>
      <c r="G1776" t="inlineStr">
        <is>
          <t>fatty-chain annotation</t>
        </is>
      </c>
      <c r="H1776" t="inlineStr">
        <is>
          <t>S007_EXCIPIENTS_HANDBOOK</t>
        </is>
      </c>
      <c r="I1776" t="inlineStr">
        <is>
          <t>curated</t>
        </is>
      </c>
      <c r="J1776">
        <v>0.8</v>
      </c>
      <c r="K1776"/>
    </row>
    <row r="1777">
      <c r="A1777" t="inlineStr">
        <is>
          <t>SURF_VITAMIN_E_TPGS</t>
        </is>
      </c>
      <c r="B1777" t="inlineStr">
        <is>
          <t>charge_type</t>
        </is>
      </c>
      <c r="C1777" t="inlineStr">
        <is>
          <t>nonionic</t>
        </is>
      </c>
      <c r="D1777"/>
      <c r="E1777"/>
      <c r="F1777"/>
      <c r="G1777" t="inlineStr">
        <is>
          <t>ionization class</t>
        </is>
      </c>
      <c r="H1777" t="inlineStr">
        <is>
          <t>S007_EXCIPIENTS_HANDBOOK</t>
        </is>
      </c>
      <c r="I1777" t="inlineStr">
        <is>
          <t>curated</t>
        </is>
      </c>
      <c r="J1777">
        <v>0.85</v>
      </c>
      <c r="K1777"/>
    </row>
    <row r="1778">
      <c r="A1778" t="inlineStr">
        <is>
          <t>SURF_VITAMIN_E_TPGS</t>
        </is>
      </c>
      <c r="B1778" t="inlineStr">
        <is>
          <t>formal_charge</t>
        </is>
      </c>
      <c r="C1778">
        <v>0</v>
      </c>
      <c r="D1778" t="inlineStr">
        <is>
          <t>e</t>
        </is>
      </c>
      <c r="E1778"/>
      <c r="F1778"/>
      <c r="G1778" t="inlineStr">
        <is>
          <t>nominal at neutral pH</t>
        </is>
      </c>
      <c r="H1778" t="inlineStr">
        <is>
          <t>S007_EXCIPIENTS_HANDBOOK</t>
        </is>
      </c>
      <c r="I1778" t="inlineStr">
        <is>
          <t>curated</t>
        </is>
      </c>
      <c r="J1778">
        <v>0.85</v>
      </c>
      <c r="K1778"/>
    </row>
    <row r="1779">
      <c r="A1779" t="inlineStr">
        <is>
          <t>SURF_VITAMIN_E_TPGS</t>
        </is>
      </c>
      <c r="B1779" t="inlineStr">
        <is>
          <t>packing_role</t>
        </is>
      </c>
      <c r="C1779" t="inlineStr">
        <is>
          <t>edge activator / micellar solubilizer</t>
        </is>
      </c>
      <c r="D1779"/>
      <c r="E1779"/>
      <c r="F1779"/>
      <c r="G1779" t="inlineStr">
        <is>
          <t>HLB/chain-rule heuristic</t>
        </is>
      </c>
      <c r="H1779" t="inlineStr">
        <is>
          <t>S007_EXCIPIENTS_HANDBOOK</t>
        </is>
      </c>
      <c r="I1779" t="inlineStr">
        <is>
          <t>curated</t>
        </is>
      </c>
      <c r="J1779">
        <v>0.65</v>
      </c>
      <c r="K1779"/>
    </row>
    <row r="1780">
      <c r="A1780" t="inlineStr">
        <is>
          <t>SURF_VITAMIN_E_TPGS</t>
        </is>
      </c>
      <c r="B1780" t="inlineStr">
        <is>
          <t>edge_activator_flag</t>
        </is>
      </c>
      <c r="C1780" t="inlineStr">
        <is>
          <t>yes</t>
        </is>
      </c>
      <c r="D1780"/>
      <c r="E1780"/>
      <c r="F1780"/>
      <c r="G1780" t="inlineStr">
        <is>
          <t>HLB/charge heuristic</t>
        </is>
      </c>
      <c r="H1780" t="inlineStr">
        <is>
          <t>S007_EXCIPIENTS_HANDBOOK</t>
        </is>
      </c>
      <c r="I1780" t="inlineStr">
        <is>
          <t>curated</t>
        </is>
      </c>
      <c r="J1780">
        <v>0.7</v>
      </c>
      <c r="K1780"/>
    </row>
    <row r="1781">
      <c r="A1781" t="inlineStr">
        <is>
          <t>SURF_VITAMIN_E_TPGS</t>
        </is>
      </c>
      <c r="B1781" t="inlineStr">
        <is>
          <t>vesicle_anchor_flag</t>
        </is>
      </c>
      <c r="C1781" t="inlineStr">
        <is>
          <t>weak/conditional</t>
        </is>
      </c>
      <c r="D1781"/>
      <c r="E1781"/>
      <c r="F1781"/>
      <c r="G1781" t="inlineStr">
        <is>
          <t>chain-length and HLB heuristic</t>
        </is>
      </c>
      <c r="H1781" t="inlineStr">
        <is>
          <t>S007_EXCIPIENTS_HANDBOOK</t>
        </is>
      </c>
      <c r="I1781" t="inlineStr">
        <is>
          <t>curated</t>
        </is>
      </c>
      <c r="J1781">
        <v>0.7</v>
      </c>
      <c r="K1781"/>
    </row>
    <row r="1782">
      <c r="A1782" t="inlineStr">
        <is>
          <t>SURF_VITAMIN_E_TPGS</t>
        </is>
      </c>
      <c r="B1782" t="inlineStr">
        <is>
          <t>micellization_risk_flag</t>
        </is>
      </c>
      <c r="C1782" t="inlineStr">
        <is>
          <t>high</t>
        </is>
      </c>
      <c r="D1782"/>
      <c r="E1782"/>
      <c r="F1782"/>
      <c r="G1782" t="inlineStr">
        <is>
          <t>HLB heuristic</t>
        </is>
      </c>
      <c r="H1782" t="inlineStr">
        <is>
          <t>S007_EXCIPIENTS_HANDBOOK</t>
        </is>
      </c>
      <c r="I1782" t="inlineStr">
        <is>
          <t>curated</t>
        </is>
      </c>
      <c r="J1782">
        <v>0.65</v>
      </c>
      <c r="K1782"/>
    </row>
    <row r="1783">
      <c r="A1783" t="inlineStr">
        <is>
          <t>SURF_VITAMIN_E_TPGS</t>
        </is>
      </c>
      <c r="B1783" t="inlineStr">
        <is>
          <t>route_suitability</t>
        </is>
      </c>
      <c r="C1783" t="inlineStr">
        <is>
          <t>oral/topical; parenteral/inhalation only if grade and safety justified</t>
        </is>
      </c>
      <c r="D1783"/>
      <c r="E1783"/>
      <c r="F1783"/>
      <c r="G1783" t="inlineStr">
        <is>
          <t>route precedent heuristic</t>
        </is>
      </c>
      <c r="H1783" t="inlineStr">
        <is>
          <t>S008_FDA_IID</t>
        </is>
      </c>
      <c r="I1783" t="inlineStr">
        <is>
          <t>curated</t>
        </is>
      </c>
      <c r="J1783">
        <v>0.55</v>
      </c>
      <c r="K1783"/>
    </row>
    <row r="1784">
      <c r="A1784" t="inlineStr">
        <is>
          <t>SURF_VITAMIN_E_TPGS</t>
        </is>
      </c>
      <c r="B1784" t="inlineStr">
        <is>
          <t>toxicity_or_irritancy_notes</t>
        </is>
      </c>
      <c r="C1784" t="inlineStr">
        <is>
          <t>surfactant irritation/hemolysis is concentration-, route-, and grade-dependent; screen cytotoxicity and osmolality</t>
        </is>
      </c>
      <c r="D1784"/>
      <c r="E1784"/>
      <c r="F1784"/>
      <c r="G1784"/>
      <c r="H1784" t="inlineStr">
        <is>
          <t>S007_EXCIPIENTS_HANDBOOK</t>
        </is>
      </c>
      <c r="I1784" t="inlineStr">
        <is>
          <t>curated</t>
        </is>
      </c>
      <c r="J1784">
        <v>0.7</v>
      </c>
      <c r="K1784"/>
    </row>
    <row r="1785">
      <c r="A1785" t="inlineStr">
        <is>
          <t>SURF_VITAMIN_E_TPGS</t>
        </is>
      </c>
      <c r="B1785" t="inlineStr">
        <is>
          <t>Hansen_delta_D</t>
        </is>
      </c>
      <c r="C1785">
        <v>17.3</v>
      </c>
      <c r="D1785" t="inlineStr">
        <is>
          <t>MPa^0.5</t>
        </is>
      </c>
      <c r="E1785"/>
      <c r="F1785"/>
      <c r="G1785" t="inlineStr">
        <is>
          <t>heuristic group-contribution/nearest-neighbour</t>
        </is>
      </c>
      <c r="H1785" t="inlineStr">
        <is>
          <t>S013_EST_HSP_HEURISTIC</t>
        </is>
      </c>
      <c r="I1785" t="inlineStr">
        <is>
          <t>estimated</t>
        </is>
      </c>
      <c r="J1785">
        <v>0.4</v>
      </c>
      <c r="K1785" t="inlineStr">
        <is>
          <t>Provisional HSP for screening; replace with experimental/literature value before model lock.</t>
        </is>
      </c>
    </row>
    <row r="1786">
      <c r="A1786" t="inlineStr">
        <is>
          <t>SURF_VITAMIN_E_TPGS</t>
        </is>
      </c>
      <c r="B1786" t="inlineStr">
        <is>
          <t>Hansen_delta_P</t>
        </is>
      </c>
      <c r="C1786">
        <v>6.5</v>
      </c>
      <c r="D1786" t="inlineStr">
        <is>
          <t>MPa^0.5</t>
        </is>
      </c>
      <c r="E1786"/>
      <c r="F1786"/>
      <c r="G1786" t="inlineStr">
        <is>
          <t>heuristic group-contribution/nearest-neighbour</t>
        </is>
      </c>
      <c r="H1786" t="inlineStr">
        <is>
          <t>S013_EST_HSP_HEURISTIC</t>
        </is>
      </c>
      <c r="I1786" t="inlineStr">
        <is>
          <t>estimated</t>
        </is>
      </c>
      <c r="J1786">
        <v>0.4</v>
      </c>
      <c r="K1786" t="inlineStr">
        <is>
          <t>Provisional HSP for screening; replace with experimental/literature value before model lock.</t>
        </is>
      </c>
    </row>
    <row r="1787">
      <c r="A1787" t="inlineStr">
        <is>
          <t>SURF_VITAMIN_E_TPGS</t>
        </is>
      </c>
      <c r="B1787" t="inlineStr">
        <is>
          <t>Hansen_delta_H</t>
        </is>
      </c>
      <c r="C1787">
        <v>10.5</v>
      </c>
      <c r="D1787" t="inlineStr">
        <is>
          <t>MPa^0.5</t>
        </is>
      </c>
      <c r="E1787"/>
      <c r="F1787"/>
      <c r="G1787" t="inlineStr">
        <is>
          <t>heuristic group-contribution/nearest-neighbour</t>
        </is>
      </c>
      <c r="H1787" t="inlineStr">
        <is>
          <t>S013_EST_HSP_HEURISTIC</t>
        </is>
      </c>
      <c r="I1787" t="inlineStr">
        <is>
          <t>estimated</t>
        </is>
      </c>
      <c r="J1787">
        <v>0.4</v>
      </c>
      <c r="K1787" t="inlineStr">
        <is>
          <t>Provisional HSP for screening; replace with experimental/literature value before model lock.</t>
        </is>
      </c>
    </row>
    <row r="1788">
      <c r="A1788" t="inlineStr">
        <is>
          <t>SURF_VITAMIN_E_TPGS</t>
        </is>
      </c>
      <c r="B1788" t="inlineStr">
        <is>
          <t>Hildebrand_delta_T</t>
        </is>
      </c>
      <c r="C1788">
        <v>21.26</v>
      </c>
      <c r="D1788" t="inlineStr">
        <is>
          <t>MPa^0.5</t>
        </is>
      </c>
      <c r="E1788"/>
      <c r="F1788"/>
      <c r="G1788" t="inlineStr">
        <is>
          <t>sqrt(deltaD^2+deltaP^2+deltaH^2)</t>
        </is>
      </c>
      <c r="H1788" t="inlineStr">
        <is>
          <t>S012_CALCULATED</t>
        </is>
      </c>
      <c r="I1788" t="inlineStr">
        <is>
          <t>calculated</t>
        </is>
      </c>
      <c r="J1788">
        <v>0.45</v>
      </c>
      <c r="K1788" t="inlineStr">
        <is>
          <t>Derived from stored Hansen components.</t>
        </is>
      </c>
    </row>
    <row r="1789">
      <c r="A1789" t="inlineStr">
        <is>
          <t>SURF_VITAMIN_E_TPGS</t>
        </is>
      </c>
      <c r="B1789" t="inlineStr">
        <is>
          <t>HSP_radius_R0</t>
        </is>
      </c>
      <c r="C1789">
        <v>8.0</v>
      </c>
      <c r="D1789" t="inlineStr">
        <is>
          <t>MPa^0.5</t>
        </is>
      </c>
      <c r="E1789"/>
      <c r="F1789"/>
      <c r="G1789" t="inlineStr">
        <is>
          <t>literature/heuristic solubility sphere</t>
        </is>
      </c>
      <c r="H1789" t="inlineStr">
        <is>
          <t>S013_EST_HSP_HEURISTIC</t>
        </is>
      </c>
      <c r="I1789" t="inlineStr">
        <is>
          <t>estimated</t>
        </is>
      </c>
      <c r="J1789">
        <v>0.4</v>
      </c>
      <c r="K1789" t="inlineStr">
        <is>
          <t>Screening radius only unless experimentally determined.</t>
        </is>
      </c>
    </row>
    <row r="1790">
      <c r="A1790" t="inlineStr">
        <is>
          <t>SURF_VITAMIN_E_TPGS</t>
        </is>
      </c>
      <c r="B1790" t="inlineStr">
        <is>
          <t>molar_volume_cm3_mol</t>
        </is>
      </c>
      <c r="C1790">
        <v>1440.95</v>
      </c>
      <c r="D1790" t="inlineStr">
        <is>
          <t>cm3/mol</t>
        </is>
      </c>
      <c r="E1790"/>
      <c r="F1790"/>
      <c r="G1790" t="inlineStr">
        <is>
          <t>MW/density estimate</t>
        </is>
      </c>
      <c r="H1790" t="inlineStr">
        <is>
          <t>S012_CALCULATED</t>
        </is>
      </c>
      <c r="I1790" t="inlineStr">
        <is>
          <t>estimated</t>
        </is>
      </c>
      <c r="J1790">
        <v>0.42</v>
      </c>
      <c r="K1790" t="inlineStr">
        <is>
          <t>Estimated from MW/density; replace with measured molar volume or density-specific grade data.</t>
        </is>
      </c>
    </row>
    <row r="1791">
      <c r="A1791" t="inlineStr">
        <is>
          <t>SURF_VITAMIN_E_TPGS</t>
        </is>
      </c>
      <c r="B1791" t="inlineStr">
        <is>
          <t>headgroup_area_nm2</t>
        </is>
      </c>
      <c r="C1791">
        <v>0.588</v>
      </c>
      <c r="D1791" t="inlineStr">
        <is>
          <t>nm2</t>
        </is>
      </c>
      <c r="E1791"/>
      <c r="F1791"/>
      <c r="G1791" t="inlineStr">
        <is>
          <t>CPP screening heuristic</t>
        </is>
      </c>
      <c r="H1791" t="inlineStr">
        <is>
          <t>S013_EST_HSP_HEURISTIC</t>
        </is>
      </c>
      <c r="I1791" t="inlineStr">
        <is>
          <t>estimated</t>
        </is>
      </c>
      <c r="J1791">
        <v>0.35</v>
      </c>
      <c r="K1791" t="inlineStr">
        <is>
          <t>Replace with monolayer or MD-derived area per molecule for publication-grade CPP.</t>
        </is>
      </c>
    </row>
    <row r="1792">
      <c r="A1792" t="inlineStr">
        <is>
          <t>SURF_SLS_SODIUM_LAURYL_SULFATE</t>
        </is>
      </c>
      <c r="B1792" t="inlineStr">
        <is>
          <t>molecular_weight_g_mol</t>
        </is>
      </c>
      <c r="C1792">
        <v>288.38</v>
      </c>
      <c r="D1792" t="inlineStr">
        <is>
          <t>g/mol</t>
        </is>
      </c>
      <c r="E1792"/>
      <c r="F1792"/>
      <c r="G1792" t="inlineStr">
        <is>
          <t>supplier/handbook average for mixtures</t>
        </is>
      </c>
      <c r="H1792" t="inlineStr">
        <is>
          <t>S007_EXCIPIENTS_HANDBOOK</t>
        </is>
      </c>
      <c r="I1792" t="inlineStr">
        <is>
          <t>supplier-reported</t>
        </is>
      </c>
      <c r="J1792">
        <v>0.65</v>
      </c>
      <c r="K1792"/>
    </row>
    <row r="1793">
      <c r="A1793" t="inlineStr">
        <is>
          <t>SURF_SLS_SODIUM_LAURYL_SULFATE</t>
        </is>
      </c>
      <c r="B1793" t="inlineStr">
        <is>
          <t>HLB</t>
        </is>
      </c>
      <c r="C1793">
        <v>40</v>
      </c>
      <c r="D1793" t="inlineStr">
        <is>
          <t>HLB</t>
        </is>
      </c>
      <c r="E1793"/>
      <c r="F1793"/>
      <c r="G1793" t="inlineStr">
        <is>
          <t>Griffin/Davies HLB literature/supplier value</t>
        </is>
      </c>
      <c r="H1793" t="inlineStr">
        <is>
          <t>S007_EXCIPIENTS_HANDBOOK</t>
        </is>
      </c>
      <c r="I1793" t="inlineStr">
        <is>
          <t>supplier-reported</t>
        </is>
      </c>
      <c r="J1793">
        <v>0.75</v>
      </c>
      <c r="K1793" t="inlineStr">
        <is>
          <t>Grade-dependent; use supplier CoA when available.</t>
        </is>
      </c>
    </row>
    <row r="1794">
      <c r="A1794" t="inlineStr">
        <is>
          <t>SURF_SLS_SODIUM_LAURYL_SULFATE</t>
        </is>
      </c>
      <c r="B1794" t="inlineStr">
        <is>
          <t>headgroup_type</t>
        </is>
      </c>
      <c r="C1794" t="inlineStr">
        <is>
          <t>sulfate</t>
        </is>
      </c>
      <c r="D1794"/>
      <c r="E1794"/>
      <c r="F1794"/>
      <c r="G1794" t="inlineStr">
        <is>
          <t>manual class annotation</t>
        </is>
      </c>
      <c r="H1794" t="inlineStr">
        <is>
          <t>S007_EXCIPIENTS_HANDBOOK</t>
        </is>
      </c>
      <c r="I1794" t="inlineStr">
        <is>
          <t>curated</t>
        </is>
      </c>
      <c r="J1794">
        <v>0.75</v>
      </c>
      <c r="K1794"/>
    </row>
    <row r="1795">
      <c r="A1795" t="inlineStr">
        <is>
          <t>SURF_SLS_SODIUM_LAURYL_SULFATE</t>
        </is>
      </c>
      <c r="B1795" t="inlineStr">
        <is>
          <t>tail_chain</t>
        </is>
      </c>
      <c r="C1795" t="inlineStr">
        <is>
          <t>C12:0 sulfate</t>
        </is>
      </c>
      <c r="D1795"/>
      <c r="E1795"/>
      <c r="F1795"/>
      <c r="G1795" t="inlineStr">
        <is>
          <t>fatty-chain annotation</t>
        </is>
      </c>
      <c r="H1795" t="inlineStr">
        <is>
          <t>S007_EXCIPIENTS_HANDBOOK</t>
        </is>
      </c>
      <c r="I1795" t="inlineStr">
        <is>
          <t>curated</t>
        </is>
      </c>
      <c r="J1795">
        <v>0.8</v>
      </c>
      <c r="K1795"/>
    </row>
    <row r="1796">
      <c r="A1796" t="inlineStr">
        <is>
          <t>SURF_SLS_SODIUM_LAURYL_SULFATE</t>
        </is>
      </c>
      <c r="B1796" t="inlineStr">
        <is>
          <t>tail_carbons</t>
        </is>
      </c>
      <c r="C1796">
        <v>12</v>
      </c>
      <c r="D1796" t="inlineStr">
        <is>
          <t>count</t>
        </is>
      </c>
      <c r="E1796"/>
      <c r="F1796"/>
      <c r="G1796" t="inlineStr">
        <is>
          <t>fatty-chain annotation</t>
        </is>
      </c>
      <c r="H1796" t="inlineStr">
        <is>
          <t>S007_EXCIPIENTS_HANDBOOK</t>
        </is>
      </c>
      <c r="I1796" t="inlineStr">
        <is>
          <t>curated</t>
        </is>
      </c>
      <c r="J1796">
        <v>0.8</v>
      </c>
      <c r="K1796"/>
    </row>
    <row r="1797">
      <c r="A1797" t="inlineStr">
        <is>
          <t>SURF_SLS_SODIUM_LAURYL_SULFATE</t>
        </is>
      </c>
      <c r="B1797" t="inlineStr">
        <is>
          <t>tail_unsaturation</t>
        </is>
      </c>
      <c r="C1797">
        <v>0</v>
      </c>
      <c r="D1797" t="inlineStr">
        <is>
          <t>double_bonds</t>
        </is>
      </c>
      <c r="E1797"/>
      <c r="F1797"/>
      <c r="G1797" t="inlineStr">
        <is>
          <t>fatty-chain annotation</t>
        </is>
      </c>
      <c r="H1797" t="inlineStr">
        <is>
          <t>S007_EXCIPIENTS_HANDBOOK</t>
        </is>
      </c>
      <c r="I1797" t="inlineStr">
        <is>
          <t>curated</t>
        </is>
      </c>
      <c r="J1797">
        <v>0.8</v>
      </c>
      <c r="K1797"/>
    </row>
    <row r="1798">
      <c r="A1798" t="inlineStr">
        <is>
          <t>SURF_SLS_SODIUM_LAURYL_SULFATE</t>
        </is>
      </c>
      <c r="B1798" t="inlineStr">
        <is>
          <t>number_of_tails</t>
        </is>
      </c>
      <c r="C1798">
        <v>1</v>
      </c>
      <c r="D1798" t="inlineStr">
        <is>
          <t>count</t>
        </is>
      </c>
      <c r="E1798"/>
      <c r="F1798"/>
      <c r="G1798" t="inlineStr">
        <is>
          <t>fatty-chain annotation</t>
        </is>
      </c>
      <c r="H1798" t="inlineStr">
        <is>
          <t>S007_EXCIPIENTS_HANDBOOK</t>
        </is>
      </c>
      <c r="I1798" t="inlineStr">
        <is>
          <t>curated</t>
        </is>
      </c>
      <c r="J1798">
        <v>0.8</v>
      </c>
      <c r="K1798"/>
    </row>
    <row r="1799">
      <c r="A1799" t="inlineStr">
        <is>
          <t>SURF_SLS_SODIUM_LAURYL_SULFATE</t>
        </is>
      </c>
      <c r="B1799" t="inlineStr">
        <is>
          <t>charge_type</t>
        </is>
      </c>
      <c r="C1799" t="inlineStr">
        <is>
          <t>anionic</t>
        </is>
      </c>
      <c r="D1799"/>
      <c r="E1799"/>
      <c r="F1799"/>
      <c r="G1799" t="inlineStr">
        <is>
          <t>ionization class</t>
        </is>
      </c>
      <c r="H1799" t="inlineStr">
        <is>
          <t>S007_EXCIPIENTS_HANDBOOK</t>
        </is>
      </c>
      <c r="I1799" t="inlineStr">
        <is>
          <t>curated</t>
        </is>
      </c>
      <c r="J1799">
        <v>0.85</v>
      </c>
      <c r="K1799"/>
    </row>
    <row r="1800">
      <c r="A1800" t="inlineStr">
        <is>
          <t>SURF_SLS_SODIUM_LAURYL_SULFATE</t>
        </is>
      </c>
      <c r="B1800" t="inlineStr">
        <is>
          <t>formal_charge</t>
        </is>
      </c>
      <c r="C1800">
        <v>-1</v>
      </c>
      <c r="D1800" t="inlineStr">
        <is>
          <t>e</t>
        </is>
      </c>
      <c r="E1800"/>
      <c r="F1800"/>
      <c r="G1800" t="inlineStr">
        <is>
          <t>nominal at neutral pH</t>
        </is>
      </c>
      <c r="H1800" t="inlineStr">
        <is>
          <t>S007_EXCIPIENTS_HANDBOOK</t>
        </is>
      </c>
      <c r="I1800" t="inlineStr">
        <is>
          <t>curated</t>
        </is>
      </c>
      <c r="J1800">
        <v>0.85</v>
      </c>
      <c r="K1800"/>
    </row>
    <row r="1801">
      <c r="A1801" t="inlineStr">
        <is>
          <t>SURF_SLS_SODIUM_LAURYL_SULFATE</t>
        </is>
      </c>
      <c r="B1801" t="inlineStr">
        <is>
          <t>packing_role</t>
        </is>
      </c>
      <c r="C1801" t="inlineStr">
        <is>
          <t>edge activator / micellar solubilizer</t>
        </is>
      </c>
      <c r="D1801"/>
      <c r="E1801"/>
      <c r="F1801"/>
      <c r="G1801" t="inlineStr">
        <is>
          <t>HLB/chain-rule heuristic</t>
        </is>
      </c>
      <c r="H1801" t="inlineStr">
        <is>
          <t>S007_EXCIPIENTS_HANDBOOK</t>
        </is>
      </c>
      <c r="I1801" t="inlineStr">
        <is>
          <t>curated</t>
        </is>
      </c>
      <c r="J1801">
        <v>0.65</v>
      </c>
      <c r="K1801"/>
    </row>
    <row r="1802">
      <c r="A1802" t="inlineStr">
        <is>
          <t>SURF_SLS_SODIUM_LAURYL_SULFATE</t>
        </is>
      </c>
      <c r="B1802" t="inlineStr">
        <is>
          <t>edge_activator_flag</t>
        </is>
      </c>
      <c r="C1802" t="inlineStr">
        <is>
          <t>yes</t>
        </is>
      </c>
      <c r="D1802"/>
      <c r="E1802"/>
      <c r="F1802"/>
      <c r="G1802" t="inlineStr">
        <is>
          <t>HLB/charge heuristic</t>
        </is>
      </c>
      <c r="H1802" t="inlineStr">
        <is>
          <t>S007_EXCIPIENTS_HANDBOOK</t>
        </is>
      </c>
      <c r="I1802" t="inlineStr">
        <is>
          <t>curated</t>
        </is>
      </c>
      <c r="J1802">
        <v>0.7</v>
      </c>
      <c r="K1802"/>
    </row>
    <row r="1803">
      <c r="A1803" t="inlineStr">
        <is>
          <t>SURF_SLS_SODIUM_LAURYL_SULFATE</t>
        </is>
      </c>
      <c r="B1803" t="inlineStr">
        <is>
          <t>vesicle_anchor_flag</t>
        </is>
      </c>
      <c r="C1803" t="inlineStr">
        <is>
          <t>weak/conditional</t>
        </is>
      </c>
      <c r="D1803"/>
      <c r="E1803"/>
      <c r="F1803"/>
      <c r="G1803" t="inlineStr">
        <is>
          <t>chain-length and HLB heuristic</t>
        </is>
      </c>
      <c r="H1803" t="inlineStr">
        <is>
          <t>S007_EXCIPIENTS_HANDBOOK</t>
        </is>
      </c>
      <c r="I1803" t="inlineStr">
        <is>
          <t>curated</t>
        </is>
      </c>
      <c r="J1803">
        <v>0.7</v>
      </c>
      <c r="K1803"/>
    </row>
    <row r="1804">
      <c r="A1804" t="inlineStr">
        <is>
          <t>SURF_SLS_SODIUM_LAURYL_SULFATE</t>
        </is>
      </c>
      <c r="B1804" t="inlineStr">
        <is>
          <t>micellization_risk_flag</t>
        </is>
      </c>
      <c r="C1804" t="inlineStr">
        <is>
          <t>high</t>
        </is>
      </c>
      <c r="D1804"/>
      <c r="E1804"/>
      <c r="F1804"/>
      <c r="G1804" t="inlineStr">
        <is>
          <t>HLB heuristic</t>
        </is>
      </c>
      <c r="H1804" t="inlineStr">
        <is>
          <t>S007_EXCIPIENTS_HANDBOOK</t>
        </is>
      </c>
      <c r="I1804" t="inlineStr">
        <is>
          <t>curated</t>
        </is>
      </c>
      <c r="J1804">
        <v>0.65</v>
      </c>
      <c r="K1804"/>
    </row>
    <row r="1805">
      <c r="A1805" t="inlineStr">
        <is>
          <t>SURF_SLS_SODIUM_LAURYL_SULFATE</t>
        </is>
      </c>
      <c r="B1805" t="inlineStr">
        <is>
          <t>route_suitability</t>
        </is>
      </c>
      <c r="C1805" t="inlineStr">
        <is>
          <t>oral/topical; parenteral/inhalation only if grade and safety justified</t>
        </is>
      </c>
      <c r="D1805"/>
      <c r="E1805"/>
      <c r="F1805"/>
      <c r="G1805" t="inlineStr">
        <is>
          <t>route precedent heuristic</t>
        </is>
      </c>
      <c r="H1805" t="inlineStr">
        <is>
          <t>S008_FDA_IID</t>
        </is>
      </c>
      <c r="I1805" t="inlineStr">
        <is>
          <t>curated</t>
        </is>
      </c>
      <c r="J1805">
        <v>0.55</v>
      </c>
      <c r="K1805"/>
    </row>
    <row r="1806">
      <c r="A1806" t="inlineStr">
        <is>
          <t>SURF_SLS_SODIUM_LAURYL_SULFATE</t>
        </is>
      </c>
      <c r="B1806" t="inlineStr">
        <is>
          <t>toxicity_or_irritancy_notes</t>
        </is>
      </c>
      <c r="C1806" t="inlineStr">
        <is>
          <t>surfactant irritation/hemolysis is concentration-, route-, and grade-dependent; screen cytotoxicity and osmolality</t>
        </is>
      </c>
      <c r="D1806"/>
      <c r="E1806"/>
      <c r="F1806"/>
      <c r="G1806"/>
      <c r="H1806" t="inlineStr">
        <is>
          <t>S007_EXCIPIENTS_HANDBOOK</t>
        </is>
      </c>
      <c r="I1806" t="inlineStr">
        <is>
          <t>curated</t>
        </is>
      </c>
      <c r="J1806">
        <v>0.7</v>
      </c>
      <c r="K1806"/>
    </row>
    <row r="1807">
      <c r="A1807" t="inlineStr">
        <is>
          <t>SURF_SLS_SODIUM_LAURYL_SULFATE</t>
        </is>
      </c>
      <c r="B1807" t="inlineStr">
        <is>
          <t>CMC_mM</t>
        </is>
      </c>
      <c r="C1807">
        <v>8.2</v>
      </c>
      <c r="D1807" t="inlineStr">
        <is>
          <t>mM</t>
        </is>
      </c>
      <c r="E1807"/>
      <c r="F1807"/>
      <c r="G1807" t="inlineStr">
        <is>
          <t>CMC in water; temperature/electrolyte dependent</t>
        </is>
      </c>
      <c r="H1807" t="inlineStr">
        <is>
          <t>S007_EXCIPIENTS_HANDBOOK</t>
        </is>
      </c>
      <c r="I1807" t="inlineStr">
        <is>
          <t>literature</t>
        </is>
      </c>
      <c r="J1807">
        <v>0.55</v>
      </c>
      <c r="K1807"/>
    </row>
    <row r="1808">
      <c r="A1808" t="inlineStr">
        <is>
          <t>SURF_SLS_SODIUM_LAURYL_SULFATE</t>
        </is>
      </c>
      <c r="B1808" t="inlineStr">
        <is>
          <t>Hansen_delta_D</t>
        </is>
      </c>
      <c r="C1808">
        <v>17.2</v>
      </c>
      <c r="D1808" t="inlineStr">
        <is>
          <t>MPa^0.5</t>
        </is>
      </c>
      <c r="E1808"/>
      <c r="F1808"/>
      <c r="G1808" t="inlineStr">
        <is>
          <t>heuristic group-contribution/nearest-neighbour</t>
        </is>
      </c>
      <c r="H1808" t="inlineStr">
        <is>
          <t>S013_EST_HSP_HEURISTIC</t>
        </is>
      </c>
      <c r="I1808" t="inlineStr">
        <is>
          <t>estimated</t>
        </is>
      </c>
      <c r="J1808">
        <v>0.4</v>
      </c>
      <c r="K1808" t="inlineStr">
        <is>
          <t>Provisional HSP for screening; replace with experimental/literature value before model lock.</t>
        </is>
      </c>
    </row>
    <row r="1809">
      <c r="A1809" t="inlineStr">
        <is>
          <t>SURF_SLS_SODIUM_LAURYL_SULFATE</t>
        </is>
      </c>
      <c r="B1809" t="inlineStr">
        <is>
          <t>Hansen_delta_P</t>
        </is>
      </c>
      <c r="C1809">
        <v>8.5</v>
      </c>
      <c r="D1809" t="inlineStr">
        <is>
          <t>MPa^0.5</t>
        </is>
      </c>
      <c r="E1809"/>
      <c r="F1809"/>
      <c r="G1809" t="inlineStr">
        <is>
          <t>heuristic group-contribution/nearest-neighbour</t>
        </is>
      </c>
      <c r="H1809" t="inlineStr">
        <is>
          <t>S013_EST_HSP_HEURISTIC</t>
        </is>
      </c>
      <c r="I1809" t="inlineStr">
        <is>
          <t>estimated</t>
        </is>
      </c>
      <c r="J1809">
        <v>0.4</v>
      </c>
      <c r="K1809" t="inlineStr">
        <is>
          <t>Provisional HSP for screening; replace with experimental/literature value before model lock.</t>
        </is>
      </c>
    </row>
    <row r="1810">
      <c r="A1810" t="inlineStr">
        <is>
          <t>SURF_SLS_SODIUM_LAURYL_SULFATE</t>
        </is>
      </c>
      <c r="B1810" t="inlineStr">
        <is>
          <t>Hansen_delta_H</t>
        </is>
      </c>
      <c r="C1810">
        <v>14.0</v>
      </c>
      <c r="D1810" t="inlineStr">
        <is>
          <t>MPa^0.5</t>
        </is>
      </c>
      <c r="E1810"/>
      <c r="F1810"/>
      <c r="G1810" t="inlineStr">
        <is>
          <t>heuristic group-contribution/nearest-neighbour</t>
        </is>
      </c>
      <c r="H1810" t="inlineStr">
        <is>
          <t>S013_EST_HSP_HEURISTIC</t>
        </is>
      </c>
      <c r="I1810" t="inlineStr">
        <is>
          <t>estimated</t>
        </is>
      </c>
      <c r="J1810">
        <v>0.4</v>
      </c>
      <c r="K1810" t="inlineStr">
        <is>
          <t>Provisional HSP for screening; replace with experimental/literature value before model lock.</t>
        </is>
      </c>
    </row>
    <row r="1811">
      <c r="A1811" t="inlineStr">
        <is>
          <t>SURF_SLS_SODIUM_LAURYL_SULFATE</t>
        </is>
      </c>
      <c r="B1811" t="inlineStr">
        <is>
          <t>Hildebrand_delta_T</t>
        </is>
      </c>
      <c r="C1811">
        <v>23.75</v>
      </c>
      <c r="D1811" t="inlineStr">
        <is>
          <t>MPa^0.5</t>
        </is>
      </c>
      <c r="E1811"/>
      <c r="F1811"/>
      <c r="G1811" t="inlineStr">
        <is>
          <t>sqrt(deltaD^2+deltaP^2+deltaH^2)</t>
        </is>
      </c>
      <c r="H1811" t="inlineStr">
        <is>
          <t>S012_CALCULATED</t>
        </is>
      </c>
      <c r="I1811" t="inlineStr">
        <is>
          <t>calculated</t>
        </is>
      </c>
      <c r="J1811">
        <v>0.45</v>
      </c>
      <c r="K1811" t="inlineStr">
        <is>
          <t>Derived from stored Hansen components.</t>
        </is>
      </c>
    </row>
    <row r="1812">
      <c r="A1812" t="inlineStr">
        <is>
          <t>SURF_SLS_SODIUM_LAURYL_SULFATE</t>
        </is>
      </c>
      <c r="B1812" t="inlineStr">
        <is>
          <t>HSP_radius_R0</t>
        </is>
      </c>
      <c r="C1812">
        <v>9.0</v>
      </c>
      <c r="D1812" t="inlineStr">
        <is>
          <t>MPa^0.5</t>
        </is>
      </c>
      <c r="E1812"/>
      <c r="F1812"/>
      <c r="G1812" t="inlineStr">
        <is>
          <t>literature/heuristic solubility sphere</t>
        </is>
      </c>
      <c r="H1812" t="inlineStr">
        <is>
          <t>S013_EST_HSP_HEURISTIC</t>
        </is>
      </c>
      <c r="I1812" t="inlineStr">
        <is>
          <t>estimated</t>
        </is>
      </c>
      <c r="J1812">
        <v>0.4</v>
      </c>
      <c r="K1812" t="inlineStr">
        <is>
          <t>Screening radius only unless experimentally determined.</t>
        </is>
      </c>
    </row>
    <row r="1813">
      <c r="A1813" t="inlineStr">
        <is>
          <t>SURF_SLS_SODIUM_LAURYL_SULFATE</t>
        </is>
      </c>
      <c r="B1813" t="inlineStr">
        <is>
          <t>molar_volume_cm3_mol</t>
        </is>
      </c>
      <c r="C1813">
        <v>274.65</v>
      </c>
      <c r="D1813" t="inlineStr">
        <is>
          <t>cm3/mol</t>
        </is>
      </c>
      <c r="E1813"/>
      <c r="F1813"/>
      <c r="G1813" t="inlineStr">
        <is>
          <t>MW/density estimate</t>
        </is>
      </c>
      <c r="H1813" t="inlineStr">
        <is>
          <t>S012_CALCULATED</t>
        </is>
      </c>
      <c r="I1813" t="inlineStr">
        <is>
          <t>estimated</t>
        </is>
      </c>
      <c r="J1813">
        <v>0.42</v>
      </c>
      <c r="K1813" t="inlineStr">
        <is>
          <t>Estimated from MW/density; replace with measured molar volume or density-specific grade data.</t>
        </is>
      </c>
    </row>
    <row r="1814">
      <c r="A1814" t="inlineStr">
        <is>
          <t>SURF_SLS_SODIUM_LAURYL_SULFATE</t>
        </is>
      </c>
      <c r="B1814" t="inlineStr">
        <is>
          <t>headgroup_area_nm2</t>
        </is>
      </c>
      <c r="C1814">
        <v>1.07</v>
      </c>
      <c r="D1814" t="inlineStr">
        <is>
          <t>nm2</t>
        </is>
      </c>
      <c r="E1814"/>
      <c r="F1814"/>
      <c r="G1814" t="inlineStr">
        <is>
          <t>CPP screening heuristic</t>
        </is>
      </c>
      <c r="H1814" t="inlineStr">
        <is>
          <t>S013_EST_HSP_HEURISTIC</t>
        </is>
      </c>
      <c r="I1814" t="inlineStr">
        <is>
          <t>estimated</t>
        </is>
      </c>
      <c r="J1814">
        <v>0.35</v>
      </c>
      <c r="K1814" t="inlineStr">
        <is>
          <t>Replace with monolayer or MD-derived area per molecule for publication-grade CPP.</t>
        </is>
      </c>
    </row>
    <row r="1815">
      <c r="A1815" t="inlineStr">
        <is>
          <t>SURF_CTAB</t>
        </is>
      </c>
      <c r="B1815" t="inlineStr">
        <is>
          <t>molecular_weight_g_mol</t>
        </is>
      </c>
      <c r="C1815">
        <v>364.45</v>
      </c>
      <c r="D1815" t="inlineStr">
        <is>
          <t>g/mol</t>
        </is>
      </c>
      <c r="E1815"/>
      <c r="F1815"/>
      <c r="G1815" t="inlineStr">
        <is>
          <t>supplier/handbook average for mixtures</t>
        </is>
      </c>
      <c r="H1815" t="inlineStr">
        <is>
          <t>S007_EXCIPIENTS_HANDBOOK</t>
        </is>
      </c>
      <c r="I1815" t="inlineStr">
        <is>
          <t>supplier-reported</t>
        </is>
      </c>
      <c r="J1815">
        <v>0.65</v>
      </c>
      <c r="K1815"/>
    </row>
    <row r="1816">
      <c r="A1816" t="inlineStr">
        <is>
          <t>SURF_CTAB</t>
        </is>
      </c>
      <c r="B1816" t="inlineStr">
        <is>
          <t>HLB</t>
        </is>
      </c>
      <c r="C1816">
        <v>10</v>
      </c>
      <c r="D1816" t="inlineStr">
        <is>
          <t>HLB</t>
        </is>
      </c>
      <c r="E1816"/>
      <c r="F1816"/>
      <c r="G1816" t="inlineStr">
        <is>
          <t>Griffin/Davies HLB literature/supplier value</t>
        </is>
      </c>
      <c r="H1816" t="inlineStr">
        <is>
          <t>S007_EXCIPIENTS_HANDBOOK</t>
        </is>
      </c>
      <c r="I1816" t="inlineStr">
        <is>
          <t>supplier-reported</t>
        </is>
      </c>
      <c r="J1816">
        <v>0.75</v>
      </c>
      <c r="K1816" t="inlineStr">
        <is>
          <t>Grade-dependent; use supplier CoA when available.</t>
        </is>
      </c>
    </row>
    <row r="1817">
      <c r="A1817" t="inlineStr">
        <is>
          <t>SURF_CTAB</t>
        </is>
      </c>
      <c r="B1817" t="inlineStr">
        <is>
          <t>headgroup_type</t>
        </is>
      </c>
      <c r="C1817" t="inlineStr">
        <is>
          <t>quaternary ammonium</t>
        </is>
      </c>
      <c r="D1817"/>
      <c r="E1817"/>
      <c r="F1817"/>
      <c r="G1817" t="inlineStr">
        <is>
          <t>manual class annotation</t>
        </is>
      </c>
      <c r="H1817" t="inlineStr">
        <is>
          <t>S007_EXCIPIENTS_HANDBOOK</t>
        </is>
      </c>
      <c r="I1817" t="inlineStr">
        <is>
          <t>curated</t>
        </is>
      </c>
      <c r="J1817">
        <v>0.75</v>
      </c>
      <c r="K1817"/>
    </row>
    <row r="1818">
      <c r="A1818" t="inlineStr">
        <is>
          <t>SURF_CTAB</t>
        </is>
      </c>
      <c r="B1818" t="inlineStr">
        <is>
          <t>tail_chain</t>
        </is>
      </c>
      <c r="C1818" t="inlineStr">
        <is>
          <t>C16:0 quaternary ammonium</t>
        </is>
      </c>
      <c r="D1818"/>
      <c r="E1818"/>
      <c r="F1818"/>
      <c r="G1818" t="inlineStr">
        <is>
          <t>fatty-chain annotation</t>
        </is>
      </c>
      <c r="H1818" t="inlineStr">
        <is>
          <t>S007_EXCIPIENTS_HANDBOOK</t>
        </is>
      </c>
      <c r="I1818" t="inlineStr">
        <is>
          <t>curated</t>
        </is>
      </c>
      <c r="J1818">
        <v>0.8</v>
      </c>
      <c r="K1818"/>
    </row>
    <row r="1819">
      <c r="A1819" t="inlineStr">
        <is>
          <t>SURF_CTAB</t>
        </is>
      </c>
      <c r="B1819" t="inlineStr">
        <is>
          <t>tail_carbons</t>
        </is>
      </c>
      <c r="C1819">
        <v>16</v>
      </c>
      <c r="D1819" t="inlineStr">
        <is>
          <t>count</t>
        </is>
      </c>
      <c r="E1819"/>
      <c r="F1819"/>
      <c r="G1819" t="inlineStr">
        <is>
          <t>fatty-chain annotation</t>
        </is>
      </c>
      <c r="H1819" t="inlineStr">
        <is>
          <t>S007_EXCIPIENTS_HANDBOOK</t>
        </is>
      </c>
      <c r="I1819" t="inlineStr">
        <is>
          <t>curated</t>
        </is>
      </c>
      <c r="J1819">
        <v>0.8</v>
      </c>
      <c r="K1819"/>
    </row>
    <row r="1820">
      <c r="A1820" t="inlineStr">
        <is>
          <t>SURF_CTAB</t>
        </is>
      </c>
      <c r="B1820" t="inlineStr">
        <is>
          <t>tail_unsaturation</t>
        </is>
      </c>
      <c r="C1820">
        <v>0</v>
      </c>
      <c r="D1820" t="inlineStr">
        <is>
          <t>double_bonds</t>
        </is>
      </c>
      <c r="E1820"/>
      <c r="F1820"/>
      <c r="G1820" t="inlineStr">
        <is>
          <t>fatty-chain annotation</t>
        </is>
      </c>
      <c r="H1820" t="inlineStr">
        <is>
          <t>S007_EXCIPIENTS_HANDBOOK</t>
        </is>
      </c>
      <c r="I1820" t="inlineStr">
        <is>
          <t>curated</t>
        </is>
      </c>
      <c r="J1820">
        <v>0.8</v>
      </c>
      <c r="K1820"/>
    </row>
    <row r="1821">
      <c r="A1821" t="inlineStr">
        <is>
          <t>SURF_CTAB</t>
        </is>
      </c>
      <c r="B1821" t="inlineStr">
        <is>
          <t>number_of_tails</t>
        </is>
      </c>
      <c r="C1821">
        <v>1</v>
      </c>
      <c r="D1821" t="inlineStr">
        <is>
          <t>count</t>
        </is>
      </c>
      <c r="E1821"/>
      <c r="F1821"/>
      <c r="G1821" t="inlineStr">
        <is>
          <t>fatty-chain annotation</t>
        </is>
      </c>
      <c r="H1821" t="inlineStr">
        <is>
          <t>S007_EXCIPIENTS_HANDBOOK</t>
        </is>
      </c>
      <c r="I1821" t="inlineStr">
        <is>
          <t>curated</t>
        </is>
      </c>
      <c r="J1821">
        <v>0.8</v>
      </c>
      <c r="K1821"/>
    </row>
    <row r="1822">
      <c r="A1822" t="inlineStr">
        <is>
          <t>SURF_CTAB</t>
        </is>
      </c>
      <c r="B1822" t="inlineStr">
        <is>
          <t>charge_type</t>
        </is>
      </c>
      <c r="C1822" t="inlineStr">
        <is>
          <t>cationic</t>
        </is>
      </c>
      <c r="D1822"/>
      <c r="E1822"/>
      <c r="F1822"/>
      <c r="G1822" t="inlineStr">
        <is>
          <t>ionization class</t>
        </is>
      </c>
      <c r="H1822" t="inlineStr">
        <is>
          <t>S007_EXCIPIENTS_HANDBOOK</t>
        </is>
      </c>
      <c r="I1822" t="inlineStr">
        <is>
          <t>curated</t>
        </is>
      </c>
      <c r="J1822">
        <v>0.85</v>
      </c>
      <c r="K1822"/>
    </row>
    <row r="1823">
      <c r="A1823" t="inlineStr">
        <is>
          <t>SURF_CTAB</t>
        </is>
      </c>
      <c r="B1823" t="inlineStr">
        <is>
          <t>formal_charge</t>
        </is>
      </c>
      <c r="C1823">
        <v>1</v>
      </c>
      <c r="D1823" t="inlineStr">
        <is>
          <t>e</t>
        </is>
      </c>
      <c r="E1823"/>
      <c r="F1823"/>
      <c r="G1823" t="inlineStr">
        <is>
          <t>nominal at neutral pH</t>
        </is>
      </c>
      <c r="H1823" t="inlineStr">
        <is>
          <t>S007_EXCIPIENTS_HANDBOOK</t>
        </is>
      </c>
      <c r="I1823" t="inlineStr">
        <is>
          <t>curated</t>
        </is>
      </c>
      <c r="J1823">
        <v>0.85</v>
      </c>
      <c r="K1823"/>
    </row>
    <row r="1824">
      <c r="A1824" t="inlineStr">
        <is>
          <t>SURF_CTAB</t>
        </is>
      </c>
      <c r="B1824" t="inlineStr">
        <is>
          <t>packing_role</t>
        </is>
      </c>
      <c r="C1824" t="inlineStr">
        <is>
          <t>edge activator / micellar solubilizer</t>
        </is>
      </c>
      <c r="D1824"/>
      <c r="E1824"/>
      <c r="F1824"/>
      <c r="G1824" t="inlineStr">
        <is>
          <t>HLB/chain-rule heuristic</t>
        </is>
      </c>
      <c r="H1824" t="inlineStr">
        <is>
          <t>S007_EXCIPIENTS_HANDBOOK</t>
        </is>
      </c>
      <c r="I1824" t="inlineStr">
        <is>
          <t>curated</t>
        </is>
      </c>
      <c r="J1824">
        <v>0.65</v>
      </c>
      <c r="K1824"/>
    </row>
    <row r="1825">
      <c r="A1825" t="inlineStr">
        <is>
          <t>SURF_CTAB</t>
        </is>
      </c>
      <c r="B1825" t="inlineStr">
        <is>
          <t>edge_activator_flag</t>
        </is>
      </c>
      <c r="C1825" t="inlineStr">
        <is>
          <t>yes</t>
        </is>
      </c>
      <c r="D1825"/>
      <c r="E1825"/>
      <c r="F1825"/>
      <c r="G1825" t="inlineStr">
        <is>
          <t>HLB/charge heuristic</t>
        </is>
      </c>
      <c r="H1825" t="inlineStr">
        <is>
          <t>S007_EXCIPIENTS_HANDBOOK</t>
        </is>
      </c>
      <c r="I1825" t="inlineStr">
        <is>
          <t>curated</t>
        </is>
      </c>
      <c r="J1825">
        <v>0.7</v>
      </c>
      <c r="K1825"/>
    </row>
    <row r="1826">
      <c r="A1826" t="inlineStr">
        <is>
          <t>SURF_CTAB</t>
        </is>
      </c>
      <c r="B1826" t="inlineStr">
        <is>
          <t>vesicle_anchor_flag</t>
        </is>
      </c>
      <c r="C1826" t="inlineStr">
        <is>
          <t>yes</t>
        </is>
      </c>
      <c r="D1826"/>
      <c r="E1826"/>
      <c r="F1826"/>
      <c r="G1826" t="inlineStr">
        <is>
          <t>chain-length and HLB heuristic</t>
        </is>
      </c>
      <c r="H1826" t="inlineStr">
        <is>
          <t>S007_EXCIPIENTS_HANDBOOK</t>
        </is>
      </c>
      <c r="I1826" t="inlineStr">
        <is>
          <t>curated</t>
        </is>
      </c>
      <c r="J1826">
        <v>0.7</v>
      </c>
      <c r="K1826"/>
    </row>
    <row r="1827">
      <c r="A1827" t="inlineStr">
        <is>
          <t>SURF_CTAB</t>
        </is>
      </c>
      <c r="B1827" t="inlineStr">
        <is>
          <t>micellization_risk_flag</t>
        </is>
      </c>
      <c r="C1827" t="inlineStr">
        <is>
          <t>low-to-moderate</t>
        </is>
      </c>
      <c r="D1827"/>
      <c r="E1827"/>
      <c r="F1827"/>
      <c r="G1827" t="inlineStr">
        <is>
          <t>HLB heuristic</t>
        </is>
      </c>
      <c r="H1827" t="inlineStr">
        <is>
          <t>S007_EXCIPIENTS_HANDBOOK</t>
        </is>
      </c>
      <c r="I1827" t="inlineStr">
        <is>
          <t>curated</t>
        </is>
      </c>
      <c r="J1827">
        <v>0.65</v>
      </c>
      <c r="K1827"/>
    </row>
    <row r="1828">
      <c r="A1828" t="inlineStr">
        <is>
          <t>SURF_CTAB</t>
        </is>
      </c>
      <c r="B1828" t="inlineStr">
        <is>
          <t>route_suitability</t>
        </is>
      </c>
      <c r="C1828" t="inlineStr">
        <is>
          <t>oral/topical; parenteral/inhalation only if grade and safety justified</t>
        </is>
      </c>
      <c r="D1828"/>
      <c r="E1828"/>
      <c r="F1828"/>
      <c r="G1828" t="inlineStr">
        <is>
          <t>route precedent heuristic</t>
        </is>
      </c>
      <c r="H1828" t="inlineStr">
        <is>
          <t>S008_FDA_IID</t>
        </is>
      </c>
      <c r="I1828" t="inlineStr">
        <is>
          <t>curated</t>
        </is>
      </c>
      <c r="J1828">
        <v>0.55</v>
      </c>
      <c r="K1828"/>
    </row>
    <row r="1829">
      <c r="A1829" t="inlineStr">
        <is>
          <t>SURF_CTAB</t>
        </is>
      </c>
      <c r="B1829" t="inlineStr">
        <is>
          <t>toxicity_or_irritancy_notes</t>
        </is>
      </c>
      <c r="C1829" t="inlineStr">
        <is>
          <t>surfactant irritation/hemolysis is concentration-, route-, and grade-dependent; screen cytotoxicity and osmolality</t>
        </is>
      </c>
      <c r="D1829"/>
      <c r="E1829"/>
      <c r="F1829"/>
      <c r="G1829"/>
      <c r="H1829" t="inlineStr">
        <is>
          <t>S007_EXCIPIENTS_HANDBOOK</t>
        </is>
      </c>
      <c r="I1829" t="inlineStr">
        <is>
          <t>curated</t>
        </is>
      </c>
      <c r="J1829">
        <v>0.7</v>
      </c>
      <c r="K1829"/>
    </row>
    <row r="1830">
      <c r="A1830" t="inlineStr">
        <is>
          <t>SURF_CTAB</t>
        </is>
      </c>
      <c r="B1830" t="inlineStr">
        <is>
          <t>CMC_mM</t>
        </is>
      </c>
      <c r="C1830">
        <v>0.9</v>
      </c>
      <c r="D1830" t="inlineStr">
        <is>
          <t>mM</t>
        </is>
      </c>
      <c r="E1830"/>
      <c r="F1830"/>
      <c r="G1830" t="inlineStr">
        <is>
          <t>CMC in water; temperature/electrolyte dependent</t>
        </is>
      </c>
      <c r="H1830" t="inlineStr">
        <is>
          <t>S007_EXCIPIENTS_HANDBOOK</t>
        </is>
      </c>
      <c r="I1830" t="inlineStr">
        <is>
          <t>literature</t>
        </is>
      </c>
      <c r="J1830">
        <v>0.55</v>
      </c>
      <c r="K1830"/>
    </row>
    <row r="1831">
      <c r="A1831" t="inlineStr">
        <is>
          <t>SURF_CTAB</t>
        </is>
      </c>
      <c r="B1831" t="inlineStr">
        <is>
          <t>Hansen_delta_D</t>
        </is>
      </c>
      <c r="C1831">
        <v>17.3</v>
      </c>
      <c r="D1831" t="inlineStr">
        <is>
          <t>MPa^0.5</t>
        </is>
      </c>
      <c r="E1831"/>
      <c r="F1831"/>
      <c r="G1831" t="inlineStr">
        <is>
          <t>heuristic group-contribution/nearest-neighbour</t>
        </is>
      </c>
      <c r="H1831" t="inlineStr">
        <is>
          <t>S013_EST_HSP_HEURISTIC</t>
        </is>
      </c>
      <c r="I1831" t="inlineStr">
        <is>
          <t>estimated</t>
        </is>
      </c>
      <c r="J1831">
        <v>0.4</v>
      </c>
      <c r="K1831" t="inlineStr">
        <is>
          <t>Provisional HSP for screening; replace with experimental/literature value before model lock.</t>
        </is>
      </c>
    </row>
    <row r="1832">
      <c r="A1832" t="inlineStr">
        <is>
          <t>SURF_CTAB</t>
        </is>
      </c>
      <c r="B1832" t="inlineStr">
        <is>
          <t>Hansen_delta_P</t>
        </is>
      </c>
      <c r="C1832">
        <v>6.5</v>
      </c>
      <c r="D1832" t="inlineStr">
        <is>
          <t>MPa^0.5</t>
        </is>
      </c>
      <c r="E1832"/>
      <c r="F1832"/>
      <c r="G1832" t="inlineStr">
        <is>
          <t>heuristic group-contribution/nearest-neighbour</t>
        </is>
      </c>
      <c r="H1832" t="inlineStr">
        <is>
          <t>S013_EST_HSP_HEURISTIC</t>
        </is>
      </c>
      <c r="I1832" t="inlineStr">
        <is>
          <t>estimated</t>
        </is>
      </c>
      <c r="J1832">
        <v>0.4</v>
      </c>
      <c r="K1832" t="inlineStr">
        <is>
          <t>Provisional HSP for screening; replace with experimental/literature value before model lock.</t>
        </is>
      </c>
    </row>
    <row r="1833">
      <c r="A1833" t="inlineStr">
        <is>
          <t>SURF_CTAB</t>
        </is>
      </c>
      <c r="B1833" t="inlineStr">
        <is>
          <t>Hansen_delta_H</t>
        </is>
      </c>
      <c r="C1833">
        <v>10.5</v>
      </c>
      <c r="D1833" t="inlineStr">
        <is>
          <t>MPa^0.5</t>
        </is>
      </c>
      <c r="E1833"/>
      <c r="F1833"/>
      <c r="G1833" t="inlineStr">
        <is>
          <t>heuristic group-contribution/nearest-neighbour</t>
        </is>
      </c>
      <c r="H1833" t="inlineStr">
        <is>
          <t>S013_EST_HSP_HEURISTIC</t>
        </is>
      </c>
      <c r="I1833" t="inlineStr">
        <is>
          <t>estimated</t>
        </is>
      </c>
      <c r="J1833">
        <v>0.4</v>
      </c>
      <c r="K1833" t="inlineStr">
        <is>
          <t>Provisional HSP for screening; replace with experimental/literature value before model lock.</t>
        </is>
      </c>
    </row>
    <row r="1834">
      <c r="A1834" t="inlineStr">
        <is>
          <t>SURF_CTAB</t>
        </is>
      </c>
      <c r="B1834" t="inlineStr">
        <is>
          <t>Hildebrand_delta_T</t>
        </is>
      </c>
      <c r="C1834">
        <v>21.26</v>
      </c>
      <c r="D1834" t="inlineStr">
        <is>
          <t>MPa^0.5</t>
        </is>
      </c>
      <c r="E1834"/>
      <c r="F1834"/>
      <c r="G1834" t="inlineStr">
        <is>
          <t>sqrt(deltaD^2+deltaP^2+deltaH^2)</t>
        </is>
      </c>
      <c r="H1834" t="inlineStr">
        <is>
          <t>S012_CALCULATED</t>
        </is>
      </c>
      <c r="I1834" t="inlineStr">
        <is>
          <t>calculated</t>
        </is>
      </c>
      <c r="J1834">
        <v>0.45</v>
      </c>
      <c r="K1834" t="inlineStr">
        <is>
          <t>Derived from stored Hansen components.</t>
        </is>
      </c>
    </row>
    <row r="1835">
      <c r="A1835" t="inlineStr">
        <is>
          <t>SURF_CTAB</t>
        </is>
      </c>
      <c r="B1835" t="inlineStr">
        <is>
          <t>HSP_radius_R0</t>
        </is>
      </c>
      <c r="C1835">
        <v>8.0</v>
      </c>
      <c r="D1835" t="inlineStr">
        <is>
          <t>MPa^0.5</t>
        </is>
      </c>
      <c r="E1835"/>
      <c r="F1835"/>
      <c r="G1835" t="inlineStr">
        <is>
          <t>literature/heuristic solubility sphere</t>
        </is>
      </c>
      <c r="H1835" t="inlineStr">
        <is>
          <t>S013_EST_HSP_HEURISTIC</t>
        </is>
      </c>
      <c r="I1835" t="inlineStr">
        <is>
          <t>estimated</t>
        </is>
      </c>
      <c r="J1835">
        <v>0.4</v>
      </c>
      <c r="K1835" t="inlineStr">
        <is>
          <t>Screening radius only unless experimentally determined.</t>
        </is>
      </c>
    </row>
    <row r="1836">
      <c r="A1836" t="inlineStr">
        <is>
          <t>SURF_CTAB</t>
        </is>
      </c>
      <c r="B1836" t="inlineStr">
        <is>
          <t>molar_volume_cm3_mol</t>
        </is>
      </c>
      <c r="C1836">
        <v>347.1</v>
      </c>
      <c r="D1836" t="inlineStr">
        <is>
          <t>cm3/mol</t>
        </is>
      </c>
      <c r="E1836"/>
      <c r="F1836"/>
      <c r="G1836" t="inlineStr">
        <is>
          <t>MW/density estimate</t>
        </is>
      </c>
      <c r="H1836" t="inlineStr">
        <is>
          <t>S012_CALCULATED</t>
        </is>
      </c>
      <c r="I1836" t="inlineStr">
        <is>
          <t>estimated</t>
        </is>
      </c>
      <c r="J1836">
        <v>0.42</v>
      </c>
      <c r="K1836" t="inlineStr">
        <is>
          <t>Estimated from MW/density; replace with measured molar volume or density-specific grade data.</t>
        </is>
      </c>
    </row>
    <row r="1837">
      <c r="A1837" t="inlineStr">
        <is>
          <t>SURF_CTAB</t>
        </is>
      </c>
      <c r="B1837" t="inlineStr">
        <is>
          <t>headgroup_area_nm2</t>
        </is>
      </c>
      <c r="C1837">
        <v>0.53</v>
      </c>
      <c r="D1837" t="inlineStr">
        <is>
          <t>nm2</t>
        </is>
      </c>
      <c r="E1837"/>
      <c r="F1837"/>
      <c r="G1837" t="inlineStr">
        <is>
          <t>CPP screening heuristic</t>
        </is>
      </c>
      <c r="H1837" t="inlineStr">
        <is>
          <t>S013_EST_HSP_HEURISTIC</t>
        </is>
      </c>
      <c r="I1837" t="inlineStr">
        <is>
          <t>estimated</t>
        </is>
      </c>
      <c r="J1837">
        <v>0.35</v>
      </c>
      <c r="K1837" t="inlineStr">
        <is>
          <t>Replace with monolayer or MD-derived area per molecule for publication-grade CPP.</t>
        </is>
      </c>
    </row>
    <row r="1838">
      <c r="A1838" t="inlineStr">
        <is>
          <t>SURF_SUCROSE_MONOLAURATE</t>
        </is>
      </c>
      <c r="B1838" t="inlineStr">
        <is>
          <t>molecular_weight_g_mol</t>
        </is>
      </c>
      <c r="C1838">
        <v>524.6</v>
      </c>
      <c r="D1838" t="inlineStr">
        <is>
          <t>g/mol</t>
        </is>
      </c>
      <c r="E1838"/>
      <c r="F1838"/>
      <c r="G1838" t="inlineStr">
        <is>
          <t>supplier/handbook average for mixtures</t>
        </is>
      </c>
      <c r="H1838" t="inlineStr">
        <is>
          <t>S007_EXCIPIENTS_HANDBOOK</t>
        </is>
      </c>
      <c r="I1838" t="inlineStr">
        <is>
          <t>supplier-reported</t>
        </is>
      </c>
      <c r="J1838">
        <v>0.65</v>
      </c>
      <c r="K1838"/>
    </row>
    <row r="1839">
      <c r="A1839" t="inlineStr">
        <is>
          <t>SURF_SUCROSE_MONOLAURATE</t>
        </is>
      </c>
      <c r="B1839" t="inlineStr">
        <is>
          <t>HLB</t>
        </is>
      </c>
      <c r="C1839">
        <v>15</v>
      </c>
      <c r="D1839" t="inlineStr">
        <is>
          <t>HLB</t>
        </is>
      </c>
      <c r="E1839"/>
      <c r="F1839"/>
      <c r="G1839" t="inlineStr">
        <is>
          <t>Griffin/Davies HLB literature/supplier value</t>
        </is>
      </c>
      <c r="H1839" t="inlineStr">
        <is>
          <t>S007_EXCIPIENTS_HANDBOOK</t>
        </is>
      </c>
      <c r="I1839" t="inlineStr">
        <is>
          <t>supplier-reported</t>
        </is>
      </c>
      <c r="J1839">
        <v>0.75</v>
      </c>
      <c r="K1839" t="inlineStr">
        <is>
          <t>Grade-dependent; use supplier CoA when available.</t>
        </is>
      </c>
    </row>
    <row r="1840">
      <c r="A1840" t="inlineStr">
        <is>
          <t>SURF_SUCROSE_MONOLAURATE</t>
        </is>
      </c>
      <c r="B1840" t="inlineStr">
        <is>
          <t>headgroup_type</t>
        </is>
      </c>
      <c r="C1840" t="inlineStr">
        <is>
          <t>sucrose ester</t>
        </is>
      </c>
      <c r="D1840"/>
      <c r="E1840"/>
      <c r="F1840"/>
      <c r="G1840" t="inlineStr">
        <is>
          <t>manual class annotation</t>
        </is>
      </c>
      <c r="H1840" t="inlineStr">
        <is>
          <t>S007_EXCIPIENTS_HANDBOOK</t>
        </is>
      </c>
      <c r="I1840" t="inlineStr">
        <is>
          <t>curated</t>
        </is>
      </c>
      <c r="J1840">
        <v>0.75</v>
      </c>
      <c r="K1840"/>
    </row>
    <row r="1841">
      <c r="A1841" t="inlineStr">
        <is>
          <t>SURF_SUCROSE_MONOLAURATE</t>
        </is>
      </c>
      <c r="B1841" t="inlineStr">
        <is>
          <t>tail_chain</t>
        </is>
      </c>
      <c r="C1841" t="inlineStr">
        <is>
          <t>C12:0 sucrose ester</t>
        </is>
      </c>
      <c r="D1841"/>
      <c r="E1841"/>
      <c r="F1841"/>
      <c r="G1841" t="inlineStr">
        <is>
          <t>fatty-chain annotation</t>
        </is>
      </c>
      <c r="H1841" t="inlineStr">
        <is>
          <t>S007_EXCIPIENTS_HANDBOOK</t>
        </is>
      </c>
      <c r="I1841" t="inlineStr">
        <is>
          <t>curated</t>
        </is>
      </c>
      <c r="J1841">
        <v>0.8</v>
      </c>
      <c r="K1841"/>
    </row>
    <row r="1842">
      <c r="A1842" t="inlineStr">
        <is>
          <t>SURF_SUCROSE_MONOLAURATE</t>
        </is>
      </c>
      <c r="B1842" t="inlineStr">
        <is>
          <t>tail_carbons</t>
        </is>
      </c>
      <c r="C1842">
        <v>12</v>
      </c>
      <c r="D1842" t="inlineStr">
        <is>
          <t>count</t>
        </is>
      </c>
      <c r="E1842"/>
      <c r="F1842"/>
      <c r="G1842" t="inlineStr">
        <is>
          <t>fatty-chain annotation</t>
        </is>
      </c>
      <c r="H1842" t="inlineStr">
        <is>
          <t>S007_EXCIPIENTS_HANDBOOK</t>
        </is>
      </c>
      <c r="I1842" t="inlineStr">
        <is>
          <t>curated</t>
        </is>
      </c>
      <c r="J1842">
        <v>0.8</v>
      </c>
      <c r="K1842"/>
    </row>
    <row r="1843">
      <c r="A1843" t="inlineStr">
        <is>
          <t>SURF_SUCROSE_MONOLAURATE</t>
        </is>
      </c>
      <c r="B1843" t="inlineStr">
        <is>
          <t>tail_unsaturation</t>
        </is>
      </c>
      <c r="C1843">
        <v>0</v>
      </c>
      <c r="D1843" t="inlineStr">
        <is>
          <t>double_bonds</t>
        </is>
      </c>
      <c r="E1843"/>
      <c r="F1843"/>
      <c r="G1843" t="inlineStr">
        <is>
          <t>fatty-chain annotation</t>
        </is>
      </c>
      <c r="H1843" t="inlineStr">
        <is>
          <t>S007_EXCIPIENTS_HANDBOOK</t>
        </is>
      </c>
      <c r="I1843" t="inlineStr">
        <is>
          <t>curated</t>
        </is>
      </c>
      <c r="J1843">
        <v>0.8</v>
      </c>
      <c r="K1843"/>
    </row>
    <row r="1844">
      <c r="A1844" t="inlineStr">
        <is>
          <t>SURF_SUCROSE_MONOLAURATE</t>
        </is>
      </c>
      <c r="B1844" t="inlineStr">
        <is>
          <t>number_of_tails</t>
        </is>
      </c>
      <c r="C1844">
        <v>1</v>
      </c>
      <c r="D1844" t="inlineStr">
        <is>
          <t>count</t>
        </is>
      </c>
      <c r="E1844"/>
      <c r="F1844"/>
      <c r="G1844" t="inlineStr">
        <is>
          <t>fatty-chain annotation</t>
        </is>
      </c>
      <c r="H1844" t="inlineStr">
        <is>
          <t>S007_EXCIPIENTS_HANDBOOK</t>
        </is>
      </c>
      <c r="I1844" t="inlineStr">
        <is>
          <t>curated</t>
        </is>
      </c>
      <c r="J1844">
        <v>0.8</v>
      </c>
      <c r="K1844"/>
    </row>
    <row r="1845">
      <c r="A1845" t="inlineStr">
        <is>
          <t>SURF_SUCROSE_MONOLAURATE</t>
        </is>
      </c>
      <c r="B1845" t="inlineStr">
        <is>
          <t>charge_type</t>
        </is>
      </c>
      <c r="C1845" t="inlineStr">
        <is>
          <t>nonionic</t>
        </is>
      </c>
      <c r="D1845"/>
      <c r="E1845"/>
      <c r="F1845"/>
      <c r="G1845" t="inlineStr">
        <is>
          <t>ionization class</t>
        </is>
      </c>
      <c r="H1845" t="inlineStr">
        <is>
          <t>S007_EXCIPIENTS_HANDBOOK</t>
        </is>
      </c>
      <c r="I1845" t="inlineStr">
        <is>
          <t>curated</t>
        </is>
      </c>
      <c r="J1845">
        <v>0.85</v>
      </c>
      <c r="K1845"/>
    </row>
    <row r="1846">
      <c r="A1846" t="inlineStr">
        <is>
          <t>SURF_SUCROSE_MONOLAURATE</t>
        </is>
      </c>
      <c r="B1846" t="inlineStr">
        <is>
          <t>formal_charge</t>
        </is>
      </c>
      <c r="C1846">
        <v>0</v>
      </c>
      <c r="D1846" t="inlineStr">
        <is>
          <t>e</t>
        </is>
      </c>
      <c r="E1846"/>
      <c r="F1846"/>
      <c r="G1846" t="inlineStr">
        <is>
          <t>nominal at neutral pH</t>
        </is>
      </c>
      <c r="H1846" t="inlineStr">
        <is>
          <t>S007_EXCIPIENTS_HANDBOOK</t>
        </is>
      </c>
      <c r="I1846" t="inlineStr">
        <is>
          <t>curated</t>
        </is>
      </c>
      <c r="J1846">
        <v>0.85</v>
      </c>
      <c r="K1846"/>
    </row>
    <row r="1847">
      <c r="A1847" t="inlineStr">
        <is>
          <t>SURF_SUCROSE_MONOLAURATE</t>
        </is>
      </c>
      <c r="B1847" t="inlineStr">
        <is>
          <t>packing_role</t>
        </is>
      </c>
      <c r="C1847" t="inlineStr">
        <is>
          <t>edge activator / micellar solubilizer</t>
        </is>
      </c>
      <c r="D1847"/>
      <c r="E1847"/>
      <c r="F1847"/>
      <c r="G1847" t="inlineStr">
        <is>
          <t>HLB/chain-rule heuristic</t>
        </is>
      </c>
      <c r="H1847" t="inlineStr">
        <is>
          <t>S007_EXCIPIENTS_HANDBOOK</t>
        </is>
      </c>
      <c r="I1847" t="inlineStr">
        <is>
          <t>curated</t>
        </is>
      </c>
      <c r="J1847">
        <v>0.65</v>
      </c>
      <c r="K1847"/>
    </row>
    <row r="1848">
      <c r="A1848" t="inlineStr">
        <is>
          <t>SURF_SUCROSE_MONOLAURATE</t>
        </is>
      </c>
      <c r="B1848" t="inlineStr">
        <is>
          <t>edge_activator_flag</t>
        </is>
      </c>
      <c r="C1848" t="inlineStr">
        <is>
          <t>yes</t>
        </is>
      </c>
      <c r="D1848"/>
      <c r="E1848"/>
      <c r="F1848"/>
      <c r="G1848" t="inlineStr">
        <is>
          <t>HLB/charge heuristic</t>
        </is>
      </c>
      <c r="H1848" t="inlineStr">
        <is>
          <t>S007_EXCIPIENTS_HANDBOOK</t>
        </is>
      </c>
      <c r="I1848" t="inlineStr">
        <is>
          <t>curated</t>
        </is>
      </c>
      <c r="J1848">
        <v>0.7</v>
      </c>
      <c r="K1848"/>
    </row>
    <row r="1849">
      <c r="A1849" t="inlineStr">
        <is>
          <t>SURF_SUCROSE_MONOLAURATE</t>
        </is>
      </c>
      <c r="B1849" t="inlineStr">
        <is>
          <t>vesicle_anchor_flag</t>
        </is>
      </c>
      <c r="C1849" t="inlineStr">
        <is>
          <t>weak/conditional</t>
        </is>
      </c>
      <c r="D1849"/>
      <c r="E1849"/>
      <c r="F1849"/>
      <c r="G1849" t="inlineStr">
        <is>
          <t>chain-length and HLB heuristic</t>
        </is>
      </c>
      <c r="H1849" t="inlineStr">
        <is>
          <t>S007_EXCIPIENTS_HANDBOOK</t>
        </is>
      </c>
      <c r="I1849" t="inlineStr">
        <is>
          <t>curated</t>
        </is>
      </c>
      <c r="J1849">
        <v>0.7</v>
      </c>
      <c r="K1849"/>
    </row>
    <row r="1850">
      <c r="A1850" t="inlineStr">
        <is>
          <t>SURF_SUCROSE_MONOLAURATE</t>
        </is>
      </c>
      <c r="B1850" t="inlineStr">
        <is>
          <t>micellization_risk_flag</t>
        </is>
      </c>
      <c r="C1850" t="inlineStr">
        <is>
          <t>high</t>
        </is>
      </c>
      <c r="D1850"/>
      <c r="E1850"/>
      <c r="F1850"/>
      <c r="G1850" t="inlineStr">
        <is>
          <t>HLB heuristic</t>
        </is>
      </c>
      <c r="H1850" t="inlineStr">
        <is>
          <t>S007_EXCIPIENTS_HANDBOOK</t>
        </is>
      </c>
      <c r="I1850" t="inlineStr">
        <is>
          <t>curated</t>
        </is>
      </c>
      <c r="J1850">
        <v>0.65</v>
      </c>
      <c r="K1850"/>
    </row>
    <row r="1851">
      <c r="A1851" t="inlineStr">
        <is>
          <t>SURF_SUCROSE_MONOLAURATE</t>
        </is>
      </c>
      <c r="B1851" t="inlineStr">
        <is>
          <t>route_suitability</t>
        </is>
      </c>
      <c r="C1851" t="inlineStr">
        <is>
          <t>oral/topical; parenteral/inhalation only if grade and safety justified</t>
        </is>
      </c>
      <c r="D1851"/>
      <c r="E1851"/>
      <c r="F1851"/>
      <c r="G1851" t="inlineStr">
        <is>
          <t>route precedent heuristic</t>
        </is>
      </c>
      <c r="H1851" t="inlineStr">
        <is>
          <t>S008_FDA_IID</t>
        </is>
      </c>
      <c r="I1851" t="inlineStr">
        <is>
          <t>curated</t>
        </is>
      </c>
      <c r="J1851">
        <v>0.55</v>
      </c>
      <c r="K1851"/>
    </row>
    <row r="1852">
      <c r="A1852" t="inlineStr">
        <is>
          <t>SURF_SUCROSE_MONOLAURATE</t>
        </is>
      </c>
      <c r="B1852" t="inlineStr">
        <is>
          <t>toxicity_or_irritancy_notes</t>
        </is>
      </c>
      <c r="C1852" t="inlineStr">
        <is>
          <t>surfactant irritation/hemolysis is concentration-, route-, and grade-dependent; screen cytotoxicity and osmolality</t>
        </is>
      </c>
      <c r="D1852"/>
      <c r="E1852"/>
      <c r="F1852"/>
      <c r="G1852"/>
      <c r="H1852" t="inlineStr">
        <is>
          <t>S007_EXCIPIENTS_HANDBOOK</t>
        </is>
      </c>
      <c r="I1852" t="inlineStr">
        <is>
          <t>curated</t>
        </is>
      </c>
      <c r="J1852">
        <v>0.7</v>
      </c>
      <c r="K1852"/>
    </row>
    <row r="1853">
      <c r="A1853" t="inlineStr">
        <is>
          <t>SURF_SUCROSE_MONOLAURATE</t>
        </is>
      </c>
      <c r="B1853" t="inlineStr">
        <is>
          <t>Hansen_delta_D</t>
        </is>
      </c>
      <c r="C1853">
        <v>17.2</v>
      </c>
      <c r="D1853" t="inlineStr">
        <is>
          <t>MPa^0.5</t>
        </is>
      </c>
      <c r="E1853"/>
      <c r="F1853"/>
      <c r="G1853" t="inlineStr">
        <is>
          <t>heuristic group-contribution/nearest-neighbour</t>
        </is>
      </c>
      <c r="H1853" t="inlineStr">
        <is>
          <t>S013_EST_HSP_HEURISTIC</t>
        </is>
      </c>
      <c r="I1853" t="inlineStr">
        <is>
          <t>estimated</t>
        </is>
      </c>
      <c r="J1853">
        <v>0.4</v>
      </c>
      <c r="K1853" t="inlineStr">
        <is>
          <t>Provisional HSP for screening; replace with experimental/literature value before model lock.</t>
        </is>
      </c>
    </row>
    <row r="1854">
      <c r="A1854" t="inlineStr">
        <is>
          <t>SURF_SUCROSE_MONOLAURATE</t>
        </is>
      </c>
      <c r="B1854" t="inlineStr">
        <is>
          <t>Hansen_delta_P</t>
        </is>
      </c>
      <c r="C1854">
        <v>8.5</v>
      </c>
      <c r="D1854" t="inlineStr">
        <is>
          <t>MPa^0.5</t>
        </is>
      </c>
      <c r="E1854"/>
      <c r="F1854"/>
      <c r="G1854" t="inlineStr">
        <is>
          <t>heuristic group-contribution/nearest-neighbour</t>
        </is>
      </c>
      <c r="H1854" t="inlineStr">
        <is>
          <t>S013_EST_HSP_HEURISTIC</t>
        </is>
      </c>
      <c r="I1854" t="inlineStr">
        <is>
          <t>estimated</t>
        </is>
      </c>
      <c r="J1854">
        <v>0.4</v>
      </c>
      <c r="K1854" t="inlineStr">
        <is>
          <t>Provisional HSP for screening; replace with experimental/literature value before model lock.</t>
        </is>
      </c>
    </row>
    <row r="1855">
      <c r="A1855" t="inlineStr">
        <is>
          <t>SURF_SUCROSE_MONOLAURATE</t>
        </is>
      </c>
      <c r="B1855" t="inlineStr">
        <is>
          <t>Hansen_delta_H</t>
        </is>
      </c>
      <c r="C1855">
        <v>14.0</v>
      </c>
      <c r="D1855" t="inlineStr">
        <is>
          <t>MPa^0.5</t>
        </is>
      </c>
      <c r="E1855"/>
      <c r="F1855"/>
      <c r="G1855" t="inlineStr">
        <is>
          <t>heuristic group-contribution/nearest-neighbour</t>
        </is>
      </c>
      <c r="H1855" t="inlineStr">
        <is>
          <t>S013_EST_HSP_HEURISTIC</t>
        </is>
      </c>
      <c r="I1855" t="inlineStr">
        <is>
          <t>estimated</t>
        </is>
      </c>
      <c r="J1855">
        <v>0.4</v>
      </c>
      <c r="K1855" t="inlineStr">
        <is>
          <t>Provisional HSP for screening; replace with experimental/literature value before model lock.</t>
        </is>
      </c>
    </row>
    <row r="1856">
      <c r="A1856" t="inlineStr">
        <is>
          <t>SURF_SUCROSE_MONOLAURATE</t>
        </is>
      </c>
      <c r="B1856" t="inlineStr">
        <is>
          <t>Hildebrand_delta_T</t>
        </is>
      </c>
      <c r="C1856">
        <v>23.75</v>
      </c>
      <c r="D1856" t="inlineStr">
        <is>
          <t>MPa^0.5</t>
        </is>
      </c>
      <c r="E1856"/>
      <c r="F1856"/>
      <c r="G1856" t="inlineStr">
        <is>
          <t>sqrt(deltaD^2+deltaP^2+deltaH^2)</t>
        </is>
      </c>
      <c r="H1856" t="inlineStr">
        <is>
          <t>S012_CALCULATED</t>
        </is>
      </c>
      <c r="I1856" t="inlineStr">
        <is>
          <t>calculated</t>
        </is>
      </c>
      <c r="J1856">
        <v>0.45</v>
      </c>
      <c r="K1856" t="inlineStr">
        <is>
          <t>Derived from stored Hansen components.</t>
        </is>
      </c>
    </row>
    <row r="1857">
      <c r="A1857" t="inlineStr">
        <is>
          <t>SURF_SUCROSE_MONOLAURATE</t>
        </is>
      </c>
      <c r="B1857" t="inlineStr">
        <is>
          <t>HSP_radius_R0</t>
        </is>
      </c>
      <c r="C1857">
        <v>9.0</v>
      </c>
      <c r="D1857" t="inlineStr">
        <is>
          <t>MPa^0.5</t>
        </is>
      </c>
      <c r="E1857"/>
      <c r="F1857"/>
      <c r="G1857" t="inlineStr">
        <is>
          <t>literature/heuristic solubility sphere</t>
        </is>
      </c>
      <c r="H1857" t="inlineStr">
        <is>
          <t>S013_EST_HSP_HEURISTIC</t>
        </is>
      </c>
      <c r="I1857" t="inlineStr">
        <is>
          <t>estimated</t>
        </is>
      </c>
      <c r="J1857">
        <v>0.4</v>
      </c>
      <c r="K1857" t="inlineStr">
        <is>
          <t>Screening radius only unless experimentally determined.</t>
        </is>
      </c>
    </row>
    <row r="1858">
      <c r="A1858" t="inlineStr">
        <is>
          <t>SURF_SUCROSE_MONOLAURATE</t>
        </is>
      </c>
      <c r="B1858" t="inlineStr">
        <is>
          <t>molar_volume_cm3_mol</t>
        </is>
      </c>
      <c r="C1858">
        <v>499.62</v>
      </c>
      <c r="D1858" t="inlineStr">
        <is>
          <t>cm3/mol</t>
        </is>
      </c>
      <c r="E1858"/>
      <c r="F1858"/>
      <c r="G1858" t="inlineStr">
        <is>
          <t>MW/density estimate</t>
        </is>
      </c>
      <c r="H1858" t="inlineStr">
        <is>
          <t>S012_CALCULATED</t>
        </is>
      </c>
      <c r="I1858" t="inlineStr">
        <is>
          <t>estimated</t>
        </is>
      </c>
      <c r="J1858">
        <v>0.42</v>
      </c>
      <c r="K1858" t="inlineStr">
        <is>
          <t>Estimated from MW/density; replace with measured molar volume or density-specific grade data.</t>
        </is>
      </c>
    </row>
    <row r="1859">
      <c r="A1859" t="inlineStr">
        <is>
          <t>SURF_SUCROSE_MONOLAURATE</t>
        </is>
      </c>
      <c r="B1859" t="inlineStr">
        <is>
          <t>headgroup_area_nm2</t>
        </is>
      </c>
      <c r="C1859">
        <v>0.62</v>
      </c>
      <c r="D1859" t="inlineStr">
        <is>
          <t>nm2</t>
        </is>
      </c>
      <c r="E1859"/>
      <c r="F1859"/>
      <c r="G1859" t="inlineStr">
        <is>
          <t>CPP screening heuristic</t>
        </is>
      </c>
      <c r="H1859" t="inlineStr">
        <is>
          <t>S013_EST_HSP_HEURISTIC</t>
        </is>
      </c>
      <c r="I1859" t="inlineStr">
        <is>
          <t>estimated</t>
        </is>
      </c>
      <c r="J1859">
        <v>0.35</v>
      </c>
      <c r="K1859" t="inlineStr">
        <is>
          <t>Replace with monolayer or MD-derived area per molecule for publication-grade CPP.</t>
        </is>
      </c>
    </row>
    <row r="1860">
      <c r="A1860" t="inlineStr">
        <is>
          <t>SURF_SUCROSE_MONOPALMITATE</t>
        </is>
      </c>
      <c r="B1860" t="inlineStr">
        <is>
          <t>molecular_weight_g_mol</t>
        </is>
      </c>
      <c r="C1860">
        <v>580.7</v>
      </c>
      <c r="D1860" t="inlineStr">
        <is>
          <t>g/mol</t>
        </is>
      </c>
      <c r="E1860"/>
      <c r="F1860"/>
      <c r="G1860" t="inlineStr">
        <is>
          <t>supplier/handbook average for mixtures</t>
        </is>
      </c>
      <c r="H1860" t="inlineStr">
        <is>
          <t>S007_EXCIPIENTS_HANDBOOK</t>
        </is>
      </c>
      <c r="I1860" t="inlineStr">
        <is>
          <t>supplier-reported</t>
        </is>
      </c>
      <c r="J1860">
        <v>0.65</v>
      </c>
      <c r="K1860"/>
    </row>
    <row r="1861">
      <c r="A1861" t="inlineStr">
        <is>
          <t>SURF_SUCROSE_MONOPALMITATE</t>
        </is>
      </c>
      <c r="B1861" t="inlineStr">
        <is>
          <t>HLB</t>
        </is>
      </c>
      <c r="C1861">
        <v>15</v>
      </c>
      <c r="D1861" t="inlineStr">
        <is>
          <t>HLB</t>
        </is>
      </c>
      <c r="E1861"/>
      <c r="F1861"/>
      <c r="G1861" t="inlineStr">
        <is>
          <t>Griffin/Davies HLB literature/supplier value</t>
        </is>
      </c>
      <c r="H1861" t="inlineStr">
        <is>
          <t>S007_EXCIPIENTS_HANDBOOK</t>
        </is>
      </c>
      <c r="I1861" t="inlineStr">
        <is>
          <t>supplier-reported</t>
        </is>
      </c>
      <c r="J1861">
        <v>0.75</v>
      </c>
      <c r="K1861" t="inlineStr">
        <is>
          <t>Grade-dependent; use supplier CoA when available.</t>
        </is>
      </c>
    </row>
    <row r="1862">
      <c r="A1862" t="inlineStr">
        <is>
          <t>SURF_SUCROSE_MONOPALMITATE</t>
        </is>
      </c>
      <c r="B1862" t="inlineStr">
        <is>
          <t>headgroup_type</t>
        </is>
      </c>
      <c r="C1862" t="inlineStr">
        <is>
          <t>sucrose ester</t>
        </is>
      </c>
      <c r="D1862"/>
      <c r="E1862"/>
      <c r="F1862"/>
      <c r="G1862" t="inlineStr">
        <is>
          <t>manual class annotation</t>
        </is>
      </c>
      <c r="H1862" t="inlineStr">
        <is>
          <t>S007_EXCIPIENTS_HANDBOOK</t>
        </is>
      </c>
      <c r="I1862" t="inlineStr">
        <is>
          <t>curated</t>
        </is>
      </c>
      <c r="J1862">
        <v>0.75</v>
      </c>
      <c r="K1862"/>
    </row>
    <row r="1863">
      <c r="A1863" t="inlineStr">
        <is>
          <t>SURF_SUCROSE_MONOPALMITATE</t>
        </is>
      </c>
      <c r="B1863" t="inlineStr">
        <is>
          <t>tail_chain</t>
        </is>
      </c>
      <c r="C1863" t="inlineStr">
        <is>
          <t>C16:0 sucrose ester</t>
        </is>
      </c>
      <c r="D1863"/>
      <c r="E1863"/>
      <c r="F1863"/>
      <c r="G1863" t="inlineStr">
        <is>
          <t>fatty-chain annotation</t>
        </is>
      </c>
      <c r="H1863" t="inlineStr">
        <is>
          <t>S007_EXCIPIENTS_HANDBOOK</t>
        </is>
      </c>
      <c r="I1863" t="inlineStr">
        <is>
          <t>curated</t>
        </is>
      </c>
      <c r="J1863">
        <v>0.8</v>
      </c>
      <c r="K1863"/>
    </row>
    <row r="1864">
      <c r="A1864" t="inlineStr">
        <is>
          <t>SURF_SUCROSE_MONOPALMITATE</t>
        </is>
      </c>
      <c r="B1864" t="inlineStr">
        <is>
          <t>tail_carbons</t>
        </is>
      </c>
      <c r="C1864">
        <v>16</v>
      </c>
      <c r="D1864" t="inlineStr">
        <is>
          <t>count</t>
        </is>
      </c>
      <c r="E1864"/>
      <c r="F1864"/>
      <c r="G1864" t="inlineStr">
        <is>
          <t>fatty-chain annotation</t>
        </is>
      </c>
      <c r="H1864" t="inlineStr">
        <is>
          <t>S007_EXCIPIENTS_HANDBOOK</t>
        </is>
      </c>
      <c r="I1864" t="inlineStr">
        <is>
          <t>curated</t>
        </is>
      </c>
      <c r="J1864">
        <v>0.8</v>
      </c>
      <c r="K1864"/>
    </row>
    <row r="1865">
      <c r="A1865" t="inlineStr">
        <is>
          <t>SURF_SUCROSE_MONOPALMITATE</t>
        </is>
      </c>
      <c r="B1865" t="inlineStr">
        <is>
          <t>tail_unsaturation</t>
        </is>
      </c>
      <c r="C1865">
        <v>0</v>
      </c>
      <c r="D1865" t="inlineStr">
        <is>
          <t>double_bonds</t>
        </is>
      </c>
      <c r="E1865"/>
      <c r="F1865"/>
      <c r="G1865" t="inlineStr">
        <is>
          <t>fatty-chain annotation</t>
        </is>
      </c>
      <c r="H1865" t="inlineStr">
        <is>
          <t>S007_EXCIPIENTS_HANDBOOK</t>
        </is>
      </c>
      <c r="I1865" t="inlineStr">
        <is>
          <t>curated</t>
        </is>
      </c>
      <c r="J1865">
        <v>0.8</v>
      </c>
      <c r="K1865"/>
    </row>
    <row r="1866">
      <c r="A1866" t="inlineStr">
        <is>
          <t>SURF_SUCROSE_MONOPALMITATE</t>
        </is>
      </c>
      <c r="B1866" t="inlineStr">
        <is>
          <t>number_of_tails</t>
        </is>
      </c>
      <c r="C1866">
        <v>1</v>
      </c>
      <c r="D1866" t="inlineStr">
        <is>
          <t>count</t>
        </is>
      </c>
      <c r="E1866"/>
      <c r="F1866"/>
      <c r="G1866" t="inlineStr">
        <is>
          <t>fatty-chain annotation</t>
        </is>
      </c>
      <c r="H1866" t="inlineStr">
        <is>
          <t>S007_EXCIPIENTS_HANDBOOK</t>
        </is>
      </c>
      <c r="I1866" t="inlineStr">
        <is>
          <t>curated</t>
        </is>
      </c>
      <c r="J1866">
        <v>0.8</v>
      </c>
      <c r="K1866"/>
    </row>
    <row r="1867">
      <c r="A1867" t="inlineStr">
        <is>
          <t>SURF_SUCROSE_MONOPALMITATE</t>
        </is>
      </c>
      <c r="B1867" t="inlineStr">
        <is>
          <t>charge_type</t>
        </is>
      </c>
      <c r="C1867" t="inlineStr">
        <is>
          <t>nonionic</t>
        </is>
      </c>
      <c r="D1867"/>
      <c r="E1867"/>
      <c r="F1867"/>
      <c r="G1867" t="inlineStr">
        <is>
          <t>ionization class</t>
        </is>
      </c>
      <c r="H1867" t="inlineStr">
        <is>
          <t>S007_EXCIPIENTS_HANDBOOK</t>
        </is>
      </c>
      <c r="I1867" t="inlineStr">
        <is>
          <t>curated</t>
        </is>
      </c>
      <c r="J1867">
        <v>0.85</v>
      </c>
      <c r="K1867"/>
    </row>
    <row r="1868">
      <c r="A1868" t="inlineStr">
        <is>
          <t>SURF_SUCROSE_MONOPALMITATE</t>
        </is>
      </c>
      <c r="B1868" t="inlineStr">
        <is>
          <t>formal_charge</t>
        </is>
      </c>
      <c r="C1868">
        <v>0</v>
      </c>
      <c r="D1868" t="inlineStr">
        <is>
          <t>e</t>
        </is>
      </c>
      <c r="E1868"/>
      <c r="F1868"/>
      <c r="G1868" t="inlineStr">
        <is>
          <t>nominal at neutral pH</t>
        </is>
      </c>
      <c r="H1868" t="inlineStr">
        <is>
          <t>S007_EXCIPIENTS_HANDBOOK</t>
        </is>
      </c>
      <c r="I1868" t="inlineStr">
        <is>
          <t>curated</t>
        </is>
      </c>
      <c r="J1868">
        <v>0.85</v>
      </c>
      <c r="K1868"/>
    </row>
    <row r="1869">
      <c r="A1869" t="inlineStr">
        <is>
          <t>SURF_SUCROSE_MONOPALMITATE</t>
        </is>
      </c>
      <c r="B1869" t="inlineStr">
        <is>
          <t>packing_role</t>
        </is>
      </c>
      <c r="C1869" t="inlineStr">
        <is>
          <t>edge activator / micellar solubilizer</t>
        </is>
      </c>
      <c r="D1869"/>
      <c r="E1869"/>
      <c r="F1869"/>
      <c r="G1869" t="inlineStr">
        <is>
          <t>HLB/chain-rule heuristic</t>
        </is>
      </c>
      <c r="H1869" t="inlineStr">
        <is>
          <t>S007_EXCIPIENTS_HANDBOOK</t>
        </is>
      </c>
      <c r="I1869" t="inlineStr">
        <is>
          <t>curated</t>
        </is>
      </c>
      <c r="J1869">
        <v>0.65</v>
      </c>
      <c r="K1869"/>
    </row>
    <row r="1870">
      <c r="A1870" t="inlineStr">
        <is>
          <t>SURF_SUCROSE_MONOPALMITATE</t>
        </is>
      </c>
      <c r="B1870" t="inlineStr">
        <is>
          <t>edge_activator_flag</t>
        </is>
      </c>
      <c r="C1870" t="inlineStr">
        <is>
          <t>yes</t>
        </is>
      </c>
      <c r="D1870"/>
      <c r="E1870"/>
      <c r="F1870"/>
      <c r="G1870" t="inlineStr">
        <is>
          <t>HLB/charge heuristic</t>
        </is>
      </c>
      <c r="H1870" t="inlineStr">
        <is>
          <t>S007_EXCIPIENTS_HANDBOOK</t>
        </is>
      </c>
      <c r="I1870" t="inlineStr">
        <is>
          <t>curated</t>
        </is>
      </c>
      <c r="J1870">
        <v>0.7</v>
      </c>
      <c r="K1870"/>
    </row>
    <row r="1871">
      <c r="A1871" t="inlineStr">
        <is>
          <t>SURF_SUCROSE_MONOPALMITATE</t>
        </is>
      </c>
      <c r="B1871" t="inlineStr">
        <is>
          <t>vesicle_anchor_flag</t>
        </is>
      </c>
      <c r="C1871" t="inlineStr">
        <is>
          <t>weak/conditional</t>
        </is>
      </c>
      <c r="D1871"/>
      <c r="E1871"/>
      <c r="F1871"/>
      <c r="G1871" t="inlineStr">
        <is>
          <t>chain-length and HLB heuristic</t>
        </is>
      </c>
      <c r="H1871" t="inlineStr">
        <is>
          <t>S007_EXCIPIENTS_HANDBOOK</t>
        </is>
      </c>
      <c r="I1871" t="inlineStr">
        <is>
          <t>curated</t>
        </is>
      </c>
      <c r="J1871">
        <v>0.7</v>
      </c>
      <c r="K1871"/>
    </row>
    <row r="1872">
      <c r="A1872" t="inlineStr">
        <is>
          <t>SURF_SUCROSE_MONOPALMITATE</t>
        </is>
      </c>
      <c r="B1872" t="inlineStr">
        <is>
          <t>micellization_risk_flag</t>
        </is>
      </c>
      <c r="C1872" t="inlineStr">
        <is>
          <t>high</t>
        </is>
      </c>
      <c r="D1872"/>
      <c r="E1872"/>
      <c r="F1872"/>
      <c r="G1872" t="inlineStr">
        <is>
          <t>HLB heuristic</t>
        </is>
      </c>
      <c r="H1872" t="inlineStr">
        <is>
          <t>S007_EXCIPIENTS_HANDBOOK</t>
        </is>
      </c>
      <c r="I1872" t="inlineStr">
        <is>
          <t>curated</t>
        </is>
      </c>
      <c r="J1872">
        <v>0.65</v>
      </c>
      <c r="K1872"/>
    </row>
    <row r="1873">
      <c r="A1873" t="inlineStr">
        <is>
          <t>SURF_SUCROSE_MONOPALMITATE</t>
        </is>
      </c>
      <c r="B1873" t="inlineStr">
        <is>
          <t>route_suitability</t>
        </is>
      </c>
      <c r="C1873" t="inlineStr">
        <is>
          <t>oral/topical; parenteral/inhalation only if grade and safety justified</t>
        </is>
      </c>
      <c r="D1873"/>
      <c r="E1873"/>
      <c r="F1873"/>
      <c r="G1873" t="inlineStr">
        <is>
          <t>route precedent heuristic</t>
        </is>
      </c>
      <c r="H1873" t="inlineStr">
        <is>
          <t>S008_FDA_IID</t>
        </is>
      </c>
      <c r="I1873" t="inlineStr">
        <is>
          <t>curated</t>
        </is>
      </c>
      <c r="J1873">
        <v>0.55</v>
      </c>
      <c r="K1873"/>
    </row>
    <row r="1874">
      <c r="A1874" t="inlineStr">
        <is>
          <t>SURF_SUCROSE_MONOPALMITATE</t>
        </is>
      </c>
      <c r="B1874" t="inlineStr">
        <is>
          <t>toxicity_or_irritancy_notes</t>
        </is>
      </c>
      <c r="C1874" t="inlineStr">
        <is>
          <t>surfactant irritation/hemolysis is concentration-, route-, and grade-dependent; screen cytotoxicity and osmolality</t>
        </is>
      </c>
      <c r="D1874"/>
      <c r="E1874"/>
      <c r="F1874"/>
      <c r="G1874"/>
      <c r="H1874" t="inlineStr">
        <is>
          <t>S007_EXCIPIENTS_HANDBOOK</t>
        </is>
      </c>
      <c r="I1874" t="inlineStr">
        <is>
          <t>curated</t>
        </is>
      </c>
      <c r="J1874">
        <v>0.7</v>
      </c>
      <c r="K1874"/>
    </row>
    <row r="1875">
      <c r="A1875" t="inlineStr">
        <is>
          <t>SURF_SUCROSE_MONOPALMITATE</t>
        </is>
      </c>
      <c r="B1875" t="inlineStr">
        <is>
          <t>Hansen_delta_D</t>
        </is>
      </c>
      <c r="C1875">
        <v>17.2</v>
      </c>
      <c r="D1875" t="inlineStr">
        <is>
          <t>MPa^0.5</t>
        </is>
      </c>
      <c r="E1875"/>
      <c r="F1875"/>
      <c r="G1875" t="inlineStr">
        <is>
          <t>heuristic group-contribution/nearest-neighbour</t>
        </is>
      </c>
      <c r="H1875" t="inlineStr">
        <is>
          <t>S013_EST_HSP_HEURISTIC</t>
        </is>
      </c>
      <c r="I1875" t="inlineStr">
        <is>
          <t>estimated</t>
        </is>
      </c>
      <c r="J1875">
        <v>0.4</v>
      </c>
      <c r="K1875" t="inlineStr">
        <is>
          <t>Provisional HSP for screening; replace with experimental/literature value before model lock.</t>
        </is>
      </c>
    </row>
    <row r="1876">
      <c r="A1876" t="inlineStr">
        <is>
          <t>SURF_SUCROSE_MONOPALMITATE</t>
        </is>
      </c>
      <c r="B1876" t="inlineStr">
        <is>
          <t>Hansen_delta_P</t>
        </is>
      </c>
      <c r="C1876">
        <v>8.5</v>
      </c>
      <c r="D1876" t="inlineStr">
        <is>
          <t>MPa^0.5</t>
        </is>
      </c>
      <c r="E1876"/>
      <c r="F1876"/>
      <c r="G1876" t="inlineStr">
        <is>
          <t>heuristic group-contribution/nearest-neighbour</t>
        </is>
      </c>
      <c r="H1876" t="inlineStr">
        <is>
          <t>S013_EST_HSP_HEURISTIC</t>
        </is>
      </c>
      <c r="I1876" t="inlineStr">
        <is>
          <t>estimated</t>
        </is>
      </c>
      <c r="J1876">
        <v>0.4</v>
      </c>
      <c r="K1876" t="inlineStr">
        <is>
          <t>Provisional HSP for screening; replace with experimental/literature value before model lock.</t>
        </is>
      </c>
    </row>
    <row r="1877">
      <c r="A1877" t="inlineStr">
        <is>
          <t>SURF_SUCROSE_MONOPALMITATE</t>
        </is>
      </c>
      <c r="B1877" t="inlineStr">
        <is>
          <t>Hansen_delta_H</t>
        </is>
      </c>
      <c r="C1877">
        <v>14.0</v>
      </c>
      <c r="D1877" t="inlineStr">
        <is>
          <t>MPa^0.5</t>
        </is>
      </c>
      <c r="E1877"/>
      <c r="F1877"/>
      <c r="G1877" t="inlineStr">
        <is>
          <t>heuristic group-contribution/nearest-neighbour</t>
        </is>
      </c>
      <c r="H1877" t="inlineStr">
        <is>
          <t>S013_EST_HSP_HEURISTIC</t>
        </is>
      </c>
      <c r="I1877" t="inlineStr">
        <is>
          <t>estimated</t>
        </is>
      </c>
      <c r="J1877">
        <v>0.4</v>
      </c>
      <c r="K1877" t="inlineStr">
        <is>
          <t>Provisional HSP for screening; replace with experimental/literature value before model lock.</t>
        </is>
      </c>
    </row>
    <row r="1878">
      <c r="A1878" t="inlineStr">
        <is>
          <t>SURF_SUCROSE_MONOPALMITATE</t>
        </is>
      </c>
      <c r="B1878" t="inlineStr">
        <is>
          <t>Hildebrand_delta_T</t>
        </is>
      </c>
      <c r="C1878">
        <v>23.75</v>
      </c>
      <c r="D1878" t="inlineStr">
        <is>
          <t>MPa^0.5</t>
        </is>
      </c>
      <c r="E1878"/>
      <c r="F1878"/>
      <c r="G1878" t="inlineStr">
        <is>
          <t>sqrt(deltaD^2+deltaP^2+deltaH^2)</t>
        </is>
      </c>
      <c r="H1878" t="inlineStr">
        <is>
          <t>S012_CALCULATED</t>
        </is>
      </c>
      <c r="I1878" t="inlineStr">
        <is>
          <t>calculated</t>
        </is>
      </c>
      <c r="J1878">
        <v>0.45</v>
      </c>
      <c r="K1878" t="inlineStr">
        <is>
          <t>Derived from stored Hansen components.</t>
        </is>
      </c>
    </row>
    <row r="1879">
      <c r="A1879" t="inlineStr">
        <is>
          <t>SURF_SUCROSE_MONOPALMITATE</t>
        </is>
      </c>
      <c r="B1879" t="inlineStr">
        <is>
          <t>HSP_radius_R0</t>
        </is>
      </c>
      <c r="C1879">
        <v>9.0</v>
      </c>
      <c r="D1879" t="inlineStr">
        <is>
          <t>MPa^0.5</t>
        </is>
      </c>
      <c r="E1879"/>
      <c r="F1879"/>
      <c r="G1879" t="inlineStr">
        <is>
          <t>literature/heuristic solubility sphere</t>
        </is>
      </c>
      <c r="H1879" t="inlineStr">
        <is>
          <t>S013_EST_HSP_HEURISTIC</t>
        </is>
      </c>
      <c r="I1879" t="inlineStr">
        <is>
          <t>estimated</t>
        </is>
      </c>
      <c r="J1879">
        <v>0.4</v>
      </c>
      <c r="K1879" t="inlineStr">
        <is>
          <t>Screening radius only unless experimentally determined.</t>
        </is>
      </c>
    </row>
    <row r="1880">
      <c r="A1880" t="inlineStr">
        <is>
          <t>SURF_SUCROSE_MONOPALMITATE</t>
        </is>
      </c>
      <c r="B1880" t="inlineStr">
        <is>
          <t>molar_volume_cm3_mol</t>
        </is>
      </c>
      <c r="C1880">
        <v>553.05</v>
      </c>
      <c r="D1880" t="inlineStr">
        <is>
          <t>cm3/mol</t>
        </is>
      </c>
      <c r="E1880"/>
      <c r="F1880"/>
      <c r="G1880" t="inlineStr">
        <is>
          <t>MW/density estimate</t>
        </is>
      </c>
      <c r="H1880" t="inlineStr">
        <is>
          <t>S012_CALCULATED</t>
        </is>
      </c>
      <c r="I1880" t="inlineStr">
        <is>
          <t>estimated</t>
        </is>
      </c>
      <c r="J1880">
        <v>0.42</v>
      </c>
      <c r="K1880" t="inlineStr">
        <is>
          <t>Estimated from MW/density; replace with measured molar volume or density-specific grade data.</t>
        </is>
      </c>
    </row>
    <row r="1881">
      <c r="A1881" t="inlineStr">
        <is>
          <t>SURF_SUCROSE_MONOPALMITATE</t>
        </is>
      </c>
      <c r="B1881" t="inlineStr">
        <is>
          <t>headgroup_area_nm2</t>
        </is>
      </c>
      <c r="C1881">
        <v>0.62</v>
      </c>
      <c r="D1881" t="inlineStr">
        <is>
          <t>nm2</t>
        </is>
      </c>
      <c r="E1881"/>
      <c r="F1881"/>
      <c r="G1881" t="inlineStr">
        <is>
          <t>CPP screening heuristic</t>
        </is>
      </c>
      <c r="H1881" t="inlineStr">
        <is>
          <t>S013_EST_HSP_HEURISTIC</t>
        </is>
      </c>
      <c r="I1881" t="inlineStr">
        <is>
          <t>estimated</t>
        </is>
      </c>
      <c r="J1881">
        <v>0.35</v>
      </c>
      <c r="K1881" t="inlineStr">
        <is>
          <t>Replace with monolayer or MD-derived area per molecule for publication-grade CPP.</t>
        </is>
      </c>
    </row>
    <row r="1882">
      <c r="A1882" t="inlineStr">
        <is>
          <t>SURF_SUCROSE_MONOSTEARATE</t>
        </is>
      </c>
      <c r="B1882" t="inlineStr">
        <is>
          <t>molecular_weight_g_mol</t>
        </is>
      </c>
      <c r="C1882">
        <v>608.8</v>
      </c>
      <c r="D1882" t="inlineStr">
        <is>
          <t>g/mol</t>
        </is>
      </c>
      <c r="E1882"/>
      <c r="F1882"/>
      <c r="G1882" t="inlineStr">
        <is>
          <t>supplier/handbook average for mixtures</t>
        </is>
      </c>
      <c r="H1882" t="inlineStr">
        <is>
          <t>S007_EXCIPIENTS_HANDBOOK</t>
        </is>
      </c>
      <c r="I1882" t="inlineStr">
        <is>
          <t>supplier-reported</t>
        </is>
      </c>
      <c r="J1882">
        <v>0.65</v>
      </c>
      <c r="K1882"/>
    </row>
    <row r="1883">
      <c r="A1883" t="inlineStr">
        <is>
          <t>SURF_SUCROSE_MONOSTEARATE</t>
        </is>
      </c>
      <c r="B1883" t="inlineStr">
        <is>
          <t>HLB</t>
        </is>
      </c>
      <c r="C1883">
        <v>15</v>
      </c>
      <c r="D1883" t="inlineStr">
        <is>
          <t>HLB</t>
        </is>
      </c>
      <c r="E1883"/>
      <c r="F1883"/>
      <c r="G1883" t="inlineStr">
        <is>
          <t>Griffin/Davies HLB literature/supplier value</t>
        </is>
      </c>
      <c r="H1883" t="inlineStr">
        <is>
          <t>S007_EXCIPIENTS_HANDBOOK</t>
        </is>
      </c>
      <c r="I1883" t="inlineStr">
        <is>
          <t>supplier-reported</t>
        </is>
      </c>
      <c r="J1883">
        <v>0.75</v>
      </c>
      <c r="K1883" t="inlineStr">
        <is>
          <t>Grade-dependent; use supplier CoA when available.</t>
        </is>
      </c>
    </row>
    <row r="1884">
      <c r="A1884" t="inlineStr">
        <is>
          <t>SURF_SUCROSE_MONOSTEARATE</t>
        </is>
      </c>
      <c r="B1884" t="inlineStr">
        <is>
          <t>headgroup_type</t>
        </is>
      </c>
      <c r="C1884" t="inlineStr">
        <is>
          <t>sucrose ester</t>
        </is>
      </c>
      <c r="D1884"/>
      <c r="E1884"/>
      <c r="F1884"/>
      <c r="G1884" t="inlineStr">
        <is>
          <t>manual class annotation</t>
        </is>
      </c>
      <c r="H1884" t="inlineStr">
        <is>
          <t>S007_EXCIPIENTS_HANDBOOK</t>
        </is>
      </c>
      <c r="I1884" t="inlineStr">
        <is>
          <t>curated</t>
        </is>
      </c>
      <c r="J1884">
        <v>0.75</v>
      </c>
      <c r="K1884"/>
    </row>
    <row r="1885">
      <c r="A1885" t="inlineStr">
        <is>
          <t>SURF_SUCROSE_MONOSTEARATE</t>
        </is>
      </c>
      <c r="B1885" t="inlineStr">
        <is>
          <t>tail_chain</t>
        </is>
      </c>
      <c r="C1885" t="inlineStr">
        <is>
          <t>C18:0 sucrose ester</t>
        </is>
      </c>
      <c r="D1885"/>
      <c r="E1885"/>
      <c r="F1885"/>
      <c r="G1885" t="inlineStr">
        <is>
          <t>fatty-chain annotation</t>
        </is>
      </c>
      <c r="H1885" t="inlineStr">
        <is>
          <t>S007_EXCIPIENTS_HANDBOOK</t>
        </is>
      </c>
      <c r="I1885" t="inlineStr">
        <is>
          <t>curated</t>
        </is>
      </c>
      <c r="J1885">
        <v>0.8</v>
      </c>
      <c r="K1885"/>
    </row>
    <row r="1886">
      <c r="A1886" t="inlineStr">
        <is>
          <t>SURF_SUCROSE_MONOSTEARATE</t>
        </is>
      </c>
      <c r="B1886" t="inlineStr">
        <is>
          <t>tail_carbons</t>
        </is>
      </c>
      <c r="C1886">
        <v>18</v>
      </c>
      <c r="D1886" t="inlineStr">
        <is>
          <t>count</t>
        </is>
      </c>
      <c r="E1886"/>
      <c r="F1886"/>
      <c r="G1886" t="inlineStr">
        <is>
          <t>fatty-chain annotation</t>
        </is>
      </c>
      <c r="H1886" t="inlineStr">
        <is>
          <t>S007_EXCIPIENTS_HANDBOOK</t>
        </is>
      </c>
      <c r="I1886" t="inlineStr">
        <is>
          <t>curated</t>
        </is>
      </c>
      <c r="J1886">
        <v>0.8</v>
      </c>
      <c r="K1886"/>
    </row>
    <row r="1887">
      <c r="A1887" t="inlineStr">
        <is>
          <t>SURF_SUCROSE_MONOSTEARATE</t>
        </is>
      </c>
      <c r="B1887" t="inlineStr">
        <is>
          <t>tail_unsaturation</t>
        </is>
      </c>
      <c r="C1887">
        <v>0</v>
      </c>
      <c r="D1887" t="inlineStr">
        <is>
          <t>double_bonds</t>
        </is>
      </c>
      <c r="E1887"/>
      <c r="F1887"/>
      <c r="G1887" t="inlineStr">
        <is>
          <t>fatty-chain annotation</t>
        </is>
      </c>
      <c r="H1887" t="inlineStr">
        <is>
          <t>S007_EXCIPIENTS_HANDBOOK</t>
        </is>
      </c>
      <c r="I1887" t="inlineStr">
        <is>
          <t>curated</t>
        </is>
      </c>
      <c r="J1887">
        <v>0.8</v>
      </c>
      <c r="K1887"/>
    </row>
    <row r="1888">
      <c r="A1888" t="inlineStr">
        <is>
          <t>SURF_SUCROSE_MONOSTEARATE</t>
        </is>
      </c>
      <c r="B1888" t="inlineStr">
        <is>
          <t>number_of_tails</t>
        </is>
      </c>
      <c r="C1888">
        <v>1</v>
      </c>
      <c r="D1888" t="inlineStr">
        <is>
          <t>count</t>
        </is>
      </c>
      <c r="E1888"/>
      <c r="F1888"/>
      <c r="G1888" t="inlineStr">
        <is>
          <t>fatty-chain annotation</t>
        </is>
      </c>
      <c r="H1888" t="inlineStr">
        <is>
          <t>S007_EXCIPIENTS_HANDBOOK</t>
        </is>
      </c>
      <c r="I1888" t="inlineStr">
        <is>
          <t>curated</t>
        </is>
      </c>
      <c r="J1888">
        <v>0.8</v>
      </c>
      <c r="K1888"/>
    </row>
    <row r="1889">
      <c r="A1889" t="inlineStr">
        <is>
          <t>SURF_SUCROSE_MONOSTEARATE</t>
        </is>
      </c>
      <c r="B1889" t="inlineStr">
        <is>
          <t>charge_type</t>
        </is>
      </c>
      <c r="C1889" t="inlineStr">
        <is>
          <t>nonionic</t>
        </is>
      </c>
      <c r="D1889"/>
      <c r="E1889"/>
      <c r="F1889"/>
      <c r="G1889" t="inlineStr">
        <is>
          <t>ionization class</t>
        </is>
      </c>
      <c r="H1889" t="inlineStr">
        <is>
          <t>S007_EXCIPIENTS_HANDBOOK</t>
        </is>
      </c>
      <c r="I1889" t="inlineStr">
        <is>
          <t>curated</t>
        </is>
      </c>
      <c r="J1889">
        <v>0.85</v>
      </c>
      <c r="K1889"/>
    </row>
    <row r="1890">
      <c r="A1890" t="inlineStr">
        <is>
          <t>SURF_SUCROSE_MONOSTEARATE</t>
        </is>
      </c>
      <c r="B1890" t="inlineStr">
        <is>
          <t>formal_charge</t>
        </is>
      </c>
      <c r="C1890">
        <v>0</v>
      </c>
      <c r="D1890" t="inlineStr">
        <is>
          <t>e</t>
        </is>
      </c>
      <c r="E1890"/>
      <c r="F1890"/>
      <c r="G1890" t="inlineStr">
        <is>
          <t>nominal at neutral pH</t>
        </is>
      </c>
      <c r="H1890" t="inlineStr">
        <is>
          <t>S007_EXCIPIENTS_HANDBOOK</t>
        </is>
      </c>
      <c r="I1890" t="inlineStr">
        <is>
          <t>curated</t>
        </is>
      </c>
      <c r="J1890">
        <v>0.85</v>
      </c>
      <c r="K1890"/>
    </row>
    <row r="1891">
      <c r="A1891" t="inlineStr">
        <is>
          <t>SURF_SUCROSE_MONOSTEARATE</t>
        </is>
      </c>
      <c r="B1891" t="inlineStr">
        <is>
          <t>packing_role</t>
        </is>
      </c>
      <c r="C1891" t="inlineStr">
        <is>
          <t>edge activator / micellar solubilizer</t>
        </is>
      </c>
      <c r="D1891"/>
      <c r="E1891"/>
      <c r="F1891"/>
      <c r="G1891" t="inlineStr">
        <is>
          <t>HLB/chain-rule heuristic</t>
        </is>
      </c>
      <c r="H1891" t="inlineStr">
        <is>
          <t>S007_EXCIPIENTS_HANDBOOK</t>
        </is>
      </c>
      <c r="I1891" t="inlineStr">
        <is>
          <t>curated</t>
        </is>
      </c>
      <c r="J1891">
        <v>0.65</v>
      </c>
      <c r="K1891"/>
    </row>
    <row r="1892">
      <c r="A1892" t="inlineStr">
        <is>
          <t>SURF_SUCROSE_MONOSTEARATE</t>
        </is>
      </c>
      <c r="B1892" t="inlineStr">
        <is>
          <t>edge_activator_flag</t>
        </is>
      </c>
      <c r="C1892" t="inlineStr">
        <is>
          <t>yes</t>
        </is>
      </c>
      <c r="D1892"/>
      <c r="E1892"/>
      <c r="F1892"/>
      <c r="G1892" t="inlineStr">
        <is>
          <t>HLB/charge heuristic</t>
        </is>
      </c>
      <c r="H1892" t="inlineStr">
        <is>
          <t>S007_EXCIPIENTS_HANDBOOK</t>
        </is>
      </c>
      <c r="I1892" t="inlineStr">
        <is>
          <t>curated</t>
        </is>
      </c>
      <c r="J1892">
        <v>0.7</v>
      </c>
      <c r="K1892"/>
    </row>
    <row r="1893">
      <c r="A1893" t="inlineStr">
        <is>
          <t>SURF_SUCROSE_MONOSTEARATE</t>
        </is>
      </c>
      <c r="B1893" t="inlineStr">
        <is>
          <t>vesicle_anchor_flag</t>
        </is>
      </c>
      <c r="C1893" t="inlineStr">
        <is>
          <t>weak/conditional</t>
        </is>
      </c>
      <c r="D1893"/>
      <c r="E1893"/>
      <c r="F1893"/>
      <c r="G1893" t="inlineStr">
        <is>
          <t>chain-length and HLB heuristic</t>
        </is>
      </c>
      <c r="H1893" t="inlineStr">
        <is>
          <t>S007_EXCIPIENTS_HANDBOOK</t>
        </is>
      </c>
      <c r="I1893" t="inlineStr">
        <is>
          <t>curated</t>
        </is>
      </c>
      <c r="J1893">
        <v>0.7</v>
      </c>
      <c r="K1893"/>
    </row>
    <row r="1894">
      <c r="A1894" t="inlineStr">
        <is>
          <t>SURF_SUCROSE_MONOSTEARATE</t>
        </is>
      </c>
      <c r="B1894" t="inlineStr">
        <is>
          <t>micellization_risk_flag</t>
        </is>
      </c>
      <c r="C1894" t="inlineStr">
        <is>
          <t>high</t>
        </is>
      </c>
      <c r="D1894"/>
      <c r="E1894"/>
      <c r="F1894"/>
      <c r="G1894" t="inlineStr">
        <is>
          <t>HLB heuristic</t>
        </is>
      </c>
      <c r="H1894" t="inlineStr">
        <is>
          <t>S007_EXCIPIENTS_HANDBOOK</t>
        </is>
      </c>
      <c r="I1894" t="inlineStr">
        <is>
          <t>curated</t>
        </is>
      </c>
      <c r="J1894">
        <v>0.65</v>
      </c>
      <c r="K1894"/>
    </row>
    <row r="1895">
      <c r="A1895" t="inlineStr">
        <is>
          <t>SURF_SUCROSE_MONOSTEARATE</t>
        </is>
      </c>
      <c r="B1895" t="inlineStr">
        <is>
          <t>route_suitability</t>
        </is>
      </c>
      <c r="C1895" t="inlineStr">
        <is>
          <t>oral/topical; parenteral/inhalation only if grade and safety justified</t>
        </is>
      </c>
      <c r="D1895"/>
      <c r="E1895"/>
      <c r="F1895"/>
      <c r="G1895" t="inlineStr">
        <is>
          <t>route precedent heuristic</t>
        </is>
      </c>
      <c r="H1895" t="inlineStr">
        <is>
          <t>S008_FDA_IID</t>
        </is>
      </c>
      <c r="I1895" t="inlineStr">
        <is>
          <t>curated</t>
        </is>
      </c>
      <c r="J1895">
        <v>0.55</v>
      </c>
      <c r="K1895"/>
    </row>
    <row r="1896">
      <c r="A1896" t="inlineStr">
        <is>
          <t>SURF_SUCROSE_MONOSTEARATE</t>
        </is>
      </c>
      <c r="B1896" t="inlineStr">
        <is>
          <t>toxicity_or_irritancy_notes</t>
        </is>
      </c>
      <c r="C1896" t="inlineStr">
        <is>
          <t>surfactant irritation/hemolysis is concentration-, route-, and grade-dependent; screen cytotoxicity and osmolality</t>
        </is>
      </c>
      <c r="D1896"/>
      <c r="E1896"/>
      <c r="F1896"/>
      <c r="G1896"/>
      <c r="H1896" t="inlineStr">
        <is>
          <t>S007_EXCIPIENTS_HANDBOOK</t>
        </is>
      </c>
      <c r="I1896" t="inlineStr">
        <is>
          <t>curated</t>
        </is>
      </c>
      <c r="J1896">
        <v>0.7</v>
      </c>
      <c r="K1896"/>
    </row>
    <row r="1897">
      <c r="A1897" t="inlineStr">
        <is>
          <t>SURF_SUCROSE_MONOSTEARATE</t>
        </is>
      </c>
      <c r="B1897" t="inlineStr">
        <is>
          <t>Hansen_delta_D</t>
        </is>
      </c>
      <c r="C1897">
        <v>17.2</v>
      </c>
      <c r="D1897" t="inlineStr">
        <is>
          <t>MPa^0.5</t>
        </is>
      </c>
      <c r="E1897"/>
      <c r="F1897"/>
      <c r="G1897" t="inlineStr">
        <is>
          <t>heuristic group-contribution/nearest-neighbour</t>
        </is>
      </c>
      <c r="H1897" t="inlineStr">
        <is>
          <t>S013_EST_HSP_HEURISTIC</t>
        </is>
      </c>
      <c r="I1897" t="inlineStr">
        <is>
          <t>estimated</t>
        </is>
      </c>
      <c r="J1897">
        <v>0.4</v>
      </c>
      <c r="K1897" t="inlineStr">
        <is>
          <t>Provisional HSP for screening; replace with experimental/literature value before model lock.</t>
        </is>
      </c>
    </row>
    <row r="1898">
      <c r="A1898" t="inlineStr">
        <is>
          <t>SURF_SUCROSE_MONOSTEARATE</t>
        </is>
      </c>
      <c r="B1898" t="inlineStr">
        <is>
          <t>Hansen_delta_P</t>
        </is>
      </c>
      <c r="C1898">
        <v>8.5</v>
      </c>
      <c r="D1898" t="inlineStr">
        <is>
          <t>MPa^0.5</t>
        </is>
      </c>
      <c r="E1898"/>
      <c r="F1898"/>
      <c r="G1898" t="inlineStr">
        <is>
          <t>heuristic group-contribution/nearest-neighbour</t>
        </is>
      </c>
      <c r="H1898" t="inlineStr">
        <is>
          <t>S013_EST_HSP_HEURISTIC</t>
        </is>
      </c>
      <c r="I1898" t="inlineStr">
        <is>
          <t>estimated</t>
        </is>
      </c>
      <c r="J1898">
        <v>0.4</v>
      </c>
      <c r="K1898" t="inlineStr">
        <is>
          <t>Provisional HSP for screening; replace with experimental/literature value before model lock.</t>
        </is>
      </c>
    </row>
    <row r="1899">
      <c r="A1899" t="inlineStr">
        <is>
          <t>SURF_SUCROSE_MONOSTEARATE</t>
        </is>
      </c>
      <c r="B1899" t="inlineStr">
        <is>
          <t>Hansen_delta_H</t>
        </is>
      </c>
      <c r="C1899">
        <v>14.0</v>
      </c>
      <c r="D1899" t="inlineStr">
        <is>
          <t>MPa^0.5</t>
        </is>
      </c>
      <c r="E1899"/>
      <c r="F1899"/>
      <c r="G1899" t="inlineStr">
        <is>
          <t>heuristic group-contribution/nearest-neighbour</t>
        </is>
      </c>
      <c r="H1899" t="inlineStr">
        <is>
          <t>S013_EST_HSP_HEURISTIC</t>
        </is>
      </c>
      <c r="I1899" t="inlineStr">
        <is>
          <t>estimated</t>
        </is>
      </c>
      <c r="J1899">
        <v>0.4</v>
      </c>
      <c r="K1899" t="inlineStr">
        <is>
          <t>Provisional HSP for screening; replace with experimental/literature value before model lock.</t>
        </is>
      </c>
    </row>
    <row r="1900">
      <c r="A1900" t="inlineStr">
        <is>
          <t>SURF_SUCROSE_MONOSTEARATE</t>
        </is>
      </c>
      <c r="B1900" t="inlineStr">
        <is>
          <t>Hildebrand_delta_T</t>
        </is>
      </c>
      <c r="C1900">
        <v>23.75</v>
      </c>
      <c r="D1900" t="inlineStr">
        <is>
          <t>MPa^0.5</t>
        </is>
      </c>
      <c r="E1900"/>
      <c r="F1900"/>
      <c r="G1900" t="inlineStr">
        <is>
          <t>sqrt(deltaD^2+deltaP^2+deltaH^2)</t>
        </is>
      </c>
      <c r="H1900" t="inlineStr">
        <is>
          <t>S012_CALCULATED</t>
        </is>
      </c>
      <c r="I1900" t="inlineStr">
        <is>
          <t>calculated</t>
        </is>
      </c>
      <c r="J1900">
        <v>0.45</v>
      </c>
      <c r="K1900" t="inlineStr">
        <is>
          <t>Derived from stored Hansen components.</t>
        </is>
      </c>
    </row>
    <row r="1901">
      <c r="A1901" t="inlineStr">
        <is>
          <t>SURF_SUCROSE_MONOSTEARATE</t>
        </is>
      </c>
      <c r="B1901" t="inlineStr">
        <is>
          <t>HSP_radius_R0</t>
        </is>
      </c>
      <c r="C1901">
        <v>9.0</v>
      </c>
      <c r="D1901" t="inlineStr">
        <is>
          <t>MPa^0.5</t>
        </is>
      </c>
      <c r="E1901"/>
      <c r="F1901"/>
      <c r="G1901" t="inlineStr">
        <is>
          <t>literature/heuristic solubility sphere</t>
        </is>
      </c>
      <c r="H1901" t="inlineStr">
        <is>
          <t>S013_EST_HSP_HEURISTIC</t>
        </is>
      </c>
      <c r="I1901" t="inlineStr">
        <is>
          <t>estimated</t>
        </is>
      </c>
      <c r="J1901">
        <v>0.4</v>
      </c>
      <c r="K1901" t="inlineStr">
        <is>
          <t>Screening radius only unless experimentally determined.</t>
        </is>
      </c>
    </row>
    <row r="1902">
      <c r="A1902" t="inlineStr">
        <is>
          <t>SURF_SUCROSE_MONOSTEARATE</t>
        </is>
      </c>
      <c r="B1902" t="inlineStr">
        <is>
          <t>molar_volume_cm3_mol</t>
        </is>
      </c>
      <c r="C1902">
        <v>579.81</v>
      </c>
      <c r="D1902" t="inlineStr">
        <is>
          <t>cm3/mol</t>
        </is>
      </c>
      <c r="E1902"/>
      <c r="F1902"/>
      <c r="G1902" t="inlineStr">
        <is>
          <t>MW/density estimate</t>
        </is>
      </c>
      <c r="H1902" t="inlineStr">
        <is>
          <t>S012_CALCULATED</t>
        </is>
      </c>
      <c r="I1902" t="inlineStr">
        <is>
          <t>estimated</t>
        </is>
      </c>
      <c r="J1902">
        <v>0.42</v>
      </c>
      <c r="K1902" t="inlineStr">
        <is>
          <t>Estimated from MW/density; replace with measured molar volume or density-specific grade data.</t>
        </is>
      </c>
    </row>
    <row r="1903">
      <c r="A1903" t="inlineStr">
        <is>
          <t>SURF_SUCROSE_MONOSTEARATE</t>
        </is>
      </c>
      <c r="B1903" t="inlineStr">
        <is>
          <t>headgroup_area_nm2</t>
        </is>
      </c>
      <c r="C1903">
        <v>0.62</v>
      </c>
      <c r="D1903" t="inlineStr">
        <is>
          <t>nm2</t>
        </is>
      </c>
      <c r="E1903"/>
      <c r="F1903"/>
      <c r="G1903" t="inlineStr">
        <is>
          <t>CPP screening heuristic</t>
        </is>
      </c>
      <c r="H1903" t="inlineStr">
        <is>
          <t>S013_EST_HSP_HEURISTIC</t>
        </is>
      </c>
      <c r="I1903" t="inlineStr">
        <is>
          <t>estimated</t>
        </is>
      </c>
      <c r="J1903">
        <v>0.35</v>
      </c>
      <c r="K1903" t="inlineStr">
        <is>
          <t>Replace with monolayer or MD-derived area per molecule for publication-grade CPP.</t>
        </is>
      </c>
    </row>
    <row r="1904">
      <c r="A1904" t="inlineStr">
        <is>
          <t>SURF_SUCROSE_MONOOLEATE</t>
        </is>
      </c>
      <c r="B1904" t="inlineStr">
        <is>
          <t>molecular_weight_g_mol</t>
        </is>
      </c>
      <c r="C1904">
        <v>606.8</v>
      </c>
      <c r="D1904" t="inlineStr">
        <is>
          <t>g/mol</t>
        </is>
      </c>
      <c r="E1904"/>
      <c r="F1904"/>
      <c r="G1904" t="inlineStr">
        <is>
          <t>supplier/handbook average for mixtures</t>
        </is>
      </c>
      <c r="H1904" t="inlineStr">
        <is>
          <t>S007_EXCIPIENTS_HANDBOOK</t>
        </is>
      </c>
      <c r="I1904" t="inlineStr">
        <is>
          <t>supplier-reported</t>
        </is>
      </c>
      <c r="J1904">
        <v>0.65</v>
      </c>
      <c r="K1904"/>
    </row>
    <row r="1905">
      <c r="A1905" t="inlineStr">
        <is>
          <t>SURF_SUCROSE_MONOOLEATE</t>
        </is>
      </c>
      <c r="B1905" t="inlineStr">
        <is>
          <t>HLB</t>
        </is>
      </c>
      <c r="C1905">
        <v>15</v>
      </c>
      <c r="D1905" t="inlineStr">
        <is>
          <t>HLB</t>
        </is>
      </c>
      <c r="E1905"/>
      <c r="F1905"/>
      <c r="G1905" t="inlineStr">
        <is>
          <t>Griffin/Davies HLB literature/supplier value</t>
        </is>
      </c>
      <c r="H1905" t="inlineStr">
        <is>
          <t>S007_EXCIPIENTS_HANDBOOK</t>
        </is>
      </c>
      <c r="I1905" t="inlineStr">
        <is>
          <t>supplier-reported</t>
        </is>
      </c>
      <c r="J1905">
        <v>0.75</v>
      </c>
      <c r="K1905" t="inlineStr">
        <is>
          <t>Grade-dependent; use supplier CoA when available.</t>
        </is>
      </c>
    </row>
    <row r="1906">
      <c r="A1906" t="inlineStr">
        <is>
          <t>SURF_SUCROSE_MONOOLEATE</t>
        </is>
      </c>
      <c r="B1906" t="inlineStr">
        <is>
          <t>headgroup_type</t>
        </is>
      </c>
      <c r="C1906" t="inlineStr">
        <is>
          <t>sucrose ester</t>
        </is>
      </c>
      <c r="D1906"/>
      <c r="E1906"/>
      <c r="F1906"/>
      <c r="G1906" t="inlineStr">
        <is>
          <t>manual class annotation</t>
        </is>
      </c>
      <c r="H1906" t="inlineStr">
        <is>
          <t>S007_EXCIPIENTS_HANDBOOK</t>
        </is>
      </c>
      <c r="I1906" t="inlineStr">
        <is>
          <t>curated</t>
        </is>
      </c>
      <c r="J1906">
        <v>0.75</v>
      </c>
      <c r="K1906"/>
    </row>
    <row r="1907">
      <c r="A1907" t="inlineStr">
        <is>
          <t>SURF_SUCROSE_MONOOLEATE</t>
        </is>
      </c>
      <c r="B1907" t="inlineStr">
        <is>
          <t>tail_chain</t>
        </is>
      </c>
      <c r="C1907" t="inlineStr">
        <is>
          <t>C18:1 sucrose ester</t>
        </is>
      </c>
      <c r="D1907"/>
      <c r="E1907"/>
      <c r="F1907"/>
      <c r="G1907" t="inlineStr">
        <is>
          <t>fatty-chain annotation</t>
        </is>
      </c>
      <c r="H1907" t="inlineStr">
        <is>
          <t>S007_EXCIPIENTS_HANDBOOK</t>
        </is>
      </c>
      <c r="I1907" t="inlineStr">
        <is>
          <t>curated</t>
        </is>
      </c>
      <c r="J1907">
        <v>0.8</v>
      </c>
      <c r="K1907"/>
    </row>
    <row r="1908">
      <c r="A1908" t="inlineStr">
        <is>
          <t>SURF_SUCROSE_MONOOLEATE</t>
        </is>
      </c>
      <c r="B1908" t="inlineStr">
        <is>
          <t>tail_carbons</t>
        </is>
      </c>
      <c r="C1908">
        <v>18</v>
      </c>
      <c r="D1908" t="inlineStr">
        <is>
          <t>count</t>
        </is>
      </c>
      <c r="E1908"/>
      <c r="F1908"/>
      <c r="G1908" t="inlineStr">
        <is>
          <t>fatty-chain annotation</t>
        </is>
      </c>
      <c r="H1908" t="inlineStr">
        <is>
          <t>S007_EXCIPIENTS_HANDBOOK</t>
        </is>
      </c>
      <c r="I1908" t="inlineStr">
        <is>
          <t>curated</t>
        </is>
      </c>
      <c r="J1908">
        <v>0.8</v>
      </c>
      <c r="K1908"/>
    </row>
    <row r="1909">
      <c r="A1909" t="inlineStr">
        <is>
          <t>SURF_SUCROSE_MONOOLEATE</t>
        </is>
      </c>
      <c r="B1909" t="inlineStr">
        <is>
          <t>tail_unsaturation</t>
        </is>
      </c>
      <c r="C1909">
        <v>1</v>
      </c>
      <c r="D1909" t="inlineStr">
        <is>
          <t>double_bonds</t>
        </is>
      </c>
      <c r="E1909"/>
      <c r="F1909"/>
      <c r="G1909" t="inlineStr">
        <is>
          <t>fatty-chain annotation</t>
        </is>
      </c>
      <c r="H1909" t="inlineStr">
        <is>
          <t>S007_EXCIPIENTS_HANDBOOK</t>
        </is>
      </c>
      <c r="I1909" t="inlineStr">
        <is>
          <t>curated</t>
        </is>
      </c>
      <c r="J1909">
        <v>0.8</v>
      </c>
      <c r="K1909"/>
    </row>
    <row r="1910">
      <c r="A1910" t="inlineStr">
        <is>
          <t>SURF_SUCROSE_MONOOLEATE</t>
        </is>
      </c>
      <c r="B1910" t="inlineStr">
        <is>
          <t>number_of_tails</t>
        </is>
      </c>
      <c r="C1910">
        <v>1</v>
      </c>
      <c r="D1910" t="inlineStr">
        <is>
          <t>count</t>
        </is>
      </c>
      <c r="E1910"/>
      <c r="F1910"/>
      <c r="G1910" t="inlineStr">
        <is>
          <t>fatty-chain annotation</t>
        </is>
      </c>
      <c r="H1910" t="inlineStr">
        <is>
          <t>S007_EXCIPIENTS_HANDBOOK</t>
        </is>
      </c>
      <c r="I1910" t="inlineStr">
        <is>
          <t>curated</t>
        </is>
      </c>
      <c r="J1910">
        <v>0.8</v>
      </c>
      <c r="K1910"/>
    </row>
    <row r="1911">
      <c r="A1911" t="inlineStr">
        <is>
          <t>SURF_SUCROSE_MONOOLEATE</t>
        </is>
      </c>
      <c r="B1911" t="inlineStr">
        <is>
          <t>charge_type</t>
        </is>
      </c>
      <c r="C1911" t="inlineStr">
        <is>
          <t>nonionic</t>
        </is>
      </c>
      <c r="D1911"/>
      <c r="E1911"/>
      <c r="F1911"/>
      <c r="G1911" t="inlineStr">
        <is>
          <t>ionization class</t>
        </is>
      </c>
      <c r="H1911" t="inlineStr">
        <is>
          <t>S007_EXCIPIENTS_HANDBOOK</t>
        </is>
      </c>
      <c r="I1911" t="inlineStr">
        <is>
          <t>curated</t>
        </is>
      </c>
      <c r="J1911">
        <v>0.85</v>
      </c>
      <c r="K1911"/>
    </row>
    <row r="1912">
      <c r="A1912" t="inlineStr">
        <is>
          <t>SURF_SUCROSE_MONOOLEATE</t>
        </is>
      </c>
      <c r="B1912" t="inlineStr">
        <is>
          <t>formal_charge</t>
        </is>
      </c>
      <c r="C1912">
        <v>0</v>
      </c>
      <c r="D1912" t="inlineStr">
        <is>
          <t>e</t>
        </is>
      </c>
      <c r="E1912"/>
      <c r="F1912"/>
      <c r="G1912" t="inlineStr">
        <is>
          <t>nominal at neutral pH</t>
        </is>
      </c>
      <c r="H1912" t="inlineStr">
        <is>
          <t>S007_EXCIPIENTS_HANDBOOK</t>
        </is>
      </c>
      <c r="I1912" t="inlineStr">
        <is>
          <t>curated</t>
        </is>
      </c>
      <c r="J1912">
        <v>0.85</v>
      </c>
      <c r="K1912"/>
    </row>
    <row r="1913">
      <c r="A1913" t="inlineStr">
        <is>
          <t>SURF_SUCROSE_MONOOLEATE</t>
        </is>
      </c>
      <c r="B1913" t="inlineStr">
        <is>
          <t>packing_role</t>
        </is>
      </c>
      <c r="C1913" t="inlineStr">
        <is>
          <t>edge activator / micellar solubilizer</t>
        </is>
      </c>
      <c r="D1913"/>
      <c r="E1913"/>
      <c r="F1913"/>
      <c r="G1913" t="inlineStr">
        <is>
          <t>HLB/chain-rule heuristic</t>
        </is>
      </c>
      <c r="H1913" t="inlineStr">
        <is>
          <t>S007_EXCIPIENTS_HANDBOOK</t>
        </is>
      </c>
      <c r="I1913" t="inlineStr">
        <is>
          <t>curated</t>
        </is>
      </c>
      <c r="J1913">
        <v>0.65</v>
      </c>
      <c r="K1913"/>
    </row>
    <row r="1914">
      <c r="A1914" t="inlineStr">
        <is>
          <t>SURF_SUCROSE_MONOOLEATE</t>
        </is>
      </c>
      <c r="B1914" t="inlineStr">
        <is>
          <t>edge_activator_flag</t>
        </is>
      </c>
      <c r="C1914" t="inlineStr">
        <is>
          <t>yes</t>
        </is>
      </c>
      <c r="D1914"/>
      <c r="E1914"/>
      <c r="F1914"/>
      <c r="G1914" t="inlineStr">
        <is>
          <t>HLB/charge heuristic</t>
        </is>
      </c>
      <c r="H1914" t="inlineStr">
        <is>
          <t>S007_EXCIPIENTS_HANDBOOK</t>
        </is>
      </c>
      <c r="I1914" t="inlineStr">
        <is>
          <t>curated</t>
        </is>
      </c>
      <c r="J1914">
        <v>0.7</v>
      </c>
      <c r="K1914"/>
    </row>
    <row r="1915">
      <c r="A1915" t="inlineStr">
        <is>
          <t>SURF_SUCROSE_MONOOLEATE</t>
        </is>
      </c>
      <c r="B1915" t="inlineStr">
        <is>
          <t>vesicle_anchor_flag</t>
        </is>
      </c>
      <c r="C1915" t="inlineStr">
        <is>
          <t>weak/conditional</t>
        </is>
      </c>
      <c r="D1915"/>
      <c r="E1915"/>
      <c r="F1915"/>
      <c r="G1915" t="inlineStr">
        <is>
          <t>chain-length and HLB heuristic</t>
        </is>
      </c>
      <c r="H1915" t="inlineStr">
        <is>
          <t>S007_EXCIPIENTS_HANDBOOK</t>
        </is>
      </c>
      <c r="I1915" t="inlineStr">
        <is>
          <t>curated</t>
        </is>
      </c>
      <c r="J1915">
        <v>0.7</v>
      </c>
      <c r="K1915"/>
    </row>
    <row r="1916">
      <c r="A1916" t="inlineStr">
        <is>
          <t>SURF_SUCROSE_MONOOLEATE</t>
        </is>
      </c>
      <c r="B1916" t="inlineStr">
        <is>
          <t>micellization_risk_flag</t>
        </is>
      </c>
      <c r="C1916" t="inlineStr">
        <is>
          <t>high</t>
        </is>
      </c>
      <c r="D1916"/>
      <c r="E1916"/>
      <c r="F1916"/>
      <c r="G1916" t="inlineStr">
        <is>
          <t>HLB heuristic</t>
        </is>
      </c>
      <c r="H1916" t="inlineStr">
        <is>
          <t>S007_EXCIPIENTS_HANDBOOK</t>
        </is>
      </c>
      <c r="I1916" t="inlineStr">
        <is>
          <t>curated</t>
        </is>
      </c>
      <c r="J1916">
        <v>0.65</v>
      </c>
      <c r="K1916"/>
    </row>
    <row r="1917">
      <c r="A1917" t="inlineStr">
        <is>
          <t>SURF_SUCROSE_MONOOLEATE</t>
        </is>
      </c>
      <c r="B1917" t="inlineStr">
        <is>
          <t>route_suitability</t>
        </is>
      </c>
      <c r="C1917" t="inlineStr">
        <is>
          <t>oral/topical; parenteral/inhalation only if grade and safety justified</t>
        </is>
      </c>
      <c r="D1917"/>
      <c r="E1917"/>
      <c r="F1917"/>
      <c r="G1917" t="inlineStr">
        <is>
          <t>route precedent heuristic</t>
        </is>
      </c>
      <c r="H1917" t="inlineStr">
        <is>
          <t>S008_FDA_IID</t>
        </is>
      </c>
      <c r="I1917" t="inlineStr">
        <is>
          <t>curated</t>
        </is>
      </c>
      <c r="J1917">
        <v>0.55</v>
      </c>
      <c r="K1917"/>
    </row>
    <row r="1918">
      <c r="A1918" t="inlineStr">
        <is>
          <t>SURF_SUCROSE_MONOOLEATE</t>
        </is>
      </c>
      <c r="B1918" t="inlineStr">
        <is>
          <t>toxicity_or_irritancy_notes</t>
        </is>
      </c>
      <c r="C1918" t="inlineStr">
        <is>
          <t>surfactant irritation/hemolysis is concentration-, route-, and grade-dependent; screen cytotoxicity and osmolality</t>
        </is>
      </c>
      <c r="D1918"/>
      <c r="E1918"/>
      <c r="F1918"/>
      <c r="G1918"/>
      <c r="H1918" t="inlineStr">
        <is>
          <t>S007_EXCIPIENTS_HANDBOOK</t>
        </is>
      </c>
      <c r="I1918" t="inlineStr">
        <is>
          <t>curated</t>
        </is>
      </c>
      <c r="J1918">
        <v>0.7</v>
      </c>
      <c r="K1918"/>
    </row>
    <row r="1919">
      <c r="A1919" t="inlineStr">
        <is>
          <t>SURF_SUCROSE_MONOOLEATE</t>
        </is>
      </c>
      <c r="B1919" t="inlineStr">
        <is>
          <t>Hansen_delta_D</t>
        </is>
      </c>
      <c r="C1919">
        <v>17.2</v>
      </c>
      <c r="D1919" t="inlineStr">
        <is>
          <t>MPa^0.5</t>
        </is>
      </c>
      <c r="E1919"/>
      <c r="F1919"/>
      <c r="G1919" t="inlineStr">
        <is>
          <t>heuristic group-contribution/nearest-neighbour</t>
        </is>
      </c>
      <c r="H1919" t="inlineStr">
        <is>
          <t>S013_EST_HSP_HEURISTIC</t>
        </is>
      </c>
      <c r="I1919" t="inlineStr">
        <is>
          <t>estimated</t>
        </is>
      </c>
      <c r="J1919">
        <v>0.4</v>
      </c>
      <c r="K1919" t="inlineStr">
        <is>
          <t>Provisional HSP for screening; replace with experimental/literature value before model lock.</t>
        </is>
      </c>
    </row>
    <row r="1920">
      <c r="A1920" t="inlineStr">
        <is>
          <t>SURF_SUCROSE_MONOOLEATE</t>
        </is>
      </c>
      <c r="B1920" t="inlineStr">
        <is>
          <t>Hansen_delta_P</t>
        </is>
      </c>
      <c r="C1920">
        <v>8.5</v>
      </c>
      <c r="D1920" t="inlineStr">
        <is>
          <t>MPa^0.5</t>
        </is>
      </c>
      <c r="E1920"/>
      <c r="F1920"/>
      <c r="G1920" t="inlineStr">
        <is>
          <t>heuristic group-contribution/nearest-neighbour</t>
        </is>
      </c>
      <c r="H1920" t="inlineStr">
        <is>
          <t>S013_EST_HSP_HEURISTIC</t>
        </is>
      </c>
      <c r="I1920" t="inlineStr">
        <is>
          <t>estimated</t>
        </is>
      </c>
      <c r="J1920">
        <v>0.4</v>
      </c>
      <c r="K1920" t="inlineStr">
        <is>
          <t>Provisional HSP for screening; replace with experimental/literature value before model lock.</t>
        </is>
      </c>
    </row>
    <row r="1921">
      <c r="A1921" t="inlineStr">
        <is>
          <t>SURF_SUCROSE_MONOOLEATE</t>
        </is>
      </c>
      <c r="B1921" t="inlineStr">
        <is>
          <t>Hansen_delta_H</t>
        </is>
      </c>
      <c r="C1921">
        <v>14.0</v>
      </c>
      <c r="D1921" t="inlineStr">
        <is>
          <t>MPa^0.5</t>
        </is>
      </c>
      <c r="E1921"/>
      <c r="F1921"/>
      <c r="G1921" t="inlineStr">
        <is>
          <t>heuristic group-contribution/nearest-neighbour</t>
        </is>
      </c>
      <c r="H1921" t="inlineStr">
        <is>
          <t>S013_EST_HSP_HEURISTIC</t>
        </is>
      </c>
      <c r="I1921" t="inlineStr">
        <is>
          <t>estimated</t>
        </is>
      </c>
      <c r="J1921">
        <v>0.4</v>
      </c>
      <c r="K1921" t="inlineStr">
        <is>
          <t>Provisional HSP for screening; replace with experimental/literature value before model lock.</t>
        </is>
      </c>
    </row>
    <row r="1922">
      <c r="A1922" t="inlineStr">
        <is>
          <t>SURF_SUCROSE_MONOOLEATE</t>
        </is>
      </c>
      <c r="B1922" t="inlineStr">
        <is>
          <t>Hildebrand_delta_T</t>
        </is>
      </c>
      <c r="C1922">
        <v>23.75</v>
      </c>
      <c r="D1922" t="inlineStr">
        <is>
          <t>MPa^0.5</t>
        </is>
      </c>
      <c r="E1922"/>
      <c r="F1922"/>
      <c r="G1922" t="inlineStr">
        <is>
          <t>sqrt(deltaD^2+deltaP^2+deltaH^2)</t>
        </is>
      </c>
      <c r="H1922" t="inlineStr">
        <is>
          <t>S012_CALCULATED</t>
        </is>
      </c>
      <c r="I1922" t="inlineStr">
        <is>
          <t>calculated</t>
        </is>
      </c>
      <c r="J1922">
        <v>0.45</v>
      </c>
      <c r="K1922" t="inlineStr">
        <is>
          <t>Derived from stored Hansen components.</t>
        </is>
      </c>
    </row>
    <row r="1923">
      <c r="A1923" t="inlineStr">
        <is>
          <t>SURF_SUCROSE_MONOOLEATE</t>
        </is>
      </c>
      <c r="B1923" t="inlineStr">
        <is>
          <t>HSP_radius_R0</t>
        </is>
      </c>
      <c r="C1923">
        <v>9.0</v>
      </c>
      <c r="D1923" t="inlineStr">
        <is>
          <t>MPa^0.5</t>
        </is>
      </c>
      <c r="E1923"/>
      <c r="F1923"/>
      <c r="G1923" t="inlineStr">
        <is>
          <t>literature/heuristic solubility sphere</t>
        </is>
      </c>
      <c r="H1923" t="inlineStr">
        <is>
          <t>S013_EST_HSP_HEURISTIC</t>
        </is>
      </c>
      <c r="I1923" t="inlineStr">
        <is>
          <t>estimated</t>
        </is>
      </c>
      <c r="J1923">
        <v>0.4</v>
      </c>
      <c r="K1923" t="inlineStr">
        <is>
          <t>Screening radius only unless experimentally determined.</t>
        </is>
      </c>
    </row>
    <row r="1924">
      <c r="A1924" t="inlineStr">
        <is>
          <t>SURF_SUCROSE_MONOOLEATE</t>
        </is>
      </c>
      <c r="B1924" t="inlineStr">
        <is>
          <t>molar_volume_cm3_mol</t>
        </is>
      </c>
      <c r="C1924">
        <v>577.9</v>
      </c>
      <c r="D1924" t="inlineStr">
        <is>
          <t>cm3/mol</t>
        </is>
      </c>
      <c r="E1924"/>
      <c r="F1924"/>
      <c r="G1924" t="inlineStr">
        <is>
          <t>MW/density estimate</t>
        </is>
      </c>
      <c r="H1924" t="inlineStr">
        <is>
          <t>S012_CALCULATED</t>
        </is>
      </c>
      <c r="I1924" t="inlineStr">
        <is>
          <t>estimated</t>
        </is>
      </c>
      <c r="J1924">
        <v>0.42</v>
      </c>
      <c r="K1924" t="inlineStr">
        <is>
          <t>Estimated from MW/density; replace with measured molar volume or density-specific grade data.</t>
        </is>
      </c>
    </row>
    <row r="1925">
      <c r="A1925" t="inlineStr">
        <is>
          <t>SURF_SUCROSE_MONOOLEATE</t>
        </is>
      </c>
      <c r="B1925" t="inlineStr">
        <is>
          <t>headgroup_area_nm2</t>
        </is>
      </c>
      <c r="C1925">
        <v>0.62</v>
      </c>
      <c r="D1925" t="inlineStr">
        <is>
          <t>nm2</t>
        </is>
      </c>
      <c r="E1925"/>
      <c r="F1925"/>
      <c r="G1925" t="inlineStr">
        <is>
          <t>CPP screening heuristic</t>
        </is>
      </c>
      <c r="H1925" t="inlineStr">
        <is>
          <t>S013_EST_HSP_HEURISTIC</t>
        </is>
      </c>
      <c r="I1925" t="inlineStr">
        <is>
          <t>estimated</t>
        </is>
      </c>
      <c r="J1925">
        <v>0.35</v>
      </c>
      <c r="K1925" t="inlineStr">
        <is>
          <t>Replace with monolayer or MD-derived area per molecule for publication-grade CPP.</t>
        </is>
      </c>
    </row>
    <row r="1926">
      <c r="A1926" t="inlineStr">
        <is>
          <t>SURF_OCTYL_GLUCOSIDE</t>
        </is>
      </c>
      <c r="B1926" t="inlineStr">
        <is>
          <t>molecular_weight_g_mol</t>
        </is>
      </c>
      <c r="C1926">
        <v>292.37</v>
      </c>
      <c r="D1926" t="inlineStr">
        <is>
          <t>g/mol</t>
        </is>
      </c>
      <c r="E1926"/>
      <c r="F1926"/>
      <c r="G1926" t="inlineStr">
        <is>
          <t>supplier/handbook average for mixtures</t>
        </is>
      </c>
      <c r="H1926" t="inlineStr">
        <is>
          <t>S007_EXCIPIENTS_HANDBOOK</t>
        </is>
      </c>
      <c r="I1926" t="inlineStr">
        <is>
          <t>supplier-reported</t>
        </is>
      </c>
      <c r="J1926">
        <v>0.65</v>
      </c>
      <c r="K1926"/>
    </row>
    <row r="1927">
      <c r="A1927" t="inlineStr">
        <is>
          <t>SURF_OCTYL_GLUCOSIDE</t>
        </is>
      </c>
      <c r="B1927" t="inlineStr">
        <is>
          <t>HLB</t>
        </is>
      </c>
      <c r="C1927">
        <v>13.6</v>
      </c>
      <c r="D1927" t="inlineStr">
        <is>
          <t>HLB</t>
        </is>
      </c>
      <c r="E1927"/>
      <c r="F1927"/>
      <c r="G1927" t="inlineStr">
        <is>
          <t>Griffin/Davies HLB literature/supplier value</t>
        </is>
      </c>
      <c r="H1927" t="inlineStr">
        <is>
          <t>S007_EXCIPIENTS_HANDBOOK</t>
        </is>
      </c>
      <c r="I1927" t="inlineStr">
        <is>
          <t>supplier-reported</t>
        </is>
      </c>
      <c r="J1927">
        <v>0.75</v>
      </c>
      <c r="K1927" t="inlineStr">
        <is>
          <t>Grade-dependent; use supplier CoA when available.</t>
        </is>
      </c>
    </row>
    <row r="1928">
      <c r="A1928" t="inlineStr">
        <is>
          <t>SURF_OCTYL_GLUCOSIDE</t>
        </is>
      </c>
      <c r="B1928" t="inlineStr">
        <is>
          <t>headgroup_type</t>
        </is>
      </c>
      <c r="C1928" t="inlineStr">
        <is>
          <t>alkyl glycoside</t>
        </is>
      </c>
      <c r="D1928"/>
      <c r="E1928"/>
      <c r="F1928"/>
      <c r="G1928" t="inlineStr">
        <is>
          <t>manual class annotation</t>
        </is>
      </c>
      <c r="H1928" t="inlineStr">
        <is>
          <t>S007_EXCIPIENTS_HANDBOOK</t>
        </is>
      </c>
      <c r="I1928" t="inlineStr">
        <is>
          <t>curated</t>
        </is>
      </c>
      <c r="J1928">
        <v>0.75</v>
      </c>
      <c r="K1928"/>
    </row>
    <row r="1929">
      <c r="A1929" t="inlineStr">
        <is>
          <t>SURF_OCTYL_GLUCOSIDE</t>
        </is>
      </c>
      <c r="B1929" t="inlineStr">
        <is>
          <t>tail_chain</t>
        </is>
      </c>
      <c r="C1929" t="inlineStr">
        <is>
          <t>C8 glucoside</t>
        </is>
      </c>
      <c r="D1929"/>
      <c r="E1929"/>
      <c r="F1929"/>
      <c r="G1929" t="inlineStr">
        <is>
          <t>fatty-chain annotation</t>
        </is>
      </c>
      <c r="H1929" t="inlineStr">
        <is>
          <t>S007_EXCIPIENTS_HANDBOOK</t>
        </is>
      </c>
      <c r="I1929" t="inlineStr">
        <is>
          <t>curated</t>
        </is>
      </c>
      <c r="J1929">
        <v>0.8</v>
      </c>
      <c r="K1929"/>
    </row>
    <row r="1930">
      <c r="A1930" t="inlineStr">
        <is>
          <t>SURF_OCTYL_GLUCOSIDE</t>
        </is>
      </c>
      <c r="B1930" t="inlineStr">
        <is>
          <t>tail_carbons</t>
        </is>
      </c>
      <c r="C1930">
        <v>8</v>
      </c>
      <c r="D1930" t="inlineStr">
        <is>
          <t>count</t>
        </is>
      </c>
      <c r="E1930"/>
      <c r="F1930"/>
      <c r="G1930" t="inlineStr">
        <is>
          <t>fatty-chain annotation</t>
        </is>
      </c>
      <c r="H1930" t="inlineStr">
        <is>
          <t>S007_EXCIPIENTS_HANDBOOK</t>
        </is>
      </c>
      <c r="I1930" t="inlineStr">
        <is>
          <t>curated</t>
        </is>
      </c>
      <c r="J1930">
        <v>0.8</v>
      </c>
      <c r="K1930"/>
    </row>
    <row r="1931">
      <c r="A1931" t="inlineStr">
        <is>
          <t>SURF_OCTYL_GLUCOSIDE</t>
        </is>
      </c>
      <c r="B1931" t="inlineStr">
        <is>
          <t>tail_unsaturation</t>
        </is>
      </c>
      <c r="C1931">
        <v>0</v>
      </c>
      <c r="D1931" t="inlineStr">
        <is>
          <t>double_bonds</t>
        </is>
      </c>
      <c r="E1931"/>
      <c r="F1931"/>
      <c r="G1931" t="inlineStr">
        <is>
          <t>fatty-chain annotation</t>
        </is>
      </c>
      <c r="H1931" t="inlineStr">
        <is>
          <t>S007_EXCIPIENTS_HANDBOOK</t>
        </is>
      </c>
      <c r="I1931" t="inlineStr">
        <is>
          <t>curated</t>
        </is>
      </c>
      <c r="J1931">
        <v>0.8</v>
      </c>
      <c r="K1931"/>
    </row>
    <row r="1932">
      <c r="A1932" t="inlineStr">
        <is>
          <t>SURF_OCTYL_GLUCOSIDE</t>
        </is>
      </c>
      <c r="B1932" t="inlineStr">
        <is>
          <t>number_of_tails</t>
        </is>
      </c>
      <c r="C1932">
        <v>1</v>
      </c>
      <c r="D1932" t="inlineStr">
        <is>
          <t>count</t>
        </is>
      </c>
      <c r="E1932"/>
      <c r="F1932"/>
      <c r="G1932" t="inlineStr">
        <is>
          <t>fatty-chain annotation</t>
        </is>
      </c>
      <c r="H1932" t="inlineStr">
        <is>
          <t>S007_EXCIPIENTS_HANDBOOK</t>
        </is>
      </c>
      <c r="I1932" t="inlineStr">
        <is>
          <t>curated</t>
        </is>
      </c>
      <c r="J1932">
        <v>0.8</v>
      </c>
      <c r="K1932"/>
    </row>
    <row r="1933">
      <c r="A1933" t="inlineStr">
        <is>
          <t>SURF_OCTYL_GLUCOSIDE</t>
        </is>
      </c>
      <c r="B1933" t="inlineStr">
        <is>
          <t>charge_type</t>
        </is>
      </c>
      <c r="C1933" t="inlineStr">
        <is>
          <t>nonionic</t>
        </is>
      </c>
      <c r="D1933"/>
      <c r="E1933"/>
      <c r="F1933"/>
      <c r="G1933" t="inlineStr">
        <is>
          <t>ionization class</t>
        </is>
      </c>
      <c r="H1933" t="inlineStr">
        <is>
          <t>S007_EXCIPIENTS_HANDBOOK</t>
        </is>
      </c>
      <c r="I1933" t="inlineStr">
        <is>
          <t>curated</t>
        </is>
      </c>
      <c r="J1933">
        <v>0.85</v>
      </c>
      <c r="K1933"/>
    </row>
    <row r="1934">
      <c r="A1934" t="inlineStr">
        <is>
          <t>SURF_OCTYL_GLUCOSIDE</t>
        </is>
      </c>
      <c r="B1934" t="inlineStr">
        <is>
          <t>formal_charge</t>
        </is>
      </c>
      <c r="C1934">
        <v>0</v>
      </c>
      <c r="D1934" t="inlineStr">
        <is>
          <t>e</t>
        </is>
      </c>
      <c r="E1934"/>
      <c r="F1934"/>
      <c r="G1934" t="inlineStr">
        <is>
          <t>nominal at neutral pH</t>
        </is>
      </c>
      <c r="H1934" t="inlineStr">
        <is>
          <t>S007_EXCIPIENTS_HANDBOOK</t>
        </is>
      </c>
      <c r="I1934" t="inlineStr">
        <is>
          <t>curated</t>
        </is>
      </c>
      <c r="J1934">
        <v>0.85</v>
      </c>
      <c r="K1934"/>
    </row>
    <row r="1935">
      <c r="A1935" t="inlineStr">
        <is>
          <t>SURF_OCTYL_GLUCOSIDE</t>
        </is>
      </c>
      <c r="B1935" t="inlineStr">
        <is>
          <t>packing_role</t>
        </is>
      </c>
      <c r="C1935" t="inlineStr">
        <is>
          <t>edge activator / micellar solubilizer</t>
        </is>
      </c>
      <c r="D1935"/>
      <c r="E1935"/>
      <c r="F1935"/>
      <c r="G1935" t="inlineStr">
        <is>
          <t>HLB/chain-rule heuristic</t>
        </is>
      </c>
      <c r="H1935" t="inlineStr">
        <is>
          <t>S007_EXCIPIENTS_HANDBOOK</t>
        </is>
      </c>
      <c r="I1935" t="inlineStr">
        <is>
          <t>curated</t>
        </is>
      </c>
      <c r="J1935">
        <v>0.65</v>
      </c>
      <c r="K1935"/>
    </row>
    <row r="1936">
      <c r="A1936" t="inlineStr">
        <is>
          <t>SURF_OCTYL_GLUCOSIDE</t>
        </is>
      </c>
      <c r="B1936" t="inlineStr">
        <is>
          <t>edge_activator_flag</t>
        </is>
      </c>
      <c r="C1936" t="inlineStr">
        <is>
          <t>yes</t>
        </is>
      </c>
      <c r="D1936"/>
      <c r="E1936"/>
      <c r="F1936"/>
      <c r="G1936" t="inlineStr">
        <is>
          <t>HLB/charge heuristic</t>
        </is>
      </c>
      <c r="H1936" t="inlineStr">
        <is>
          <t>S007_EXCIPIENTS_HANDBOOK</t>
        </is>
      </c>
      <c r="I1936" t="inlineStr">
        <is>
          <t>curated</t>
        </is>
      </c>
      <c r="J1936">
        <v>0.7</v>
      </c>
      <c r="K1936"/>
    </row>
    <row r="1937">
      <c r="A1937" t="inlineStr">
        <is>
          <t>SURF_OCTYL_GLUCOSIDE</t>
        </is>
      </c>
      <c r="B1937" t="inlineStr">
        <is>
          <t>vesicle_anchor_flag</t>
        </is>
      </c>
      <c r="C1937" t="inlineStr">
        <is>
          <t>weak/conditional</t>
        </is>
      </c>
      <c r="D1937"/>
      <c r="E1937"/>
      <c r="F1937"/>
      <c r="G1937" t="inlineStr">
        <is>
          <t>chain-length and HLB heuristic</t>
        </is>
      </c>
      <c r="H1937" t="inlineStr">
        <is>
          <t>S007_EXCIPIENTS_HANDBOOK</t>
        </is>
      </c>
      <c r="I1937" t="inlineStr">
        <is>
          <t>curated</t>
        </is>
      </c>
      <c r="J1937">
        <v>0.7</v>
      </c>
      <c r="K1937"/>
    </row>
    <row r="1938">
      <c r="A1938" t="inlineStr">
        <is>
          <t>SURF_OCTYL_GLUCOSIDE</t>
        </is>
      </c>
      <c r="B1938" t="inlineStr">
        <is>
          <t>micellization_risk_flag</t>
        </is>
      </c>
      <c r="C1938" t="inlineStr">
        <is>
          <t>high</t>
        </is>
      </c>
      <c r="D1938"/>
      <c r="E1938"/>
      <c r="F1938"/>
      <c r="G1938" t="inlineStr">
        <is>
          <t>HLB heuristic</t>
        </is>
      </c>
      <c r="H1938" t="inlineStr">
        <is>
          <t>S007_EXCIPIENTS_HANDBOOK</t>
        </is>
      </c>
      <c r="I1938" t="inlineStr">
        <is>
          <t>curated</t>
        </is>
      </c>
      <c r="J1938">
        <v>0.65</v>
      </c>
      <c r="K1938"/>
    </row>
    <row r="1939">
      <c r="A1939" t="inlineStr">
        <is>
          <t>SURF_OCTYL_GLUCOSIDE</t>
        </is>
      </c>
      <c r="B1939" t="inlineStr">
        <is>
          <t>route_suitability</t>
        </is>
      </c>
      <c r="C1939" t="inlineStr">
        <is>
          <t>oral/topical; parenteral/inhalation only if grade and safety justified</t>
        </is>
      </c>
      <c r="D1939"/>
      <c r="E1939"/>
      <c r="F1939"/>
      <c r="G1939" t="inlineStr">
        <is>
          <t>route precedent heuristic</t>
        </is>
      </c>
      <c r="H1939" t="inlineStr">
        <is>
          <t>S008_FDA_IID</t>
        </is>
      </c>
      <c r="I1939" t="inlineStr">
        <is>
          <t>curated</t>
        </is>
      </c>
      <c r="J1939">
        <v>0.55</v>
      </c>
      <c r="K1939"/>
    </row>
    <row r="1940">
      <c r="A1940" t="inlineStr">
        <is>
          <t>SURF_OCTYL_GLUCOSIDE</t>
        </is>
      </c>
      <c r="B1940" t="inlineStr">
        <is>
          <t>toxicity_or_irritancy_notes</t>
        </is>
      </c>
      <c r="C1940" t="inlineStr">
        <is>
          <t>surfactant irritation/hemolysis is concentration-, route-, and grade-dependent; screen cytotoxicity and osmolality</t>
        </is>
      </c>
      <c r="D1940"/>
      <c r="E1940"/>
      <c r="F1940"/>
      <c r="G1940"/>
      <c r="H1940" t="inlineStr">
        <is>
          <t>S007_EXCIPIENTS_HANDBOOK</t>
        </is>
      </c>
      <c r="I1940" t="inlineStr">
        <is>
          <t>curated</t>
        </is>
      </c>
      <c r="J1940">
        <v>0.7</v>
      </c>
      <c r="K1940"/>
    </row>
    <row r="1941">
      <c r="A1941" t="inlineStr">
        <is>
          <t>SURF_OCTYL_GLUCOSIDE</t>
        </is>
      </c>
      <c r="B1941" t="inlineStr">
        <is>
          <t>CMC_mM</t>
        </is>
      </c>
      <c r="C1941">
        <v>22</v>
      </c>
      <c r="D1941" t="inlineStr">
        <is>
          <t>mM</t>
        </is>
      </c>
      <c r="E1941"/>
      <c r="F1941"/>
      <c r="G1941" t="inlineStr">
        <is>
          <t>CMC in water; temperature/electrolyte dependent</t>
        </is>
      </c>
      <c r="H1941" t="inlineStr">
        <is>
          <t>S007_EXCIPIENTS_HANDBOOK</t>
        </is>
      </c>
      <c r="I1941" t="inlineStr">
        <is>
          <t>literature</t>
        </is>
      </c>
      <c r="J1941">
        <v>0.55</v>
      </c>
      <c r="K1941"/>
    </row>
    <row r="1942">
      <c r="A1942" t="inlineStr">
        <is>
          <t>SURF_OCTYL_GLUCOSIDE</t>
        </is>
      </c>
      <c r="B1942" t="inlineStr">
        <is>
          <t>Hansen_delta_D</t>
        </is>
      </c>
      <c r="C1942">
        <v>17.3</v>
      </c>
      <c r="D1942" t="inlineStr">
        <is>
          <t>MPa^0.5</t>
        </is>
      </c>
      <c r="E1942"/>
      <c r="F1942"/>
      <c r="G1942" t="inlineStr">
        <is>
          <t>heuristic group-contribution/nearest-neighbour</t>
        </is>
      </c>
      <c r="H1942" t="inlineStr">
        <is>
          <t>S013_EST_HSP_HEURISTIC</t>
        </is>
      </c>
      <c r="I1942" t="inlineStr">
        <is>
          <t>estimated</t>
        </is>
      </c>
      <c r="J1942">
        <v>0.4</v>
      </c>
      <c r="K1942" t="inlineStr">
        <is>
          <t>Provisional HSP for screening; replace with experimental/literature value before model lock.</t>
        </is>
      </c>
    </row>
    <row r="1943">
      <c r="A1943" t="inlineStr">
        <is>
          <t>SURF_OCTYL_GLUCOSIDE</t>
        </is>
      </c>
      <c r="B1943" t="inlineStr">
        <is>
          <t>Hansen_delta_P</t>
        </is>
      </c>
      <c r="C1943">
        <v>6.5</v>
      </c>
      <c r="D1943" t="inlineStr">
        <is>
          <t>MPa^0.5</t>
        </is>
      </c>
      <c r="E1943"/>
      <c r="F1943"/>
      <c r="G1943" t="inlineStr">
        <is>
          <t>heuristic group-contribution/nearest-neighbour</t>
        </is>
      </c>
      <c r="H1943" t="inlineStr">
        <is>
          <t>S013_EST_HSP_HEURISTIC</t>
        </is>
      </c>
      <c r="I1943" t="inlineStr">
        <is>
          <t>estimated</t>
        </is>
      </c>
      <c r="J1943">
        <v>0.4</v>
      </c>
      <c r="K1943" t="inlineStr">
        <is>
          <t>Provisional HSP for screening; replace with experimental/literature value before model lock.</t>
        </is>
      </c>
    </row>
    <row r="1944">
      <c r="A1944" t="inlineStr">
        <is>
          <t>SURF_OCTYL_GLUCOSIDE</t>
        </is>
      </c>
      <c r="B1944" t="inlineStr">
        <is>
          <t>Hansen_delta_H</t>
        </is>
      </c>
      <c r="C1944">
        <v>10.5</v>
      </c>
      <c r="D1944" t="inlineStr">
        <is>
          <t>MPa^0.5</t>
        </is>
      </c>
      <c r="E1944"/>
      <c r="F1944"/>
      <c r="G1944" t="inlineStr">
        <is>
          <t>heuristic group-contribution/nearest-neighbour</t>
        </is>
      </c>
      <c r="H1944" t="inlineStr">
        <is>
          <t>S013_EST_HSP_HEURISTIC</t>
        </is>
      </c>
      <c r="I1944" t="inlineStr">
        <is>
          <t>estimated</t>
        </is>
      </c>
      <c r="J1944">
        <v>0.4</v>
      </c>
      <c r="K1944" t="inlineStr">
        <is>
          <t>Provisional HSP for screening; replace with experimental/literature value before model lock.</t>
        </is>
      </c>
    </row>
    <row r="1945">
      <c r="A1945" t="inlineStr">
        <is>
          <t>SURF_OCTYL_GLUCOSIDE</t>
        </is>
      </c>
      <c r="B1945" t="inlineStr">
        <is>
          <t>Hildebrand_delta_T</t>
        </is>
      </c>
      <c r="C1945">
        <v>21.26</v>
      </c>
      <c r="D1945" t="inlineStr">
        <is>
          <t>MPa^0.5</t>
        </is>
      </c>
      <c r="E1945"/>
      <c r="F1945"/>
      <c r="G1945" t="inlineStr">
        <is>
          <t>sqrt(deltaD^2+deltaP^2+deltaH^2)</t>
        </is>
      </c>
      <c r="H1945" t="inlineStr">
        <is>
          <t>S012_CALCULATED</t>
        </is>
      </c>
      <c r="I1945" t="inlineStr">
        <is>
          <t>calculated</t>
        </is>
      </c>
      <c r="J1945">
        <v>0.45</v>
      </c>
      <c r="K1945" t="inlineStr">
        <is>
          <t>Derived from stored Hansen components.</t>
        </is>
      </c>
    </row>
    <row r="1946">
      <c r="A1946" t="inlineStr">
        <is>
          <t>SURF_OCTYL_GLUCOSIDE</t>
        </is>
      </c>
      <c r="B1946" t="inlineStr">
        <is>
          <t>HSP_radius_R0</t>
        </is>
      </c>
      <c r="C1946">
        <v>8.0</v>
      </c>
      <c r="D1946" t="inlineStr">
        <is>
          <t>MPa^0.5</t>
        </is>
      </c>
      <c r="E1946"/>
      <c r="F1946"/>
      <c r="G1946" t="inlineStr">
        <is>
          <t>literature/heuristic solubility sphere</t>
        </is>
      </c>
      <c r="H1946" t="inlineStr">
        <is>
          <t>S013_EST_HSP_HEURISTIC</t>
        </is>
      </c>
      <c r="I1946" t="inlineStr">
        <is>
          <t>estimated</t>
        </is>
      </c>
      <c r="J1946">
        <v>0.4</v>
      </c>
      <c r="K1946" t="inlineStr">
        <is>
          <t>Screening radius only unless experimentally determined.</t>
        </is>
      </c>
    </row>
    <row r="1947">
      <c r="A1947" t="inlineStr">
        <is>
          <t>SURF_OCTYL_GLUCOSIDE</t>
        </is>
      </c>
      <c r="B1947" t="inlineStr">
        <is>
          <t>molar_volume_cm3_mol</t>
        </is>
      </c>
      <c r="C1947">
        <v>278.45</v>
      </c>
      <c r="D1947" t="inlineStr">
        <is>
          <t>cm3/mol</t>
        </is>
      </c>
      <c r="E1947"/>
      <c r="F1947"/>
      <c r="G1947" t="inlineStr">
        <is>
          <t>MW/density estimate</t>
        </is>
      </c>
      <c r="H1947" t="inlineStr">
        <is>
          <t>S012_CALCULATED</t>
        </is>
      </c>
      <c r="I1947" t="inlineStr">
        <is>
          <t>estimated</t>
        </is>
      </c>
      <c r="J1947">
        <v>0.42</v>
      </c>
      <c r="K1947" t="inlineStr">
        <is>
          <t>Estimated from MW/density; replace with measured molar volume or density-specific grade data.</t>
        </is>
      </c>
    </row>
    <row r="1948">
      <c r="A1948" t="inlineStr">
        <is>
          <t>SURF_OCTYL_GLUCOSIDE</t>
        </is>
      </c>
      <c r="B1948" t="inlineStr">
        <is>
          <t>headgroup_area_nm2</t>
        </is>
      </c>
      <c r="C1948">
        <v>0.595</v>
      </c>
      <c r="D1948" t="inlineStr">
        <is>
          <t>nm2</t>
        </is>
      </c>
      <c r="E1948"/>
      <c r="F1948"/>
      <c r="G1948" t="inlineStr">
        <is>
          <t>CPP screening heuristic</t>
        </is>
      </c>
      <c r="H1948" t="inlineStr">
        <is>
          <t>S013_EST_HSP_HEURISTIC</t>
        </is>
      </c>
      <c r="I1948" t="inlineStr">
        <is>
          <t>estimated</t>
        </is>
      </c>
      <c r="J1948">
        <v>0.35</v>
      </c>
      <c r="K1948" t="inlineStr">
        <is>
          <t>Replace with monolayer or MD-derived area per molecule for publication-grade CPP.</t>
        </is>
      </c>
    </row>
    <row r="1949">
      <c r="A1949" t="inlineStr">
        <is>
          <t>SURF_DECYL_MALTOSIDE</t>
        </is>
      </c>
      <c r="B1949" t="inlineStr">
        <is>
          <t>molecular_weight_g_mol</t>
        </is>
      </c>
      <c r="C1949">
        <v>482.6</v>
      </c>
      <c r="D1949" t="inlineStr">
        <is>
          <t>g/mol</t>
        </is>
      </c>
      <c r="E1949"/>
      <c r="F1949"/>
      <c r="G1949" t="inlineStr">
        <is>
          <t>supplier/handbook average for mixtures</t>
        </is>
      </c>
      <c r="H1949" t="inlineStr">
        <is>
          <t>S007_EXCIPIENTS_HANDBOOK</t>
        </is>
      </c>
      <c r="I1949" t="inlineStr">
        <is>
          <t>supplier-reported</t>
        </is>
      </c>
      <c r="J1949">
        <v>0.65</v>
      </c>
      <c r="K1949"/>
    </row>
    <row r="1950">
      <c r="A1950" t="inlineStr">
        <is>
          <t>SURF_DECYL_MALTOSIDE</t>
        </is>
      </c>
      <c r="B1950" t="inlineStr">
        <is>
          <t>HLB</t>
        </is>
      </c>
      <c r="C1950">
        <v>12.9</v>
      </c>
      <c r="D1950" t="inlineStr">
        <is>
          <t>HLB</t>
        </is>
      </c>
      <c r="E1950"/>
      <c r="F1950"/>
      <c r="G1950" t="inlineStr">
        <is>
          <t>Griffin/Davies HLB literature/supplier value</t>
        </is>
      </c>
      <c r="H1950" t="inlineStr">
        <is>
          <t>S007_EXCIPIENTS_HANDBOOK</t>
        </is>
      </c>
      <c r="I1950" t="inlineStr">
        <is>
          <t>supplier-reported</t>
        </is>
      </c>
      <c r="J1950">
        <v>0.75</v>
      </c>
      <c r="K1950" t="inlineStr">
        <is>
          <t>Grade-dependent; use supplier CoA when available.</t>
        </is>
      </c>
    </row>
    <row r="1951">
      <c r="A1951" t="inlineStr">
        <is>
          <t>SURF_DECYL_MALTOSIDE</t>
        </is>
      </c>
      <c r="B1951" t="inlineStr">
        <is>
          <t>headgroup_type</t>
        </is>
      </c>
      <c r="C1951" t="inlineStr">
        <is>
          <t>alkyl maltoside</t>
        </is>
      </c>
      <c r="D1951"/>
      <c r="E1951"/>
      <c r="F1951"/>
      <c r="G1951" t="inlineStr">
        <is>
          <t>manual class annotation</t>
        </is>
      </c>
      <c r="H1951" t="inlineStr">
        <is>
          <t>S007_EXCIPIENTS_HANDBOOK</t>
        </is>
      </c>
      <c r="I1951" t="inlineStr">
        <is>
          <t>curated</t>
        </is>
      </c>
      <c r="J1951">
        <v>0.75</v>
      </c>
      <c r="K1951"/>
    </row>
    <row r="1952">
      <c r="A1952" t="inlineStr">
        <is>
          <t>SURF_DECYL_MALTOSIDE</t>
        </is>
      </c>
      <c r="B1952" t="inlineStr">
        <is>
          <t>tail_chain</t>
        </is>
      </c>
      <c r="C1952" t="inlineStr">
        <is>
          <t>C10 maltoside</t>
        </is>
      </c>
      <c r="D1952"/>
      <c r="E1952"/>
      <c r="F1952"/>
      <c r="G1952" t="inlineStr">
        <is>
          <t>fatty-chain annotation</t>
        </is>
      </c>
      <c r="H1952" t="inlineStr">
        <is>
          <t>S007_EXCIPIENTS_HANDBOOK</t>
        </is>
      </c>
      <c r="I1952" t="inlineStr">
        <is>
          <t>curated</t>
        </is>
      </c>
      <c r="J1952">
        <v>0.8</v>
      </c>
      <c r="K1952"/>
    </row>
    <row r="1953">
      <c r="A1953" t="inlineStr">
        <is>
          <t>SURF_DECYL_MALTOSIDE</t>
        </is>
      </c>
      <c r="B1953" t="inlineStr">
        <is>
          <t>tail_carbons</t>
        </is>
      </c>
      <c r="C1953">
        <v>10</v>
      </c>
      <c r="D1953" t="inlineStr">
        <is>
          <t>count</t>
        </is>
      </c>
      <c r="E1953"/>
      <c r="F1953"/>
      <c r="G1953" t="inlineStr">
        <is>
          <t>fatty-chain annotation</t>
        </is>
      </c>
      <c r="H1953" t="inlineStr">
        <is>
          <t>S007_EXCIPIENTS_HANDBOOK</t>
        </is>
      </c>
      <c r="I1953" t="inlineStr">
        <is>
          <t>curated</t>
        </is>
      </c>
      <c r="J1953">
        <v>0.8</v>
      </c>
      <c r="K1953"/>
    </row>
    <row r="1954">
      <c r="A1954" t="inlineStr">
        <is>
          <t>SURF_DECYL_MALTOSIDE</t>
        </is>
      </c>
      <c r="B1954" t="inlineStr">
        <is>
          <t>tail_unsaturation</t>
        </is>
      </c>
      <c r="C1954">
        <v>0</v>
      </c>
      <c r="D1954" t="inlineStr">
        <is>
          <t>double_bonds</t>
        </is>
      </c>
      <c r="E1954"/>
      <c r="F1954"/>
      <c r="G1954" t="inlineStr">
        <is>
          <t>fatty-chain annotation</t>
        </is>
      </c>
      <c r="H1954" t="inlineStr">
        <is>
          <t>S007_EXCIPIENTS_HANDBOOK</t>
        </is>
      </c>
      <c r="I1954" t="inlineStr">
        <is>
          <t>curated</t>
        </is>
      </c>
      <c r="J1954">
        <v>0.8</v>
      </c>
      <c r="K1954"/>
    </row>
    <row r="1955">
      <c r="A1955" t="inlineStr">
        <is>
          <t>SURF_DECYL_MALTOSIDE</t>
        </is>
      </c>
      <c r="B1955" t="inlineStr">
        <is>
          <t>number_of_tails</t>
        </is>
      </c>
      <c r="C1955">
        <v>1</v>
      </c>
      <c r="D1955" t="inlineStr">
        <is>
          <t>count</t>
        </is>
      </c>
      <c r="E1955"/>
      <c r="F1955"/>
      <c r="G1955" t="inlineStr">
        <is>
          <t>fatty-chain annotation</t>
        </is>
      </c>
      <c r="H1955" t="inlineStr">
        <is>
          <t>S007_EXCIPIENTS_HANDBOOK</t>
        </is>
      </c>
      <c r="I1955" t="inlineStr">
        <is>
          <t>curated</t>
        </is>
      </c>
      <c r="J1955">
        <v>0.8</v>
      </c>
      <c r="K1955"/>
    </row>
    <row r="1956">
      <c r="A1956" t="inlineStr">
        <is>
          <t>SURF_DECYL_MALTOSIDE</t>
        </is>
      </c>
      <c r="B1956" t="inlineStr">
        <is>
          <t>charge_type</t>
        </is>
      </c>
      <c r="C1956" t="inlineStr">
        <is>
          <t>nonionic</t>
        </is>
      </c>
      <c r="D1956"/>
      <c r="E1956"/>
      <c r="F1956"/>
      <c r="G1956" t="inlineStr">
        <is>
          <t>ionization class</t>
        </is>
      </c>
      <c r="H1956" t="inlineStr">
        <is>
          <t>S007_EXCIPIENTS_HANDBOOK</t>
        </is>
      </c>
      <c r="I1956" t="inlineStr">
        <is>
          <t>curated</t>
        </is>
      </c>
      <c r="J1956">
        <v>0.85</v>
      </c>
      <c r="K1956"/>
    </row>
    <row r="1957">
      <c r="A1957" t="inlineStr">
        <is>
          <t>SURF_DECYL_MALTOSIDE</t>
        </is>
      </c>
      <c r="B1957" t="inlineStr">
        <is>
          <t>formal_charge</t>
        </is>
      </c>
      <c r="C1957">
        <v>0</v>
      </c>
      <c r="D1957" t="inlineStr">
        <is>
          <t>e</t>
        </is>
      </c>
      <c r="E1957"/>
      <c r="F1957"/>
      <c r="G1957" t="inlineStr">
        <is>
          <t>nominal at neutral pH</t>
        </is>
      </c>
      <c r="H1957" t="inlineStr">
        <is>
          <t>S007_EXCIPIENTS_HANDBOOK</t>
        </is>
      </c>
      <c r="I1957" t="inlineStr">
        <is>
          <t>curated</t>
        </is>
      </c>
      <c r="J1957">
        <v>0.85</v>
      </c>
      <c r="K1957"/>
    </row>
    <row r="1958">
      <c r="A1958" t="inlineStr">
        <is>
          <t>SURF_DECYL_MALTOSIDE</t>
        </is>
      </c>
      <c r="B1958" t="inlineStr">
        <is>
          <t>packing_role</t>
        </is>
      </c>
      <c r="C1958" t="inlineStr">
        <is>
          <t>edge activator / micellar solubilizer</t>
        </is>
      </c>
      <c r="D1958"/>
      <c r="E1958"/>
      <c r="F1958"/>
      <c r="G1958" t="inlineStr">
        <is>
          <t>HLB/chain-rule heuristic</t>
        </is>
      </c>
      <c r="H1958" t="inlineStr">
        <is>
          <t>S007_EXCIPIENTS_HANDBOOK</t>
        </is>
      </c>
      <c r="I1958" t="inlineStr">
        <is>
          <t>curated</t>
        </is>
      </c>
      <c r="J1958">
        <v>0.65</v>
      </c>
      <c r="K1958"/>
    </row>
    <row r="1959">
      <c r="A1959" t="inlineStr">
        <is>
          <t>SURF_DECYL_MALTOSIDE</t>
        </is>
      </c>
      <c r="B1959" t="inlineStr">
        <is>
          <t>edge_activator_flag</t>
        </is>
      </c>
      <c r="C1959" t="inlineStr">
        <is>
          <t>yes</t>
        </is>
      </c>
      <c r="D1959"/>
      <c r="E1959"/>
      <c r="F1959"/>
      <c r="G1959" t="inlineStr">
        <is>
          <t>HLB/charge heuristic</t>
        </is>
      </c>
      <c r="H1959" t="inlineStr">
        <is>
          <t>S007_EXCIPIENTS_HANDBOOK</t>
        </is>
      </c>
      <c r="I1959" t="inlineStr">
        <is>
          <t>curated</t>
        </is>
      </c>
      <c r="J1959">
        <v>0.7</v>
      </c>
      <c r="K1959"/>
    </row>
    <row r="1960">
      <c r="A1960" t="inlineStr">
        <is>
          <t>SURF_DECYL_MALTOSIDE</t>
        </is>
      </c>
      <c r="B1960" t="inlineStr">
        <is>
          <t>vesicle_anchor_flag</t>
        </is>
      </c>
      <c r="C1960" t="inlineStr">
        <is>
          <t>weak/conditional</t>
        </is>
      </c>
      <c r="D1960"/>
      <c r="E1960"/>
      <c r="F1960"/>
      <c r="G1960" t="inlineStr">
        <is>
          <t>chain-length and HLB heuristic</t>
        </is>
      </c>
      <c r="H1960" t="inlineStr">
        <is>
          <t>S007_EXCIPIENTS_HANDBOOK</t>
        </is>
      </c>
      <c r="I1960" t="inlineStr">
        <is>
          <t>curated</t>
        </is>
      </c>
      <c r="J1960">
        <v>0.7</v>
      </c>
      <c r="K1960"/>
    </row>
    <row r="1961">
      <c r="A1961" t="inlineStr">
        <is>
          <t>SURF_DECYL_MALTOSIDE</t>
        </is>
      </c>
      <c r="B1961" t="inlineStr">
        <is>
          <t>micellization_risk_flag</t>
        </is>
      </c>
      <c r="C1961" t="inlineStr">
        <is>
          <t>high</t>
        </is>
      </c>
      <c r="D1961"/>
      <c r="E1961"/>
      <c r="F1961"/>
      <c r="G1961" t="inlineStr">
        <is>
          <t>HLB heuristic</t>
        </is>
      </c>
      <c r="H1961" t="inlineStr">
        <is>
          <t>S007_EXCIPIENTS_HANDBOOK</t>
        </is>
      </c>
      <c r="I1961" t="inlineStr">
        <is>
          <t>curated</t>
        </is>
      </c>
      <c r="J1961">
        <v>0.65</v>
      </c>
      <c r="K1961"/>
    </row>
    <row r="1962">
      <c r="A1962" t="inlineStr">
        <is>
          <t>SURF_DECYL_MALTOSIDE</t>
        </is>
      </c>
      <c r="B1962" t="inlineStr">
        <is>
          <t>route_suitability</t>
        </is>
      </c>
      <c r="C1962" t="inlineStr">
        <is>
          <t>oral/topical; parenteral/inhalation only if grade and safety justified</t>
        </is>
      </c>
      <c r="D1962"/>
      <c r="E1962"/>
      <c r="F1962"/>
      <c r="G1962" t="inlineStr">
        <is>
          <t>route precedent heuristic</t>
        </is>
      </c>
      <c r="H1962" t="inlineStr">
        <is>
          <t>S008_FDA_IID</t>
        </is>
      </c>
      <c r="I1962" t="inlineStr">
        <is>
          <t>curated</t>
        </is>
      </c>
      <c r="J1962">
        <v>0.55</v>
      </c>
      <c r="K1962"/>
    </row>
    <row r="1963">
      <c r="A1963" t="inlineStr">
        <is>
          <t>SURF_DECYL_MALTOSIDE</t>
        </is>
      </c>
      <c r="B1963" t="inlineStr">
        <is>
          <t>toxicity_or_irritancy_notes</t>
        </is>
      </c>
      <c r="C1963" t="inlineStr">
        <is>
          <t>surfactant irritation/hemolysis is concentration-, route-, and grade-dependent; screen cytotoxicity and osmolality</t>
        </is>
      </c>
      <c r="D1963"/>
      <c r="E1963"/>
      <c r="F1963"/>
      <c r="G1963"/>
      <c r="H1963" t="inlineStr">
        <is>
          <t>S007_EXCIPIENTS_HANDBOOK</t>
        </is>
      </c>
      <c r="I1963" t="inlineStr">
        <is>
          <t>curated</t>
        </is>
      </c>
      <c r="J1963">
        <v>0.7</v>
      </c>
      <c r="K1963"/>
    </row>
    <row r="1964">
      <c r="A1964" t="inlineStr">
        <is>
          <t>SURF_DECYL_MALTOSIDE</t>
        </is>
      </c>
      <c r="B1964" t="inlineStr">
        <is>
          <t>CMC_mM</t>
        </is>
      </c>
      <c r="C1964">
        <v>1.8</v>
      </c>
      <c r="D1964" t="inlineStr">
        <is>
          <t>mM</t>
        </is>
      </c>
      <c r="E1964"/>
      <c r="F1964"/>
      <c r="G1964" t="inlineStr">
        <is>
          <t>CMC in water; temperature/electrolyte dependent</t>
        </is>
      </c>
      <c r="H1964" t="inlineStr">
        <is>
          <t>S007_EXCIPIENTS_HANDBOOK</t>
        </is>
      </c>
      <c r="I1964" t="inlineStr">
        <is>
          <t>literature</t>
        </is>
      </c>
      <c r="J1964">
        <v>0.55</v>
      </c>
      <c r="K1964"/>
    </row>
    <row r="1965">
      <c r="A1965" t="inlineStr">
        <is>
          <t>SURF_DECYL_MALTOSIDE</t>
        </is>
      </c>
      <c r="B1965" t="inlineStr">
        <is>
          <t>Hansen_delta_D</t>
        </is>
      </c>
      <c r="C1965">
        <v>17.3</v>
      </c>
      <c r="D1965" t="inlineStr">
        <is>
          <t>MPa^0.5</t>
        </is>
      </c>
      <c r="E1965"/>
      <c r="F1965"/>
      <c r="G1965" t="inlineStr">
        <is>
          <t>heuristic group-contribution/nearest-neighbour</t>
        </is>
      </c>
      <c r="H1965" t="inlineStr">
        <is>
          <t>S013_EST_HSP_HEURISTIC</t>
        </is>
      </c>
      <c r="I1965" t="inlineStr">
        <is>
          <t>estimated</t>
        </is>
      </c>
      <c r="J1965">
        <v>0.4</v>
      </c>
      <c r="K1965" t="inlineStr">
        <is>
          <t>Provisional HSP for screening; replace with experimental/literature value before model lock.</t>
        </is>
      </c>
    </row>
    <row r="1966">
      <c r="A1966" t="inlineStr">
        <is>
          <t>SURF_DECYL_MALTOSIDE</t>
        </is>
      </c>
      <c r="B1966" t="inlineStr">
        <is>
          <t>Hansen_delta_P</t>
        </is>
      </c>
      <c r="C1966">
        <v>6.5</v>
      </c>
      <c r="D1966" t="inlineStr">
        <is>
          <t>MPa^0.5</t>
        </is>
      </c>
      <c r="E1966"/>
      <c r="F1966"/>
      <c r="G1966" t="inlineStr">
        <is>
          <t>heuristic group-contribution/nearest-neighbour</t>
        </is>
      </c>
      <c r="H1966" t="inlineStr">
        <is>
          <t>S013_EST_HSP_HEURISTIC</t>
        </is>
      </c>
      <c r="I1966" t="inlineStr">
        <is>
          <t>estimated</t>
        </is>
      </c>
      <c r="J1966">
        <v>0.4</v>
      </c>
      <c r="K1966" t="inlineStr">
        <is>
          <t>Provisional HSP for screening; replace with experimental/literature value before model lock.</t>
        </is>
      </c>
    </row>
    <row r="1967">
      <c r="A1967" t="inlineStr">
        <is>
          <t>SURF_DECYL_MALTOSIDE</t>
        </is>
      </c>
      <c r="B1967" t="inlineStr">
        <is>
          <t>Hansen_delta_H</t>
        </is>
      </c>
      <c r="C1967">
        <v>10.5</v>
      </c>
      <c r="D1967" t="inlineStr">
        <is>
          <t>MPa^0.5</t>
        </is>
      </c>
      <c r="E1967"/>
      <c r="F1967"/>
      <c r="G1967" t="inlineStr">
        <is>
          <t>heuristic group-contribution/nearest-neighbour</t>
        </is>
      </c>
      <c r="H1967" t="inlineStr">
        <is>
          <t>S013_EST_HSP_HEURISTIC</t>
        </is>
      </c>
      <c r="I1967" t="inlineStr">
        <is>
          <t>estimated</t>
        </is>
      </c>
      <c r="J1967">
        <v>0.4</v>
      </c>
      <c r="K1967" t="inlineStr">
        <is>
          <t>Provisional HSP for screening; replace with experimental/literature value before model lock.</t>
        </is>
      </c>
    </row>
    <row r="1968">
      <c r="A1968" t="inlineStr">
        <is>
          <t>SURF_DECYL_MALTOSIDE</t>
        </is>
      </c>
      <c r="B1968" t="inlineStr">
        <is>
          <t>Hildebrand_delta_T</t>
        </is>
      </c>
      <c r="C1968">
        <v>21.26</v>
      </c>
      <c r="D1968" t="inlineStr">
        <is>
          <t>MPa^0.5</t>
        </is>
      </c>
      <c r="E1968"/>
      <c r="F1968"/>
      <c r="G1968" t="inlineStr">
        <is>
          <t>sqrt(deltaD^2+deltaP^2+deltaH^2)</t>
        </is>
      </c>
      <c r="H1968" t="inlineStr">
        <is>
          <t>S012_CALCULATED</t>
        </is>
      </c>
      <c r="I1968" t="inlineStr">
        <is>
          <t>calculated</t>
        </is>
      </c>
      <c r="J1968">
        <v>0.45</v>
      </c>
      <c r="K1968" t="inlineStr">
        <is>
          <t>Derived from stored Hansen components.</t>
        </is>
      </c>
    </row>
    <row r="1969">
      <c r="A1969" t="inlineStr">
        <is>
          <t>SURF_DECYL_MALTOSIDE</t>
        </is>
      </c>
      <c r="B1969" t="inlineStr">
        <is>
          <t>HSP_radius_R0</t>
        </is>
      </c>
      <c r="C1969">
        <v>8.0</v>
      </c>
      <c r="D1969" t="inlineStr">
        <is>
          <t>MPa^0.5</t>
        </is>
      </c>
      <c r="E1969"/>
      <c r="F1969"/>
      <c r="G1969" t="inlineStr">
        <is>
          <t>literature/heuristic solubility sphere</t>
        </is>
      </c>
      <c r="H1969" t="inlineStr">
        <is>
          <t>S013_EST_HSP_HEURISTIC</t>
        </is>
      </c>
      <c r="I1969" t="inlineStr">
        <is>
          <t>estimated</t>
        </is>
      </c>
      <c r="J1969">
        <v>0.4</v>
      </c>
      <c r="K1969" t="inlineStr">
        <is>
          <t>Screening radius only unless experimentally determined.</t>
        </is>
      </c>
    </row>
    <row r="1970">
      <c r="A1970" t="inlineStr">
        <is>
          <t>SURF_DECYL_MALTOSIDE</t>
        </is>
      </c>
      <c r="B1970" t="inlineStr">
        <is>
          <t>molar_volume_cm3_mol</t>
        </is>
      </c>
      <c r="C1970">
        <v>459.62</v>
      </c>
      <c r="D1970" t="inlineStr">
        <is>
          <t>cm3/mol</t>
        </is>
      </c>
      <c r="E1970"/>
      <c r="F1970"/>
      <c r="G1970" t="inlineStr">
        <is>
          <t>MW/density estimate</t>
        </is>
      </c>
      <c r="H1970" t="inlineStr">
        <is>
          <t>S012_CALCULATED</t>
        </is>
      </c>
      <c r="I1970" t="inlineStr">
        <is>
          <t>estimated</t>
        </is>
      </c>
      <c r="J1970">
        <v>0.42</v>
      </c>
      <c r="K1970" t="inlineStr">
        <is>
          <t>Estimated from MW/density; replace with measured molar volume or density-specific grade data.</t>
        </is>
      </c>
    </row>
    <row r="1971">
      <c r="A1971" t="inlineStr">
        <is>
          <t>SURF_DECYL_MALTOSIDE</t>
        </is>
      </c>
      <c r="B1971" t="inlineStr">
        <is>
          <t>headgroup_area_nm2</t>
        </is>
      </c>
      <c r="C1971">
        <v>0.582</v>
      </c>
      <c r="D1971" t="inlineStr">
        <is>
          <t>nm2</t>
        </is>
      </c>
      <c r="E1971"/>
      <c r="F1971"/>
      <c r="G1971" t="inlineStr">
        <is>
          <t>CPP screening heuristic</t>
        </is>
      </c>
      <c r="H1971" t="inlineStr">
        <is>
          <t>S013_EST_HSP_HEURISTIC</t>
        </is>
      </c>
      <c r="I1971" t="inlineStr">
        <is>
          <t>estimated</t>
        </is>
      </c>
      <c r="J1971">
        <v>0.35</v>
      </c>
      <c r="K1971" t="inlineStr">
        <is>
          <t>Replace with monolayer or MD-derived area per molecule for publication-grade CPP.</t>
        </is>
      </c>
    </row>
    <row r="1972">
      <c r="A1972" t="inlineStr">
        <is>
          <t>SURF_LAURYL_MALTOSIDE</t>
        </is>
      </c>
      <c r="B1972" t="inlineStr">
        <is>
          <t>molecular_weight_g_mol</t>
        </is>
      </c>
      <c r="C1972">
        <v>510.6</v>
      </c>
      <c r="D1972" t="inlineStr">
        <is>
          <t>g/mol</t>
        </is>
      </c>
      <c r="E1972"/>
      <c r="F1972"/>
      <c r="G1972" t="inlineStr">
        <is>
          <t>supplier/handbook average for mixtures</t>
        </is>
      </c>
      <c r="H1972" t="inlineStr">
        <is>
          <t>S007_EXCIPIENTS_HANDBOOK</t>
        </is>
      </c>
      <c r="I1972" t="inlineStr">
        <is>
          <t>supplier-reported</t>
        </is>
      </c>
      <c r="J1972">
        <v>0.65</v>
      </c>
      <c r="K1972"/>
    </row>
    <row r="1973">
      <c r="A1973" t="inlineStr">
        <is>
          <t>SURF_LAURYL_MALTOSIDE</t>
        </is>
      </c>
      <c r="B1973" t="inlineStr">
        <is>
          <t>HLB</t>
        </is>
      </c>
      <c r="C1973">
        <v>12.0</v>
      </c>
      <c r="D1973" t="inlineStr">
        <is>
          <t>HLB</t>
        </is>
      </c>
      <c r="E1973"/>
      <c r="F1973"/>
      <c r="G1973" t="inlineStr">
        <is>
          <t>Griffin/Davies HLB literature/supplier value</t>
        </is>
      </c>
      <c r="H1973" t="inlineStr">
        <is>
          <t>S007_EXCIPIENTS_HANDBOOK</t>
        </is>
      </c>
      <c r="I1973" t="inlineStr">
        <is>
          <t>supplier-reported</t>
        </is>
      </c>
      <c r="J1973">
        <v>0.75</v>
      </c>
      <c r="K1973" t="inlineStr">
        <is>
          <t>Grade-dependent; use supplier CoA when available.</t>
        </is>
      </c>
    </row>
    <row r="1974">
      <c r="A1974" t="inlineStr">
        <is>
          <t>SURF_LAURYL_MALTOSIDE</t>
        </is>
      </c>
      <c r="B1974" t="inlineStr">
        <is>
          <t>headgroup_type</t>
        </is>
      </c>
      <c r="C1974" t="inlineStr">
        <is>
          <t>alkyl maltoside</t>
        </is>
      </c>
      <c r="D1974"/>
      <c r="E1974"/>
      <c r="F1974"/>
      <c r="G1974" t="inlineStr">
        <is>
          <t>manual class annotation</t>
        </is>
      </c>
      <c r="H1974" t="inlineStr">
        <is>
          <t>S007_EXCIPIENTS_HANDBOOK</t>
        </is>
      </c>
      <c r="I1974" t="inlineStr">
        <is>
          <t>curated</t>
        </is>
      </c>
      <c r="J1974">
        <v>0.75</v>
      </c>
      <c r="K1974"/>
    </row>
    <row r="1975">
      <c r="A1975" t="inlineStr">
        <is>
          <t>SURF_LAURYL_MALTOSIDE</t>
        </is>
      </c>
      <c r="B1975" t="inlineStr">
        <is>
          <t>tail_chain</t>
        </is>
      </c>
      <c r="C1975" t="inlineStr">
        <is>
          <t>C12 maltoside</t>
        </is>
      </c>
      <c r="D1975"/>
      <c r="E1975"/>
      <c r="F1975"/>
      <c r="G1975" t="inlineStr">
        <is>
          <t>fatty-chain annotation</t>
        </is>
      </c>
      <c r="H1975" t="inlineStr">
        <is>
          <t>S007_EXCIPIENTS_HANDBOOK</t>
        </is>
      </c>
      <c r="I1975" t="inlineStr">
        <is>
          <t>curated</t>
        </is>
      </c>
      <c r="J1975">
        <v>0.8</v>
      </c>
      <c r="K1975"/>
    </row>
    <row r="1976">
      <c r="A1976" t="inlineStr">
        <is>
          <t>SURF_LAURYL_MALTOSIDE</t>
        </is>
      </c>
      <c r="B1976" t="inlineStr">
        <is>
          <t>tail_carbons</t>
        </is>
      </c>
      <c r="C1976">
        <v>12</v>
      </c>
      <c r="D1976" t="inlineStr">
        <is>
          <t>count</t>
        </is>
      </c>
      <c r="E1976"/>
      <c r="F1976"/>
      <c r="G1976" t="inlineStr">
        <is>
          <t>fatty-chain annotation</t>
        </is>
      </c>
      <c r="H1976" t="inlineStr">
        <is>
          <t>S007_EXCIPIENTS_HANDBOOK</t>
        </is>
      </c>
      <c r="I1976" t="inlineStr">
        <is>
          <t>curated</t>
        </is>
      </c>
      <c r="J1976">
        <v>0.8</v>
      </c>
      <c r="K1976"/>
    </row>
    <row r="1977">
      <c r="A1977" t="inlineStr">
        <is>
          <t>SURF_LAURYL_MALTOSIDE</t>
        </is>
      </c>
      <c r="B1977" t="inlineStr">
        <is>
          <t>tail_unsaturation</t>
        </is>
      </c>
      <c r="C1977">
        <v>0</v>
      </c>
      <c r="D1977" t="inlineStr">
        <is>
          <t>double_bonds</t>
        </is>
      </c>
      <c r="E1977"/>
      <c r="F1977"/>
      <c r="G1977" t="inlineStr">
        <is>
          <t>fatty-chain annotation</t>
        </is>
      </c>
      <c r="H1977" t="inlineStr">
        <is>
          <t>S007_EXCIPIENTS_HANDBOOK</t>
        </is>
      </c>
      <c r="I1977" t="inlineStr">
        <is>
          <t>curated</t>
        </is>
      </c>
      <c r="J1977">
        <v>0.8</v>
      </c>
      <c r="K1977"/>
    </row>
    <row r="1978">
      <c r="A1978" t="inlineStr">
        <is>
          <t>SURF_LAURYL_MALTOSIDE</t>
        </is>
      </c>
      <c r="B1978" t="inlineStr">
        <is>
          <t>number_of_tails</t>
        </is>
      </c>
      <c r="C1978">
        <v>1</v>
      </c>
      <c r="D1978" t="inlineStr">
        <is>
          <t>count</t>
        </is>
      </c>
      <c r="E1978"/>
      <c r="F1978"/>
      <c r="G1978" t="inlineStr">
        <is>
          <t>fatty-chain annotation</t>
        </is>
      </c>
      <c r="H1978" t="inlineStr">
        <is>
          <t>S007_EXCIPIENTS_HANDBOOK</t>
        </is>
      </c>
      <c r="I1978" t="inlineStr">
        <is>
          <t>curated</t>
        </is>
      </c>
      <c r="J1978">
        <v>0.8</v>
      </c>
      <c r="K1978"/>
    </row>
    <row r="1979">
      <c r="A1979" t="inlineStr">
        <is>
          <t>SURF_LAURYL_MALTOSIDE</t>
        </is>
      </c>
      <c r="B1979" t="inlineStr">
        <is>
          <t>charge_type</t>
        </is>
      </c>
      <c r="C1979" t="inlineStr">
        <is>
          <t>nonionic</t>
        </is>
      </c>
      <c r="D1979"/>
      <c r="E1979"/>
      <c r="F1979"/>
      <c r="G1979" t="inlineStr">
        <is>
          <t>ionization class</t>
        </is>
      </c>
      <c r="H1979" t="inlineStr">
        <is>
          <t>S007_EXCIPIENTS_HANDBOOK</t>
        </is>
      </c>
      <c r="I1979" t="inlineStr">
        <is>
          <t>curated</t>
        </is>
      </c>
      <c r="J1979">
        <v>0.85</v>
      </c>
      <c r="K1979"/>
    </row>
    <row r="1980">
      <c r="A1980" t="inlineStr">
        <is>
          <t>SURF_LAURYL_MALTOSIDE</t>
        </is>
      </c>
      <c r="B1980" t="inlineStr">
        <is>
          <t>formal_charge</t>
        </is>
      </c>
      <c r="C1980">
        <v>0</v>
      </c>
      <c r="D1980" t="inlineStr">
        <is>
          <t>e</t>
        </is>
      </c>
      <c r="E1980"/>
      <c r="F1980"/>
      <c r="G1980" t="inlineStr">
        <is>
          <t>nominal at neutral pH</t>
        </is>
      </c>
      <c r="H1980" t="inlineStr">
        <is>
          <t>S007_EXCIPIENTS_HANDBOOK</t>
        </is>
      </c>
      <c r="I1980" t="inlineStr">
        <is>
          <t>curated</t>
        </is>
      </c>
      <c r="J1980">
        <v>0.85</v>
      </c>
      <c r="K1980"/>
    </row>
    <row r="1981">
      <c r="A1981" t="inlineStr">
        <is>
          <t>SURF_LAURYL_MALTOSIDE</t>
        </is>
      </c>
      <c r="B1981" t="inlineStr">
        <is>
          <t>packing_role</t>
        </is>
      </c>
      <c r="C1981" t="inlineStr">
        <is>
          <t>edge activator / micellar solubilizer</t>
        </is>
      </c>
      <c r="D1981"/>
      <c r="E1981"/>
      <c r="F1981"/>
      <c r="G1981" t="inlineStr">
        <is>
          <t>HLB/chain-rule heuristic</t>
        </is>
      </c>
      <c r="H1981" t="inlineStr">
        <is>
          <t>S007_EXCIPIENTS_HANDBOOK</t>
        </is>
      </c>
      <c r="I1981" t="inlineStr">
        <is>
          <t>curated</t>
        </is>
      </c>
      <c r="J1981">
        <v>0.65</v>
      </c>
      <c r="K1981"/>
    </row>
    <row r="1982">
      <c r="A1982" t="inlineStr">
        <is>
          <t>SURF_LAURYL_MALTOSIDE</t>
        </is>
      </c>
      <c r="B1982" t="inlineStr">
        <is>
          <t>edge_activator_flag</t>
        </is>
      </c>
      <c r="C1982" t="inlineStr">
        <is>
          <t>yes</t>
        </is>
      </c>
      <c r="D1982"/>
      <c r="E1982"/>
      <c r="F1982"/>
      <c r="G1982" t="inlineStr">
        <is>
          <t>HLB/charge heuristic</t>
        </is>
      </c>
      <c r="H1982" t="inlineStr">
        <is>
          <t>S007_EXCIPIENTS_HANDBOOK</t>
        </is>
      </c>
      <c r="I1982" t="inlineStr">
        <is>
          <t>curated</t>
        </is>
      </c>
      <c r="J1982">
        <v>0.7</v>
      </c>
      <c r="K1982"/>
    </row>
    <row r="1983">
      <c r="A1983" t="inlineStr">
        <is>
          <t>SURF_LAURYL_MALTOSIDE</t>
        </is>
      </c>
      <c r="B1983" t="inlineStr">
        <is>
          <t>vesicle_anchor_flag</t>
        </is>
      </c>
      <c r="C1983" t="inlineStr">
        <is>
          <t>weak/conditional</t>
        </is>
      </c>
      <c r="D1983"/>
      <c r="E1983"/>
      <c r="F1983"/>
      <c r="G1983" t="inlineStr">
        <is>
          <t>chain-length and HLB heuristic</t>
        </is>
      </c>
      <c r="H1983" t="inlineStr">
        <is>
          <t>S007_EXCIPIENTS_HANDBOOK</t>
        </is>
      </c>
      <c r="I1983" t="inlineStr">
        <is>
          <t>curated</t>
        </is>
      </c>
      <c r="J1983">
        <v>0.7</v>
      </c>
      <c r="K1983"/>
    </row>
    <row r="1984">
      <c r="A1984" t="inlineStr">
        <is>
          <t>SURF_LAURYL_MALTOSIDE</t>
        </is>
      </c>
      <c r="B1984" t="inlineStr">
        <is>
          <t>micellization_risk_flag</t>
        </is>
      </c>
      <c r="C1984" t="inlineStr">
        <is>
          <t>high</t>
        </is>
      </c>
      <c r="D1984"/>
      <c r="E1984"/>
      <c r="F1984"/>
      <c r="G1984" t="inlineStr">
        <is>
          <t>HLB heuristic</t>
        </is>
      </c>
      <c r="H1984" t="inlineStr">
        <is>
          <t>S007_EXCIPIENTS_HANDBOOK</t>
        </is>
      </c>
      <c r="I1984" t="inlineStr">
        <is>
          <t>curated</t>
        </is>
      </c>
      <c r="J1984">
        <v>0.65</v>
      </c>
      <c r="K1984"/>
    </row>
    <row r="1985">
      <c r="A1985" t="inlineStr">
        <is>
          <t>SURF_LAURYL_MALTOSIDE</t>
        </is>
      </c>
      <c r="B1985" t="inlineStr">
        <is>
          <t>route_suitability</t>
        </is>
      </c>
      <c r="C1985" t="inlineStr">
        <is>
          <t>oral/topical; parenteral/inhalation only if grade and safety justified</t>
        </is>
      </c>
      <c r="D1985"/>
      <c r="E1985"/>
      <c r="F1985"/>
      <c r="G1985" t="inlineStr">
        <is>
          <t>route precedent heuristic</t>
        </is>
      </c>
      <c r="H1985" t="inlineStr">
        <is>
          <t>S008_FDA_IID</t>
        </is>
      </c>
      <c r="I1985" t="inlineStr">
        <is>
          <t>curated</t>
        </is>
      </c>
      <c r="J1985">
        <v>0.55</v>
      </c>
      <c r="K1985"/>
    </row>
    <row r="1986">
      <c r="A1986" t="inlineStr">
        <is>
          <t>SURF_LAURYL_MALTOSIDE</t>
        </is>
      </c>
      <c r="B1986" t="inlineStr">
        <is>
          <t>toxicity_or_irritancy_notes</t>
        </is>
      </c>
      <c r="C1986" t="inlineStr">
        <is>
          <t>surfactant irritation/hemolysis is concentration-, route-, and grade-dependent; screen cytotoxicity and osmolality</t>
        </is>
      </c>
      <c r="D1986"/>
      <c r="E1986"/>
      <c r="F1986"/>
      <c r="G1986"/>
      <c r="H1986" t="inlineStr">
        <is>
          <t>S007_EXCIPIENTS_HANDBOOK</t>
        </is>
      </c>
      <c r="I1986" t="inlineStr">
        <is>
          <t>curated</t>
        </is>
      </c>
      <c r="J1986">
        <v>0.7</v>
      </c>
      <c r="K1986"/>
    </row>
    <row r="1987">
      <c r="A1987" t="inlineStr">
        <is>
          <t>SURF_LAURYL_MALTOSIDE</t>
        </is>
      </c>
      <c r="B1987" t="inlineStr">
        <is>
          <t>CMC_mM</t>
        </is>
      </c>
      <c r="C1987">
        <v>0.17</v>
      </c>
      <c r="D1987" t="inlineStr">
        <is>
          <t>mM</t>
        </is>
      </c>
      <c r="E1987"/>
      <c r="F1987"/>
      <c r="G1987" t="inlineStr">
        <is>
          <t>CMC in water; temperature/electrolyte dependent</t>
        </is>
      </c>
      <c r="H1987" t="inlineStr">
        <is>
          <t>S007_EXCIPIENTS_HANDBOOK</t>
        </is>
      </c>
      <c r="I1987" t="inlineStr">
        <is>
          <t>literature</t>
        </is>
      </c>
      <c r="J1987">
        <v>0.55</v>
      </c>
      <c r="K1987"/>
    </row>
    <row r="1988">
      <c r="A1988" t="inlineStr">
        <is>
          <t>SURF_LAURYL_MALTOSIDE</t>
        </is>
      </c>
      <c r="B1988" t="inlineStr">
        <is>
          <t>Hansen_delta_D</t>
        </is>
      </c>
      <c r="C1988">
        <v>17.3</v>
      </c>
      <c r="D1988" t="inlineStr">
        <is>
          <t>MPa^0.5</t>
        </is>
      </c>
      <c r="E1988"/>
      <c r="F1988"/>
      <c r="G1988" t="inlineStr">
        <is>
          <t>heuristic group-contribution/nearest-neighbour</t>
        </is>
      </c>
      <c r="H1988" t="inlineStr">
        <is>
          <t>S013_EST_HSP_HEURISTIC</t>
        </is>
      </c>
      <c r="I1988" t="inlineStr">
        <is>
          <t>estimated</t>
        </is>
      </c>
      <c r="J1988">
        <v>0.4</v>
      </c>
      <c r="K1988" t="inlineStr">
        <is>
          <t>Provisional HSP for screening; replace with experimental/literature value before model lock.</t>
        </is>
      </c>
    </row>
    <row r="1989">
      <c r="A1989" t="inlineStr">
        <is>
          <t>SURF_LAURYL_MALTOSIDE</t>
        </is>
      </c>
      <c r="B1989" t="inlineStr">
        <is>
          <t>Hansen_delta_P</t>
        </is>
      </c>
      <c r="C1989">
        <v>6.5</v>
      </c>
      <c r="D1989" t="inlineStr">
        <is>
          <t>MPa^0.5</t>
        </is>
      </c>
      <c r="E1989"/>
      <c r="F1989"/>
      <c r="G1989" t="inlineStr">
        <is>
          <t>heuristic group-contribution/nearest-neighbour</t>
        </is>
      </c>
      <c r="H1989" t="inlineStr">
        <is>
          <t>S013_EST_HSP_HEURISTIC</t>
        </is>
      </c>
      <c r="I1989" t="inlineStr">
        <is>
          <t>estimated</t>
        </is>
      </c>
      <c r="J1989">
        <v>0.4</v>
      </c>
      <c r="K1989" t="inlineStr">
        <is>
          <t>Provisional HSP for screening; replace with experimental/literature value before model lock.</t>
        </is>
      </c>
    </row>
    <row r="1990">
      <c r="A1990" t="inlineStr">
        <is>
          <t>SURF_LAURYL_MALTOSIDE</t>
        </is>
      </c>
      <c r="B1990" t="inlineStr">
        <is>
          <t>Hansen_delta_H</t>
        </is>
      </c>
      <c r="C1990">
        <v>10.5</v>
      </c>
      <c r="D1990" t="inlineStr">
        <is>
          <t>MPa^0.5</t>
        </is>
      </c>
      <c r="E1990"/>
      <c r="F1990"/>
      <c r="G1990" t="inlineStr">
        <is>
          <t>heuristic group-contribution/nearest-neighbour</t>
        </is>
      </c>
      <c r="H1990" t="inlineStr">
        <is>
          <t>S013_EST_HSP_HEURISTIC</t>
        </is>
      </c>
      <c r="I1990" t="inlineStr">
        <is>
          <t>estimated</t>
        </is>
      </c>
      <c r="J1990">
        <v>0.4</v>
      </c>
      <c r="K1990" t="inlineStr">
        <is>
          <t>Provisional HSP for screening; replace with experimental/literature value before model lock.</t>
        </is>
      </c>
    </row>
    <row r="1991">
      <c r="A1991" t="inlineStr">
        <is>
          <t>SURF_LAURYL_MALTOSIDE</t>
        </is>
      </c>
      <c r="B1991" t="inlineStr">
        <is>
          <t>Hildebrand_delta_T</t>
        </is>
      </c>
      <c r="C1991">
        <v>21.26</v>
      </c>
      <c r="D1991" t="inlineStr">
        <is>
          <t>MPa^0.5</t>
        </is>
      </c>
      <c r="E1991"/>
      <c r="F1991"/>
      <c r="G1991" t="inlineStr">
        <is>
          <t>sqrt(deltaD^2+deltaP^2+deltaH^2)</t>
        </is>
      </c>
      <c r="H1991" t="inlineStr">
        <is>
          <t>S012_CALCULATED</t>
        </is>
      </c>
      <c r="I1991" t="inlineStr">
        <is>
          <t>calculated</t>
        </is>
      </c>
      <c r="J1991">
        <v>0.45</v>
      </c>
      <c r="K1991" t="inlineStr">
        <is>
          <t>Derived from stored Hansen components.</t>
        </is>
      </c>
    </row>
    <row r="1992">
      <c r="A1992" t="inlineStr">
        <is>
          <t>SURF_LAURYL_MALTOSIDE</t>
        </is>
      </c>
      <c r="B1992" t="inlineStr">
        <is>
          <t>HSP_radius_R0</t>
        </is>
      </c>
      <c r="C1992">
        <v>8.0</v>
      </c>
      <c r="D1992" t="inlineStr">
        <is>
          <t>MPa^0.5</t>
        </is>
      </c>
      <c r="E1992"/>
      <c r="F1992"/>
      <c r="G1992" t="inlineStr">
        <is>
          <t>literature/heuristic solubility sphere</t>
        </is>
      </c>
      <c r="H1992" t="inlineStr">
        <is>
          <t>S013_EST_HSP_HEURISTIC</t>
        </is>
      </c>
      <c r="I1992" t="inlineStr">
        <is>
          <t>estimated</t>
        </is>
      </c>
      <c r="J1992">
        <v>0.4</v>
      </c>
      <c r="K1992" t="inlineStr">
        <is>
          <t>Screening radius only unless experimentally determined.</t>
        </is>
      </c>
    </row>
    <row r="1993">
      <c r="A1993" t="inlineStr">
        <is>
          <t>SURF_LAURYL_MALTOSIDE</t>
        </is>
      </c>
      <c r="B1993" t="inlineStr">
        <is>
          <t>molar_volume_cm3_mol</t>
        </is>
      </c>
      <c r="C1993">
        <v>486.29</v>
      </c>
      <c r="D1993" t="inlineStr">
        <is>
          <t>cm3/mol</t>
        </is>
      </c>
      <c r="E1993"/>
      <c r="F1993"/>
      <c r="G1993" t="inlineStr">
        <is>
          <t>MW/density estimate</t>
        </is>
      </c>
      <c r="H1993" t="inlineStr">
        <is>
          <t>S012_CALCULATED</t>
        </is>
      </c>
      <c r="I1993" t="inlineStr">
        <is>
          <t>estimated</t>
        </is>
      </c>
      <c r="J1993">
        <v>0.42</v>
      </c>
      <c r="K1993" t="inlineStr">
        <is>
          <t>Estimated from MW/density; replace with measured molar volume or density-specific grade data.</t>
        </is>
      </c>
    </row>
    <row r="1994">
      <c r="A1994" t="inlineStr">
        <is>
          <t>SURF_LAURYL_MALTOSIDE</t>
        </is>
      </c>
      <c r="B1994" t="inlineStr">
        <is>
          <t>headgroup_area_nm2</t>
        </is>
      </c>
      <c r="C1994">
        <v>0.566</v>
      </c>
      <c r="D1994" t="inlineStr">
        <is>
          <t>nm2</t>
        </is>
      </c>
      <c r="E1994"/>
      <c r="F1994"/>
      <c r="G1994" t="inlineStr">
        <is>
          <t>CPP screening heuristic</t>
        </is>
      </c>
      <c r="H1994" t="inlineStr">
        <is>
          <t>S013_EST_HSP_HEURISTIC</t>
        </is>
      </c>
      <c r="I1994" t="inlineStr">
        <is>
          <t>estimated</t>
        </is>
      </c>
      <c r="J1994">
        <v>0.35</v>
      </c>
      <c r="K1994" t="inlineStr">
        <is>
          <t>Replace with monolayer or MD-derived area per molecule for publication-grade CPP.</t>
        </is>
      </c>
    </row>
    <row r="1995">
      <c r="A1995" t="inlineStr">
        <is>
          <t>LIP_LECITHIN</t>
        </is>
      </c>
      <c r="B1995" t="inlineStr">
        <is>
          <t>molecular_weight_g_mol</t>
        </is>
      </c>
      <c r="C1995">
        <v>770</v>
      </c>
      <c r="D1995" t="inlineStr">
        <is>
          <t>g/mol</t>
        </is>
      </c>
      <c r="E1995"/>
      <c r="F1995"/>
      <c r="G1995" t="inlineStr">
        <is>
          <t>LIPID MAPS/supplier formula or average grade MW</t>
        </is>
      </c>
      <c r="H1995" t="inlineStr">
        <is>
          <t>S004_LIPIDMAPS</t>
        </is>
      </c>
      <c r="I1995" t="inlineStr">
        <is>
          <t>database-derived</t>
        </is>
      </c>
      <c r="J1995">
        <v>0.78</v>
      </c>
      <c r="K1995"/>
    </row>
    <row r="1996">
      <c r="A1996" t="inlineStr">
        <is>
          <t>LIP_LECITHIN</t>
        </is>
      </c>
      <c r="B1996" t="inlineStr">
        <is>
          <t>lipid_class</t>
        </is>
      </c>
      <c r="C1996" t="inlineStr">
        <is>
          <t>PC-rich mixture</t>
        </is>
      </c>
      <c r="D1996"/>
      <c r="E1996"/>
      <c r="F1996"/>
      <c r="G1996" t="inlineStr">
        <is>
          <t>lipid class annotation</t>
        </is>
      </c>
      <c r="H1996" t="inlineStr">
        <is>
          <t>S003_AVANTI_PHASE</t>
        </is>
      </c>
      <c r="I1996" t="inlineStr">
        <is>
          <t>curated</t>
        </is>
      </c>
      <c r="J1996">
        <v>0.85</v>
      </c>
      <c r="K1996"/>
    </row>
    <row r="1997">
      <c r="A1997" t="inlineStr">
        <is>
          <t>LIP_LECITHIN</t>
        </is>
      </c>
      <c r="B1997" t="inlineStr">
        <is>
          <t>headgroup_type</t>
        </is>
      </c>
      <c r="C1997" t="inlineStr">
        <is>
          <t>PC</t>
        </is>
      </c>
      <c r="D1997"/>
      <c r="E1997"/>
      <c r="F1997"/>
      <c r="G1997" t="inlineStr">
        <is>
          <t>headgroup annotation</t>
        </is>
      </c>
      <c r="H1997" t="inlineStr">
        <is>
          <t>S003_AVANTI_PHASE</t>
        </is>
      </c>
      <c r="I1997" t="inlineStr">
        <is>
          <t>curated</t>
        </is>
      </c>
      <c r="J1997">
        <v>0.85</v>
      </c>
      <c r="K1997"/>
    </row>
    <row r="1998">
      <c r="A1998" t="inlineStr">
        <is>
          <t>LIP_LECITHIN</t>
        </is>
      </c>
      <c r="B1998" t="inlineStr">
        <is>
          <t>charge_type</t>
        </is>
      </c>
      <c r="C1998" t="inlineStr">
        <is>
          <t>zwitterionic</t>
        </is>
      </c>
      <c r="D1998"/>
      <c r="E1998"/>
      <c r="F1998"/>
      <c r="G1998" t="inlineStr">
        <is>
          <t>nominal at pH 7.4</t>
        </is>
      </c>
      <c r="H1998" t="inlineStr">
        <is>
          <t>S003_AVANTI_PHASE</t>
        </is>
      </c>
      <c r="I1998" t="inlineStr">
        <is>
          <t>curated</t>
        </is>
      </c>
      <c r="J1998">
        <v>0.85</v>
      </c>
      <c r="K1998"/>
    </row>
    <row r="1999">
      <c r="A1999" t="inlineStr">
        <is>
          <t>LIP_LECITHIN</t>
        </is>
      </c>
      <c r="B1999" t="inlineStr">
        <is>
          <t>formal_charge</t>
        </is>
      </c>
      <c r="C1999">
        <v>0</v>
      </c>
      <c r="D1999" t="inlineStr">
        <is>
          <t>e</t>
        </is>
      </c>
      <c r="E1999"/>
      <c r="F1999"/>
      <c r="G1999" t="inlineStr">
        <is>
          <t>nominal at pH 7.4</t>
        </is>
      </c>
      <c r="H1999" t="inlineStr">
        <is>
          <t>S003_AVANTI_PHASE</t>
        </is>
      </c>
      <c r="I1999" t="inlineStr">
        <is>
          <t>curated</t>
        </is>
      </c>
      <c r="J1999">
        <v>0.85</v>
      </c>
      <c r="K1999"/>
    </row>
    <row r="2000">
      <c r="A2000" t="inlineStr">
        <is>
          <t>LIP_LECITHIN</t>
        </is>
      </c>
      <c r="B2000" t="inlineStr">
        <is>
          <t>tail_1_carbons</t>
        </is>
      </c>
      <c r="C2000">
        <v>16</v>
      </c>
      <c r="D2000" t="inlineStr">
        <is>
          <t>count</t>
        </is>
      </c>
      <c r="E2000"/>
      <c r="F2000"/>
      <c r="G2000" t="inlineStr">
        <is>
          <t>lipid shorthand annotation</t>
        </is>
      </c>
      <c r="H2000" t="inlineStr">
        <is>
          <t>S003_AVANTI_PHASE</t>
        </is>
      </c>
      <c r="I2000" t="inlineStr">
        <is>
          <t>curated</t>
        </is>
      </c>
      <c r="J2000">
        <v>0.86</v>
      </c>
      <c r="K2000"/>
    </row>
    <row r="2001">
      <c r="A2001" t="inlineStr">
        <is>
          <t>LIP_LECITHIN</t>
        </is>
      </c>
      <c r="B2001" t="inlineStr">
        <is>
          <t>tail_1_unsaturation</t>
        </is>
      </c>
      <c r="C2001">
        <v>0</v>
      </c>
      <c r="D2001" t="inlineStr">
        <is>
          <t>double_bonds</t>
        </is>
      </c>
      <c r="E2001"/>
      <c r="F2001"/>
      <c r="G2001" t="inlineStr">
        <is>
          <t>lipid shorthand annotation</t>
        </is>
      </c>
      <c r="H2001" t="inlineStr">
        <is>
          <t>S003_AVANTI_PHASE</t>
        </is>
      </c>
      <c r="I2001" t="inlineStr">
        <is>
          <t>curated</t>
        </is>
      </c>
      <c r="J2001">
        <v>0.86</v>
      </c>
      <c r="K2001"/>
    </row>
    <row r="2002">
      <c r="A2002" t="inlineStr">
        <is>
          <t>LIP_LECITHIN</t>
        </is>
      </c>
      <c r="B2002" t="inlineStr">
        <is>
          <t>tail_2_carbons</t>
        </is>
      </c>
      <c r="C2002">
        <v>18</v>
      </c>
      <c r="D2002" t="inlineStr">
        <is>
          <t>count</t>
        </is>
      </c>
      <c r="E2002"/>
      <c r="F2002"/>
      <c r="G2002" t="inlineStr">
        <is>
          <t>lipid shorthand annotation</t>
        </is>
      </c>
      <c r="H2002" t="inlineStr">
        <is>
          <t>S003_AVANTI_PHASE</t>
        </is>
      </c>
      <c r="I2002" t="inlineStr">
        <is>
          <t>curated</t>
        </is>
      </c>
      <c r="J2002">
        <v>0.86</v>
      </c>
      <c r="K2002"/>
    </row>
    <row r="2003">
      <c r="A2003" t="inlineStr">
        <is>
          <t>LIP_LECITHIN</t>
        </is>
      </c>
      <c r="B2003" t="inlineStr">
        <is>
          <t>tail_2_unsaturation</t>
        </is>
      </c>
      <c r="C2003">
        <v>1</v>
      </c>
      <c r="D2003" t="inlineStr">
        <is>
          <t>double_bonds</t>
        </is>
      </c>
      <c r="E2003"/>
      <c r="F2003"/>
      <c r="G2003" t="inlineStr">
        <is>
          <t>lipid shorthand annotation</t>
        </is>
      </c>
      <c r="H2003" t="inlineStr">
        <is>
          <t>S003_AVANTI_PHASE</t>
        </is>
      </c>
      <c r="I2003" t="inlineStr">
        <is>
          <t>curated</t>
        </is>
      </c>
      <c r="J2003">
        <v>0.86</v>
      </c>
      <c r="K2003"/>
    </row>
    <row r="2004">
      <c r="A2004" t="inlineStr">
        <is>
          <t>LIP_LECITHIN</t>
        </is>
      </c>
      <c r="B2004" t="inlineStr">
        <is>
          <t>number_of_tails</t>
        </is>
      </c>
      <c r="C2004">
        <v>2</v>
      </c>
      <c r="D2004" t="inlineStr">
        <is>
          <t>count</t>
        </is>
      </c>
      <c r="E2004"/>
      <c r="F2004"/>
      <c r="G2004" t="inlineStr">
        <is>
          <t>lipid shorthand annotation</t>
        </is>
      </c>
      <c r="H2004" t="inlineStr">
        <is>
          <t>S003_AVANTI_PHASE</t>
        </is>
      </c>
      <c r="I2004" t="inlineStr">
        <is>
          <t>curated</t>
        </is>
      </c>
      <c r="J2004">
        <v>0.86</v>
      </c>
      <c r="K2004"/>
    </row>
    <row r="2005">
      <c r="A2005" t="inlineStr">
        <is>
          <t>LIP_LECITHIN</t>
        </is>
      </c>
      <c r="B2005" t="inlineStr">
        <is>
          <t>critical_packing_notes</t>
        </is>
      </c>
      <c r="C2005" t="inlineStr">
        <is>
          <t>bilayer-forming cylindrical lipid</t>
        </is>
      </c>
      <c r="D2005"/>
      <c r="E2005"/>
      <c r="F2005"/>
      <c r="G2005" t="inlineStr">
        <is>
          <t>CPP heuristic</t>
        </is>
      </c>
      <c r="H2005" t="inlineStr">
        <is>
          <t>S014_AULTON</t>
        </is>
      </c>
      <c r="I2005" t="inlineStr">
        <is>
          <t>curated</t>
        </is>
      </c>
      <c r="J2005">
        <v>0.65</v>
      </c>
      <c r="K2005"/>
    </row>
    <row r="2006">
      <c r="A2006" t="inlineStr">
        <is>
          <t>LIP_LECITHIN</t>
        </is>
      </c>
      <c r="B2006" t="inlineStr">
        <is>
          <t>membrane_rigidity_contribution</t>
        </is>
      </c>
      <c r="C2006" t="inlineStr">
        <is>
          <t>fluidizing</t>
        </is>
      </c>
      <c r="D2006"/>
      <c r="E2006"/>
      <c r="F2006"/>
      <c r="G2006" t="inlineStr">
        <is>
          <t>Tm and unsaturation heuristic</t>
        </is>
      </c>
      <c r="H2006" t="inlineStr">
        <is>
          <t>S003_AVANTI_PHASE</t>
        </is>
      </c>
      <c r="I2006" t="inlineStr">
        <is>
          <t>curated</t>
        </is>
      </c>
      <c r="J2006">
        <v>0.65</v>
      </c>
      <c r="K2006"/>
    </row>
    <row r="2007">
      <c r="A2007" t="inlineStr">
        <is>
          <t>LIP_LECITHIN</t>
        </is>
      </c>
      <c r="B2007" t="inlineStr">
        <is>
          <t>fusogenic_flag</t>
        </is>
      </c>
      <c r="C2007" t="inlineStr">
        <is>
          <t>no</t>
        </is>
      </c>
      <c r="D2007"/>
      <c r="E2007"/>
      <c r="F2007"/>
      <c r="G2007" t="inlineStr">
        <is>
          <t>role annotation</t>
        </is>
      </c>
      <c r="H2007" t="inlineStr">
        <is>
          <t>S014_AULTON</t>
        </is>
      </c>
      <c r="I2007" t="inlineStr">
        <is>
          <t>curated</t>
        </is>
      </c>
      <c r="J2007">
        <v>0.7</v>
      </c>
      <c r="K2007"/>
    </row>
    <row r="2008">
      <c r="A2008" t="inlineStr">
        <is>
          <t>LIP_LECITHIN</t>
        </is>
      </c>
      <c r="B2008" t="inlineStr">
        <is>
          <t>PEGylated_flag</t>
        </is>
      </c>
      <c r="C2008" t="inlineStr">
        <is>
          <t>no</t>
        </is>
      </c>
      <c r="D2008"/>
      <c r="E2008"/>
      <c r="F2008"/>
      <c r="G2008" t="inlineStr">
        <is>
          <t>role annotation</t>
        </is>
      </c>
      <c r="H2008" t="inlineStr">
        <is>
          <t>S014_AULTON</t>
        </is>
      </c>
      <c r="I2008" t="inlineStr">
        <is>
          <t>curated</t>
        </is>
      </c>
      <c r="J2008">
        <v>0.85</v>
      </c>
      <c r="K2008"/>
    </row>
    <row r="2009">
      <c r="A2009" t="inlineStr">
        <is>
          <t>LIP_LECITHIN</t>
        </is>
      </c>
      <c r="B2009" t="inlineStr">
        <is>
          <t>ionizable_flag</t>
        </is>
      </c>
      <c r="C2009" t="inlineStr">
        <is>
          <t>no</t>
        </is>
      </c>
      <c r="D2009"/>
      <c r="E2009"/>
      <c r="F2009"/>
      <c r="G2009" t="inlineStr">
        <is>
          <t>role annotation</t>
        </is>
      </c>
      <c r="H2009" t="inlineStr">
        <is>
          <t>S014_AULTON</t>
        </is>
      </c>
      <c r="I2009" t="inlineStr">
        <is>
          <t>curated</t>
        </is>
      </c>
      <c r="J2009">
        <v>0.85</v>
      </c>
      <c r="K2009"/>
    </row>
    <row r="2010">
      <c r="A2010" t="inlineStr">
        <is>
          <t>LIP_LECITHIN</t>
        </is>
      </c>
      <c r="B2010" t="inlineStr">
        <is>
          <t>route_suitability</t>
        </is>
      </c>
      <c r="C2010" t="inlineStr">
        <is>
          <t>liposome/LNP; route depends on purity, grade, residual solvents/endotoxin</t>
        </is>
      </c>
      <c r="D2010"/>
      <c r="E2010"/>
      <c r="F2010"/>
      <c r="G2010" t="inlineStr">
        <is>
          <t>route precedent caution</t>
        </is>
      </c>
      <c r="H2010" t="inlineStr">
        <is>
          <t>S008_FDA_IID</t>
        </is>
      </c>
      <c r="I2010" t="inlineStr">
        <is>
          <t>curated</t>
        </is>
      </c>
      <c r="J2010">
        <v>0.55</v>
      </c>
      <c r="K2010"/>
    </row>
    <row r="2011">
      <c r="A2011" t="inlineStr">
        <is>
          <t>LIP_LECITHIN</t>
        </is>
      </c>
      <c r="B2011" t="inlineStr">
        <is>
          <t>storage_notes</t>
        </is>
      </c>
      <c r="C2011" t="inlineStr">
        <is>
          <t>store cold, dry, inert gas; protect unsaturated/ionizable lipids from oxidation/hydrolysis</t>
        </is>
      </c>
      <c r="D2011"/>
      <c r="E2011"/>
      <c r="F2011"/>
      <c r="G2011" t="inlineStr">
        <is>
          <t>supplier stability convention</t>
        </is>
      </c>
      <c r="H2011" t="inlineStr">
        <is>
          <t>S003_AVANTI_PHASE</t>
        </is>
      </c>
      <c r="I2011" t="inlineStr">
        <is>
          <t>curated</t>
        </is>
      </c>
      <c r="J2011">
        <v>0.7</v>
      </c>
      <c r="K2011"/>
    </row>
    <row r="2012">
      <c r="A2012" t="inlineStr">
        <is>
          <t>LIP_LECITHIN</t>
        </is>
      </c>
      <c r="B2012" t="inlineStr">
        <is>
          <t>Hansen_delta_D</t>
        </is>
      </c>
      <c r="C2012">
        <v>17.5</v>
      </c>
      <c r="D2012" t="inlineStr">
        <is>
          <t>MPa^0.5</t>
        </is>
      </c>
      <c r="E2012"/>
      <c r="F2012"/>
      <c r="G2012" t="inlineStr">
        <is>
          <t>heuristic group-contribution/nearest-neighbour</t>
        </is>
      </c>
      <c r="H2012" t="inlineStr">
        <is>
          <t>S013_EST_HSP_HEURISTIC</t>
        </is>
      </c>
      <c r="I2012" t="inlineStr">
        <is>
          <t>estimated</t>
        </is>
      </c>
      <c r="J2012">
        <v>0.38</v>
      </c>
      <c r="K2012" t="inlineStr">
        <is>
          <t>Provisional HSP for screening; replace with experimental/literature value before model lock.</t>
        </is>
      </c>
    </row>
    <row r="2013">
      <c r="A2013" t="inlineStr">
        <is>
          <t>LIP_LECITHIN</t>
        </is>
      </c>
      <c r="B2013" t="inlineStr">
        <is>
          <t>Hansen_delta_P</t>
        </is>
      </c>
      <c r="C2013">
        <v>5.5</v>
      </c>
      <c r="D2013" t="inlineStr">
        <is>
          <t>MPa^0.5</t>
        </is>
      </c>
      <c r="E2013"/>
      <c r="F2013"/>
      <c r="G2013" t="inlineStr">
        <is>
          <t>heuristic group-contribution/nearest-neighbour</t>
        </is>
      </c>
      <c r="H2013" t="inlineStr">
        <is>
          <t>S013_EST_HSP_HEURISTIC</t>
        </is>
      </c>
      <c r="I2013" t="inlineStr">
        <is>
          <t>estimated</t>
        </is>
      </c>
      <c r="J2013">
        <v>0.38</v>
      </c>
      <c r="K2013" t="inlineStr">
        <is>
          <t>Provisional HSP for screening; replace with experimental/literature value before model lock.</t>
        </is>
      </c>
    </row>
    <row r="2014">
      <c r="A2014" t="inlineStr">
        <is>
          <t>LIP_LECITHIN</t>
        </is>
      </c>
      <c r="B2014" t="inlineStr">
        <is>
          <t>Hansen_delta_H</t>
        </is>
      </c>
      <c r="C2014">
        <v>8.0</v>
      </c>
      <c r="D2014" t="inlineStr">
        <is>
          <t>MPa^0.5</t>
        </is>
      </c>
      <c r="E2014"/>
      <c r="F2014"/>
      <c r="G2014" t="inlineStr">
        <is>
          <t>heuristic group-contribution/nearest-neighbour</t>
        </is>
      </c>
      <c r="H2014" t="inlineStr">
        <is>
          <t>S013_EST_HSP_HEURISTIC</t>
        </is>
      </c>
      <c r="I2014" t="inlineStr">
        <is>
          <t>estimated</t>
        </is>
      </c>
      <c r="J2014">
        <v>0.38</v>
      </c>
      <c r="K2014" t="inlineStr">
        <is>
          <t>Provisional HSP for screening; replace with experimental/literature value before model lock.</t>
        </is>
      </c>
    </row>
    <row r="2015">
      <c r="A2015" t="inlineStr">
        <is>
          <t>LIP_LECITHIN</t>
        </is>
      </c>
      <c r="B2015" t="inlineStr">
        <is>
          <t>Hildebrand_delta_T</t>
        </is>
      </c>
      <c r="C2015">
        <v>20.01</v>
      </c>
      <c r="D2015" t="inlineStr">
        <is>
          <t>MPa^0.5</t>
        </is>
      </c>
      <c r="E2015"/>
      <c r="F2015"/>
      <c r="G2015" t="inlineStr">
        <is>
          <t>sqrt(deltaD^2+deltaP^2+deltaH^2)</t>
        </is>
      </c>
      <c r="H2015" t="inlineStr">
        <is>
          <t>S012_CALCULATED</t>
        </is>
      </c>
      <c r="I2015" t="inlineStr">
        <is>
          <t>calculated</t>
        </is>
      </c>
      <c r="J2015">
        <v>0.43</v>
      </c>
      <c r="K2015" t="inlineStr">
        <is>
          <t>Derived from stored Hansen components.</t>
        </is>
      </c>
    </row>
    <row r="2016">
      <c r="A2016" t="inlineStr">
        <is>
          <t>LIP_LECITHIN</t>
        </is>
      </c>
      <c r="B2016" t="inlineStr">
        <is>
          <t>HSP_radius_R0</t>
        </is>
      </c>
      <c r="C2016">
        <v>8.0</v>
      </c>
      <c r="D2016" t="inlineStr">
        <is>
          <t>MPa^0.5</t>
        </is>
      </c>
      <c r="E2016"/>
      <c r="F2016"/>
      <c r="G2016" t="inlineStr">
        <is>
          <t>literature/heuristic solubility sphere</t>
        </is>
      </c>
      <c r="H2016" t="inlineStr">
        <is>
          <t>S013_EST_HSP_HEURISTIC</t>
        </is>
      </c>
      <c r="I2016" t="inlineStr">
        <is>
          <t>estimated</t>
        </is>
      </c>
      <c r="J2016">
        <v>0.38</v>
      </c>
      <c r="K2016" t="inlineStr">
        <is>
          <t>Screening radius only unless experimentally determined.</t>
        </is>
      </c>
    </row>
    <row r="2017">
      <c r="A2017" t="inlineStr">
        <is>
          <t>LIP_LECITHIN</t>
        </is>
      </c>
      <c r="B2017" t="inlineStr">
        <is>
          <t>molar_volume_cm3_mol</t>
        </is>
      </c>
      <c r="C2017">
        <v>770.0</v>
      </c>
      <c r="D2017" t="inlineStr">
        <is>
          <t>cm3/mol</t>
        </is>
      </c>
      <c r="E2017"/>
      <c r="F2017"/>
      <c r="G2017" t="inlineStr">
        <is>
          <t>MW/density estimate</t>
        </is>
      </c>
      <c r="H2017" t="inlineStr">
        <is>
          <t>S012_CALCULATED</t>
        </is>
      </c>
      <c r="I2017" t="inlineStr">
        <is>
          <t>estimated</t>
        </is>
      </c>
      <c r="J2017">
        <v>0.42</v>
      </c>
      <c r="K2017" t="inlineStr">
        <is>
          <t>Estimated from MW/density; replace with measured molar volume or density-specific grade data.</t>
        </is>
      </c>
    </row>
    <row r="2018">
      <c r="A2018" t="inlineStr">
        <is>
          <t>LIP_LECITHIN</t>
        </is>
      </c>
      <c r="B2018" t="inlineStr">
        <is>
          <t>headgroup_area_nm2</t>
        </is>
      </c>
      <c r="C2018">
        <v>0.64</v>
      </c>
      <c r="D2018" t="inlineStr">
        <is>
          <t>nm2</t>
        </is>
      </c>
      <c r="E2018"/>
      <c r="F2018"/>
      <c r="G2018" t="inlineStr">
        <is>
          <t>literature/MD heuristic</t>
        </is>
      </c>
      <c r="H2018" t="inlineStr">
        <is>
          <t>S013_EST_HSP_HEURISTIC</t>
        </is>
      </c>
      <c r="I2018" t="inlineStr">
        <is>
          <t>estimated</t>
        </is>
      </c>
      <c r="J2018">
        <v>0.35</v>
      </c>
      <c r="K2018" t="inlineStr">
        <is>
          <t>Area per lipid varies with phase, temperature, cholesterol, hydration, and force field.</t>
        </is>
      </c>
    </row>
    <row r="2019">
      <c r="A2019" t="inlineStr">
        <is>
          <t>LIP_EGG_PHOSPHATIDYLCHOLINE_EPC</t>
        </is>
      </c>
      <c r="B2019" t="inlineStr">
        <is>
          <t>molecular_weight_g_mol</t>
        </is>
      </c>
      <c r="C2019">
        <v>760</v>
      </c>
      <c r="D2019" t="inlineStr">
        <is>
          <t>g/mol</t>
        </is>
      </c>
      <c r="E2019"/>
      <c r="F2019"/>
      <c r="G2019" t="inlineStr">
        <is>
          <t>LIPID MAPS/supplier formula or average grade MW</t>
        </is>
      </c>
      <c r="H2019" t="inlineStr">
        <is>
          <t>S004_LIPIDMAPS</t>
        </is>
      </c>
      <c r="I2019" t="inlineStr">
        <is>
          <t>database-derived</t>
        </is>
      </c>
      <c r="J2019">
        <v>0.78</v>
      </c>
      <c r="K2019"/>
    </row>
    <row r="2020">
      <c r="A2020" t="inlineStr">
        <is>
          <t>LIP_EGG_PHOSPHATIDYLCHOLINE_EPC</t>
        </is>
      </c>
      <c r="B2020" t="inlineStr">
        <is>
          <t>lipid_class</t>
        </is>
      </c>
      <c r="C2020" t="inlineStr">
        <is>
          <t>PC-rich mixture</t>
        </is>
      </c>
      <c r="D2020"/>
      <c r="E2020"/>
      <c r="F2020"/>
      <c r="G2020" t="inlineStr">
        <is>
          <t>lipid class annotation</t>
        </is>
      </c>
      <c r="H2020" t="inlineStr">
        <is>
          <t>S003_AVANTI_PHASE</t>
        </is>
      </c>
      <c r="I2020" t="inlineStr">
        <is>
          <t>curated</t>
        </is>
      </c>
      <c r="J2020">
        <v>0.85</v>
      </c>
      <c r="K2020"/>
    </row>
    <row r="2021">
      <c r="A2021" t="inlineStr">
        <is>
          <t>LIP_EGG_PHOSPHATIDYLCHOLINE_EPC</t>
        </is>
      </c>
      <c r="B2021" t="inlineStr">
        <is>
          <t>headgroup_type</t>
        </is>
      </c>
      <c r="C2021" t="inlineStr">
        <is>
          <t>PC</t>
        </is>
      </c>
      <c r="D2021"/>
      <c r="E2021"/>
      <c r="F2021"/>
      <c r="G2021" t="inlineStr">
        <is>
          <t>headgroup annotation</t>
        </is>
      </c>
      <c r="H2021" t="inlineStr">
        <is>
          <t>S003_AVANTI_PHASE</t>
        </is>
      </c>
      <c r="I2021" t="inlineStr">
        <is>
          <t>curated</t>
        </is>
      </c>
      <c r="J2021">
        <v>0.85</v>
      </c>
      <c r="K2021"/>
    </row>
    <row r="2022">
      <c r="A2022" t="inlineStr">
        <is>
          <t>LIP_EGG_PHOSPHATIDYLCHOLINE_EPC</t>
        </is>
      </c>
      <c r="B2022" t="inlineStr">
        <is>
          <t>charge_type</t>
        </is>
      </c>
      <c r="C2022" t="inlineStr">
        <is>
          <t>zwitterionic</t>
        </is>
      </c>
      <c r="D2022"/>
      <c r="E2022"/>
      <c r="F2022"/>
      <c r="G2022" t="inlineStr">
        <is>
          <t>nominal at pH 7.4</t>
        </is>
      </c>
      <c r="H2022" t="inlineStr">
        <is>
          <t>S003_AVANTI_PHASE</t>
        </is>
      </c>
      <c r="I2022" t="inlineStr">
        <is>
          <t>curated</t>
        </is>
      </c>
      <c r="J2022">
        <v>0.85</v>
      </c>
      <c r="K2022"/>
    </row>
    <row r="2023">
      <c r="A2023" t="inlineStr">
        <is>
          <t>LIP_EGG_PHOSPHATIDYLCHOLINE_EPC</t>
        </is>
      </c>
      <c r="B2023" t="inlineStr">
        <is>
          <t>formal_charge</t>
        </is>
      </c>
      <c r="C2023">
        <v>0</v>
      </c>
      <c r="D2023" t="inlineStr">
        <is>
          <t>e</t>
        </is>
      </c>
      <c r="E2023"/>
      <c r="F2023"/>
      <c r="G2023" t="inlineStr">
        <is>
          <t>nominal at pH 7.4</t>
        </is>
      </c>
      <c r="H2023" t="inlineStr">
        <is>
          <t>S003_AVANTI_PHASE</t>
        </is>
      </c>
      <c r="I2023" t="inlineStr">
        <is>
          <t>curated</t>
        </is>
      </c>
      <c r="J2023">
        <v>0.85</v>
      </c>
      <c r="K2023"/>
    </row>
    <row r="2024">
      <c r="A2024" t="inlineStr">
        <is>
          <t>LIP_EGG_PHOSPHATIDYLCHOLINE_EPC</t>
        </is>
      </c>
      <c r="B2024" t="inlineStr">
        <is>
          <t>tail_1_carbons</t>
        </is>
      </c>
      <c r="C2024">
        <v>16</v>
      </c>
      <c r="D2024" t="inlineStr">
        <is>
          <t>count</t>
        </is>
      </c>
      <c r="E2024"/>
      <c r="F2024"/>
      <c r="G2024" t="inlineStr">
        <is>
          <t>lipid shorthand annotation</t>
        </is>
      </c>
      <c r="H2024" t="inlineStr">
        <is>
          <t>S003_AVANTI_PHASE</t>
        </is>
      </c>
      <c r="I2024" t="inlineStr">
        <is>
          <t>curated</t>
        </is>
      </c>
      <c r="J2024">
        <v>0.86</v>
      </c>
      <c r="K2024"/>
    </row>
    <row r="2025">
      <c r="A2025" t="inlineStr">
        <is>
          <t>LIP_EGG_PHOSPHATIDYLCHOLINE_EPC</t>
        </is>
      </c>
      <c r="B2025" t="inlineStr">
        <is>
          <t>tail_1_unsaturation</t>
        </is>
      </c>
      <c r="C2025">
        <v>0</v>
      </c>
      <c r="D2025" t="inlineStr">
        <is>
          <t>double_bonds</t>
        </is>
      </c>
      <c r="E2025"/>
      <c r="F2025"/>
      <c r="G2025" t="inlineStr">
        <is>
          <t>lipid shorthand annotation</t>
        </is>
      </c>
      <c r="H2025" t="inlineStr">
        <is>
          <t>S003_AVANTI_PHASE</t>
        </is>
      </c>
      <c r="I2025" t="inlineStr">
        <is>
          <t>curated</t>
        </is>
      </c>
      <c r="J2025">
        <v>0.86</v>
      </c>
      <c r="K2025"/>
    </row>
    <row r="2026">
      <c r="A2026" t="inlineStr">
        <is>
          <t>LIP_EGG_PHOSPHATIDYLCHOLINE_EPC</t>
        </is>
      </c>
      <c r="B2026" t="inlineStr">
        <is>
          <t>tail_2_carbons</t>
        </is>
      </c>
      <c r="C2026">
        <v>18</v>
      </c>
      <c r="D2026" t="inlineStr">
        <is>
          <t>count</t>
        </is>
      </c>
      <c r="E2026"/>
      <c r="F2026"/>
      <c r="G2026" t="inlineStr">
        <is>
          <t>lipid shorthand annotation</t>
        </is>
      </c>
      <c r="H2026" t="inlineStr">
        <is>
          <t>S003_AVANTI_PHASE</t>
        </is>
      </c>
      <c r="I2026" t="inlineStr">
        <is>
          <t>curated</t>
        </is>
      </c>
      <c r="J2026">
        <v>0.86</v>
      </c>
      <c r="K2026"/>
    </row>
    <row r="2027">
      <c r="A2027" t="inlineStr">
        <is>
          <t>LIP_EGG_PHOSPHATIDYLCHOLINE_EPC</t>
        </is>
      </c>
      <c r="B2027" t="inlineStr">
        <is>
          <t>tail_2_unsaturation</t>
        </is>
      </c>
      <c r="C2027">
        <v>1</v>
      </c>
      <c r="D2027" t="inlineStr">
        <is>
          <t>double_bonds</t>
        </is>
      </c>
      <c r="E2027"/>
      <c r="F2027"/>
      <c r="G2027" t="inlineStr">
        <is>
          <t>lipid shorthand annotation</t>
        </is>
      </c>
      <c r="H2027" t="inlineStr">
        <is>
          <t>S003_AVANTI_PHASE</t>
        </is>
      </c>
      <c r="I2027" t="inlineStr">
        <is>
          <t>curated</t>
        </is>
      </c>
      <c r="J2027">
        <v>0.86</v>
      </c>
      <c r="K2027"/>
    </row>
    <row r="2028">
      <c r="A2028" t="inlineStr">
        <is>
          <t>LIP_EGG_PHOSPHATIDYLCHOLINE_EPC</t>
        </is>
      </c>
      <c r="B2028" t="inlineStr">
        <is>
          <t>number_of_tails</t>
        </is>
      </c>
      <c r="C2028">
        <v>2</v>
      </c>
      <c r="D2028" t="inlineStr">
        <is>
          <t>count</t>
        </is>
      </c>
      <c r="E2028"/>
      <c r="F2028"/>
      <c r="G2028" t="inlineStr">
        <is>
          <t>lipid shorthand annotation</t>
        </is>
      </c>
      <c r="H2028" t="inlineStr">
        <is>
          <t>S003_AVANTI_PHASE</t>
        </is>
      </c>
      <c r="I2028" t="inlineStr">
        <is>
          <t>curated</t>
        </is>
      </c>
      <c r="J2028">
        <v>0.86</v>
      </c>
      <c r="K2028"/>
    </row>
    <row r="2029">
      <c r="A2029" t="inlineStr">
        <is>
          <t>LIP_EGG_PHOSPHATIDYLCHOLINE_EPC</t>
        </is>
      </c>
      <c r="B2029" t="inlineStr">
        <is>
          <t>critical_packing_notes</t>
        </is>
      </c>
      <c r="C2029" t="inlineStr">
        <is>
          <t>bilayer-forming cylindrical lipid</t>
        </is>
      </c>
      <c r="D2029"/>
      <c r="E2029"/>
      <c r="F2029"/>
      <c r="G2029" t="inlineStr">
        <is>
          <t>CPP heuristic</t>
        </is>
      </c>
      <c r="H2029" t="inlineStr">
        <is>
          <t>S014_AULTON</t>
        </is>
      </c>
      <c r="I2029" t="inlineStr">
        <is>
          <t>curated</t>
        </is>
      </c>
      <c r="J2029">
        <v>0.65</v>
      </c>
      <c r="K2029"/>
    </row>
    <row r="2030">
      <c r="A2030" t="inlineStr">
        <is>
          <t>LIP_EGG_PHOSPHATIDYLCHOLINE_EPC</t>
        </is>
      </c>
      <c r="B2030" t="inlineStr">
        <is>
          <t>membrane_rigidity_contribution</t>
        </is>
      </c>
      <c r="C2030" t="inlineStr">
        <is>
          <t>fluidizing</t>
        </is>
      </c>
      <c r="D2030"/>
      <c r="E2030"/>
      <c r="F2030"/>
      <c r="G2030" t="inlineStr">
        <is>
          <t>Tm and unsaturation heuristic</t>
        </is>
      </c>
      <c r="H2030" t="inlineStr">
        <is>
          <t>S003_AVANTI_PHASE</t>
        </is>
      </c>
      <c r="I2030" t="inlineStr">
        <is>
          <t>curated</t>
        </is>
      </c>
      <c r="J2030">
        <v>0.65</v>
      </c>
      <c r="K2030"/>
    </row>
    <row r="2031">
      <c r="A2031" t="inlineStr">
        <is>
          <t>LIP_EGG_PHOSPHATIDYLCHOLINE_EPC</t>
        </is>
      </c>
      <c r="B2031" t="inlineStr">
        <is>
          <t>fusogenic_flag</t>
        </is>
      </c>
      <c r="C2031" t="inlineStr">
        <is>
          <t>no</t>
        </is>
      </c>
      <c r="D2031"/>
      <c r="E2031"/>
      <c r="F2031"/>
      <c r="G2031" t="inlineStr">
        <is>
          <t>role annotation</t>
        </is>
      </c>
      <c r="H2031" t="inlineStr">
        <is>
          <t>S014_AULTON</t>
        </is>
      </c>
      <c r="I2031" t="inlineStr">
        <is>
          <t>curated</t>
        </is>
      </c>
      <c r="J2031">
        <v>0.7</v>
      </c>
      <c r="K2031"/>
    </row>
    <row r="2032">
      <c r="A2032" t="inlineStr">
        <is>
          <t>LIP_EGG_PHOSPHATIDYLCHOLINE_EPC</t>
        </is>
      </c>
      <c r="B2032" t="inlineStr">
        <is>
          <t>PEGylated_flag</t>
        </is>
      </c>
      <c r="C2032" t="inlineStr">
        <is>
          <t>no</t>
        </is>
      </c>
      <c r="D2032"/>
      <c r="E2032"/>
      <c r="F2032"/>
      <c r="G2032" t="inlineStr">
        <is>
          <t>role annotation</t>
        </is>
      </c>
      <c r="H2032" t="inlineStr">
        <is>
          <t>S014_AULTON</t>
        </is>
      </c>
      <c r="I2032" t="inlineStr">
        <is>
          <t>curated</t>
        </is>
      </c>
      <c r="J2032">
        <v>0.85</v>
      </c>
      <c r="K2032"/>
    </row>
    <row r="2033">
      <c r="A2033" t="inlineStr">
        <is>
          <t>LIP_EGG_PHOSPHATIDYLCHOLINE_EPC</t>
        </is>
      </c>
      <c r="B2033" t="inlineStr">
        <is>
          <t>ionizable_flag</t>
        </is>
      </c>
      <c r="C2033" t="inlineStr">
        <is>
          <t>no</t>
        </is>
      </c>
      <c r="D2033"/>
      <c r="E2033"/>
      <c r="F2033"/>
      <c r="G2033" t="inlineStr">
        <is>
          <t>role annotation</t>
        </is>
      </c>
      <c r="H2033" t="inlineStr">
        <is>
          <t>S014_AULTON</t>
        </is>
      </c>
      <c r="I2033" t="inlineStr">
        <is>
          <t>curated</t>
        </is>
      </c>
      <c r="J2033">
        <v>0.85</v>
      </c>
      <c r="K2033"/>
    </row>
    <row r="2034">
      <c r="A2034" t="inlineStr">
        <is>
          <t>LIP_EGG_PHOSPHATIDYLCHOLINE_EPC</t>
        </is>
      </c>
      <c r="B2034" t="inlineStr">
        <is>
          <t>route_suitability</t>
        </is>
      </c>
      <c r="C2034" t="inlineStr">
        <is>
          <t>liposome/LNP; route depends on purity, grade, residual solvents/endotoxin</t>
        </is>
      </c>
      <c r="D2034"/>
      <c r="E2034"/>
      <c r="F2034"/>
      <c r="G2034" t="inlineStr">
        <is>
          <t>route precedent caution</t>
        </is>
      </c>
      <c r="H2034" t="inlineStr">
        <is>
          <t>S008_FDA_IID</t>
        </is>
      </c>
      <c r="I2034" t="inlineStr">
        <is>
          <t>curated</t>
        </is>
      </c>
      <c r="J2034">
        <v>0.55</v>
      </c>
      <c r="K2034"/>
    </row>
    <row r="2035">
      <c r="A2035" t="inlineStr">
        <is>
          <t>LIP_EGG_PHOSPHATIDYLCHOLINE_EPC</t>
        </is>
      </c>
      <c r="B2035" t="inlineStr">
        <is>
          <t>storage_notes</t>
        </is>
      </c>
      <c r="C2035" t="inlineStr">
        <is>
          <t>store cold, dry, inert gas; protect unsaturated/ionizable lipids from oxidation/hydrolysis</t>
        </is>
      </c>
      <c r="D2035"/>
      <c r="E2035"/>
      <c r="F2035"/>
      <c r="G2035" t="inlineStr">
        <is>
          <t>supplier stability convention</t>
        </is>
      </c>
      <c r="H2035" t="inlineStr">
        <is>
          <t>S003_AVANTI_PHASE</t>
        </is>
      </c>
      <c r="I2035" t="inlineStr">
        <is>
          <t>curated</t>
        </is>
      </c>
      <c r="J2035">
        <v>0.7</v>
      </c>
      <c r="K2035"/>
    </row>
    <row r="2036">
      <c r="A2036" t="inlineStr">
        <is>
          <t>LIP_EGG_PHOSPHATIDYLCHOLINE_EPC</t>
        </is>
      </c>
      <c r="B2036" t="inlineStr">
        <is>
          <t>phase_transition_temperature_C</t>
        </is>
      </c>
      <c r="C2036">
        <v>-15</v>
      </c>
      <c r="D2036" t="inlineStr">
        <is>
          <t>°C</t>
        </is>
      </c>
      <c r="E2036"/>
      <c r="F2036"/>
      <c r="G2036" t="inlineStr">
        <is>
          <t>main transition temperature, DSC/lipid supplier data</t>
        </is>
      </c>
      <c r="H2036" t="inlineStr">
        <is>
          <t>S003_AVANTI_PHASE</t>
        </is>
      </c>
      <c r="I2036" t="inlineStr">
        <is>
          <t>supplier-reported</t>
        </is>
      </c>
      <c r="J2036">
        <v>0.78</v>
      </c>
      <c r="K2036"/>
    </row>
    <row r="2037">
      <c r="A2037" t="inlineStr">
        <is>
          <t>LIP_EGG_PHOSPHATIDYLCHOLINE_EPC</t>
        </is>
      </c>
      <c r="B2037" t="inlineStr">
        <is>
          <t>Hansen_delta_D</t>
        </is>
      </c>
      <c r="C2037">
        <v>17.5</v>
      </c>
      <c r="D2037" t="inlineStr">
        <is>
          <t>MPa^0.5</t>
        </is>
      </c>
      <c r="E2037"/>
      <c r="F2037"/>
      <c r="G2037" t="inlineStr">
        <is>
          <t>heuristic group-contribution/nearest-neighbour</t>
        </is>
      </c>
      <c r="H2037" t="inlineStr">
        <is>
          <t>S013_EST_HSP_HEURISTIC</t>
        </is>
      </c>
      <c r="I2037" t="inlineStr">
        <is>
          <t>estimated</t>
        </is>
      </c>
      <c r="J2037">
        <v>0.38</v>
      </c>
      <c r="K2037" t="inlineStr">
        <is>
          <t>Provisional HSP for screening; replace with experimental/literature value before model lock.</t>
        </is>
      </c>
    </row>
    <row r="2038">
      <c r="A2038" t="inlineStr">
        <is>
          <t>LIP_EGG_PHOSPHATIDYLCHOLINE_EPC</t>
        </is>
      </c>
      <c r="B2038" t="inlineStr">
        <is>
          <t>Hansen_delta_P</t>
        </is>
      </c>
      <c r="C2038">
        <v>5.5</v>
      </c>
      <c r="D2038" t="inlineStr">
        <is>
          <t>MPa^0.5</t>
        </is>
      </c>
      <c r="E2038"/>
      <c r="F2038"/>
      <c r="G2038" t="inlineStr">
        <is>
          <t>heuristic group-contribution/nearest-neighbour</t>
        </is>
      </c>
      <c r="H2038" t="inlineStr">
        <is>
          <t>S013_EST_HSP_HEURISTIC</t>
        </is>
      </c>
      <c r="I2038" t="inlineStr">
        <is>
          <t>estimated</t>
        </is>
      </c>
      <c r="J2038">
        <v>0.38</v>
      </c>
      <c r="K2038" t="inlineStr">
        <is>
          <t>Provisional HSP for screening; replace with experimental/literature value before model lock.</t>
        </is>
      </c>
    </row>
    <row r="2039">
      <c r="A2039" t="inlineStr">
        <is>
          <t>LIP_EGG_PHOSPHATIDYLCHOLINE_EPC</t>
        </is>
      </c>
      <c r="B2039" t="inlineStr">
        <is>
          <t>Hansen_delta_H</t>
        </is>
      </c>
      <c r="C2039">
        <v>8.0</v>
      </c>
      <c r="D2039" t="inlineStr">
        <is>
          <t>MPa^0.5</t>
        </is>
      </c>
      <c r="E2039"/>
      <c r="F2039"/>
      <c r="G2039" t="inlineStr">
        <is>
          <t>heuristic group-contribution/nearest-neighbour</t>
        </is>
      </c>
      <c r="H2039" t="inlineStr">
        <is>
          <t>S013_EST_HSP_HEURISTIC</t>
        </is>
      </c>
      <c r="I2039" t="inlineStr">
        <is>
          <t>estimated</t>
        </is>
      </c>
      <c r="J2039">
        <v>0.38</v>
      </c>
      <c r="K2039" t="inlineStr">
        <is>
          <t>Provisional HSP for screening; replace with experimental/literature value before model lock.</t>
        </is>
      </c>
    </row>
    <row r="2040">
      <c r="A2040" t="inlineStr">
        <is>
          <t>LIP_EGG_PHOSPHATIDYLCHOLINE_EPC</t>
        </is>
      </c>
      <c r="B2040" t="inlineStr">
        <is>
          <t>Hildebrand_delta_T</t>
        </is>
      </c>
      <c r="C2040">
        <v>20.01</v>
      </c>
      <c r="D2040" t="inlineStr">
        <is>
          <t>MPa^0.5</t>
        </is>
      </c>
      <c r="E2040"/>
      <c r="F2040"/>
      <c r="G2040" t="inlineStr">
        <is>
          <t>sqrt(deltaD^2+deltaP^2+deltaH^2)</t>
        </is>
      </c>
      <c r="H2040" t="inlineStr">
        <is>
          <t>S012_CALCULATED</t>
        </is>
      </c>
      <c r="I2040" t="inlineStr">
        <is>
          <t>calculated</t>
        </is>
      </c>
      <c r="J2040">
        <v>0.43</v>
      </c>
      <c r="K2040" t="inlineStr">
        <is>
          <t>Derived from stored Hansen components.</t>
        </is>
      </c>
    </row>
    <row r="2041">
      <c r="A2041" t="inlineStr">
        <is>
          <t>LIP_EGG_PHOSPHATIDYLCHOLINE_EPC</t>
        </is>
      </c>
      <c r="B2041" t="inlineStr">
        <is>
          <t>HSP_radius_R0</t>
        </is>
      </c>
      <c r="C2041">
        <v>8.0</v>
      </c>
      <c r="D2041" t="inlineStr">
        <is>
          <t>MPa^0.5</t>
        </is>
      </c>
      <c r="E2041"/>
      <c r="F2041"/>
      <c r="G2041" t="inlineStr">
        <is>
          <t>literature/heuristic solubility sphere</t>
        </is>
      </c>
      <c r="H2041" t="inlineStr">
        <is>
          <t>S013_EST_HSP_HEURISTIC</t>
        </is>
      </c>
      <c r="I2041" t="inlineStr">
        <is>
          <t>estimated</t>
        </is>
      </c>
      <c r="J2041">
        <v>0.38</v>
      </c>
      <c r="K2041" t="inlineStr">
        <is>
          <t>Screening radius only unless experimentally determined.</t>
        </is>
      </c>
    </row>
    <row r="2042">
      <c r="A2042" t="inlineStr">
        <is>
          <t>LIP_EGG_PHOSPHATIDYLCHOLINE_EPC</t>
        </is>
      </c>
      <c r="B2042" t="inlineStr">
        <is>
          <t>molar_volume_cm3_mol</t>
        </is>
      </c>
      <c r="C2042">
        <v>760.0</v>
      </c>
      <c r="D2042" t="inlineStr">
        <is>
          <t>cm3/mol</t>
        </is>
      </c>
      <c r="E2042"/>
      <c r="F2042"/>
      <c r="G2042" t="inlineStr">
        <is>
          <t>MW/density estimate</t>
        </is>
      </c>
      <c r="H2042" t="inlineStr">
        <is>
          <t>S012_CALCULATED</t>
        </is>
      </c>
      <c r="I2042" t="inlineStr">
        <is>
          <t>estimated</t>
        </is>
      </c>
      <c r="J2042">
        <v>0.42</v>
      </c>
      <c r="K2042" t="inlineStr">
        <is>
          <t>Estimated from MW/density; replace with measured molar volume or density-specific grade data.</t>
        </is>
      </c>
    </row>
    <row r="2043">
      <c r="A2043" t="inlineStr">
        <is>
          <t>LIP_EGG_PHOSPHATIDYLCHOLINE_EPC</t>
        </is>
      </c>
      <c r="B2043" t="inlineStr">
        <is>
          <t>headgroup_area_nm2</t>
        </is>
      </c>
      <c r="C2043">
        <v>0.64</v>
      </c>
      <c r="D2043" t="inlineStr">
        <is>
          <t>nm2</t>
        </is>
      </c>
      <c r="E2043"/>
      <c r="F2043"/>
      <c r="G2043" t="inlineStr">
        <is>
          <t>literature/MD heuristic</t>
        </is>
      </c>
      <c r="H2043" t="inlineStr">
        <is>
          <t>S013_EST_HSP_HEURISTIC</t>
        </is>
      </c>
      <c r="I2043" t="inlineStr">
        <is>
          <t>estimated</t>
        </is>
      </c>
      <c r="J2043">
        <v>0.35</v>
      </c>
      <c r="K2043" t="inlineStr">
        <is>
          <t>Area per lipid varies with phase, temperature, cholesterol, hydration, and force field.</t>
        </is>
      </c>
    </row>
    <row r="2044">
      <c r="A2044" t="inlineStr">
        <is>
          <t>LIP_SOY_PHOSPHATIDYLCHOLINE_SPC</t>
        </is>
      </c>
      <c r="B2044" t="inlineStr">
        <is>
          <t>molecular_weight_g_mol</t>
        </is>
      </c>
      <c r="C2044">
        <v>780</v>
      </c>
      <c r="D2044" t="inlineStr">
        <is>
          <t>g/mol</t>
        </is>
      </c>
      <c r="E2044"/>
      <c r="F2044"/>
      <c r="G2044" t="inlineStr">
        <is>
          <t>LIPID MAPS/supplier formula or average grade MW</t>
        </is>
      </c>
      <c r="H2044" t="inlineStr">
        <is>
          <t>S004_LIPIDMAPS</t>
        </is>
      </c>
      <c r="I2044" t="inlineStr">
        <is>
          <t>database-derived</t>
        </is>
      </c>
      <c r="J2044">
        <v>0.78</v>
      </c>
      <c r="K2044"/>
    </row>
    <row r="2045">
      <c r="A2045" t="inlineStr">
        <is>
          <t>LIP_SOY_PHOSPHATIDYLCHOLINE_SPC</t>
        </is>
      </c>
      <c r="B2045" t="inlineStr">
        <is>
          <t>lipid_class</t>
        </is>
      </c>
      <c r="C2045" t="inlineStr">
        <is>
          <t>PC-rich mixture</t>
        </is>
      </c>
      <c r="D2045"/>
      <c r="E2045"/>
      <c r="F2045"/>
      <c r="G2045" t="inlineStr">
        <is>
          <t>lipid class annotation</t>
        </is>
      </c>
      <c r="H2045" t="inlineStr">
        <is>
          <t>S003_AVANTI_PHASE</t>
        </is>
      </c>
      <c r="I2045" t="inlineStr">
        <is>
          <t>curated</t>
        </is>
      </c>
      <c r="J2045">
        <v>0.85</v>
      </c>
      <c r="K2045"/>
    </row>
    <row r="2046">
      <c r="A2046" t="inlineStr">
        <is>
          <t>LIP_SOY_PHOSPHATIDYLCHOLINE_SPC</t>
        </is>
      </c>
      <c r="B2046" t="inlineStr">
        <is>
          <t>headgroup_type</t>
        </is>
      </c>
      <c r="C2046" t="inlineStr">
        <is>
          <t>PC</t>
        </is>
      </c>
      <c r="D2046"/>
      <c r="E2046"/>
      <c r="F2046"/>
      <c r="G2046" t="inlineStr">
        <is>
          <t>headgroup annotation</t>
        </is>
      </c>
      <c r="H2046" t="inlineStr">
        <is>
          <t>S003_AVANTI_PHASE</t>
        </is>
      </c>
      <c r="I2046" t="inlineStr">
        <is>
          <t>curated</t>
        </is>
      </c>
      <c r="J2046">
        <v>0.85</v>
      </c>
      <c r="K2046"/>
    </row>
    <row r="2047">
      <c r="A2047" t="inlineStr">
        <is>
          <t>LIP_SOY_PHOSPHATIDYLCHOLINE_SPC</t>
        </is>
      </c>
      <c r="B2047" t="inlineStr">
        <is>
          <t>charge_type</t>
        </is>
      </c>
      <c r="C2047" t="inlineStr">
        <is>
          <t>zwitterionic</t>
        </is>
      </c>
      <c r="D2047"/>
      <c r="E2047"/>
      <c r="F2047"/>
      <c r="G2047" t="inlineStr">
        <is>
          <t>nominal at pH 7.4</t>
        </is>
      </c>
      <c r="H2047" t="inlineStr">
        <is>
          <t>S003_AVANTI_PHASE</t>
        </is>
      </c>
      <c r="I2047" t="inlineStr">
        <is>
          <t>curated</t>
        </is>
      </c>
      <c r="J2047">
        <v>0.85</v>
      </c>
      <c r="K2047"/>
    </row>
    <row r="2048">
      <c r="A2048" t="inlineStr">
        <is>
          <t>LIP_SOY_PHOSPHATIDYLCHOLINE_SPC</t>
        </is>
      </c>
      <c r="B2048" t="inlineStr">
        <is>
          <t>formal_charge</t>
        </is>
      </c>
      <c r="C2048">
        <v>0</v>
      </c>
      <c r="D2048" t="inlineStr">
        <is>
          <t>e</t>
        </is>
      </c>
      <c r="E2048"/>
      <c r="F2048"/>
      <c r="G2048" t="inlineStr">
        <is>
          <t>nominal at pH 7.4</t>
        </is>
      </c>
      <c r="H2048" t="inlineStr">
        <is>
          <t>S003_AVANTI_PHASE</t>
        </is>
      </c>
      <c r="I2048" t="inlineStr">
        <is>
          <t>curated</t>
        </is>
      </c>
      <c r="J2048">
        <v>0.85</v>
      </c>
      <c r="K2048"/>
    </row>
    <row r="2049">
      <c r="A2049" t="inlineStr">
        <is>
          <t>LIP_SOY_PHOSPHATIDYLCHOLINE_SPC</t>
        </is>
      </c>
      <c r="B2049" t="inlineStr">
        <is>
          <t>tail_1_carbons</t>
        </is>
      </c>
      <c r="C2049">
        <v>16</v>
      </c>
      <c r="D2049" t="inlineStr">
        <is>
          <t>count</t>
        </is>
      </c>
      <c r="E2049"/>
      <c r="F2049"/>
      <c r="G2049" t="inlineStr">
        <is>
          <t>lipid shorthand annotation</t>
        </is>
      </c>
      <c r="H2049" t="inlineStr">
        <is>
          <t>S003_AVANTI_PHASE</t>
        </is>
      </c>
      <c r="I2049" t="inlineStr">
        <is>
          <t>curated</t>
        </is>
      </c>
      <c r="J2049">
        <v>0.86</v>
      </c>
      <c r="K2049"/>
    </row>
    <row r="2050">
      <c r="A2050" t="inlineStr">
        <is>
          <t>LIP_SOY_PHOSPHATIDYLCHOLINE_SPC</t>
        </is>
      </c>
      <c r="B2050" t="inlineStr">
        <is>
          <t>tail_1_unsaturation</t>
        </is>
      </c>
      <c r="C2050">
        <v>0</v>
      </c>
      <c r="D2050" t="inlineStr">
        <is>
          <t>double_bonds</t>
        </is>
      </c>
      <c r="E2050"/>
      <c r="F2050"/>
      <c r="G2050" t="inlineStr">
        <is>
          <t>lipid shorthand annotation</t>
        </is>
      </c>
      <c r="H2050" t="inlineStr">
        <is>
          <t>S003_AVANTI_PHASE</t>
        </is>
      </c>
      <c r="I2050" t="inlineStr">
        <is>
          <t>curated</t>
        </is>
      </c>
      <c r="J2050">
        <v>0.86</v>
      </c>
      <c r="K2050"/>
    </row>
    <row r="2051">
      <c r="A2051" t="inlineStr">
        <is>
          <t>LIP_SOY_PHOSPHATIDYLCHOLINE_SPC</t>
        </is>
      </c>
      <c r="B2051" t="inlineStr">
        <is>
          <t>tail_2_carbons</t>
        </is>
      </c>
      <c r="C2051">
        <v>18</v>
      </c>
      <c r="D2051" t="inlineStr">
        <is>
          <t>count</t>
        </is>
      </c>
      <c r="E2051"/>
      <c r="F2051"/>
      <c r="G2051" t="inlineStr">
        <is>
          <t>lipid shorthand annotation</t>
        </is>
      </c>
      <c r="H2051" t="inlineStr">
        <is>
          <t>S003_AVANTI_PHASE</t>
        </is>
      </c>
      <c r="I2051" t="inlineStr">
        <is>
          <t>curated</t>
        </is>
      </c>
      <c r="J2051">
        <v>0.86</v>
      </c>
      <c r="K2051"/>
    </row>
    <row r="2052">
      <c r="A2052" t="inlineStr">
        <is>
          <t>LIP_SOY_PHOSPHATIDYLCHOLINE_SPC</t>
        </is>
      </c>
      <c r="B2052" t="inlineStr">
        <is>
          <t>tail_2_unsaturation</t>
        </is>
      </c>
      <c r="C2052">
        <v>1</v>
      </c>
      <c r="D2052" t="inlineStr">
        <is>
          <t>double_bonds</t>
        </is>
      </c>
      <c r="E2052"/>
      <c r="F2052"/>
      <c r="G2052" t="inlineStr">
        <is>
          <t>lipid shorthand annotation</t>
        </is>
      </c>
      <c r="H2052" t="inlineStr">
        <is>
          <t>S003_AVANTI_PHASE</t>
        </is>
      </c>
      <c r="I2052" t="inlineStr">
        <is>
          <t>curated</t>
        </is>
      </c>
      <c r="J2052">
        <v>0.86</v>
      </c>
      <c r="K2052"/>
    </row>
    <row r="2053">
      <c r="A2053" t="inlineStr">
        <is>
          <t>LIP_SOY_PHOSPHATIDYLCHOLINE_SPC</t>
        </is>
      </c>
      <c r="B2053" t="inlineStr">
        <is>
          <t>number_of_tails</t>
        </is>
      </c>
      <c r="C2053">
        <v>2</v>
      </c>
      <c r="D2053" t="inlineStr">
        <is>
          <t>count</t>
        </is>
      </c>
      <c r="E2053"/>
      <c r="F2053"/>
      <c r="G2053" t="inlineStr">
        <is>
          <t>lipid shorthand annotation</t>
        </is>
      </c>
      <c r="H2053" t="inlineStr">
        <is>
          <t>S003_AVANTI_PHASE</t>
        </is>
      </c>
      <c r="I2053" t="inlineStr">
        <is>
          <t>curated</t>
        </is>
      </c>
      <c r="J2053">
        <v>0.86</v>
      </c>
      <c r="K2053"/>
    </row>
    <row r="2054">
      <c r="A2054" t="inlineStr">
        <is>
          <t>LIP_SOY_PHOSPHATIDYLCHOLINE_SPC</t>
        </is>
      </c>
      <c r="B2054" t="inlineStr">
        <is>
          <t>critical_packing_notes</t>
        </is>
      </c>
      <c r="C2054" t="inlineStr">
        <is>
          <t>bilayer-forming cylindrical lipid</t>
        </is>
      </c>
      <c r="D2054"/>
      <c r="E2054"/>
      <c r="F2054"/>
      <c r="G2054" t="inlineStr">
        <is>
          <t>CPP heuristic</t>
        </is>
      </c>
      <c r="H2054" t="inlineStr">
        <is>
          <t>S014_AULTON</t>
        </is>
      </c>
      <c r="I2054" t="inlineStr">
        <is>
          <t>curated</t>
        </is>
      </c>
      <c r="J2054">
        <v>0.65</v>
      </c>
      <c r="K2054"/>
    </row>
    <row r="2055">
      <c r="A2055" t="inlineStr">
        <is>
          <t>LIP_SOY_PHOSPHATIDYLCHOLINE_SPC</t>
        </is>
      </c>
      <c r="B2055" t="inlineStr">
        <is>
          <t>membrane_rigidity_contribution</t>
        </is>
      </c>
      <c r="C2055" t="inlineStr">
        <is>
          <t>fluidizing</t>
        </is>
      </c>
      <c r="D2055"/>
      <c r="E2055"/>
      <c r="F2055"/>
      <c r="G2055" t="inlineStr">
        <is>
          <t>Tm and unsaturation heuristic</t>
        </is>
      </c>
      <c r="H2055" t="inlineStr">
        <is>
          <t>S003_AVANTI_PHASE</t>
        </is>
      </c>
      <c r="I2055" t="inlineStr">
        <is>
          <t>curated</t>
        </is>
      </c>
      <c r="J2055">
        <v>0.65</v>
      </c>
      <c r="K2055"/>
    </row>
    <row r="2056">
      <c r="A2056" t="inlineStr">
        <is>
          <t>LIP_SOY_PHOSPHATIDYLCHOLINE_SPC</t>
        </is>
      </c>
      <c r="B2056" t="inlineStr">
        <is>
          <t>fusogenic_flag</t>
        </is>
      </c>
      <c r="C2056" t="inlineStr">
        <is>
          <t>no</t>
        </is>
      </c>
      <c r="D2056"/>
      <c r="E2056"/>
      <c r="F2056"/>
      <c r="G2056" t="inlineStr">
        <is>
          <t>role annotation</t>
        </is>
      </c>
      <c r="H2056" t="inlineStr">
        <is>
          <t>S014_AULTON</t>
        </is>
      </c>
      <c r="I2056" t="inlineStr">
        <is>
          <t>curated</t>
        </is>
      </c>
      <c r="J2056">
        <v>0.7</v>
      </c>
      <c r="K2056"/>
    </row>
    <row r="2057">
      <c r="A2057" t="inlineStr">
        <is>
          <t>LIP_SOY_PHOSPHATIDYLCHOLINE_SPC</t>
        </is>
      </c>
      <c r="B2057" t="inlineStr">
        <is>
          <t>PEGylated_flag</t>
        </is>
      </c>
      <c r="C2057" t="inlineStr">
        <is>
          <t>no</t>
        </is>
      </c>
      <c r="D2057"/>
      <c r="E2057"/>
      <c r="F2057"/>
      <c r="G2057" t="inlineStr">
        <is>
          <t>role annotation</t>
        </is>
      </c>
      <c r="H2057" t="inlineStr">
        <is>
          <t>S014_AULTON</t>
        </is>
      </c>
      <c r="I2057" t="inlineStr">
        <is>
          <t>curated</t>
        </is>
      </c>
      <c r="J2057">
        <v>0.85</v>
      </c>
      <c r="K2057"/>
    </row>
    <row r="2058">
      <c r="A2058" t="inlineStr">
        <is>
          <t>LIP_SOY_PHOSPHATIDYLCHOLINE_SPC</t>
        </is>
      </c>
      <c r="B2058" t="inlineStr">
        <is>
          <t>ionizable_flag</t>
        </is>
      </c>
      <c r="C2058" t="inlineStr">
        <is>
          <t>no</t>
        </is>
      </c>
      <c r="D2058"/>
      <c r="E2058"/>
      <c r="F2058"/>
      <c r="G2058" t="inlineStr">
        <is>
          <t>role annotation</t>
        </is>
      </c>
      <c r="H2058" t="inlineStr">
        <is>
          <t>S014_AULTON</t>
        </is>
      </c>
      <c r="I2058" t="inlineStr">
        <is>
          <t>curated</t>
        </is>
      </c>
      <c r="J2058">
        <v>0.85</v>
      </c>
      <c r="K2058"/>
    </row>
    <row r="2059">
      <c r="A2059" t="inlineStr">
        <is>
          <t>LIP_SOY_PHOSPHATIDYLCHOLINE_SPC</t>
        </is>
      </c>
      <c r="B2059" t="inlineStr">
        <is>
          <t>route_suitability</t>
        </is>
      </c>
      <c r="C2059" t="inlineStr">
        <is>
          <t>liposome/LNP; route depends on purity, grade, residual solvents/endotoxin</t>
        </is>
      </c>
      <c r="D2059"/>
      <c r="E2059"/>
      <c r="F2059"/>
      <c r="G2059" t="inlineStr">
        <is>
          <t>route precedent caution</t>
        </is>
      </c>
      <c r="H2059" t="inlineStr">
        <is>
          <t>S008_FDA_IID</t>
        </is>
      </c>
      <c r="I2059" t="inlineStr">
        <is>
          <t>curated</t>
        </is>
      </c>
      <c r="J2059">
        <v>0.55</v>
      </c>
      <c r="K2059"/>
    </row>
    <row r="2060">
      <c r="A2060" t="inlineStr">
        <is>
          <t>LIP_SOY_PHOSPHATIDYLCHOLINE_SPC</t>
        </is>
      </c>
      <c r="B2060" t="inlineStr">
        <is>
          <t>storage_notes</t>
        </is>
      </c>
      <c r="C2060" t="inlineStr">
        <is>
          <t>store cold, dry, inert gas; protect unsaturated/ionizable lipids from oxidation/hydrolysis</t>
        </is>
      </c>
      <c r="D2060"/>
      <c r="E2060"/>
      <c r="F2060"/>
      <c r="G2060" t="inlineStr">
        <is>
          <t>supplier stability convention</t>
        </is>
      </c>
      <c r="H2060" t="inlineStr">
        <is>
          <t>S003_AVANTI_PHASE</t>
        </is>
      </c>
      <c r="I2060" t="inlineStr">
        <is>
          <t>curated</t>
        </is>
      </c>
      <c r="J2060">
        <v>0.7</v>
      </c>
      <c r="K2060"/>
    </row>
    <row r="2061">
      <c r="A2061" t="inlineStr">
        <is>
          <t>LIP_SOY_PHOSPHATIDYLCHOLINE_SPC</t>
        </is>
      </c>
      <c r="B2061" t="inlineStr">
        <is>
          <t>phase_transition_temperature_C</t>
        </is>
      </c>
      <c r="C2061">
        <v>-20</v>
      </c>
      <c r="D2061" t="inlineStr">
        <is>
          <t>°C</t>
        </is>
      </c>
      <c r="E2061"/>
      <c r="F2061"/>
      <c r="G2061" t="inlineStr">
        <is>
          <t>main transition temperature, DSC/lipid supplier data</t>
        </is>
      </c>
      <c r="H2061" t="inlineStr">
        <is>
          <t>S003_AVANTI_PHASE</t>
        </is>
      </c>
      <c r="I2061" t="inlineStr">
        <is>
          <t>supplier-reported</t>
        </is>
      </c>
      <c r="J2061">
        <v>0.78</v>
      </c>
      <c r="K2061"/>
    </row>
    <row r="2062">
      <c r="A2062" t="inlineStr">
        <is>
          <t>LIP_SOY_PHOSPHATIDYLCHOLINE_SPC</t>
        </is>
      </c>
      <c r="B2062" t="inlineStr">
        <is>
          <t>Hansen_delta_D</t>
        </is>
      </c>
      <c r="C2062">
        <v>17.5</v>
      </c>
      <c r="D2062" t="inlineStr">
        <is>
          <t>MPa^0.5</t>
        </is>
      </c>
      <c r="E2062"/>
      <c r="F2062"/>
      <c r="G2062" t="inlineStr">
        <is>
          <t>heuristic group-contribution/nearest-neighbour</t>
        </is>
      </c>
      <c r="H2062" t="inlineStr">
        <is>
          <t>S013_EST_HSP_HEURISTIC</t>
        </is>
      </c>
      <c r="I2062" t="inlineStr">
        <is>
          <t>estimated</t>
        </is>
      </c>
      <c r="J2062">
        <v>0.38</v>
      </c>
      <c r="K2062" t="inlineStr">
        <is>
          <t>Provisional HSP for screening; replace with experimental/literature value before model lock.</t>
        </is>
      </c>
    </row>
    <row r="2063">
      <c r="A2063" t="inlineStr">
        <is>
          <t>LIP_SOY_PHOSPHATIDYLCHOLINE_SPC</t>
        </is>
      </c>
      <c r="B2063" t="inlineStr">
        <is>
          <t>Hansen_delta_P</t>
        </is>
      </c>
      <c r="C2063">
        <v>5.5</v>
      </c>
      <c r="D2063" t="inlineStr">
        <is>
          <t>MPa^0.5</t>
        </is>
      </c>
      <c r="E2063"/>
      <c r="F2063"/>
      <c r="G2063" t="inlineStr">
        <is>
          <t>heuristic group-contribution/nearest-neighbour</t>
        </is>
      </c>
      <c r="H2063" t="inlineStr">
        <is>
          <t>S013_EST_HSP_HEURISTIC</t>
        </is>
      </c>
      <c r="I2063" t="inlineStr">
        <is>
          <t>estimated</t>
        </is>
      </c>
      <c r="J2063">
        <v>0.38</v>
      </c>
      <c r="K2063" t="inlineStr">
        <is>
          <t>Provisional HSP for screening; replace with experimental/literature value before model lock.</t>
        </is>
      </c>
    </row>
    <row r="2064">
      <c r="A2064" t="inlineStr">
        <is>
          <t>LIP_SOY_PHOSPHATIDYLCHOLINE_SPC</t>
        </is>
      </c>
      <c r="B2064" t="inlineStr">
        <is>
          <t>Hansen_delta_H</t>
        </is>
      </c>
      <c r="C2064">
        <v>8.0</v>
      </c>
      <c r="D2064" t="inlineStr">
        <is>
          <t>MPa^0.5</t>
        </is>
      </c>
      <c r="E2064"/>
      <c r="F2064"/>
      <c r="G2064" t="inlineStr">
        <is>
          <t>heuristic group-contribution/nearest-neighbour</t>
        </is>
      </c>
      <c r="H2064" t="inlineStr">
        <is>
          <t>S013_EST_HSP_HEURISTIC</t>
        </is>
      </c>
      <c r="I2064" t="inlineStr">
        <is>
          <t>estimated</t>
        </is>
      </c>
      <c r="J2064">
        <v>0.38</v>
      </c>
      <c r="K2064" t="inlineStr">
        <is>
          <t>Provisional HSP for screening; replace with experimental/literature value before model lock.</t>
        </is>
      </c>
    </row>
    <row r="2065">
      <c r="A2065" t="inlineStr">
        <is>
          <t>LIP_SOY_PHOSPHATIDYLCHOLINE_SPC</t>
        </is>
      </c>
      <c r="B2065" t="inlineStr">
        <is>
          <t>Hildebrand_delta_T</t>
        </is>
      </c>
      <c r="C2065">
        <v>20.01</v>
      </c>
      <c r="D2065" t="inlineStr">
        <is>
          <t>MPa^0.5</t>
        </is>
      </c>
      <c r="E2065"/>
      <c r="F2065"/>
      <c r="G2065" t="inlineStr">
        <is>
          <t>sqrt(deltaD^2+deltaP^2+deltaH^2)</t>
        </is>
      </c>
      <c r="H2065" t="inlineStr">
        <is>
          <t>S012_CALCULATED</t>
        </is>
      </c>
      <c r="I2065" t="inlineStr">
        <is>
          <t>calculated</t>
        </is>
      </c>
      <c r="J2065">
        <v>0.43</v>
      </c>
      <c r="K2065" t="inlineStr">
        <is>
          <t>Derived from stored Hansen components.</t>
        </is>
      </c>
    </row>
    <row r="2066">
      <c r="A2066" t="inlineStr">
        <is>
          <t>LIP_SOY_PHOSPHATIDYLCHOLINE_SPC</t>
        </is>
      </c>
      <c r="B2066" t="inlineStr">
        <is>
          <t>HSP_radius_R0</t>
        </is>
      </c>
      <c r="C2066">
        <v>8.0</v>
      </c>
      <c r="D2066" t="inlineStr">
        <is>
          <t>MPa^0.5</t>
        </is>
      </c>
      <c r="E2066"/>
      <c r="F2066"/>
      <c r="G2066" t="inlineStr">
        <is>
          <t>literature/heuristic solubility sphere</t>
        </is>
      </c>
      <c r="H2066" t="inlineStr">
        <is>
          <t>S013_EST_HSP_HEURISTIC</t>
        </is>
      </c>
      <c r="I2066" t="inlineStr">
        <is>
          <t>estimated</t>
        </is>
      </c>
      <c r="J2066">
        <v>0.38</v>
      </c>
      <c r="K2066" t="inlineStr">
        <is>
          <t>Screening radius only unless experimentally determined.</t>
        </is>
      </c>
    </row>
    <row r="2067">
      <c r="A2067" t="inlineStr">
        <is>
          <t>LIP_SOY_PHOSPHATIDYLCHOLINE_SPC</t>
        </is>
      </c>
      <c r="B2067" t="inlineStr">
        <is>
          <t>molar_volume_cm3_mol</t>
        </is>
      </c>
      <c r="C2067">
        <v>780.0</v>
      </c>
      <c r="D2067" t="inlineStr">
        <is>
          <t>cm3/mol</t>
        </is>
      </c>
      <c r="E2067"/>
      <c r="F2067"/>
      <c r="G2067" t="inlineStr">
        <is>
          <t>MW/density estimate</t>
        </is>
      </c>
      <c r="H2067" t="inlineStr">
        <is>
          <t>S012_CALCULATED</t>
        </is>
      </c>
      <c r="I2067" t="inlineStr">
        <is>
          <t>estimated</t>
        </is>
      </c>
      <c r="J2067">
        <v>0.42</v>
      </c>
      <c r="K2067" t="inlineStr">
        <is>
          <t>Estimated from MW/density; replace with measured molar volume or density-specific grade data.</t>
        </is>
      </c>
    </row>
    <row r="2068">
      <c r="A2068" t="inlineStr">
        <is>
          <t>LIP_SOY_PHOSPHATIDYLCHOLINE_SPC</t>
        </is>
      </c>
      <c r="B2068" t="inlineStr">
        <is>
          <t>headgroup_area_nm2</t>
        </is>
      </c>
      <c r="C2068">
        <v>0.64</v>
      </c>
      <c r="D2068" t="inlineStr">
        <is>
          <t>nm2</t>
        </is>
      </c>
      <c r="E2068"/>
      <c r="F2068"/>
      <c r="G2068" t="inlineStr">
        <is>
          <t>literature/MD heuristic</t>
        </is>
      </c>
      <c r="H2068" t="inlineStr">
        <is>
          <t>S013_EST_HSP_HEURISTIC</t>
        </is>
      </c>
      <c r="I2068" t="inlineStr">
        <is>
          <t>estimated</t>
        </is>
      </c>
      <c r="J2068">
        <v>0.35</v>
      </c>
      <c r="K2068" t="inlineStr">
        <is>
          <t>Area per lipid varies with phase, temperature, cholesterol, hydration, and force field.</t>
        </is>
      </c>
    </row>
    <row r="2069">
      <c r="A2069" t="inlineStr">
        <is>
          <t>LIP_HYDROGENATED_SOY_PHOSPHATIDYLCHOLINE_HSPC</t>
        </is>
      </c>
      <c r="B2069" t="inlineStr">
        <is>
          <t>molecular_weight_g_mol</t>
        </is>
      </c>
      <c r="C2069">
        <v>790</v>
      </c>
      <c r="D2069" t="inlineStr">
        <is>
          <t>g/mol</t>
        </is>
      </c>
      <c r="E2069"/>
      <c r="F2069"/>
      <c r="G2069" t="inlineStr">
        <is>
          <t>LIPID MAPS/supplier formula or average grade MW</t>
        </is>
      </c>
      <c r="H2069" t="inlineStr">
        <is>
          <t>S004_LIPIDMAPS</t>
        </is>
      </c>
      <c r="I2069" t="inlineStr">
        <is>
          <t>database-derived</t>
        </is>
      </c>
      <c r="J2069">
        <v>0.78</v>
      </c>
      <c r="K2069"/>
    </row>
    <row r="2070">
      <c r="A2070" t="inlineStr">
        <is>
          <t>LIP_HYDROGENATED_SOY_PHOSPHATIDYLCHOLINE_HSPC</t>
        </is>
      </c>
      <c r="B2070" t="inlineStr">
        <is>
          <t>lipid_class</t>
        </is>
      </c>
      <c r="C2070" t="inlineStr">
        <is>
          <t>PC-rich mixture</t>
        </is>
      </c>
      <c r="D2070"/>
      <c r="E2070"/>
      <c r="F2070"/>
      <c r="G2070" t="inlineStr">
        <is>
          <t>lipid class annotation</t>
        </is>
      </c>
      <c r="H2070" t="inlineStr">
        <is>
          <t>S003_AVANTI_PHASE</t>
        </is>
      </c>
      <c r="I2070" t="inlineStr">
        <is>
          <t>curated</t>
        </is>
      </c>
      <c r="J2070">
        <v>0.85</v>
      </c>
      <c r="K2070"/>
    </row>
    <row r="2071">
      <c r="A2071" t="inlineStr">
        <is>
          <t>LIP_HYDROGENATED_SOY_PHOSPHATIDYLCHOLINE_HSPC</t>
        </is>
      </c>
      <c r="B2071" t="inlineStr">
        <is>
          <t>headgroup_type</t>
        </is>
      </c>
      <c r="C2071" t="inlineStr">
        <is>
          <t>PC</t>
        </is>
      </c>
      <c r="D2071"/>
      <c r="E2071"/>
      <c r="F2071"/>
      <c r="G2071" t="inlineStr">
        <is>
          <t>headgroup annotation</t>
        </is>
      </c>
      <c r="H2071" t="inlineStr">
        <is>
          <t>S003_AVANTI_PHASE</t>
        </is>
      </c>
      <c r="I2071" t="inlineStr">
        <is>
          <t>curated</t>
        </is>
      </c>
      <c r="J2071">
        <v>0.85</v>
      </c>
      <c r="K2071"/>
    </row>
    <row r="2072">
      <c r="A2072" t="inlineStr">
        <is>
          <t>LIP_HYDROGENATED_SOY_PHOSPHATIDYLCHOLINE_HSPC</t>
        </is>
      </c>
      <c r="B2072" t="inlineStr">
        <is>
          <t>charge_type</t>
        </is>
      </c>
      <c r="C2072" t="inlineStr">
        <is>
          <t>zwitterionic</t>
        </is>
      </c>
      <c r="D2072"/>
      <c r="E2072"/>
      <c r="F2072"/>
      <c r="G2072" t="inlineStr">
        <is>
          <t>nominal at pH 7.4</t>
        </is>
      </c>
      <c r="H2072" t="inlineStr">
        <is>
          <t>S003_AVANTI_PHASE</t>
        </is>
      </c>
      <c r="I2072" t="inlineStr">
        <is>
          <t>curated</t>
        </is>
      </c>
      <c r="J2072">
        <v>0.85</v>
      </c>
      <c r="K2072"/>
    </row>
    <row r="2073">
      <c r="A2073" t="inlineStr">
        <is>
          <t>LIP_HYDROGENATED_SOY_PHOSPHATIDYLCHOLINE_HSPC</t>
        </is>
      </c>
      <c r="B2073" t="inlineStr">
        <is>
          <t>formal_charge</t>
        </is>
      </c>
      <c r="C2073">
        <v>0</v>
      </c>
      <c r="D2073" t="inlineStr">
        <is>
          <t>e</t>
        </is>
      </c>
      <c r="E2073"/>
      <c r="F2073"/>
      <c r="G2073" t="inlineStr">
        <is>
          <t>nominal at pH 7.4</t>
        </is>
      </c>
      <c r="H2073" t="inlineStr">
        <is>
          <t>S003_AVANTI_PHASE</t>
        </is>
      </c>
      <c r="I2073" t="inlineStr">
        <is>
          <t>curated</t>
        </is>
      </c>
      <c r="J2073">
        <v>0.85</v>
      </c>
      <c r="K2073"/>
    </row>
    <row r="2074">
      <c r="A2074" t="inlineStr">
        <is>
          <t>LIP_HYDROGENATED_SOY_PHOSPHATIDYLCHOLINE_HSPC</t>
        </is>
      </c>
      <c r="B2074" t="inlineStr">
        <is>
          <t>tail_1_carbons</t>
        </is>
      </c>
      <c r="C2074">
        <v>16</v>
      </c>
      <c r="D2074" t="inlineStr">
        <is>
          <t>count</t>
        </is>
      </c>
      <c r="E2074"/>
      <c r="F2074"/>
      <c r="G2074" t="inlineStr">
        <is>
          <t>lipid shorthand annotation</t>
        </is>
      </c>
      <c r="H2074" t="inlineStr">
        <is>
          <t>S003_AVANTI_PHASE</t>
        </is>
      </c>
      <c r="I2074" t="inlineStr">
        <is>
          <t>curated</t>
        </is>
      </c>
      <c r="J2074">
        <v>0.86</v>
      </c>
      <c r="K2074"/>
    </row>
    <row r="2075">
      <c r="A2075" t="inlineStr">
        <is>
          <t>LIP_HYDROGENATED_SOY_PHOSPHATIDYLCHOLINE_HSPC</t>
        </is>
      </c>
      <c r="B2075" t="inlineStr">
        <is>
          <t>tail_1_unsaturation</t>
        </is>
      </c>
      <c r="C2075">
        <v>0</v>
      </c>
      <c r="D2075" t="inlineStr">
        <is>
          <t>double_bonds</t>
        </is>
      </c>
      <c r="E2075"/>
      <c r="F2075"/>
      <c r="G2075" t="inlineStr">
        <is>
          <t>lipid shorthand annotation</t>
        </is>
      </c>
      <c r="H2075" t="inlineStr">
        <is>
          <t>S003_AVANTI_PHASE</t>
        </is>
      </c>
      <c r="I2075" t="inlineStr">
        <is>
          <t>curated</t>
        </is>
      </c>
      <c r="J2075">
        <v>0.86</v>
      </c>
      <c r="K2075"/>
    </row>
    <row r="2076">
      <c r="A2076" t="inlineStr">
        <is>
          <t>LIP_HYDROGENATED_SOY_PHOSPHATIDYLCHOLINE_HSPC</t>
        </is>
      </c>
      <c r="B2076" t="inlineStr">
        <is>
          <t>tail_2_carbons</t>
        </is>
      </c>
      <c r="C2076">
        <v>18</v>
      </c>
      <c r="D2076" t="inlineStr">
        <is>
          <t>count</t>
        </is>
      </c>
      <c r="E2076"/>
      <c r="F2076"/>
      <c r="G2076" t="inlineStr">
        <is>
          <t>lipid shorthand annotation</t>
        </is>
      </c>
      <c r="H2076" t="inlineStr">
        <is>
          <t>S003_AVANTI_PHASE</t>
        </is>
      </c>
      <c r="I2076" t="inlineStr">
        <is>
          <t>curated</t>
        </is>
      </c>
      <c r="J2076">
        <v>0.86</v>
      </c>
      <c r="K2076"/>
    </row>
    <row r="2077">
      <c r="A2077" t="inlineStr">
        <is>
          <t>LIP_HYDROGENATED_SOY_PHOSPHATIDYLCHOLINE_HSPC</t>
        </is>
      </c>
      <c r="B2077" t="inlineStr">
        <is>
          <t>tail_2_unsaturation</t>
        </is>
      </c>
      <c r="C2077">
        <v>1</v>
      </c>
      <c r="D2077" t="inlineStr">
        <is>
          <t>double_bonds</t>
        </is>
      </c>
      <c r="E2077"/>
      <c r="F2077"/>
      <c r="G2077" t="inlineStr">
        <is>
          <t>lipid shorthand annotation</t>
        </is>
      </c>
      <c r="H2077" t="inlineStr">
        <is>
          <t>S003_AVANTI_PHASE</t>
        </is>
      </c>
      <c r="I2077" t="inlineStr">
        <is>
          <t>curated</t>
        </is>
      </c>
      <c r="J2077">
        <v>0.86</v>
      </c>
      <c r="K2077"/>
    </row>
    <row r="2078">
      <c r="A2078" t="inlineStr">
        <is>
          <t>LIP_HYDROGENATED_SOY_PHOSPHATIDYLCHOLINE_HSPC</t>
        </is>
      </c>
      <c r="B2078" t="inlineStr">
        <is>
          <t>number_of_tails</t>
        </is>
      </c>
      <c r="C2078">
        <v>2</v>
      </c>
      <c r="D2078" t="inlineStr">
        <is>
          <t>count</t>
        </is>
      </c>
      <c r="E2078"/>
      <c r="F2078"/>
      <c r="G2078" t="inlineStr">
        <is>
          <t>lipid shorthand annotation</t>
        </is>
      </c>
      <c r="H2078" t="inlineStr">
        <is>
          <t>S003_AVANTI_PHASE</t>
        </is>
      </c>
      <c r="I2078" t="inlineStr">
        <is>
          <t>curated</t>
        </is>
      </c>
      <c r="J2078">
        <v>0.86</v>
      </c>
      <c r="K2078"/>
    </row>
    <row r="2079">
      <c r="A2079" t="inlineStr">
        <is>
          <t>LIP_HYDROGENATED_SOY_PHOSPHATIDYLCHOLINE_HSPC</t>
        </is>
      </c>
      <c r="B2079" t="inlineStr">
        <is>
          <t>critical_packing_notes</t>
        </is>
      </c>
      <c r="C2079" t="inlineStr">
        <is>
          <t>bilayer-forming cylindrical lipid</t>
        </is>
      </c>
      <c r="D2079"/>
      <c r="E2079"/>
      <c r="F2079"/>
      <c r="G2079" t="inlineStr">
        <is>
          <t>CPP heuristic</t>
        </is>
      </c>
      <c r="H2079" t="inlineStr">
        <is>
          <t>S014_AULTON</t>
        </is>
      </c>
      <c r="I2079" t="inlineStr">
        <is>
          <t>curated</t>
        </is>
      </c>
      <c r="J2079">
        <v>0.65</v>
      </c>
      <c r="K2079"/>
    </row>
    <row r="2080">
      <c r="A2080" t="inlineStr">
        <is>
          <t>LIP_HYDROGENATED_SOY_PHOSPHATIDYLCHOLINE_HSPC</t>
        </is>
      </c>
      <c r="B2080" t="inlineStr">
        <is>
          <t>membrane_rigidity_contribution</t>
        </is>
      </c>
      <c r="C2080" t="inlineStr">
        <is>
          <t>fluidizing</t>
        </is>
      </c>
      <c r="D2080"/>
      <c r="E2080"/>
      <c r="F2080"/>
      <c r="G2080" t="inlineStr">
        <is>
          <t>Tm and unsaturation heuristic</t>
        </is>
      </c>
      <c r="H2080" t="inlineStr">
        <is>
          <t>S003_AVANTI_PHASE</t>
        </is>
      </c>
      <c r="I2080" t="inlineStr">
        <is>
          <t>curated</t>
        </is>
      </c>
      <c r="J2080">
        <v>0.65</v>
      </c>
      <c r="K2080"/>
    </row>
    <row r="2081">
      <c r="A2081" t="inlineStr">
        <is>
          <t>LIP_HYDROGENATED_SOY_PHOSPHATIDYLCHOLINE_HSPC</t>
        </is>
      </c>
      <c r="B2081" t="inlineStr">
        <is>
          <t>fusogenic_flag</t>
        </is>
      </c>
      <c r="C2081" t="inlineStr">
        <is>
          <t>no</t>
        </is>
      </c>
      <c r="D2081"/>
      <c r="E2081"/>
      <c r="F2081"/>
      <c r="G2081" t="inlineStr">
        <is>
          <t>role annotation</t>
        </is>
      </c>
      <c r="H2081" t="inlineStr">
        <is>
          <t>S014_AULTON</t>
        </is>
      </c>
      <c r="I2081" t="inlineStr">
        <is>
          <t>curated</t>
        </is>
      </c>
      <c r="J2081">
        <v>0.7</v>
      </c>
      <c r="K2081"/>
    </row>
    <row r="2082">
      <c r="A2082" t="inlineStr">
        <is>
          <t>LIP_HYDROGENATED_SOY_PHOSPHATIDYLCHOLINE_HSPC</t>
        </is>
      </c>
      <c r="B2082" t="inlineStr">
        <is>
          <t>PEGylated_flag</t>
        </is>
      </c>
      <c r="C2082" t="inlineStr">
        <is>
          <t>no</t>
        </is>
      </c>
      <c r="D2082"/>
      <c r="E2082"/>
      <c r="F2082"/>
      <c r="G2082" t="inlineStr">
        <is>
          <t>role annotation</t>
        </is>
      </c>
      <c r="H2082" t="inlineStr">
        <is>
          <t>S014_AULTON</t>
        </is>
      </c>
      <c r="I2082" t="inlineStr">
        <is>
          <t>curated</t>
        </is>
      </c>
      <c r="J2082">
        <v>0.85</v>
      </c>
      <c r="K2082"/>
    </row>
    <row r="2083">
      <c r="A2083" t="inlineStr">
        <is>
          <t>LIP_HYDROGENATED_SOY_PHOSPHATIDYLCHOLINE_HSPC</t>
        </is>
      </c>
      <c r="B2083" t="inlineStr">
        <is>
          <t>ionizable_flag</t>
        </is>
      </c>
      <c r="C2083" t="inlineStr">
        <is>
          <t>no</t>
        </is>
      </c>
      <c r="D2083"/>
      <c r="E2083"/>
      <c r="F2083"/>
      <c r="G2083" t="inlineStr">
        <is>
          <t>role annotation</t>
        </is>
      </c>
      <c r="H2083" t="inlineStr">
        <is>
          <t>S014_AULTON</t>
        </is>
      </c>
      <c r="I2083" t="inlineStr">
        <is>
          <t>curated</t>
        </is>
      </c>
      <c r="J2083">
        <v>0.85</v>
      </c>
      <c r="K2083"/>
    </row>
    <row r="2084">
      <c r="A2084" t="inlineStr">
        <is>
          <t>LIP_HYDROGENATED_SOY_PHOSPHATIDYLCHOLINE_HSPC</t>
        </is>
      </c>
      <c r="B2084" t="inlineStr">
        <is>
          <t>route_suitability</t>
        </is>
      </c>
      <c r="C2084" t="inlineStr">
        <is>
          <t>liposome/LNP; route depends on purity, grade, residual solvents/endotoxin</t>
        </is>
      </c>
      <c r="D2084"/>
      <c r="E2084"/>
      <c r="F2084"/>
      <c r="G2084" t="inlineStr">
        <is>
          <t>route precedent caution</t>
        </is>
      </c>
      <c r="H2084" t="inlineStr">
        <is>
          <t>S008_FDA_IID</t>
        </is>
      </c>
      <c r="I2084" t="inlineStr">
        <is>
          <t>curated</t>
        </is>
      </c>
      <c r="J2084">
        <v>0.55</v>
      </c>
      <c r="K2084"/>
    </row>
    <row r="2085">
      <c r="A2085" t="inlineStr">
        <is>
          <t>LIP_HYDROGENATED_SOY_PHOSPHATIDYLCHOLINE_HSPC</t>
        </is>
      </c>
      <c r="B2085" t="inlineStr">
        <is>
          <t>storage_notes</t>
        </is>
      </c>
      <c r="C2085" t="inlineStr">
        <is>
          <t>store cold, dry, inert gas; protect unsaturated/ionizable lipids from oxidation/hydrolysis</t>
        </is>
      </c>
      <c r="D2085"/>
      <c r="E2085"/>
      <c r="F2085"/>
      <c r="G2085" t="inlineStr">
        <is>
          <t>supplier stability convention</t>
        </is>
      </c>
      <c r="H2085" t="inlineStr">
        <is>
          <t>S003_AVANTI_PHASE</t>
        </is>
      </c>
      <c r="I2085" t="inlineStr">
        <is>
          <t>curated</t>
        </is>
      </c>
      <c r="J2085">
        <v>0.7</v>
      </c>
      <c r="K2085"/>
    </row>
    <row r="2086">
      <c r="A2086" t="inlineStr">
        <is>
          <t>LIP_HYDROGENATED_SOY_PHOSPHATIDYLCHOLINE_HSPC</t>
        </is>
      </c>
      <c r="B2086" t="inlineStr">
        <is>
          <t>phase_transition_temperature_C</t>
        </is>
      </c>
      <c r="C2086">
        <v>52</v>
      </c>
      <c r="D2086" t="inlineStr">
        <is>
          <t>°C</t>
        </is>
      </c>
      <c r="E2086"/>
      <c r="F2086"/>
      <c r="G2086" t="inlineStr">
        <is>
          <t>main transition temperature, DSC/lipid supplier data</t>
        </is>
      </c>
      <c r="H2086" t="inlineStr">
        <is>
          <t>S003_AVANTI_PHASE</t>
        </is>
      </c>
      <c r="I2086" t="inlineStr">
        <is>
          <t>supplier-reported</t>
        </is>
      </c>
      <c r="J2086">
        <v>0.78</v>
      </c>
      <c r="K2086"/>
    </row>
    <row r="2087">
      <c r="A2087" t="inlineStr">
        <is>
          <t>LIP_HYDROGENATED_SOY_PHOSPHATIDYLCHOLINE_HSPC</t>
        </is>
      </c>
      <c r="B2087" t="inlineStr">
        <is>
          <t>Hansen_delta_D</t>
        </is>
      </c>
      <c r="C2087">
        <v>17.5</v>
      </c>
      <c r="D2087" t="inlineStr">
        <is>
          <t>MPa^0.5</t>
        </is>
      </c>
      <c r="E2087"/>
      <c r="F2087"/>
      <c r="G2087" t="inlineStr">
        <is>
          <t>heuristic group-contribution/nearest-neighbour</t>
        </is>
      </c>
      <c r="H2087" t="inlineStr">
        <is>
          <t>S013_EST_HSP_HEURISTIC</t>
        </is>
      </c>
      <c r="I2087" t="inlineStr">
        <is>
          <t>estimated</t>
        </is>
      </c>
      <c r="J2087">
        <v>0.38</v>
      </c>
      <c r="K2087" t="inlineStr">
        <is>
          <t>Provisional HSP for screening; replace with experimental/literature value before model lock.</t>
        </is>
      </c>
    </row>
    <row r="2088">
      <c r="A2088" t="inlineStr">
        <is>
          <t>LIP_HYDROGENATED_SOY_PHOSPHATIDYLCHOLINE_HSPC</t>
        </is>
      </c>
      <c r="B2088" t="inlineStr">
        <is>
          <t>Hansen_delta_P</t>
        </is>
      </c>
      <c r="C2088">
        <v>5.5</v>
      </c>
      <c r="D2088" t="inlineStr">
        <is>
          <t>MPa^0.5</t>
        </is>
      </c>
      <c r="E2088"/>
      <c r="F2088"/>
      <c r="G2088" t="inlineStr">
        <is>
          <t>heuristic group-contribution/nearest-neighbour</t>
        </is>
      </c>
      <c r="H2088" t="inlineStr">
        <is>
          <t>S013_EST_HSP_HEURISTIC</t>
        </is>
      </c>
      <c r="I2088" t="inlineStr">
        <is>
          <t>estimated</t>
        </is>
      </c>
      <c r="J2088">
        <v>0.38</v>
      </c>
      <c r="K2088" t="inlineStr">
        <is>
          <t>Provisional HSP for screening; replace with experimental/literature value before model lock.</t>
        </is>
      </c>
    </row>
    <row r="2089">
      <c r="A2089" t="inlineStr">
        <is>
          <t>LIP_HYDROGENATED_SOY_PHOSPHATIDYLCHOLINE_HSPC</t>
        </is>
      </c>
      <c r="B2089" t="inlineStr">
        <is>
          <t>Hansen_delta_H</t>
        </is>
      </c>
      <c r="C2089">
        <v>8.0</v>
      </c>
      <c r="D2089" t="inlineStr">
        <is>
          <t>MPa^0.5</t>
        </is>
      </c>
      <c r="E2089"/>
      <c r="F2089"/>
      <c r="G2089" t="inlineStr">
        <is>
          <t>heuristic group-contribution/nearest-neighbour</t>
        </is>
      </c>
      <c r="H2089" t="inlineStr">
        <is>
          <t>S013_EST_HSP_HEURISTIC</t>
        </is>
      </c>
      <c r="I2089" t="inlineStr">
        <is>
          <t>estimated</t>
        </is>
      </c>
      <c r="J2089">
        <v>0.38</v>
      </c>
      <c r="K2089" t="inlineStr">
        <is>
          <t>Provisional HSP for screening; replace with experimental/literature value before model lock.</t>
        </is>
      </c>
    </row>
    <row r="2090">
      <c r="A2090" t="inlineStr">
        <is>
          <t>LIP_HYDROGENATED_SOY_PHOSPHATIDYLCHOLINE_HSPC</t>
        </is>
      </c>
      <c r="B2090" t="inlineStr">
        <is>
          <t>Hildebrand_delta_T</t>
        </is>
      </c>
      <c r="C2090">
        <v>20.01</v>
      </c>
      <c r="D2090" t="inlineStr">
        <is>
          <t>MPa^0.5</t>
        </is>
      </c>
      <c r="E2090"/>
      <c r="F2090"/>
      <c r="G2090" t="inlineStr">
        <is>
          <t>sqrt(deltaD^2+deltaP^2+deltaH^2)</t>
        </is>
      </c>
      <c r="H2090" t="inlineStr">
        <is>
          <t>S012_CALCULATED</t>
        </is>
      </c>
      <c r="I2090" t="inlineStr">
        <is>
          <t>calculated</t>
        </is>
      </c>
      <c r="J2090">
        <v>0.43</v>
      </c>
      <c r="K2090" t="inlineStr">
        <is>
          <t>Derived from stored Hansen components.</t>
        </is>
      </c>
    </row>
    <row r="2091">
      <c r="A2091" t="inlineStr">
        <is>
          <t>LIP_HYDROGENATED_SOY_PHOSPHATIDYLCHOLINE_HSPC</t>
        </is>
      </c>
      <c r="B2091" t="inlineStr">
        <is>
          <t>HSP_radius_R0</t>
        </is>
      </c>
      <c r="C2091">
        <v>8.0</v>
      </c>
      <c r="D2091" t="inlineStr">
        <is>
          <t>MPa^0.5</t>
        </is>
      </c>
      <c r="E2091"/>
      <c r="F2091"/>
      <c r="G2091" t="inlineStr">
        <is>
          <t>literature/heuristic solubility sphere</t>
        </is>
      </c>
      <c r="H2091" t="inlineStr">
        <is>
          <t>S013_EST_HSP_HEURISTIC</t>
        </is>
      </c>
      <c r="I2091" t="inlineStr">
        <is>
          <t>estimated</t>
        </is>
      </c>
      <c r="J2091">
        <v>0.38</v>
      </c>
      <c r="K2091" t="inlineStr">
        <is>
          <t>Screening radius only unless experimentally determined.</t>
        </is>
      </c>
    </row>
    <row r="2092">
      <c r="A2092" t="inlineStr">
        <is>
          <t>LIP_HYDROGENATED_SOY_PHOSPHATIDYLCHOLINE_HSPC</t>
        </is>
      </c>
      <c r="B2092" t="inlineStr">
        <is>
          <t>molar_volume_cm3_mol</t>
        </is>
      </c>
      <c r="C2092">
        <v>790.0</v>
      </c>
      <c r="D2092" t="inlineStr">
        <is>
          <t>cm3/mol</t>
        </is>
      </c>
      <c r="E2092"/>
      <c r="F2092"/>
      <c r="G2092" t="inlineStr">
        <is>
          <t>MW/density estimate</t>
        </is>
      </c>
      <c r="H2092" t="inlineStr">
        <is>
          <t>S012_CALCULATED</t>
        </is>
      </c>
      <c r="I2092" t="inlineStr">
        <is>
          <t>estimated</t>
        </is>
      </c>
      <c r="J2092">
        <v>0.42</v>
      </c>
      <c r="K2092" t="inlineStr">
        <is>
          <t>Estimated from MW/density; replace with measured molar volume or density-specific grade data.</t>
        </is>
      </c>
    </row>
    <row r="2093">
      <c r="A2093" t="inlineStr">
        <is>
          <t>LIP_HYDROGENATED_SOY_PHOSPHATIDYLCHOLINE_HSPC</t>
        </is>
      </c>
      <c r="B2093" t="inlineStr">
        <is>
          <t>headgroup_area_nm2</t>
        </is>
      </c>
      <c r="C2093">
        <v>0.64</v>
      </c>
      <c r="D2093" t="inlineStr">
        <is>
          <t>nm2</t>
        </is>
      </c>
      <c r="E2093"/>
      <c r="F2093"/>
      <c r="G2093" t="inlineStr">
        <is>
          <t>literature/MD heuristic</t>
        </is>
      </c>
      <c r="H2093" t="inlineStr">
        <is>
          <t>S013_EST_HSP_HEURISTIC</t>
        </is>
      </c>
      <c r="I2093" t="inlineStr">
        <is>
          <t>estimated</t>
        </is>
      </c>
      <c r="J2093">
        <v>0.35</v>
      </c>
      <c r="K2093" t="inlineStr">
        <is>
          <t>Area per lipid varies with phase, temperature, cholesterol, hydration, and force field.</t>
        </is>
      </c>
    </row>
    <row r="2094">
      <c r="A2094" t="inlineStr">
        <is>
          <t>LIP_DLPC</t>
        </is>
      </c>
      <c r="B2094" t="inlineStr">
        <is>
          <t>molecular_weight_g_mol</t>
        </is>
      </c>
      <c r="C2094">
        <v>621.8</v>
      </c>
      <c r="D2094" t="inlineStr">
        <is>
          <t>g/mol</t>
        </is>
      </c>
      <c r="E2094"/>
      <c r="F2094"/>
      <c r="G2094" t="inlineStr">
        <is>
          <t>LIPID MAPS/supplier formula or average grade MW</t>
        </is>
      </c>
      <c r="H2094" t="inlineStr">
        <is>
          <t>S004_LIPIDMAPS</t>
        </is>
      </c>
      <c r="I2094" t="inlineStr">
        <is>
          <t>database-derived</t>
        </is>
      </c>
      <c r="J2094">
        <v>0.78</v>
      </c>
      <c r="K2094"/>
    </row>
    <row r="2095">
      <c r="A2095" t="inlineStr">
        <is>
          <t>LIP_DLPC</t>
        </is>
      </c>
      <c r="B2095" t="inlineStr">
        <is>
          <t>lipid_class</t>
        </is>
      </c>
      <c r="C2095" t="inlineStr">
        <is>
          <t>PC</t>
        </is>
      </c>
      <c r="D2095"/>
      <c r="E2095"/>
      <c r="F2095"/>
      <c r="G2095" t="inlineStr">
        <is>
          <t>lipid class annotation</t>
        </is>
      </c>
      <c r="H2095" t="inlineStr">
        <is>
          <t>S003_AVANTI_PHASE</t>
        </is>
      </c>
      <c r="I2095" t="inlineStr">
        <is>
          <t>curated</t>
        </is>
      </c>
      <c r="J2095">
        <v>0.85</v>
      </c>
      <c r="K2095"/>
    </row>
    <row r="2096">
      <c r="A2096" t="inlineStr">
        <is>
          <t>LIP_DLPC</t>
        </is>
      </c>
      <c r="B2096" t="inlineStr">
        <is>
          <t>headgroup_type</t>
        </is>
      </c>
      <c r="C2096" t="inlineStr">
        <is>
          <t>PC</t>
        </is>
      </c>
      <c r="D2096"/>
      <c r="E2096"/>
      <c r="F2096"/>
      <c r="G2096" t="inlineStr">
        <is>
          <t>headgroup annotation</t>
        </is>
      </c>
      <c r="H2096" t="inlineStr">
        <is>
          <t>S003_AVANTI_PHASE</t>
        </is>
      </c>
      <c r="I2096" t="inlineStr">
        <is>
          <t>curated</t>
        </is>
      </c>
      <c r="J2096">
        <v>0.85</v>
      </c>
      <c r="K2096"/>
    </row>
    <row r="2097">
      <c r="A2097" t="inlineStr">
        <is>
          <t>LIP_DLPC</t>
        </is>
      </c>
      <c r="B2097" t="inlineStr">
        <is>
          <t>charge_type</t>
        </is>
      </c>
      <c r="C2097" t="inlineStr">
        <is>
          <t>zwitterionic</t>
        </is>
      </c>
      <c r="D2097"/>
      <c r="E2097"/>
      <c r="F2097"/>
      <c r="G2097" t="inlineStr">
        <is>
          <t>nominal at pH 7.4</t>
        </is>
      </c>
      <c r="H2097" t="inlineStr">
        <is>
          <t>S003_AVANTI_PHASE</t>
        </is>
      </c>
      <c r="I2097" t="inlineStr">
        <is>
          <t>curated</t>
        </is>
      </c>
      <c r="J2097">
        <v>0.85</v>
      </c>
      <c r="K2097"/>
    </row>
    <row r="2098">
      <c r="A2098" t="inlineStr">
        <is>
          <t>LIP_DLPC</t>
        </is>
      </c>
      <c r="B2098" t="inlineStr">
        <is>
          <t>formal_charge</t>
        </is>
      </c>
      <c r="C2098">
        <v>0</v>
      </c>
      <c r="D2098" t="inlineStr">
        <is>
          <t>e</t>
        </is>
      </c>
      <c r="E2098"/>
      <c r="F2098"/>
      <c r="G2098" t="inlineStr">
        <is>
          <t>nominal at pH 7.4</t>
        </is>
      </c>
      <c r="H2098" t="inlineStr">
        <is>
          <t>S003_AVANTI_PHASE</t>
        </is>
      </c>
      <c r="I2098" t="inlineStr">
        <is>
          <t>curated</t>
        </is>
      </c>
      <c r="J2098">
        <v>0.85</v>
      </c>
      <c r="K2098"/>
    </row>
    <row r="2099">
      <c r="A2099" t="inlineStr">
        <is>
          <t>LIP_DLPC</t>
        </is>
      </c>
      <c r="B2099" t="inlineStr">
        <is>
          <t>tail_1_carbons</t>
        </is>
      </c>
      <c r="C2099">
        <v>12</v>
      </c>
      <c r="D2099" t="inlineStr">
        <is>
          <t>count</t>
        </is>
      </c>
      <c r="E2099"/>
      <c r="F2099"/>
      <c r="G2099" t="inlineStr">
        <is>
          <t>lipid shorthand annotation</t>
        </is>
      </c>
      <c r="H2099" t="inlineStr">
        <is>
          <t>S003_AVANTI_PHASE</t>
        </is>
      </c>
      <c r="I2099" t="inlineStr">
        <is>
          <t>curated</t>
        </is>
      </c>
      <c r="J2099">
        <v>0.86</v>
      </c>
      <c r="K2099"/>
    </row>
    <row r="2100">
      <c r="A2100" t="inlineStr">
        <is>
          <t>LIP_DLPC</t>
        </is>
      </c>
      <c r="B2100" t="inlineStr">
        <is>
          <t>tail_1_unsaturation</t>
        </is>
      </c>
      <c r="C2100">
        <v>0</v>
      </c>
      <c r="D2100" t="inlineStr">
        <is>
          <t>double_bonds</t>
        </is>
      </c>
      <c r="E2100"/>
      <c r="F2100"/>
      <c r="G2100" t="inlineStr">
        <is>
          <t>lipid shorthand annotation</t>
        </is>
      </c>
      <c r="H2100" t="inlineStr">
        <is>
          <t>S003_AVANTI_PHASE</t>
        </is>
      </c>
      <c r="I2100" t="inlineStr">
        <is>
          <t>curated</t>
        </is>
      </c>
      <c r="J2100">
        <v>0.86</v>
      </c>
      <c r="K2100"/>
    </row>
    <row r="2101">
      <c r="A2101" t="inlineStr">
        <is>
          <t>LIP_DLPC</t>
        </is>
      </c>
      <c r="B2101" t="inlineStr">
        <is>
          <t>tail_2_carbons</t>
        </is>
      </c>
      <c r="C2101">
        <v>12</v>
      </c>
      <c r="D2101" t="inlineStr">
        <is>
          <t>count</t>
        </is>
      </c>
      <c r="E2101"/>
      <c r="F2101"/>
      <c r="G2101" t="inlineStr">
        <is>
          <t>lipid shorthand annotation</t>
        </is>
      </c>
      <c r="H2101" t="inlineStr">
        <is>
          <t>S003_AVANTI_PHASE</t>
        </is>
      </c>
      <c r="I2101" t="inlineStr">
        <is>
          <t>curated</t>
        </is>
      </c>
      <c r="J2101">
        <v>0.86</v>
      </c>
      <c r="K2101"/>
    </row>
    <row r="2102">
      <c r="A2102" t="inlineStr">
        <is>
          <t>LIP_DLPC</t>
        </is>
      </c>
      <c r="B2102" t="inlineStr">
        <is>
          <t>tail_2_unsaturation</t>
        </is>
      </c>
      <c r="C2102">
        <v>0</v>
      </c>
      <c r="D2102" t="inlineStr">
        <is>
          <t>double_bonds</t>
        </is>
      </c>
      <c r="E2102"/>
      <c r="F2102"/>
      <c r="G2102" t="inlineStr">
        <is>
          <t>lipid shorthand annotation</t>
        </is>
      </c>
      <c r="H2102" t="inlineStr">
        <is>
          <t>S003_AVANTI_PHASE</t>
        </is>
      </c>
      <c r="I2102" t="inlineStr">
        <is>
          <t>curated</t>
        </is>
      </c>
      <c r="J2102">
        <v>0.86</v>
      </c>
      <c r="K2102"/>
    </row>
    <row r="2103">
      <c r="A2103" t="inlineStr">
        <is>
          <t>LIP_DLPC</t>
        </is>
      </c>
      <c r="B2103" t="inlineStr">
        <is>
          <t>number_of_tails</t>
        </is>
      </c>
      <c r="C2103">
        <v>2</v>
      </c>
      <c r="D2103" t="inlineStr">
        <is>
          <t>count</t>
        </is>
      </c>
      <c r="E2103"/>
      <c r="F2103"/>
      <c r="G2103" t="inlineStr">
        <is>
          <t>lipid shorthand annotation</t>
        </is>
      </c>
      <c r="H2103" t="inlineStr">
        <is>
          <t>S003_AVANTI_PHASE</t>
        </is>
      </c>
      <c r="I2103" t="inlineStr">
        <is>
          <t>curated</t>
        </is>
      </c>
      <c r="J2103">
        <v>0.86</v>
      </c>
      <c r="K2103"/>
    </row>
    <row r="2104">
      <c r="A2104" t="inlineStr">
        <is>
          <t>LIP_DLPC</t>
        </is>
      </c>
      <c r="B2104" t="inlineStr">
        <is>
          <t>critical_packing_notes</t>
        </is>
      </c>
      <c r="C2104" t="inlineStr">
        <is>
          <t>bilayer-forming cylindrical lipid</t>
        </is>
      </c>
      <c r="D2104"/>
      <c r="E2104"/>
      <c r="F2104"/>
      <c r="G2104" t="inlineStr">
        <is>
          <t>CPP heuristic</t>
        </is>
      </c>
      <c r="H2104" t="inlineStr">
        <is>
          <t>S014_AULTON</t>
        </is>
      </c>
      <c r="I2104" t="inlineStr">
        <is>
          <t>curated</t>
        </is>
      </c>
      <c r="J2104">
        <v>0.65</v>
      </c>
      <c r="K2104"/>
    </row>
    <row r="2105">
      <c r="A2105" t="inlineStr">
        <is>
          <t>LIP_DLPC</t>
        </is>
      </c>
      <c r="B2105" t="inlineStr">
        <is>
          <t>membrane_rigidity_contribution</t>
        </is>
      </c>
      <c r="C2105" t="inlineStr">
        <is>
          <t>moderate</t>
        </is>
      </c>
      <c r="D2105"/>
      <c r="E2105"/>
      <c r="F2105"/>
      <c r="G2105" t="inlineStr">
        <is>
          <t>Tm and unsaturation heuristic</t>
        </is>
      </c>
      <c r="H2105" t="inlineStr">
        <is>
          <t>S003_AVANTI_PHASE</t>
        </is>
      </c>
      <c r="I2105" t="inlineStr">
        <is>
          <t>curated</t>
        </is>
      </c>
      <c r="J2105">
        <v>0.65</v>
      </c>
      <c r="K2105"/>
    </row>
    <row r="2106">
      <c r="A2106" t="inlineStr">
        <is>
          <t>LIP_DLPC</t>
        </is>
      </c>
      <c r="B2106" t="inlineStr">
        <is>
          <t>fusogenic_flag</t>
        </is>
      </c>
      <c r="C2106" t="inlineStr">
        <is>
          <t>no</t>
        </is>
      </c>
      <c r="D2106"/>
      <c r="E2106"/>
      <c r="F2106"/>
      <c r="G2106" t="inlineStr">
        <is>
          <t>role annotation</t>
        </is>
      </c>
      <c r="H2106" t="inlineStr">
        <is>
          <t>S014_AULTON</t>
        </is>
      </c>
      <c r="I2106" t="inlineStr">
        <is>
          <t>curated</t>
        </is>
      </c>
      <c r="J2106">
        <v>0.7</v>
      </c>
      <c r="K2106"/>
    </row>
    <row r="2107">
      <c r="A2107" t="inlineStr">
        <is>
          <t>LIP_DLPC</t>
        </is>
      </c>
      <c r="B2107" t="inlineStr">
        <is>
          <t>PEGylated_flag</t>
        </is>
      </c>
      <c r="C2107" t="inlineStr">
        <is>
          <t>no</t>
        </is>
      </c>
      <c r="D2107"/>
      <c r="E2107"/>
      <c r="F2107"/>
      <c r="G2107" t="inlineStr">
        <is>
          <t>role annotation</t>
        </is>
      </c>
      <c r="H2107" t="inlineStr">
        <is>
          <t>S014_AULTON</t>
        </is>
      </c>
      <c r="I2107" t="inlineStr">
        <is>
          <t>curated</t>
        </is>
      </c>
      <c r="J2107">
        <v>0.85</v>
      </c>
      <c r="K2107"/>
    </row>
    <row r="2108">
      <c r="A2108" t="inlineStr">
        <is>
          <t>LIP_DLPC</t>
        </is>
      </c>
      <c r="B2108" t="inlineStr">
        <is>
          <t>ionizable_flag</t>
        </is>
      </c>
      <c r="C2108" t="inlineStr">
        <is>
          <t>no</t>
        </is>
      </c>
      <c r="D2108"/>
      <c r="E2108"/>
      <c r="F2108"/>
      <c r="G2108" t="inlineStr">
        <is>
          <t>role annotation</t>
        </is>
      </c>
      <c r="H2108" t="inlineStr">
        <is>
          <t>S014_AULTON</t>
        </is>
      </c>
      <c r="I2108" t="inlineStr">
        <is>
          <t>curated</t>
        </is>
      </c>
      <c r="J2108">
        <v>0.85</v>
      </c>
      <c r="K2108"/>
    </row>
    <row r="2109">
      <c r="A2109" t="inlineStr">
        <is>
          <t>LIP_DLPC</t>
        </is>
      </c>
      <c r="B2109" t="inlineStr">
        <is>
          <t>route_suitability</t>
        </is>
      </c>
      <c r="C2109" t="inlineStr">
        <is>
          <t>liposome/LNP; route depends on purity, grade, residual solvents/endotoxin</t>
        </is>
      </c>
      <c r="D2109"/>
      <c r="E2109"/>
      <c r="F2109"/>
      <c r="G2109" t="inlineStr">
        <is>
          <t>route precedent caution</t>
        </is>
      </c>
      <c r="H2109" t="inlineStr">
        <is>
          <t>S008_FDA_IID</t>
        </is>
      </c>
      <c r="I2109" t="inlineStr">
        <is>
          <t>curated</t>
        </is>
      </c>
      <c r="J2109">
        <v>0.55</v>
      </c>
      <c r="K2109"/>
    </row>
    <row r="2110">
      <c r="A2110" t="inlineStr">
        <is>
          <t>LIP_DLPC</t>
        </is>
      </c>
      <c r="B2110" t="inlineStr">
        <is>
          <t>storage_notes</t>
        </is>
      </c>
      <c r="C2110" t="inlineStr">
        <is>
          <t>store cold, dry, inert gas; protect unsaturated/ionizable lipids from oxidation/hydrolysis</t>
        </is>
      </c>
      <c r="D2110"/>
      <c r="E2110"/>
      <c r="F2110"/>
      <c r="G2110" t="inlineStr">
        <is>
          <t>supplier stability convention</t>
        </is>
      </c>
      <c r="H2110" t="inlineStr">
        <is>
          <t>S003_AVANTI_PHASE</t>
        </is>
      </c>
      <c r="I2110" t="inlineStr">
        <is>
          <t>curated</t>
        </is>
      </c>
      <c r="J2110">
        <v>0.7</v>
      </c>
      <c r="K2110"/>
    </row>
    <row r="2111">
      <c r="A2111" t="inlineStr">
        <is>
          <t>LIP_DLPC</t>
        </is>
      </c>
      <c r="B2111" t="inlineStr">
        <is>
          <t>phase_transition_temperature_C</t>
        </is>
      </c>
      <c r="C2111">
        <v>-1</v>
      </c>
      <c r="D2111" t="inlineStr">
        <is>
          <t>°C</t>
        </is>
      </c>
      <c r="E2111"/>
      <c r="F2111"/>
      <c r="G2111" t="inlineStr">
        <is>
          <t>main transition temperature, DSC/lipid supplier data</t>
        </is>
      </c>
      <c r="H2111" t="inlineStr">
        <is>
          <t>S003_AVANTI_PHASE</t>
        </is>
      </c>
      <c r="I2111" t="inlineStr">
        <is>
          <t>supplier-reported</t>
        </is>
      </c>
      <c r="J2111">
        <v>0.78</v>
      </c>
      <c r="K2111"/>
    </row>
    <row r="2112">
      <c r="A2112" t="inlineStr">
        <is>
          <t>LIP_DLPC</t>
        </is>
      </c>
      <c r="B2112" t="inlineStr">
        <is>
          <t>Hansen_delta_D</t>
        </is>
      </c>
      <c r="C2112">
        <v>17.5</v>
      </c>
      <c r="D2112" t="inlineStr">
        <is>
          <t>MPa^0.5</t>
        </is>
      </c>
      <c r="E2112"/>
      <c r="F2112"/>
      <c r="G2112" t="inlineStr">
        <is>
          <t>heuristic group-contribution/nearest-neighbour</t>
        </is>
      </c>
      <c r="H2112" t="inlineStr">
        <is>
          <t>S013_EST_HSP_HEURISTIC</t>
        </is>
      </c>
      <c r="I2112" t="inlineStr">
        <is>
          <t>estimated</t>
        </is>
      </c>
      <c r="J2112">
        <v>0.38</v>
      </c>
      <c r="K2112" t="inlineStr">
        <is>
          <t>Provisional HSP for screening; replace with experimental/literature value before model lock.</t>
        </is>
      </c>
    </row>
    <row r="2113">
      <c r="A2113" t="inlineStr">
        <is>
          <t>LIP_DLPC</t>
        </is>
      </c>
      <c r="B2113" t="inlineStr">
        <is>
          <t>Hansen_delta_P</t>
        </is>
      </c>
      <c r="C2113">
        <v>5.5</v>
      </c>
      <c r="D2113" t="inlineStr">
        <is>
          <t>MPa^0.5</t>
        </is>
      </c>
      <c r="E2113"/>
      <c r="F2113"/>
      <c r="G2113" t="inlineStr">
        <is>
          <t>heuristic group-contribution/nearest-neighbour</t>
        </is>
      </c>
      <c r="H2113" t="inlineStr">
        <is>
          <t>S013_EST_HSP_HEURISTIC</t>
        </is>
      </c>
      <c r="I2113" t="inlineStr">
        <is>
          <t>estimated</t>
        </is>
      </c>
      <c r="J2113">
        <v>0.38</v>
      </c>
      <c r="K2113" t="inlineStr">
        <is>
          <t>Provisional HSP for screening; replace with experimental/literature value before model lock.</t>
        </is>
      </c>
    </row>
    <row r="2114">
      <c r="A2114" t="inlineStr">
        <is>
          <t>LIP_DLPC</t>
        </is>
      </c>
      <c r="B2114" t="inlineStr">
        <is>
          <t>Hansen_delta_H</t>
        </is>
      </c>
      <c r="C2114">
        <v>8.0</v>
      </c>
      <c r="D2114" t="inlineStr">
        <is>
          <t>MPa^0.5</t>
        </is>
      </c>
      <c r="E2114"/>
      <c r="F2114"/>
      <c r="G2114" t="inlineStr">
        <is>
          <t>heuristic group-contribution/nearest-neighbour</t>
        </is>
      </c>
      <c r="H2114" t="inlineStr">
        <is>
          <t>S013_EST_HSP_HEURISTIC</t>
        </is>
      </c>
      <c r="I2114" t="inlineStr">
        <is>
          <t>estimated</t>
        </is>
      </c>
      <c r="J2114">
        <v>0.38</v>
      </c>
      <c r="K2114" t="inlineStr">
        <is>
          <t>Provisional HSP for screening; replace with experimental/literature value before model lock.</t>
        </is>
      </c>
    </row>
    <row r="2115">
      <c r="A2115" t="inlineStr">
        <is>
          <t>LIP_DLPC</t>
        </is>
      </c>
      <c r="B2115" t="inlineStr">
        <is>
          <t>Hildebrand_delta_T</t>
        </is>
      </c>
      <c r="C2115">
        <v>20.01</v>
      </c>
      <c r="D2115" t="inlineStr">
        <is>
          <t>MPa^0.5</t>
        </is>
      </c>
      <c r="E2115"/>
      <c r="F2115"/>
      <c r="G2115" t="inlineStr">
        <is>
          <t>sqrt(deltaD^2+deltaP^2+deltaH^2)</t>
        </is>
      </c>
      <c r="H2115" t="inlineStr">
        <is>
          <t>S012_CALCULATED</t>
        </is>
      </c>
      <c r="I2115" t="inlineStr">
        <is>
          <t>calculated</t>
        </is>
      </c>
      <c r="J2115">
        <v>0.43</v>
      </c>
      <c r="K2115" t="inlineStr">
        <is>
          <t>Derived from stored Hansen components.</t>
        </is>
      </c>
    </row>
    <row r="2116">
      <c r="A2116" t="inlineStr">
        <is>
          <t>LIP_DLPC</t>
        </is>
      </c>
      <c r="B2116" t="inlineStr">
        <is>
          <t>HSP_radius_R0</t>
        </is>
      </c>
      <c r="C2116">
        <v>8.0</v>
      </c>
      <c r="D2116" t="inlineStr">
        <is>
          <t>MPa^0.5</t>
        </is>
      </c>
      <c r="E2116"/>
      <c r="F2116"/>
      <c r="G2116" t="inlineStr">
        <is>
          <t>literature/heuristic solubility sphere</t>
        </is>
      </c>
      <c r="H2116" t="inlineStr">
        <is>
          <t>S013_EST_HSP_HEURISTIC</t>
        </is>
      </c>
      <c r="I2116" t="inlineStr">
        <is>
          <t>estimated</t>
        </is>
      </c>
      <c r="J2116">
        <v>0.38</v>
      </c>
      <c r="K2116" t="inlineStr">
        <is>
          <t>Screening radius only unless experimentally determined.</t>
        </is>
      </c>
    </row>
    <row r="2117">
      <c r="A2117" t="inlineStr">
        <is>
          <t>LIP_DLPC</t>
        </is>
      </c>
      <c r="B2117" t="inlineStr">
        <is>
          <t>molar_volume_cm3_mol</t>
        </is>
      </c>
      <c r="C2117">
        <v>621.8</v>
      </c>
      <c r="D2117" t="inlineStr">
        <is>
          <t>cm3/mol</t>
        </is>
      </c>
      <c r="E2117"/>
      <c r="F2117"/>
      <c r="G2117" t="inlineStr">
        <is>
          <t>MW/density estimate</t>
        </is>
      </c>
      <c r="H2117" t="inlineStr">
        <is>
          <t>S012_CALCULATED</t>
        </is>
      </c>
      <c r="I2117" t="inlineStr">
        <is>
          <t>estimated</t>
        </is>
      </c>
      <c r="J2117">
        <v>0.42</v>
      </c>
      <c r="K2117" t="inlineStr">
        <is>
          <t>Estimated from MW/density; replace with measured molar volume or density-specific grade data.</t>
        </is>
      </c>
    </row>
    <row r="2118">
      <c r="A2118" t="inlineStr">
        <is>
          <t>LIP_DLPC</t>
        </is>
      </c>
      <c r="B2118" t="inlineStr">
        <is>
          <t>headgroup_area_nm2</t>
        </is>
      </c>
      <c r="C2118">
        <v>0.64</v>
      </c>
      <c r="D2118" t="inlineStr">
        <is>
          <t>nm2</t>
        </is>
      </c>
      <c r="E2118"/>
      <c r="F2118"/>
      <c r="G2118" t="inlineStr">
        <is>
          <t>literature/MD heuristic</t>
        </is>
      </c>
      <c r="H2118" t="inlineStr">
        <is>
          <t>S013_EST_HSP_HEURISTIC</t>
        </is>
      </c>
      <c r="I2118" t="inlineStr">
        <is>
          <t>estimated</t>
        </is>
      </c>
      <c r="J2118">
        <v>0.35</v>
      </c>
      <c r="K2118" t="inlineStr">
        <is>
          <t>Area per lipid varies with phase, temperature, cholesterol, hydration, and force field.</t>
        </is>
      </c>
    </row>
    <row r="2119">
      <c r="A2119" t="inlineStr">
        <is>
          <t>LIP_DMPC</t>
        </is>
      </c>
      <c r="B2119" t="inlineStr">
        <is>
          <t>molecular_weight_g_mol</t>
        </is>
      </c>
      <c r="C2119">
        <v>677.9</v>
      </c>
      <c r="D2119" t="inlineStr">
        <is>
          <t>g/mol</t>
        </is>
      </c>
      <c r="E2119"/>
      <c r="F2119"/>
      <c r="G2119" t="inlineStr">
        <is>
          <t>LIPID MAPS/supplier formula or average grade MW</t>
        </is>
      </c>
      <c r="H2119" t="inlineStr">
        <is>
          <t>S004_LIPIDMAPS</t>
        </is>
      </c>
      <c r="I2119" t="inlineStr">
        <is>
          <t>database-derived</t>
        </is>
      </c>
      <c r="J2119">
        <v>0.78</v>
      </c>
      <c r="K2119"/>
    </row>
    <row r="2120">
      <c r="A2120" t="inlineStr">
        <is>
          <t>LIP_DMPC</t>
        </is>
      </c>
      <c r="B2120" t="inlineStr">
        <is>
          <t>lipid_class</t>
        </is>
      </c>
      <c r="C2120" t="inlineStr">
        <is>
          <t>PC</t>
        </is>
      </c>
      <c r="D2120"/>
      <c r="E2120"/>
      <c r="F2120"/>
      <c r="G2120" t="inlineStr">
        <is>
          <t>lipid class annotation</t>
        </is>
      </c>
      <c r="H2120" t="inlineStr">
        <is>
          <t>S003_AVANTI_PHASE</t>
        </is>
      </c>
      <c r="I2120" t="inlineStr">
        <is>
          <t>curated</t>
        </is>
      </c>
      <c r="J2120">
        <v>0.85</v>
      </c>
      <c r="K2120"/>
    </row>
    <row r="2121">
      <c r="A2121" t="inlineStr">
        <is>
          <t>LIP_DMPC</t>
        </is>
      </c>
      <c r="B2121" t="inlineStr">
        <is>
          <t>headgroup_type</t>
        </is>
      </c>
      <c r="C2121" t="inlineStr">
        <is>
          <t>PC</t>
        </is>
      </c>
      <c r="D2121"/>
      <c r="E2121"/>
      <c r="F2121"/>
      <c r="G2121" t="inlineStr">
        <is>
          <t>headgroup annotation</t>
        </is>
      </c>
      <c r="H2121" t="inlineStr">
        <is>
          <t>S003_AVANTI_PHASE</t>
        </is>
      </c>
      <c r="I2121" t="inlineStr">
        <is>
          <t>curated</t>
        </is>
      </c>
      <c r="J2121">
        <v>0.85</v>
      </c>
      <c r="K2121"/>
    </row>
    <row r="2122">
      <c r="A2122" t="inlineStr">
        <is>
          <t>LIP_DMPC</t>
        </is>
      </c>
      <c r="B2122" t="inlineStr">
        <is>
          <t>charge_type</t>
        </is>
      </c>
      <c r="C2122" t="inlineStr">
        <is>
          <t>zwitterionic</t>
        </is>
      </c>
      <c r="D2122"/>
      <c r="E2122"/>
      <c r="F2122"/>
      <c r="G2122" t="inlineStr">
        <is>
          <t>nominal at pH 7.4</t>
        </is>
      </c>
      <c r="H2122" t="inlineStr">
        <is>
          <t>S003_AVANTI_PHASE</t>
        </is>
      </c>
      <c r="I2122" t="inlineStr">
        <is>
          <t>curated</t>
        </is>
      </c>
      <c r="J2122">
        <v>0.85</v>
      </c>
      <c r="K2122"/>
    </row>
    <row r="2123">
      <c r="A2123" t="inlineStr">
        <is>
          <t>LIP_DMPC</t>
        </is>
      </c>
      <c r="B2123" t="inlineStr">
        <is>
          <t>formal_charge</t>
        </is>
      </c>
      <c r="C2123">
        <v>0</v>
      </c>
      <c r="D2123" t="inlineStr">
        <is>
          <t>e</t>
        </is>
      </c>
      <c r="E2123"/>
      <c r="F2123"/>
      <c r="G2123" t="inlineStr">
        <is>
          <t>nominal at pH 7.4</t>
        </is>
      </c>
      <c r="H2123" t="inlineStr">
        <is>
          <t>S003_AVANTI_PHASE</t>
        </is>
      </c>
      <c r="I2123" t="inlineStr">
        <is>
          <t>curated</t>
        </is>
      </c>
      <c r="J2123">
        <v>0.85</v>
      </c>
      <c r="K2123"/>
    </row>
    <row r="2124">
      <c r="A2124" t="inlineStr">
        <is>
          <t>LIP_DMPC</t>
        </is>
      </c>
      <c r="B2124" t="inlineStr">
        <is>
          <t>tail_1_carbons</t>
        </is>
      </c>
      <c r="C2124">
        <v>14</v>
      </c>
      <c r="D2124" t="inlineStr">
        <is>
          <t>count</t>
        </is>
      </c>
      <c r="E2124"/>
      <c r="F2124"/>
      <c r="G2124" t="inlineStr">
        <is>
          <t>lipid shorthand annotation</t>
        </is>
      </c>
      <c r="H2124" t="inlineStr">
        <is>
          <t>S003_AVANTI_PHASE</t>
        </is>
      </c>
      <c r="I2124" t="inlineStr">
        <is>
          <t>curated</t>
        </is>
      </c>
      <c r="J2124">
        <v>0.86</v>
      </c>
      <c r="K2124"/>
    </row>
    <row r="2125">
      <c r="A2125" t="inlineStr">
        <is>
          <t>LIP_DMPC</t>
        </is>
      </c>
      <c r="B2125" t="inlineStr">
        <is>
          <t>tail_1_unsaturation</t>
        </is>
      </c>
      <c r="C2125">
        <v>0</v>
      </c>
      <c r="D2125" t="inlineStr">
        <is>
          <t>double_bonds</t>
        </is>
      </c>
      <c r="E2125"/>
      <c r="F2125"/>
      <c r="G2125" t="inlineStr">
        <is>
          <t>lipid shorthand annotation</t>
        </is>
      </c>
      <c r="H2125" t="inlineStr">
        <is>
          <t>S003_AVANTI_PHASE</t>
        </is>
      </c>
      <c r="I2125" t="inlineStr">
        <is>
          <t>curated</t>
        </is>
      </c>
      <c r="J2125">
        <v>0.86</v>
      </c>
      <c r="K2125"/>
    </row>
    <row r="2126">
      <c r="A2126" t="inlineStr">
        <is>
          <t>LIP_DMPC</t>
        </is>
      </c>
      <c r="B2126" t="inlineStr">
        <is>
          <t>tail_2_carbons</t>
        </is>
      </c>
      <c r="C2126">
        <v>14</v>
      </c>
      <c r="D2126" t="inlineStr">
        <is>
          <t>count</t>
        </is>
      </c>
      <c r="E2126"/>
      <c r="F2126"/>
      <c r="G2126" t="inlineStr">
        <is>
          <t>lipid shorthand annotation</t>
        </is>
      </c>
      <c r="H2126" t="inlineStr">
        <is>
          <t>S003_AVANTI_PHASE</t>
        </is>
      </c>
      <c r="I2126" t="inlineStr">
        <is>
          <t>curated</t>
        </is>
      </c>
      <c r="J2126">
        <v>0.86</v>
      </c>
      <c r="K2126"/>
    </row>
    <row r="2127">
      <c r="A2127" t="inlineStr">
        <is>
          <t>LIP_DMPC</t>
        </is>
      </c>
      <c r="B2127" t="inlineStr">
        <is>
          <t>tail_2_unsaturation</t>
        </is>
      </c>
      <c r="C2127">
        <v>0</v>
      </c>
      <c r="D2127" t="inlineStr">
        <is>
          <t>double_bonds</t>
        </is>
      </c>
      <c r="E2127"/>
      <c r="F2127"/>
      <c r="G2127" t="inlineStr">
        <is>
          <t>lipid shorthand annotation</t>
        </is>
      </c>
      <c r="H2127" t="inlineStr">
        <is>
          <t>S003_AVANTI_PHASE</t>
        </is>
      </c>
      <c r="I2127" t="inlineStr">
        <is>
          <t>curated</t>
        </is>
      </c>
      <c r="J2127">
        <v>0.86</v>
      </c>
      <c r="K2127"/>
    </row>
    <row r="2128">
      <c r="A2128" t="inlineStr">
        <is>
          <t>LIP_DMPC</t>
        </is>
      </c>
      <c r="B2128" t="inlineStr">
        <is>
          <t>number_of_tails</t>
        </is>
      </c>
      <c r="C2128">
        <v>2</v>
      </c>
      <c r="D2128" t="inlineStr">
        <is>
          <t>count</t>
        </is>
      </c>
      <c r="E2128"/>
      <c r="F2128"/>
      <c r="G2128" t="inlineStr">
        <is>
          <t>lipid shorthand annotation</t>
        </is>
      </c>
      <c r="H2128" t="inlineStr">
        <is>
          <t>S003_AVANTI_PHASE</t>
        </is>
      </c>
      <c r="I2128" t="inlineStr">
        <is>
          <t>curated</t>
        </is>
      </c>
      <c r="J2128">
        <v>0.86</v>
      </c>
      <c r="K2128"/>
    </row>
    <row r="2129">
      <c r="A2129" t="inlineStr">
        <is>
          <t>LIP_DMPC</t>
        </is>
      </c>
      <c r="B2129" t="inlineStr">
        <is>
          <t>critical_packing_notes</t>
        </is>
      </c>
      <c r="C2129" t="inlineStr">
        <is>
          <t>bilayer-forming cylindrical lipid</t>
        </is>
      </c>
      <c r="D2129"/>
      <c r="E2129"/>
      <c r="F2129"/>
      <c r="G2129" t="inlineStr">
        <is>
          <t>CPP heuristic</t>
        </is>
      </c>
      <c r="H2129" t="inlineStr">
        <is>
          <t>S014_AULTON</t>
        </is>
      </c>
      <c r="I2129" t="inlineStr">
        <is>
          <t>curated</t>
        </is>
      </c>
      <c r="J2129">
        <v>0.65</v>
      </c>
      <c r="K2129"/>
    </row>
    <row r="2130">
      <c r="A2130" t="inlineStr">
        <is>
          <t>LIP_DMPC</t>
        </is>
      </c>
      <c r="B2130" t="inlineStr">
        <is>
          <t>membrane_rigidity_contribution</t>
        </is>
      </c>
      <c r="C2130" t="inlineStr">
        <is>
          <t>moderate</t>
        </is>
      </c>
      <c r="D2130"/>
      <c r="E2130"/>
      <c r="F2130"/>
      <c r="G2130" t="inlineStr">
        <is>
          <t>Tm and unsaturation heuristic</t>
        </is>
      </c>
      <c r="H2130" t="inlineStr">
        <is>
          <t>S003_AVANTI_PHASE</t>
        </is>
      </c>
      <c r="I2130" t="inlineStr">
        <is>
          <t>curated</t>
        </is>
      </c>
      <c r="J2130">
        <v>0.65</v>
      </c>
      <c r="K2130"/>
    </row>
    <row r="2131">
      <c r="A2131" t="inlineStr">
        <is>
          <t>LIP_DMPC</t>
        </is>
      </c>
      <c r="B2131" t="inlineStr">
        <is>
          <t>fusogenic_flag</t>
        </is>
      </c>
      <c r="C2131" t="inlineStr">
        <is>
          <t>no</t>
        </is>
      </c>
      <c r="D2131"/>
      <c r="E2131"/>
      <c r="F2131"/>
      <c r="G2131" t="inlineStr">
        <is>
          <t>role annotation</t>
        </is>
      </c>
      <c r="H2131" t="inlineStr">
        <is>
          <t>S014_AULTON</t>
        </is>
      </c>
      <c r="I2131" t="inlineStr">
        <is>
          <t>curated</t>
        </is>
      </c>
      <c r="J2131">
        <v>0.7</v>
      </c>
      <c r="K2131"/>
    </row>
    <row r="2132">
      <c r="A2132" t="inlineStr">
        <is>
          <t>LIP_DMPC</t>
        </is>
      </c>
      <c r="B2132" t="inlineStr">
        <is>
          <t>PEGylated_flag</t>
        </is>
      </c>
      <c r="C2132" t="inlineStr">
        <is>
          <t>no</t>
        </is>
      </c>
      <c r="D2132"/>
      <c r="E2132"/>
      <c r="F2132"/>
      <c r="G2132" t="inlineStr">
        <is>
          <t>role annotation</t>
        </is>
      </c>
      <c r="H2132" t="inlineStr">
        <is>
          <t>S014_AULTON</t>
        </is>
      </c>
      <c r="I2132" t="inlineStr">
        <is>
          <t>curated</t>
        </is>
      </c>
      <c r="J2132">
        <v>0.85</v>
      </c>
      <c r="K2132"/>
    </row>
    <row r="2133">
      <c r="A2133" t="inlineStr">
        <is>
          <t>LIP_DMPC</t>
        </is>
      </c>
      <c r="B2133" t="inlineStr">
        <is>
          <t>ionizable_flag</t>
        </is>
      </c>
      <c r="C2133" t="inlineStr">
        <is>
          <t>no</t>
        </is>
      </c>
      <c r="D2133"/>
      <c r="E2133"/>
      <c r="F2133"/>
      <c r="G2133" t="inlineStr">
        <is>
          <t>role annotation</t>
        </is>
      </c>
      <c r="H2133" t="inlineStr">
        <is>
          <t>S014_AULTON</t>
        </is>
      </c>
      <c r="I2133" t="inlineStr">
        <is>
          <t>curated</t>
        </is>
      </c>
      <c r="J2133">
        <v>0.85</v>
      </c>
      <c r="K2133"/>
    </row>
    <row r="2134">
      <c r="A2134" t="inlineStr">
        <is>
          <t>LIP_DMPC</t>
        </is>
      </c>
      <c r="B2134" t="inlineStr">
        <is>
          <t>route_suitability</t>
        </is>
      </c>
      <c r="C2134" t="inlineStr">
        <is>
          <t>liposome/LNP; route depends on purity, grade, residual solvents/endotoxin</t>
        </is>
      </c>
      <c r="D2134"/>
      <c r="E2134"/>
      <c r="F2134"/>
      <c r="G2134" t="inlineStr">
        <is>
          <t>route precedent caution</t>
        </is>
      </c>
      <c r="H2134" t="inlineStr">
        <is>
          <t>S008_FDA_IID</t>
        </is>
      </c>
      <c r="I2134" t="inlineStr">
        <is>
          <t>curated</t>
        </is>
      </c>
      <c r="J2134">
        <v>0.55</v>
      </c>
      <c r="K2134"/>
    </row>
    <row r="2135">
      <c r="A2135" t="inlineStr">
        <is>
          <t>LIP_DMPC</t>
        </is>
      </c>
      <c r="B2135" t="inlineStr">
        <is>
          <t>storage_notes</t>
        </is>
      </c>
      <c r="C2135" t="inlineStr">
        <is>
          <t>store cold, dry, inert gas; protect unsaturated/ionizable lipids from oxidation/hydrolysis</t>
        </is>
      </c>
      <c r="D2135"/>
      <c r="E2135"/>
      <c r="F2135"/>
      <c r="G2135" t="inlineStr">
        <is>
          <t>supplier stability convention</t>
        </is>
      </c>
      <c r="H2135" t="inlineStr">
        <is>
          <t>S003_AVANTI_PHASE</t>
        </is>
      </c>
      <c r="I2135" t="inlineStr">
        <is>
          <t>curated</t>
        </is>
      </c>
      <c r="J2135">
        <v>0.7</v>
      </c>
      <c r="K2135"/>
    </row>
    <row r="2136">
      <c r="A2136" t="inlineStr">
        <is>
          <t>LIP_DMPC</t>
        </is>
      </c>
      <c r="B2136" t="inlineStr">
        <is>
          <t>phase_transition_temperature_C</t>
        </is>
      </c>
      <c r="C2136">
        <v>23</v>
      </c>
      <c r="D2136" t="inlineStr">
        <is>
          <t>°C</t>
        </is>
      </c>
      <c r="E2136"/>
      <c r="F2136"/>
      <c r="G2136" t="inlineStr">
        <is>
          <t>main transition temperature, DSC/lipid supplier data</t>
        </is>
      </c>
      <c r="H2136" t="inlineStr">
        <is>
          <t>S003_AVANTI_PHASE</t>
        </is>
      </c>
      <c r="I2136" t="inlineStr">
        <is>
          <t>supplier-reported</t>
        </is>
      </c>
      <c r="J2136">
        <v>0.78</v>
      </c>
      <c r="K2136"/>
    </row>
    <row r="2137">
      <c r="A2137" t="inlineStr">
        <is>
          <t>LIP_DMPC</t>
        </is>
      </c>
      <c r="B2137" t="inlineStr">
        <is>
          <t>Hansen_delta_D</t>
        </is>
      </c>
      <c r="C2137">
        <v>17.5</v>
      </c>
      <c r="D2137" t="inlineStr">
        <is>
          <t>MPa^0.5</t>
        </is>
      </c>
      <c r="E2137"/>
      <c r="F2137"/>
      <c r="G2137" t="inlineStr">
        <is>
          <t>heuristic group-contribution/nearest-neighbour</t>
        </is>
      </c>
      <c r="H2137" t="inlineStr">
        <is>
          <t>S013_EST_HSP_HEURISTIC</t>
        </is>
      </c>
      <c r="I2137" t="inlineStr">
        <is>
          <t>estimated</t>
        </is>
      </c>
      <c r="J2137">
        <v>0.38</v>
      </c>
      <c r="K2137" t="inlineStr">
        <is>
          <t>Provisional HSP for screening; replace with experimental/literature value before model lock.</t>
        </is>
      </c>
    </row>
    <row r="2138">
      <c r="A2138" t="inlineStr">
        <is>
          <t>LIP_DMPC</t>
        </is>
      </c>
      <c r="B2138" t="inlineStr">
        <is>
          <t>Hansen_delta_P</t>
        </is>
      </c>
      <c r="C2138">
        <v>5.5</v>
      </c>
      <c r="D2138" t="inlineStr">
        <is>
          <t>MPa^0.5</t>
        </is>
      </c>
      <c r="E2138"/>
      <c r="F2138"/>
      <c r="G2138" t="inlineStr">
        <is>
          <t>heuristic group-contribution/nearest-neighbour</t>
        </is>
      </c>
      <c r="H2138" t="inlineStr">
        <is>
          <t>S013_EST_HSP_HEURISTIC</t>
        </is>
      </c>
      <c r="I2138" t="inlineStr">
        <is>
          <t>estimated</t>
        </is>
      </c>
      <c r="J2138">
        <v>0.38</v>
      </c>
      <c r="K2138" t="inlineStr">
        <is>
          <t>Provisional HSP for screening; replace with experimental/literature value before model lock.</t>
        </is>
      </c>
    </row>
    <row r="2139">
      <c r="A2139" t="inlineStr">
        <is>
          <t>LIP_DMPC</t>
        </is>
      </c>
      <c r="B2139" t="inlineStr">
        <is>
          <t>Hansen_delta_H</t>
        </is>
      </c>
      <c r="C2139">
        <v>8.0</v>
      </c>
      <c r="D2139" t="inlineStr">
        <is>
          <t>MPa^0.5</t>
        </is>
      </c>
      <c r="E2139"/>
      <c r="F2139"/>
      <c r="G2139" t="inlineStr">
        <is>
          <t>heuristic group-contribution/nearest-neighbour</t>
        </is>
      </c>
      <c r="H2139" t="inlineStr">
        <is>
          <t>S013_EST_HSP_HEURISTIC</t>
        </is>
      </c>
      <c r="I2139" t="inlineStr">
        <is>
          <t>estimated</t>
        </is>
      </c>
      <c r="J2139">
        <v>0.38</v>
      </c>
      <c r="K2139" t="inlineStr">
        <is>
          <t>Provisional HSP for screening; replace with experimental/literature value before model lock.</t>
        </is>
      </c>
    </row>
    <row r="2140">
      <c r="A2140" t="inlineStr">
        <is>
          <t>LIP_DMPC</t>
        </is>
      </c>
      <c r="B2140" t="inlineStr">
        <is>
          <t>Hildebrand_delta_T</t>
        </is>
      </c>
      <c r="C2140">
        <v>20.01</v>
      </c>
      <c r="D2140" t="inlineStr">
        <is>
          <t>MPa^0.5</t>
        </is>
      </c>
      <c r="E2140"/>
      <c r="F2140"/>
      <c r="G2140" t="inlineStr">
        <is>
          <t>sqrt(deltaD^2+deltaP^2+deltaH^2)</t>
        </is>
      </c>
      <c r="H2140" t="inlineStr">
        <is>
          <t>S012_CALCULATED</t>
        </is>
      </c>
      <c r="I2140" t="inlineStr">
        <is>
          <t>calculated</t>
        </is>
      </c>
      <c r="J2140">
        <v>0.43</v>
      </c>
      <c r="K2140" t="inlineStr">
        <is>
          <t>Derived from stored Hansen components.</t>
        </is>
      </c>
    </row>
    <row r="2141">
      <c r="A2141" t="inlineStr">
        <is>
          <t>LIP_DMPC</t>
        </is>
      </c>
      <c r="B2141" t="inlineStr">
        <is>
          <t>HSP_radius_R0</t>
        </is>
      </c>
      <c r="C2141">
        <v>8.0</v>
      </c>
      <c r="D2141" t="inlineStr">
        <is>
          <t>MPa^0.5</t>
        </is>
      </c>
      <c r="E2141"/>
      <c r="F2141"/>
      <c r="G2141" t="inlineStr">
        <is>
          <t>literature/heuristic solubility sphere</t>
        </is>
      </c>
      <c r="H2141" t="inlineStr">
        <is>
          <t>S013_EST_HSP_HEURISTIC</t>
        </is>
      </c>
      <c r="I2141" t="inlineStr">
        <is>
          <t>estimated</t>
        </is>
      </c>
      <c r="J2141">
        <v>0.38</v>
      </c>
      <c r="K2141" t="inlineStr">
        <is>
          <t>Screening radius only unless experimentally determined.</t>
        </is>
      </c>
    </row>
    <row r="2142">
      <c r="A2142" t="inlineStr">
        <is>
          <t>LIP_DMPC</t>
        </is>
      </c>
      <c r="B2142" t="inlineStr">
        <is>
          <t>molar_volume_cm3_mol</t>
        </is>
      </c>
      <c r="C2142">
        <v>677.9</v>
      </c>
      <c r="D2142" t="inlineStr">
        <is>
          <t>cm3/mol</t>
        </is>
      </c>
      <c r="E2142"/>
      <c r="F2142"/>
      <c r="G2142" t="inlineStr">
        <is>
          <t>MW/density estimate</t>
        </is>
      </c>
      <c r="H2142" t="inlineStr">
        <is>
          <t>S012_CALCULATED</t>
        </is>
      </c>
      <c r="I2142" t="inlineStr">
        <is>
          <t>estimated</t>
        </is>
      </c>
      <c r="J2142">
        <v>0.42</v>
      </c>
      <c r="K2142" t="inlineStr">
        <is>
          <t>Estimated from MW/density; replace with measured molar volume or density-specific grade data.</t>
        </is>
      </c>
    </row>
    <row r="2143">
      <c r="A2143" t="inlineStr">
        <is>
          <t>LIP_DMPC</t>
        </is>
      </c>
      <c r="B2143" t="inlineStr">
        <is>
          <t>headgroup_area_nm2</t>
        </is>
      </c>
      <c r="C2143">
        <v>0.64</v>
      </c>
      <c r="D2143" t="inlineStr">
        <is>
          <t>nm2</t>
        </is>
      </c>
      <c r="E2143"/>
      <c r="F2143"/>
      <c r="G2143" t="inlineStr">
        <is>
          <t>literature/MD heuristic</t>
        </is>
      </c>
      <c r="H2143" t="inlineStr">
        <is>
          <t>S013_EST_HSP_HEURISTIC</t>
        </is>
      </c>
      <c r="I2143" t="inlineStr">
        <is>
          <t>estimated</t>
        </is>
      </c>
      <c r="J2143">
        <v>0.35</v>
      </c>
      <c r="K2143" t="inlineStr">
        <is>
          <t>Area per lipid varies with phase, temperature, cholesterol, hydration, and force field.</t>
        </is>
      </c>
    </row>
    <row r="2144">
      <c r="A2144" t="inlineStr">
        <is>
          <t>LIP_DPPC</t>
        </is>
      </c>
      <c r="B2144" t="inlineStr">
        <is>
          <t>molecular_weight_g_mol</t>
        </is>
      </c>
      <c r="C2144">
        <v>734.04</v>
      </c>
      <c r="D2144" t="inlineStr">
        <is>
          <t>g/mol</t>
        </is>
      </c>
      <c r="E2144"/>
      <c r="F2144"/>
      <c r="G2144" t="inlineStr">
        <is>
          <t>LIPID MAPS/supplier formula or average grade MW</t>
        </is>
      </c>
      <c r="H2144" t="inlineStr">
        <is>
          <t>S004_LIPIDMAPS</t>
        </is>
      </c>
      <c r="I2144" t="inlineStr">
        <is>
          <t>database-derived</t>
        </is>
      </c>
      <c r="J2144">
        <v>0.78</v>
      </c>
      <c r="K2144"/>
    </row>
    <row r="2145">
      <c r="A2145" t="inlineStr">
        <is>
          <t>LIP_DPPC</t>
        </is>
      </c>
      <c r="B2145" t="inlineStr">
        <is>
          <t>lipid_class</t>
        </is>
      </c>
      <c r="C2145" t="inlineStr">
        <is>
          <t>PC</t>
        </is>
      </c>
      <c r="D2145"/>
      <c r="E2145"/>
      <c r="F2145"/>
      <c r="G2145" t="inlineStr">
        <is>
          <t>lipid class annotation</t>
        </is>
      </c>
      <c r="H2145" t="inlineStr">
        <is>
          <t>S003_AVANTI_PHASE</t>
        </is>
      </c>
      <c r="I2145" t="inlineStr">
        <is>
          <t>curated</t>
        </is>
      </c>
      <c r="J2145">
        <v>0.85</v>
      </c>
      <c r="K2145"/>
    </row>
    <row r="2146">
      <c r="A2146" t="inlineStr">
        <is>
          <t>LIP_DPPC</t>
        </is>
      </c>
      <c r="B2146" t="inlineStr">
        <is>
          <t>headgroup_type</t>
        </is>
      </c>
      <c r="C2146" t="inlineStr">
        <is>
          <t>PC</t>
        </is>
      </c>
      <c r="D2146"/>
      <c r="E2146"/>
      <c r="F2146"/>
      <c r="G2146" t="inlineStr">
        <is>
          <t>headgroup annotation</t>
        </is>
      </c>
      <c r="H2146" t="inlineStr">
        <is>
          <t>S003_AVANTI_PHASE</t>
        </is>
      </c>
      <c r="I2146" t="inlineStr">
        <is>
          <t>curated</t>
        </is>
      </c>
      <c r="J2146">
        <v>0.85</v>
      </c>
      <c r="K2146"/>
    </row>
    <row r="2147">
      <c r="A2147" t="inlineStr">
        <is>
          <t>LIP_DPPC</t>
        </is>
      </c>
      <c r="B2147" t="inlineStr">
        <is>
          <t>charge_type</t>
        </is>
      </c>
      <c r="C2147" t="inlineStr">
        <is>
          <t>zwitterionic</t>
        </is>
      </c>
      <c r="D2147"/>
      <c r="E2147"/>
      <c r="F2147"/>
      <c r="G2147" t="inlineStr">
        <is>
          <t>nominal at pH 7.4</t>
        </is>
      </c>
      <c r="H2147" t="inlineStr">
        <is>
          <t>S003_AVANTI_PHASE</t>
        </is>
      </c>
      <c r="I2147" t="inlineStr">
        <is>
          <t>curated</t>
        </is>
      </c>
      <c r="J2147">
        <v>0.85</v>
      </c>
      <c r="K2147"/>
    </row>
    <row r="2148">
      <c r="A2148" t="inlineStr">
        <is>
          <t>LIP_DPPC</t>
        </is>
      </c>
      <c r="B2148" t="inlineStr">
        <is>
          <t>formal_charge</t>
        </is>
      </c>
      <c r="C2148">
        <v>0</v>
      </c>
      <c r="D2148" t="inlineStr">
        <is>
          <t>e</t>
        </is>
      </c>
      <c r="E2148"/>
      <c r="F2148"/>
      <c r="G2148" t="inlineStr">
        <is>
          <t>nominal at pH 7.4</t>
        </is>
      </c>
      <c r="H2148" t="inlineStr">
        <is>
          <t>S003_AVANTI_PHASE</t>
        </is>
      </c>
      <c r="I2148" t="inlineStr">
        <is>
          <t>curated</t>
        </is>
      </c>
      <c r="J2148">
        <v>0.85</v>
      </c>
      <c r="K2148"/>
    </row>
    <row r="2149">
      <c r="A2149" t="inlineStr">
        <is>
          <t>LIP_DPPC</t>
        </is>
      </c>
      <c r="B2149" t="inlineStr">
        <is>
          <t>tail_1_carbons</t>
        </is>
      </c>
      <c r="C2149">
        <v>16</v>
      </c>
      <c r="D2149" t="inlineStr">
        <is>
          <t>count</t>
        </is>
      </c>
      <c r="E2149"/>
      <c r="F2149"/>
      <c r="G2149" t="inlineStr">
        <is>
          <t>lipid shorthand annotation</t>
        </is>
      </c>
      <c r="H2149" t="inlineStr">
        <is>
          <t>S003_AVANTI_PHASE</t>
        </is>
      </c>
      <c r="I2149" t="inlineStr">
        <is>
          <t>curated</t>
        </is>
      </c>
      <c r="J2149">
        <v>0.86</v>
      </c>
      <c r="K2149"/>
    </row>
    <row r="2150">
      <c r="A2150" t="inlineStr">
        <is>
          <t>LIP_DPPC</t>
        </is>
      </c>
      <c r="B2150" t="inlineStr">
        <is>
          <t>tail_1_unsaturation</t>
        </is>
      </c>
      <c r="C2150">
        <v>0</v>
      </c>
      <c r="D2150" t="inlineStr">
        <is>
          <t>double_bonds</t>
        </is>
      </c>
      <c r="E2150"/>
      <c r="F2150"/>
      <c r="G2150" t="inlineStr">
        <is>
          <t>lipid shorthand annotation</t>
        </is>
      </c>
      <c r="H2150" t="inlineStr">
        <is>
          <t>S003_AVANTI_PHASE</t>
        </is>
      </c>
      <c r="I2150" t="inlineStr">
        <is>
          <t>curated</t>
        </is>
      </c>
      <c r="J2150">
        <v>0.86</v>
      </c>
      <c r="K2150"/>
    </row>
    <row r="2151">
      <c r="A2151" t="inlineStr">
        <is>
          <t>LIP_DPPC</t>
        </is>
      </c>
      <c r="B2151" t="inlineStr">
        <is>
          <t>tail_2_carbons</t>
        </is>
      </c>
      <c r="C2151">
        <v>16</v>
      </c>
      <c r="D2151" t="inlineStr">
        <is>
          <t>count</t>
        </is>
      </c>
      <c r="E2151"/>
      <c r="F2151"/>
      <c r="G2151" t="inlineStr">
        <is>
          <t>lipid shorthand annotation</t>
        </is>
      </c>
      <c r="H2151" t="inlineStr">
        <is>
          <t>S003_AVANTI_PHASE</t>
        </is>
      </c>
      <c r="I2151" t="inlineStr">
        <is>
          <t>curated</t>
        </is>
      </c>
      <c r="J2151">
        <v>0.86</v>
      </c>
      <c r="K2151"/>
    </row>
    <row r="2152">
      <c r="A2152" t="inlineStr">
        <is>
          <t>LIP_DPPC</t>
        </is>
      </c>
      <c r="B2152" t="inlineStr">
        <is>
          <t>tail_2_unsaturation</t>
        </is>
      </c>
      <c r="C2152">
        <v>0</v>
      </c>
      <c r="D2152" t="inlineStr">
        <is>
          <t>double_bonds</t>
        </is>
      </c>
      <c r="E2152"/>
      <c r="F2152"/>
      <c r="G2152" t="inlineStr">
        <is>
          <t>lipid shorthand annotation</t>
        </is>
      </c>
      <c r="H2152" t="inlineStr">
        <is>
          <t>S003_AVANTI_PHASE</t>
        </is>
      </c>
      <c r="I2152" t="inlineStr">
        <is>
          <t>curated</t>
        </is>
      </c>
      <c r="J2152">
        <v>0.86</v>
      </c>
      <c r="K2152"/>
    </row>
    <row r="2153">
      <c r="A2153" t="inlineStr">
        <is>
          <t>LIP_DPPC</t>
        </is>
      </c>
      <c r="B2153" t="inlineStr">
        <is>
          <t>number_of_tails</t>
        </is>
      </c>
      <c r="C2153">
        <v>2</v>
      </c>
      <c r="D2153" t="inlineStr">
        <is>
          <t>count</t>
        </is>
      </c>
      <c r="E2153"/>
      <c r="F2153"/>
      <c r="G2153" t="inlineStr">
        <is>
          <t>lipid shorthand annotation</t>
        </is>
      </c>
      <c r="H2153" t="inlineStr">
        <is>
          <t>S003_AVANTI_PHASE</t>
        </is>
      </c>
      <c r="I2153" t="inlineStr">
        <is>
          <t>curated</t>
        </is>
      </c>
      <c r="J2153">
        <v>0.86</v>
      </c>
      <c r="K2153"/>
    </row>
    <row r="2154">
      <c r="A2154" t="inlineStr">
        <is>
          <t>LIP_DPPC</t>
        </is>
      </c>
      <c r="B2154" t="inlineStr">
        <is>
          <t>critical_packing_notes</t>
        </is>
      </c>
      <c r="C2154" t="inlineStr">
        <is>
          <t>bilayer-forming cylindrical lipid</t>
        </is>
      </c>
      <c r="D2154"/>
      <c r="E2154"/>
      <c r="F2154"/>
      <c r="G2154" t="inlineStr">
        <is>
          <t>CPP heuristic</t>
        </is>
      </c>
      <c r="H2154" t="inlineStr">
        <is>
          <t>S014_AULTON</t>
        </is>
      </c>
      <c r="I2154" t="inlineStr">
        <is>
          <t>curated</t>
        </is>
      </c>
      <c r="J2154">
        <v>0.65</v>
      </c>
      <c r="K2154"/>
    </row>
    <row r="2155">
      <c r="A2155" t="inlineStr">
        <is>
          <t>LIP_DPPC</t>
        </is>
      </c>
      <c r="B2155" t="inlineStr">
        <is>
          <t>membrane_rigidity_contribution</t>
        </is>
      </c>
      <c r="C2155" t="inlineStr">
        <is>
          <t>high</t>
        </is>
      </c>
      <c r="D2155"/>
      <c r="E2155"/>
      <c r="F2155"/>
      <c r="G2155" t="inlineStr">
        <is>
          <t>Tm and unsaturation heuristic</t>
        </is>
      </c>
      <c r="H2155" t="inlineStr">
        <is>
          <t>S003_AVANTI_PHASE</t>
        </is>
      </c>
      <c r="I2155" t="inlineStr">
        <is>
          <t>curated</t>
        </is>
      </c>
      <c r="J2155">
        <v>0.65</v>
      </c>
      <c r="K2155"/>
    </row>
    <row r="2156">
      <c r="A2156" t="inlineStr">
        <is>
          <t>LIP_DPPC</t>
        </is>
      </c>
      <c r="B2156" t="inlineStr">
        <is>
          <t>fusogenic_flag</t>
        </is>
      </c>
      <c r="C2156" t="inlineStr">
        <is>
          <t>no</t>
        </is>
      </c>
      <c r="D2156"/>
      <c r="E2156"/>
      <c r="F2156"/>
      <c r="G2156" t="inlineStr">
        <is>
          <t>role annotation</t>
        </is>
      </c>
      <c r="H2156" t="inlineStr">
        <is>
          <t>S014_AULTON</t>
        </is>
      </c>
      <c r="I2156" t="inlineStr">
        <is>
          <t>curated</t>
        </is>
      </c>
      <c r="J2156">
        <v>0.7</v>
      </c>
      <c r="K2156"/>
    </row>
    <row r="2157">
      <c r="A2157" t="inlineStr">
        <is>
          <t>LIP_DPPC</t>
        </is>
      </c>
      <c r="B2157" t="inlineStr">
        <is>
          <t>PEGylated_flag</t>
        </is>
      </c>
      <c r="C2157" t="inlineStr">
        <is>
          <t>no</t>
        </is>
      </c>
      <c r="D2157"/>
      <c r="E2157"/>
      <c r="F2157"/>
      <c r="G2157" t="inlineStr">
        <is>
          <t>role annotation</t>
        </is>
      </c>
      <c r="H2157" t="inlineStr">
        <is>
          <t>S014_AULTON</t>
        </is>
      </c>
      <c r="I2157" t="inlineStr">
        <is>
          <t>curated</t>
        </is>
      </c>
      <c r="J2157">
        <v>0.85</v>
      </c>
      <c r="K2157"/>
    </row>
    <row r="2158">
      <c r="A2158" t="inlineStr">
        <is>
          <t>LIP_DPPC</t>
        </is>
      </c>
      <c r="B2158" t="inlineStr">
        <is>
          <t>ionizable_flag</t>
        </is>
      </c>
      <c r="C2158" t="inlineStr">
        <is>
          <t>no</t>
        </is>
      </c>
      <c r="D2158"/>
      <c r="E2158"/>
      <c r="F2158"/>
      <c r="G2158" t="inlineStr">
        <is>
          <t>role annotation</t>
        </is>
      </c>
      <c r="H2158" t="inlineStr">
        <is>
          <t>S014_AULTON</t>
        </is>
      </c>
      <c r="I2158" t="inlineStr">
        <is>
          <t>curated</t>
        </is>
      </c>
      <c r="J2158">
        <v>0.85</v>
      </c>
      <c r="K2158"/>
    </row>
    <row r="2159">
      <c r="A2159" t="inlineStr">
        <is>
          <t>LIP_DPPC</t>
        </is>
      </c>
      <c r="B2159" t="inlineStr">
        <is>
          <t>route_suitability</t>
        </is>
      </c>
      <c r="C2159" t="inlineStr">
        <is>
          <t>liposome/LNP; route depends on purity, grade, residual solvents/endotoxin</t>
        </is>
      </c>
      <c r="D2159"/>
      <c r="E2159"/>
      <c r="F2159"/>
      <c r="G2159" t="inlineStr">
        <is>
          <t>route precedent caution</t>
        </is>
      </c>
      <c r="H2159" t="inlineStr">
        <is>
          <t>S008_FDA_IID</t>
        </is>
      </c>
      <c r="I2159" t="inlineStr">
        <is>
          <t>curated</t>
        </is>
      </c>
      <c r="J2159">
        <v>0.55</v>
      </c>
      <c r="K2159"/>
    </row>
    <row r="2160">
      <c r="A2160" t="inlineStr">
        <is>
          <t>LIP_DPPC</t>
        </is>
      </c>
      <c r="B2160" t="inlineStr">
        <is>
          <t>storage_notes</t>
        </is>
      </c>
      <c r="C2160" t="inlineStr">
        <is>
          <t>store cold, dry, inert gas; protect unsaturated/ionizable lipids from oxidation/hydrolysis</t>
        </is>
      </c>
      <c r="D2160"/>
      <c r="E2160"/>
      <c r="F2160"/>
      <c r="G2160" t="inlineStr">
        <is>
          <t>supplier stability convention</t>
        </is>
      </c>
      <c r="H2160" t="inlineStr">
        <is>
          <t>S003_AVANTI_PHASE</t>
        </is>
      </c>
      <c r="I2160" t="inlineStr">
        <is>
          <t>curated</t>
        </is>
      </c>
      <c r="J2160">
        <v>0.7</v>
      </c>
      <c r="K2160"/>
    </row>
    <row r="2161">
      <c r="A2161" t="inlineStr">
        <is>
          <t>LIP_DPPC</t>
        </is>
      </c>
      <c r="B2161" t="inlineStr">
        <is>
          <t>phase_transition_temperature_C</t>
        </is>
      </c>
      <c r="C2161">
        <v>41.4</v>
      </c>
      <c r="D2161" t="inlineStr">
        <is>
          <t>°C</t>
        </is>
      </c>
      <c r="E2161"/>
      <c r="F2161"/>
      <c r="G2161" t="inlineStr">
        <is>
          <t>main transition temperature, DSC/lipid supplier data</t>
        </is>
      </c>
      <c r="H2161" t="inlineStr">
        <is>
          <t>S003_AVANTI_PHASE</t>
        </is>
      </c>
      <c r="I2161" t="inlineStr">
        <is>
          <t>supplier-reported</t>
        </is>
      </c>
      <c r="J2161">
        <v>0.78</v>
      </c>
      <c r="K2161"/>
    </row>
    <row r="2162">
      <c r="A2162" t="inlineStr">
        <is>
          <t>LIP_DPPC</t>
        </is>
      </c>
      <c r="B2162" t="inlineStr">
        <is>
          <t>Hansen_delta_D</t>
        </is>
      </c>
      <c r="C2162">
        <v>17.5</v>
      </c>
      <c r="D2162" t="inlineStr">
        <is>
          <t>MPa^0.5</t>
        </is>
      </c>
      <c r="E2162"/>
      <c r="F2162"/>
      <c r="G2162" t="inlineStr">
        <is>
          <t>heuristic group-contribution/nearest-neighbour</t>
        </is>
      </c>
      <c r="H2162" t="inlineStr">
        <is>
          <t>S013_EST_HSP_HEURISTIC</t>
        </is>
      </c>
      <c r="I2162" t="inlineStr">
        <is>
          <t>estimated</t>
        </is>
      </c>
      <c r="J2162">
        <v>0.38</v>
      </c>
      <c r="K2162" t="inlineStr">
        <is>
          <t>Provisional HSP for screening; replace with experimental/literature value before model lock.</t>
        </is>
      </c>
    </row>
    <row r="2163">
      <c r="A2163" t="inlineStr">
        <is>
          <t>LIP_DPPC</t>
        </is>
      </c>
      <c r="B2163" t="inlineStr">
        <is>
          <t>Hansen_delta_P</t>
        </is>
      </c>
      <c r="C2163">
        <v>5.5</v>
      </c>
      <c r="D2163" t="inlineStr">
        <is>
          <t>MPa^0.5</t>
        </is>
      </c>
      <c r="E2163"/>
      <c r="F2163"/>
      <c r="G2163" t="inlineStr">
        <is>
          <t>heuristic group-contribution/nearest-neighbour</t>
        </is>
      </c>
      <c r="H2163" t="inlineStr">
        <is>
          <t>S013_EST_HSP_HEURISTIC</t>
        </is>
      </c>
      <c r="I2163" t="inlineStr">
        <is>
          <t>estimated</t>
        </is>
      </c>
      <c r="J2163">
        <v>0.38</v>
      </c>
      <c r="K2163" t="inlineStr">
        <is>
          <t>Provisional HSP for screening; replace with experimental/literature value before model lock.</t>
        </is>
      </c>
    </row>
    <row r="2164">
      <c r="A2164" t="inlineStr">
        <is>
          <t>LIP_DPPC</t>
        </is>
      </c>
      <c r="B2164" t="inlineStr">
        <is>
          <t>Hansen_delta_H</t>
        </is>
      </c>
      <c r="C2164">
        <v>8.0</v>
      </c>
      <c r="D2164" t="inlineStr">
        <is>
          <t>MPa^0.5</t>
        </is>
      </c>
      <c r="E2164"/>
      <c r="F2164"/>
      <c r="G2164" t="inlineStr">
        <is>
          <t>heuristic group-contribution/nearest-neighbour</t>
        </is>
      </c>
      <c r="H2164" t="inlineStr">
        <is>
          <t>S013_EST_HSP_HEURISTIC</t>
        </is>
      </c>
      <c r="I2164" t="inlineStr">
        <is>
          <t>estimated</t>
        </is>
      </c>
      <c r="J2164">
        <v>0.38</v>
      </c>
      <c r="K2164" t="inlineStr">
        <is>
          <t>Provisional HSP for screening; replace with experimental/literature value before model lock.</t>
        </is>
      </c>
    </row>
    <row r="2165">
      <c r="A2165" t="inlineStr">
        <is>
          <t>LIP_DPPC</t>
        </is>
      </c>
      <c r="B2165" t="inlineStr">
        <is>
          <t>Hildebrand_delta_T</t>
        </is>
      </c>
      <c r="C2165">
        <v>20.01</v>
      </c>
      <c r="D2165" t="inlineStr">
        <is>
          <t>MPa^0.5</t>
        </is>
      </c>
      <c r="E2165"/>
      <c r="F2165"/>
      <c r="G2165" t="inlineStr">
        <is>
          <t>sqrt(deltaD^2+deltaP^2+deltaH^2)</t>
        </is>
      </c>
      <c r="H2165" t="inlineStr">
        <is>
          <t>S012_CALCULATED</t>
        </is>
      </c>
      <c r="I2165" t="inlineStr">
        <is>
          <t>calculated</t>
        </is>
      </c>
      <c r="J2165">
        <v>0.43</v>
      </c>
      <c r="K2165" t="inlineStr">
        <is>
          <t>Derived from stored Hansen components.</t>
        </is>
      </c>
    </row>
    <row r="2166">
      <c r="A2166" t="inlineStr">
        <is>
          <t>LIP_DPPC</t>
        </is>
      </c>
      <c r="B2166" t="inlineStr">
        <is>
          <t>HSP_radius_R0</t>
        </is>
      </c>
      <c r="C2166">
        <v>8.0</v>
      </c>
      <c r="D2166" t="inlineStr">
        <is>
          <t>MPa^0.5</t>
        </is>
      </c>
      <c r="E2166"/>
      <c r="F2166"/>
      <c r="G2166" t="inlineStr">
        <is>
          <t>literature/heuristic solubility sphere</t>
        </is>
      </c>
      <c r="H2166" t="inlineStr">
        <is>
          <t>S013_EST_HSP_HEURISTIC</t>
        </is>
      </c>
      <c r="I2166" t="inlineStr">
        <is>
          <t>estimated</t>
        </is>
      </c>
      <c r="J2166">
        <v>0.38</v>
      </c>
      <c r="K2166" t="inlineStr">
        <is>
          <t>Screening radius only unless experimentally determined.</t>
        </is>
      </c>
    </row>
    <row r="2167">
      <c r="A2167" t="inlineStr">
        <is>
          <t>LIP_DPPC</t>
        </is>
      </c>
      <c r="B2167" t="inlineStr">
        <is>
          <t>molar_volume_cm3_mol</t>
        </is>
      </c>
      <c r="C2167">
        <v>734.04</v>
      </c>
      <c r="D2167" t="inlineStr">
        <is>
          <t>cm3/mol</t>
        </is>
      </c>
      <c r="E2167"/>
      <c r="F2167"/>
      <c r="G2167" t="inlineStr">
        <is>
          <t>MW/density estimate</t>
        </is>
      </c>
      <c r="H2167" t="inlineStr">
        <is>
          <t>S012_CALCULATED</t>
        </is>
      </c>
      <c r="I2167" t="inlineStr">
        <is>
          <t>estimated</t>
        </is>
      </c>
      <c r="J2167">
        <v>0.42</v>
      </c>
      <c r="K2167" t="inlineStr">
        <is>
          <t>Estimated from MW/density; replace with measured molar volume or density-specific grade data.</t>
        </is>
      </c>
    </row>
    <row r="2168">
      <c r="A2168" t="inlineStr">
        <is>
          <t>LIP_DPPC</t>
        </is>
      </c>
      <c r="B2168" t="inlineStr">
        <is>
          <t>headgroup_area_nm2</t>
        </is>
      </c>
      <c r="C2168">
        <v>0.64</v>
      </c>
      <c r="D2168" t="inlineStr">
        <is>
          <t>nm2</t>
        </is>
      </c>
      <c r="E2168"/>
      <c r="F2168"/>
      <c r="G2168" t="inlineStr">
        <is>
          <t>literature/MD heuristic</t>
        </is>
      </c>
      <c r="H2168" t="inlineStr">
        <is>
          <t>S013_EST_HSP_HEURISTIC</t>
        </is>
      </c>
      <c r="I2168" t="inlineStr">
        <is>
          <t>estimated</t>
        </is>
      </c>
      <c r="J2168">
        <v>0.35</v>
      </c>
      <c r="K2168" t="inlineStr">
        <is>
          <t>Area per lipid varies with phase, temperature, cholesterol, hydration, and force field.</t>
        </is>
      </c>
    </row>
    <row r="2169">
      <c r="A2169" t="inlineStr">
        <is>
          <t>LIP_DSPC</t>
        </is>
      </c>
      <c r="B2169" t="inlineStr">
        <is>
          <t>molecular_weight_g_mol</t>
        </is>
      </c>
      <c r="C2169">
        <v>790.15</v>
      </c>
      <c r="D2169" t="inlineStr">
        <is>
          <t>g/mol</t>
        </is>
      </c>
      <c r="E2169"/>
      <c r="F2169"/>
      <c r="G2169" t="inlineStr">
        <is>
          <t>LIPID MAPS/supplier formula or average grade MW</t>
        </is>
      </c>
      <c r="H2169" t="inlineStr">
        <is>
          <t>S004_LIPIDMAPS</t>
        </is>
      </c>
      <c r="I2169" t="inlineStr">
        <is>
          <t>database-derived</t>
        </is>
      </c>
      <c r="J2169">
        <v>0.78</v>
      </c>
      <c r="K2169"/>
    </row>
    <row r="2170">
      <c r="A2170" t="inlineStr">
        <is>
          <t>LIP_DSPC</t>
        </is>
      </c>
      <c r="B2170" t="inlineStr">
        <is>
          <t>lipid_class</t>
        </is>
      </c>
      <c r="C2170" t="inlineStr">
        <is>
          <t>PC</t>
        </is>
      </c>
      <c r="D2170"/>
      <c r="E2170"/>
      <c r="F2170"/>
      <c r="G2170" t="inlineStr">
        <is>
          <t>lipid class annotation</t>
        </is>
      </c>
      <c r="H2170" t="inlineStr">
        <is>
          <t>S003_AVANTI_PHASE</t>
        </is>
      </c>
      <c r="I2170" t="inlineStr">
        <is>
          <t>curated</t>
        </is>
      </c>
      <c r="J2170">
        <v>0.85</v>
      </c>
      <c r="K2170"/>
    </row>
    <row r="2171">
      <c r="A2171" t="inlineStr">
        <is>
          <t>LIP_DSPC</t>
        </is>
      </c>
      <c r="B2171" t="inlineStr">
        <is>
          <t>headgroup_type</t>
        </is>
      </c>
      <c r="C2171" t="inlineStr">
        <is>
          <t>PC</t>
        </is>
      </c>
      <c r="D2171"/>
      <c r="E2171"/>
      <c r="F2171"/>
      <c r="G2171" t="inlineStr">
        <is>
          <t>headgroup annotation</t>
        </is>
      </c>
      <c r="H2171" t="inlineStr">
        <is>
          <t>S003_AVANTI_PHASE</t>
        </is>
      </c>
      <c r="I2171" t="inlineStr">
        <is>
          <t>curated</t>
        </is>
      </c>
      <c r="J2171">
        <v>0.85</v>
      </c>
      <c r="K2171"/>
    </row>
    <row r="2172">
      <c r="A2172" t="inlineStr">
        <is>
          <t>LIP_DSPC</t>
        </is>
      </c>
      <c r="B2172" t="inlineStr">
        <is>
          <t>charge_type</t>
        </is>
      </c>
      <c r="C2172" t="inlineStr">
        <is>
          <t>zwitterionic</t>
        </is>
      </c>
      <c r="D2172"/>
      <c r="E2172"/>
      <c r="F2172"/>
      <c r="G2172" t="inlineStr">
        <is>
          <t>nominal at pH 7.4</t>
        </is>
      </c>
      <c r="H2172" t="inlineStr">
        <is>
          <t>S003_AVANTI_PHASE</t>
        </is>
      </c>
      <c r="I2172" t="inlineStr">
        <is>
          <t>curated</t>
        </is>
      </c>
      <c r="J2172">
        <v>0.85</v>
      </c>
      <c r="K2172"/>
    </row>
    <row r="2173">
      <c r="A2173" t="inlineStr">
        <is>
          <t>LIP_DSPC</t>
        </is>
      </c>
      <c r="B2173" t="inlineStr">
        <is>
          <t>formal_charge</t>
        </is>
      </c>
      <c r="C2173">
        <v>0</v>
      </c>
      <c r="D2173" t="inlineStr">
        <is>
          <t>e</t>
        </is>
      </c>
      <c r="E2173"/>
      <c r="F2173"/>
      <c r="G2173" t="inlineStr">
        <is>
          <t>nominal at pH 7.4</t>
        </is>
      </c>
      <c r="H2173" t="inlineStr">
        <is>
          <t>S003_AVANTI_PHASE</t>
        </is>
      </c>
      <c r="I2173" t="inlineStr">
        <is>
          <t>curated</t>
        </is>
      </c>
      <c r="J2173">
        <v>0.85</v>
      </c>
      <c r="K2173"/>
    </row>
    <row r="2174">
      <c r="A2174" t="inlineStr">
        <is>
          <t>LIP_DSPC</t>
        </is>
      </c>
      <c r="B2174" t="inlineStr">
        <is>
          <t>tail_1_carbons</t>
        </is>
      </c>
      <c r="C2174">
        <v>18</v>
      </c>
      <c r="D2174" t="inlineStr">
        <is>
          <t>count</t>
        </is>
      </c>
      <c r="E2174"/>
      <c r="F2174"/>
      <c r="G2174" t="inlineStr">
        <is>
          <t>lipid shorthand annotation</t>
        </is>
      </c>
      <c r="H2174" t="inlineStr">
        <is>
          <t>S003_AVANTI_PHASE</t>
        </is>
      </c>
      <c r="I2174" t="inlineStr">
        <is>
          <t>curated</t>
        </is>
      </c>
      <c r="J2174">
        <v>0.86</v>
      </c>
      <c r="K2174"/>
    </row>
    <row r="2175">
      <c r="A2175" t="inlineStr">
        <is>
          <t>LIP_DSPC</t>
        </is>
      </c>
      <c r="B2175" t="inlineStr">
        <is>
          <t>tail_1_unsaturation</t>
        </is>
      </c>
      <c r="C2175">
        <v>0</v>
      </c>
      <c r="D2175" t="inlineStr">
        <is>
          <t>double_bonds</t>
        </is>
      </c>
      <c r="E2175"/>
      <c r="F2175"/>
      <c r="G2175" t="inlineStr">
        <is>
          <t>lipid shorthand annotation</t>
        </is>
      </c>
      <c r="H2175" t="inlineStr">
        <is>
          <t>S003_AVANTI_PHASE</t>
        </is>
      </c>
      <c r="I2175" t="inlineStr">
        <is>
          <t>curated</t>
        </is>
      </c>
      <c r="J2175">
        <v>0.86</v>
      </c>
      <c r="K2175"/>
    </row>
    <row r="2176">
      <c r="A2176" t="inlineStr">
        <is>
          <t>LIP_DSPC</t>
        </is>
      </c>
      <c r="B2176" t="inlineStr">
        <is>
          <t>tail_2_carbons</t>
        </is>
      </c>
      <c r="C2176">
        <v>18</v>
      </c>
      <c r="D2176" t="inlineStr">
        <is>
          <t>count</t>
        </is>
      </c>
      <c r="E2176"/>
      <c r="F2176"/>
      <c r="G2176" t="inlineStr">
        <is>
          <t>lipid shorthand annotation</t>
        </is>
      </c>
      <c r="H2176" t="inlineStr">
        <is>
          <t>S003_AVANTI_PHASE</t>
        </is>
      </c>
      <c r="I2176" t="inlineStr">
        <is>
          <t>curated</t>
        </is>
      </c>
      <c r="J2176">
        <v>0.86</v>
      </c>
      <c r="K2176"/>
    </row>
    <row r="2177">
      <c r="A2177" t="inlineStr">
        <is>
          <t>LIP_DSPC</t>
        </is>
      </c>
      <c r="B2177" t="inlineStr">
        <is>
          <t>tail_2_unsaturation</t>
        </is>
      </c>
      <c r="C2177">
        <v>0</v>
      </c>
      <c r="D2177" t="inlineStr">
        <is>
          <t>double_bonds</t>
        </is>
      </c>
      <c r="E2177"/>
      <c r="F2177"/>
      <c r="G2177" t="inlineStr">
        <is>
          <t>lipid shorthand annotation</t>
        </is>
      </c>
      <c r="H2177" t="inlineStr">
        <is>
          <t>S003_AVANTI_PHASE</t>
        </is>
      </c>
      <c r="I2177" t="inlineStr">
        <is>
          <t>curated</t>
        </is>
      </c>
      <c r="J2177">
        <v>0.86</v>
      </c>
      <c r="K2177"/>
    </row>
    <row r="2178">
      <c r="A2178" t="inlineStr">
        <is>
          <t>LIP_DSPC</t>
        </is>
      </c>
      <c r="B2178" t="inlineStr">
        <is>
          <t>number_of_tails</t>
        </is>
      </c>
      <c r="C2178">
        <v>2</v>
      </c>
      <c r="D2178" t="inlineStr">
        <is>
          <t>count</t>
        </is>
      </c>
      <c r="E2178"/>
      <c r="F2178"/>
      <c r="G2178" t="inlineStr">
        <is>
          <t>lipid shorthand annotation</t>
        </is>
      </c>
      <c r="H2178" t="inlineStr">
        <is>
          <t>S003_AVANTI_PHASE</t>
        </is>
      </c>
      <c r="I2178" t="inlineStr">
        <is>
          <t>curated</t>
        </is>
      </c>
      <c r="J2178">
        <v>0.86</v>
      </c>
      <c r="K2178"/>
    </row>
    <row r="2179">
      <c r="A2179" t="inlineStr">
        <is>
          <t>LIP_DSPC</t>
        </is>
      </c>
      <c r="B2179" t="inlineStr">
        <is>
          <t>critical_packing_notes</t>
        </is>
      </c>
      <c r="C2179" t="inlineStr">
        <is>
          <t>bilayer-forming cylindrical lipid</t>
        </is>
      </c>
      <c r="D2179"/>
      <c r="E2179"/>
      <c r="F2179"/>
      <c r="G2179" t="inlineStr">
        <is>
          <t>CPP heuristic</t>
        </is>
      </c>
      <c r="H2179" t="inlineStr">
        <is>
          <t>S014_AULTON</t>
        </is>
      </c>
      <c r="I2179" t="inlineStr">
        <is>
          <t>curated</t>
        </is>
      </c>
      <c r="J2179">
        <v>0.65</v>
      </c>
      <c r="K2179"/>
    </row>
    <row r="2180">
      <c r="A2180" t="inlineStr">
        <is>
          <t>LIP_DSPC</t>
        </is>
      </c>
      <c r="B2180" t="inlineStr">
        <is>
          <t>membrane_rigidity_contribution</t>
        </is>
      </c>
      <c r="C2180" t="inlineStr">
        <is>
          <t>high</t>
        </is>
      </c>
      <c r="D2180"/>
      <c r="E2180"/>
      <c r="F2180"/>
      <c r="G2180" t="inlineStr">
        <is>
          <t>Tm and unsaturation heuristic</t>
        </is>
      </c>
      <c r="H2180" t="inlineStr">
        <is>
          <t>S003_AVANTI_PHASE</t>
        </is>
      </c>
      <c r="I2180" t="inlineStr">
        <is>
          <t>curated</t>
        </is>
      </c>
      <c r="J2180">
        <v>0.65</v>
      </c>
      <c r="K2180"/>
    </row>
    <row r="2181">
      <c r="A2181" t="inlineStr">
        <is>
          <t>LIP_DSPC</t>
        </is>
      </c>
      <c r="B2181" t="inlineStr">
        <is>
          <t>fusogenic_flag</t>
        </is>
      </c>
      <c r="C2181" t="inlineStr">
        <is>
          <t>no</t>
        </is>
      </c>
      <c r="D2181"/>
      <c r="E2181"/>
      <c r="F2181"/>
      <c r="G2181" t="inlineStr">
        <is>
          <t>role annotation</t>
        </is>
      </c>
      <c r="H2181" t="inlineStr">
        <is>
          <t>S014_AULTON</t>
        </is>
      </c>
      <c r="I2181" t="inlineStr">
        <is>
          <t>curated</t>
        </is>
      </c>
      <c r="J2181">
        <v>0.7</v>
      </c>
      <c r="K2181"/>
    </row>
    <row r="2182">
      <c r="A2182" t="inlineStr">
        <is>
          <t>LIP_DSPC</t>
        </is>
      </c>
      <c r="B2182" t="inlineStr">
        <is>
          <t>PEGylated_flag</t>
        </is>
      </c>
      <c r="C2182" t="inlineStr">
        <is>
          <t>no</t>
        </is>
      </c>
      <c r="D2182"/>
      <c r="E2182"/>
      <c r="F2182"/>
      <c r="G2182" t="inlineStr">
        <is>
          <t>role annotation</t>
        </is>
      </c>
      <c r="H2182" t="inlineStr">
        <is>
          <t>S014_AULTON</t>
        </is>
      </c>
      <c r="I2182" t="inlineStr">
        <is>
          <t>curated</t>
        </is>
      </c>
      <c r="J2182">
        <v>0.85</v>
      </c>
      <c r="K2182"/>
    </row>
    <row r="2183">
      <c r="A2183" t="inlineStr">
        <is>
          <t>LIP_DSPC</t>
        </is>
      </c>
      <c r="B2183" t="inlineStr">
        <is>
          <t>ionizable_flag</t>
        </is>
      </c>
      <c r="C2183" t="inlineStr">
        <is>
          <t>no</t>
        </is>
      </c>
      <c r="D2183"/>
      <c r="E2183"/>
      <c r="F2183"/>
      <c r="G2183" t="inlineStr">
        <is>
          <t>role annotation</t>
        </is>
      </c>
      <c r="H2183" t="inlineStr">
        <is>
          <t>S014_AULTON</t>
        </is>
      </c>
      <c r="I2183" t="inlineStr">
        <is>
          <t>curated</t>
        </is>
      </c>
      <c r="J2183">
        <v>0.85</v>
      </c>
      <c r="K2183"/>
    </row>
    <row r="2184">
      <c r="A2184" t="inlineStr">
        <is>
          <t>LIP_DSPC</t>
        </is>
      </c>
      <c r="B2184" t="inlineStr">
        <is>
          <t>route_suitability</t>
        </is>
      </c>
      <c r="C2184" t="inlineStr">
        <is>
          <t>liposome/LNP; route depends on purity, grade, residual solvents/endotoxin</t>
        </is>
      </c>
      <c r="D2184"/>
      <c r="E2184"/>
      <c r="F2184"/>
      <c r="G2184" t="inlineStr">
        <is>
          <t>route precedent caution</t>
        </is>
      </c>
      <c r="H2184" t="inlineStr">
        <is>
          <t>S008_FDA_IID</t>
        </is>
      </c>
      <c r="I2184" t="inlineStr">
        <is>
          <t>curated</t>
        </is>
      </c>
      <c r="J2184">
        <v>0.55</v>
      </c>
      <c r="K2184"/>
    </row>
    <row r="2185">
      <c r="A2185" t="inlineStr">
        <is>
          <t>LIP_DSPC</t>
        </is>
      </c>
      <c r="B2185" t="inlineStr">
        <is>
          <t>storage_notes</t>
        </is>
      </c>
      <c r="C2185" t="inlineStr">
        <is>
          <t>store cold, dry, inert gas; protect unsaturated/ionizable lipids from oxidation/hydrolysis</t>
        </is>
      </c>
      <c r="D2185"/>
      <c r="E2185"/>
      <c r="F2185"/>
      <c r="G2185" t="inlineStr">
        <is>
          <t>supplier stability convention</t>
        </is>
      </c>
      <c r="H2185" t="inlineStr">
        <is>
          <t>S003_AVANTI_PHASE</t>
        </is>
      </c>
      <c r="I2185" t="inlineStr">
        <is>
          <t>curated</t>
        </is>
      </c>
      <c r="J2185">
        <v>0.7</v>
      </c>
      <c r="K2185"/>
    </row>
    <row r="2186">
      <c r="A2186" t="inlineStr">
        <is>
          <t>LIP_DSPC</t>
        </is>
      </c>
      <c r="B2186" t="inlineStr">
        <is>
          <t>phase_transition_temperature_C</t>
        </is>
      </c>
      <c r="C2186">
        <v>55</v>
      </c>
      <c r="D2186" t="inlineStr">
        <is>
          <t>°C</t>
        </is>
      </c>
      <c r="E2186"/>
      <c r="F2186"/>
      <c r="G2186" t="inlineStr">
        <is>
          <t>main transition temperature, DSC/lipid supplier data</t>
        </is>
      </c>
      <c r="H2186" t="inlineStr">
        <is>
          <t>S003_AVANTI_PHASE</t>
        </is>
      </c>
      <c r="I2186" t="inlineStr">
        <is>
          <t>supplier-reported</t>
        </is>
      </c>
      <c r="J2186">
        <v>0.78</v>
      </c>
      <c r="K2186"/>
    </row>
    <row r="2187">
      <c r="A2187" t="inlineStr">
        <is>
          <t>LIP_DSPC</t>
        </is>
      </c>
      <c r="B2187" t="inlineStr">
        <is>
          <t>Hansen_delta_D</t>
        </is>
      </c>
      <c r="C2187">
        <v>17.5</v>
      </c>
      <c r="D2187" t="inlineStr">
        <is>
          <t>MPa^0.5</t>
        </is>
      </c>
      <c r="E2187"/>
      <c r="F2187"/>
      <c r="G2187" t="inlineStr">
        <is>
          <t>heuristic group-contribution/nearest-neighbour</t>
        </is>
      </c>
      <c r="H2187" t="inlineStr">
        <is>
          <t>S013_EST_HSP_HEURISTIC</t>
        </is>
      </c>
      <c r="I2187" t="inlineStr">
        <is>
          <t>estimated</t>
        </is>
      </c>
      <c r="J2187">
        <v>0.38</v>
      </c>
      <c r="K2187" t="inlineStr">
        <is>
          <t>Provisional HSP for screening; replace with experimental/literature value before model lock.</t>
        </is>
      </c>
    </row>
    <row r="2188">
      <c r="A2188" t="inlineStr">
        <is>
          <t>LIP_DSPC</t>
        </is>
      </c>
      <c r="B2188" t="inlineStr">
        <is>
          <t>Hansen_delta_P</t>
        </is>
      </c>
      <c r="C2188">
        <v>5.5</v>
      </c>
      <c r="D2188" t="inlineStr">
        <is>
          <t>MPa^0.5</t>
        </is>
      </c>
      <c r="E2188"/>
      <c r="F2188"/>
      <c r="G2188" t="inlineStr">
        <is>
          <t>heuristic group-contribution/nearest-neighbour</t>
        </is>
      </c>
      <c r="H2188" t="inlineStr">
        <is>
          <t>S013_EST_HSP_HEURISTIC</t>
        </is>
      </c>
      <c r="I2188" t="inlineStr">
        <is>
          <t>estimated</t>
        </is>
      </c>
      <c r="J2188">
        <v>0.38</v>
      </c>
      <c r="K2188" t="inlineStr">
        <is>
          <t>Provisional HSP for screening; replace with experimental/literature value before model lock.</t>
        </is>
      </c>
    </row>
    <row r="2189">
      <c r="A2189" t="inlineStr">
        <is>
          <t>LIP_DSPC</t>
        </is>
      </c>
      <c r="B2189" t="inlineStr">
        <is>
          <t>Hansen_delta_H</t>
        </is>
      </c>
      <c r="C2189">
        <v>8.0</v>
      </c>
      <c r="D2189" t="inlineStr">
        <is>
          <t>MPa^0.5</t>
        </is>
      </c>
      <c r="E2189"/>
      <c r="F2189"/>
      <c r="G2189" t="inlineStr">
        <is>
          <t>heuristic group-contribution/nearest-neighbour</t>
        </is>
      </c>
      <c r="H2189" t="inlineStr">
        <is>
          <t>S013_EST_HSP_HEURISTIC</t>
        </is>
      </c>
      <c r="I2189" t="inlineStr">
        <is>
          <t>estimated</t>
        </is>
      </c>
      <c r="J2189">
        <v>0.38</v>
      </c>
      <c r="K2189" t="inlineStr">
        <is>
          <t>Provisional HSP for screening; replace with experimental/literature value before model lock.</t>
        </is>
      </c>
    </row>
    <row r="2190">
      <c r="A2190" t="inlineStr">
        <is>
          <t>LIP_DSPC</t>
        </is>
      </c>
      <c r="B2190" t="inlineStr">
        <is>
          <t>Hildebrand_delta_T</t>
        </is>
      </c>
      <c r="C2190">
        <v>20.01</v>
      </c>
      <c r="D2190" t="inlineStr">
        <is>
          <t>MPa^0.5</t>
        </is>
      </c>
      <c r="E2190"/>
      <c r="F2190"/>
      <c r="G2190" t="inlineStr">
        <is>
          <t>sqrt(deltaD^2+deltaP^2+deltaH^2)</t>
        </is>
      </c>
      <c r="H2190" t="inlineStr">
        <is>
          <t>S012_CALCULATED</t>
        </is>
      </c>
      <c r="I2190" t="inlineStr">
        <is>
          <t>calculated</t>
        </is>
      </c>
      <c r="J2190">
        <v>0.43</v>
      </c>
      <c r="K2190" t="inlineStr">
        <is>
          <t>Derived from stored Hansen components.</t>
        </is>
      </c>
    </row>
    <row r="2191">
      <c r="A2191" t="inlineStr">
        <is>
          <t>LIP_DSPC</t>
        </is>
      </c>
      <c r="B2191" t="inlineStr">
        <is>
          <t>HSP_radius_R0</t>
        </is>
      </c>
      <c r="C2191">
        <v>8.0</v>
      </c>
      <c r="D2191" t="inlineStr">
        <is>
          <t>MPa^0.5</t>
        </is>
      </c>
      <c r="E2191"/>
      <c r="F2191"/>
      <c r="G2191" t="inlineStr">
        <is>
          <t>literature/heuristic solubility sphere</t>
        </is>
      </c>
      <c r="H2191" t="inlineStr">
        <is>
          <t>S013_EST_HSP_HEURISTIC</t>
        </is>
      </c>
      <c r="I2191" t="inlineStr">
        <is>
          <t>estimated</t>
        </is>
      </c>
      <c r="J2191">
        <v>0.38</v>
      </c>
      <c r="K2191" t="inlineStr">
        <is>
          <t>Screening radius only unless experimentally determined.</t>
        </is>
      </c>
    </row>
    <row r="2192">
      <c r="A2192" t="inlineStr">
        <is>
          <t>LIP_DSPC</t>
        </is>
      </c>
      <c r="B2192" t="inlineStr">
        <is>
          <t>molar_volume_cm3_mol</t>
        </is>
      </c>
      <c r="C2192">
        <v>790.15</v>
      </c>
      <c r="D2192" t="inlineStr">
        <is>
          <t>cm3/mol</t>
        </is>
      </c>
      <c r="E2192"/>
      <c r="F2192"/>
      <c r="G2192" t="inlineStr">
        <is>
          <t>MW/density estimate</t>
        </is>
      </c>
      <c r="H2192" t="inlineStr">
        <is>
          <t>S012_CALCULATED</t>
        </is>
      </c>
      <c r="I2192" t="inlineStr">
        <is>
          <t>estimated</t>
        </is>
      </c>
      <c r="J2192">
        <v>0.42</v>
      </c>
      <c r="K2192" t="inlineStr">
        <is>
          <t>Estimated from MW/density; replace with measured molar volume or density-specific grade data.</t>
        </is>
      </c>
    </row>
    <row r="2193">
      <c r="A2193" t="inlineStr">
        <is>
          <t>LIP_DSPC</t>
        </is>
      </c>
      <c r="B2193" t="inlineStr">
        <is>
          <t>headgroup_area_nm2</t>
        </is>
      </c>
      <c r="C2193">
        <v>0.64</v>
      </c>
      <c r="D2193" t="inlineStr">
        <is>
          <t>nm2</t>
        </is>
      </c>
      <c r="E2193"/>
      <c r="F2193"/>
      <c r="G2193" t="inlineStr">
        <is>
          <t>literature/MD heuristic</t>
        </is>
      </c>
      <c r="H2193" t="inlineStr">
        <is>
          <t>S013_EST_HSP_HEURISTIC</t>
        </is>
      </c>
      <c r="I2193" t="inlineStr">
        <is>
          <t>estimated</t>
        </is>
      </c>
      <c r="J2193">
        <v>0.35</v>
      </c>
      <c r="K2193" t="inlineStr">
        <is>
          <t>Area per lipid varies with phase, temperature, cholesterol, hydration, and force field.</t>
        </is>
      </c>
    </row>
    <row r="2194">
      <c r="A2194" t="inlineStr">
        <is>
          <t>LIP_DOPC</t>
        </is>
      </c>
      <c r="B2194" t="inlineStr">
        <is>
          <t>molecular_weight_g_mol</t>
        </is>
      </c>
      <c r="C2194">
        <v>786.11</v>
      </c>
      <c r="D2194" t="inlineStr">
        <is>
          <t>g/mol</t>
        </is>
      </c>
      <c r="E2194"/>
      <c r="F2194"/>
      <c r="G2194" t="inlineStr">
        <is>
          <t>LIPID MAPS/supplier formula or average grade MW</t>
        </is>
      </c>
      <c r="H2194" t="inlineStr">
        <is>
          <t>S004_LIPIDMAPS</t>
        </is>
      </c>
      <c r="I2194" t="inlineStr">
        <is>
          <t>database-derived</t>
        </is>
      </c>
      <c r="J2194">
        <v>0.78</v>
      </c>
      <c r="K2194"/>
    </row>
    <row r="2195">
      <c r="A2195" t="inlineStr">
        <is>
          <t>LIP_DOPC</t>
        </is>
      </c>
      <c r="B2195" t="inlineStr">
        <is>
          <t>lipid_class</t>
        </is>
      </c>
      <c r="C2195" t="inlineStr">
        <is>
          <t>PC</t>
        </is>
      </c>
      <c r="D2195"/>
      <c r="E2195"/>
      <c r="F2195"/>
      <c r="G2195" t="inlineStr">
        <is>
          <t>lipid class annotation</t>
        </is>
      </c>
      <c r="H2195" t="inlineStr">
        <is>
          <t>S003_AVANTI_PHASE</t>
        </is>
      </c>
      <c r="I2195" t="inlineStr">
        <is>
          <t>curated</t>
        </is>
      </c>
      <c r="J2195">
        <v>0.85</v>
      </c>
      <c r="K2195"/>
    </row>
    <row r="2196">
      <c r="A2196" t="inlineStr">
        <is>
          <t>LIP_DOPC</t>
        </is>
      </c>
      <c r="B2196" t="inlineStr">
        <is>
          <t>headgroup_type</t>
        </is>
      </c>
      <c r="C2196" t="inlineStr">
        <is>
          <t>PC</t>
        </is>
      </c>
      <c r="D2196"/>
      <c r="E2196"/>
      <c r="F2196"/>
      <c r="G2196" t="inlineStr">
        <is>
          <t>headgroup annotation</t>
        </is>
      </c>
      <c r="H2196" t="inlineStr">
        <is>
          <t>S003_AVANTI_PHASE</t>
        </is>
      </c>
      <c r="I2196" t="inlineStr">
        <is>
          <t>curated</t>
        </is>
      </c>
      <c r="J2196">
        <v>0.85</v>
      </c>
      <c r="K2196"/>
    </row>
    <row r="2197">
      <c r="A2197" t="inlineStr">
        <is>
          <t>LIP_DOPC</t>
        </is>
      </c>
      <c r="B2197" t="inlineStr">
        <is>
          <t>charge_type</t>
        </is>
      </c>
      <c r="C2197" t="inlineStr">
        <is>
          <t>zwitterionic</t>
        </is>
      </c>
      <c r="D2197"/>
      <c r="E2197"/>
      <c r="F2197"/>
      <c r="G2197" t="inlineStr">
        <is>
          <t>nominal at pH 7.4</t>
        </is>
      </c>
      <c r="H2197" t="inlineStr">
        <is>
          <t>S003_AVANTI_PHASE</t>
        </is>
      </c>
      <c r="I2197" t="inlineStr">
        <is>
          <t>curated</t>
        </is>
      </c>
      <c r="J2197">
        <v>0.85</v>
      </c>
      <c r="K2197"/>
    </row>
    <row r="2198">
      <c r="A2198" t="inlineStr">
        <is>
          <t>LIP_DOPC</t>
        </is>
      </c>
      <c r="B2198" t="inlineStr">
        <is>
          <t>formal_charge</t>
        </is>
      </c>
      <c r="C2198">
        <v>0</v>
      </c>
      <c r="D2198" t="inlineStr">
        <is>
          <t>e</t>
        </is>
      </c>
      <c r="E2198"/>
      <c r="F2198"/>
      <c r="G2198" t="inlineStr">
        <is>
          <t>nominal at pH 7.4</t>
        </is>
      </c>
      <c r="H2198" t="inlineStr">
        <is>
          <t>S003_AVANTI_PHASE</t>
        </is>
      </c>
      <c r="I2198" t="inlineStr">
        <is>
          <t>curated</t>
        </is>
      </c>
      <c r="J2198">
        <v>0.85</v>
      </c>
      <c r="K2198"/>
    </row>
    <row r="2199">
      <c r="A2199" t="inlineStr">
        <is>
          <t>LIP_DOPC</t>
        </is>
      </c>
      <c r="B2199" t="inlineStr">
        <is>
          <t>tail_1_carbons</t>
        </is>
      </c>
      <c r="C2199">
        <v>18</v>
      </c>
      <c r="D2199" t="inlineStr">
        <is>
          <t>count</t>
        </is>
      </c>
      <c r="E2199"/>
      <c r="F2199"/>
      <c r="G2199" t="inlineStr">
        <is>
          <t>lipid shorthand annotation</t>
        </is>
      </c>
      <c r="H2199" t="inlineStr">
        <is>
          <t>S003_AVANTI_PHASE</t>
        </is>
      </c>
      <c r="I2199" t="inlineStr">
        <is>
          <t>curated</t>
        </is>
      </c>
      <c r="J2199">
        <v>0.86</v>
      </c>
      <c r="K2199"/>
    </row>
    <row r="2200">
      <c r="A2200" t="inlineStr">
        <is>
          <t>LIP_DOPC</t>
        </is>
      </c>
      <c r="B2200" t="inlineStr">
        <is>
          <t>tail_1_unsaturation</t>
        </is>
      </c>
      <c r="C2200">
        <v>1</v>
      </c>
      <c r="D2200" t="inlineStr">
        <is>
          <t>double_bonds</t>
        </is>
      </c>
      <c r="E2200"/>
      <c r="F2200"/>
      <c r="G2200" t="inlineStr">
        <is>
          <t>lipid shorthand annotation</t>
        </is>
      </c>
      <c r="H2200" t="inlineStr">
        <is>
          <t>S003_AVANTI_PHASE</t>
        </is>
      </c>
      <c r="I2200" t="inlineStr">
        <is>
          <t>curated</t>
        </is>
      </c>
      <c r="J2200">
        <v>0.86</v>
      </c>
      <c r="K2200"/>
    </row>
    <row r="2201">
      <c r="A2201" t="inlineStr">
        <is>
          <t>LIP_DOPC</t>
        </is>
      </c>
      <c r="B2201" t="inlineStr">
        <is>
          <t>tail_2_carbons</t>
        </is>
      </c>
      <c r="C2201">
        <v>18</v>
      </c>
      <c r="D2201" t="inlineStr">
        <is>
          <t>count</t>
        </is>
      </c>
      <c r="E2201"/>
      <c r="F2201"/>
      <c r="G2201" t="inlineStr">
        <is>
          <t>lipid shorthand annotation</t>
        </is>
      </c>
      <c r="H2201" t="inlineStr">
        <is>
          <t>S003_AVANTI_PHASE</t>
        </is>
      </c>
      <c r="I2201" t="inlineStr">
        <is>
          <t>curated</t>
        </is>
      </c>
      <c r="J2201">
        <v>0.86</v>
      </c>
      <c r="K2201"/>
    </row>
    <row r="2202">
      <c r="A2202" t="inlineStr">
        <is>
          <t>LIP_DOPC</t>
        </is>
      </c>
      <c r="B2202" t="inlineStr">
        <is>
          <t>tail_2_unsaturation</t>
        </is>
      </c>
      <c r="C2202">
        <v>1</v>
      </c>
      <c r="D2202" t="inlineStr">
        <is>
          <t>double_bonds</t>
        </is>
      </c>
      <c r="E2202"/>
      <c r="F2202"/>
      <c r="G2202" t="inlineStr">
        <is>
          <t>lipid shorthand annotation</t>
        </is>
      </c>
      <c r="H2202" t="inlineStr">
        <is>
          <t>S003_AVANTI_PHASE</t>
        </is>
      </c>
      <c r="I2202" t="inlineStr">
        <is>
          <t>curated</t>
        </is>
      </c>
      <c r="J2202">
        <v>0.86</v>
      </c>
      <c r="K2202"/>
    </row>
    <row r="2203">
      <c r="A2203" t="inlineStr">
        <is>
          <t>LIP_DOPC</t>
        </is>
      </c>
      <c r="B2203" t="inlineStr">
        <is>
          <t>number_of_tails</t>
        </is>
      </c>
      <c r="C2203">
        <v>2</v>
      </c>
      <c r="D2203" t="inlineStr">
        <is>
          <t>count</t>
        </is>
      </c>
      <c r="E2203"/>
      <c r="F2203"/>
      <c r="G2203" t="inlineStr">
        <is>
          <t>lipid shorthand annotation</t>
        </is>
      </c>
      <c r="H2203" t="inlineStr">
        <is>
          <t>S003_AVANTI_PHASE</t>
        </is>
      </c>
      <c r="I2203" t="inlineStr">
        <is>
          <t>curated</t>
        </is>
      </c>
      <c r="J2203">
        <v>0.86</v>
      </c>
      <c r="K2203"/>
    </row>
    <row r="2204">
      <c r="A2204" t="inlineStr">
        <is>
          <t>LIP_DOPC</t>
        </is>
      </c>
      <c r="B2204" t="inlineStr">
        <is>
          <t>critical_packing_notes</t>
        </is>
      </c>
      <c r="C2204" t="inlineStr">
        <is>
          <t>bilayer-forming cylindrical lipid</t>
        </is>
      </c>
      <c r="D2204"/>
      <c r="E2204"/>
      <c r="F2204"/>
      <c r="G2204" t="inlineStr">
        <is>
          <t>CPP heuristic</t>
        </is>
      </c>
      <c r="H2204" t="inlineStr">
        <is>
          <t>S014_AULTON</t>
        </is>
      </c>
      <c r="I2204" t="inlineStr">
        <is>
          <t>curated</t>
        </is>
      </c>
      <c r="J2204">
        <v>0.65</v>
      </c>
      <c r="K2204"/>
    </row>
    <row r="2205">
      <c r="A2205" t="inlineStr">
        <is>
          <t>LIP_DOPC</t>
        </is>
      </c>
      <c r="B2205" t="inlineStr">
        <is>
          <t>membrane_rigidity_contribution</t>
        </is>
      </c>
      <c r="C2205" t="inlineStr">
        <is>
          <t>fluidizing</t>
        </is>
      </c>
      <c r="D2205"/>
      <c r="E2205"/>
      <c r="F2205"/>
      <c r="G2205" t="inlineStr">
        <is>
          <t>Tm and unsaturation heuristic</t>
        </is>
      </c>
      <c r="H2205" t="inlineStr">
        <is>
          <t>S003_AVANTI_PHASE</t>
        </is>
      </c>
      <c r="I2205" t="inlineStr">
        <is>
          <t>curated</t>
        </is>
      </c>
      <c r="J2205">
        <v>0.65</v>
      </c>
      <c r="K2205"/>
    </row>
    <row r="2206">
      <c r="A2206" t="inlineStr">
        <is>
          <t>LIP_DOPC</t>
        </is>
      </c>
      <c r="B2206" t="inlineStr">
        <is>
          <t>fusogenic_flag</t>
        </is>
      </c>
      <c r="C2206" t="inlineStr">
        <is>
          <t>no</t>
        </is>
      </c>
      <c r="D2206"/>
      <c r="E2206"/>
      <c r="F2206"/>
      <c r="G2206" t="inlineStr">
        <is>
          <t>role annotation</t>
        </is>
      </c>
      <c r="H2206" t="inlineStr">
        <is>
          <t>S014_AULTON</t>
        </is>
      </c>
      <c r="I2206" t="inlineStr">
        <is>
          <t>curated</t>
        </is>
      </c>
      <c r="J2206">
        <v>0.7</v>
      </c>
      <c r="K2206"/>
    </row>
    <row r="2207">
      <c r="A2207" t="inlineStr">
        <is>
          <t>LIP_DOPC</t>
        </is>
      </c>
      <c r="B2207" t="inlineStr">
        <is>
          <t>PEGylated_flag</t>
        </is>
      </c>
      <c r="C2207" t="inlineStr">
        <is>
          <t>no</t>
        </is>
      </c>
      <c r="D2207"/>
      <c r="E2207"/>
      <c r="F2207"/>
      <c r="G2207" t="inlineStr">
        <is>
          <t>role annotation</t>
        </is>
      </c>
      <c r="H2207" t="inlineStr">
        <is>
          <t>S014_AULTON</t>
        </is>
      </c>
      <c r="I2207" t="inlineStr">
        <is>
          <t>curated</t>
        </is>
      </c>
      <c r="J2207">
        <v>0.85</v>
      </c>
      <c r="K2207"/>
    </row>
    <row r="2208">
      <c r="A2208" t="inlineStr">
        <is>
          <t>LIP_DOPC</t>
        </is>
      </c>
      <c r="B2208" t="inlineStr">
        <is>
          <t>ionizable_flag</t>
        </is>
      </c>
      <c r="C2208" t="inlineStr">
        <is>
          <t>no</t>
        </is>
      </c>
      <c r="D2208"/>
      <c r="E2208"/>
      <c r="F2208"/>
      <c r="G2208" t="inlineStr">
        <is>
          <t>role annotation</t>
        </is>
      </c>
      <c r="H2208" t="inlineStr">
        <is>
          <t>S014_AULTON</t>
        </is>
      </c>
      <c r="I2208" t="inlineStr">
        <is>
          <t>curated</t>
        </is>
      </c>
      <c r="J2208">
        <v>0.85</v>
      </c>
      <c r="K2208"/>
    </row>
    <row r="2209">
      <c r="A2209" t="inlineStr">
        <is>
          <t>LIP_DOPC</t>
        </is>
      </c>
      <c r="B2209" t="inlineStr">
        <is>
          <t>route_suitability</t>
        </is>
      </c>
      <c r="C2209" t="inlineStr">
        <is>
          <t>liposome/LNP; route depends on purity, grade, residual solvents/endotoxin</t>
        </is>
      </c>
      <c r="D2209"/>
      <c r="E2209"/>
      <c r="F2209"/>
      <c r="G2209" t="inlineStr">
        <is>
          <t>route precedent caution</t>
        </is>
      </c>
      <c r="H2209" t="inlineStr">
        <is>
          <t>S008_FDA_IID</t>
        </is>
      </c>
      <c r="I2209" t="inlineStr">
        <is>
          <t>curated</t>
        </is>
      </c>
      <c r="J2209">
        <v>0.55</v>
      </c>
      <c r="K2209"/>
    </row>
    <row r="2210">
      <c r="A2210" t="inlineStr">
        <is>
          <t>LIP_DOPC</t>
        </is>
      </c>
      <c r="B2210" t="inlineStr">
        <is>
          <t>storage_notes</t>
        </is>
      </c>
      <c r="C2210" t="inlineStr">
        <is>
          <t>store cold, dry, inert gas; protect unsaturated/ionizable lipids from oxidation/hydrolysis</t>
        </is>
      </c>
      <c r="D2210"/>
      <c r="E2210"/>
      <c r="F2210"/>
      <c r="G2210" t="inlineStr">
        <is>
          <t>supplier stability convention</t>
        </is>
      </c>
      <c r="H2210" t="inlineStr">
        <is>
          <t>S003_AVANTI_PHASE</t>
        </is>
      </c>
      <c r="I2210" t="inlineStr">
        <is>
          <t>curated</t>
        </is>
      </c>
      <c r="J2210">
        <v>0.7</v>
      </c>
      <c r="K2210"/>
    </row>
    <row r="2211">
      <c r="A2211" t="inlineStr">
        <is>
          <t>LIP_DOPC</t>
        </is>
      </c>
      <c r="B2211" t="inlineStr">
        <is>
          <t>phase_transition_temperature_C</t>
        </is>
      </c>
      <c r="C2211">
        <v>-17</v>
      </c>
      <c r="D2211" t="inlineStr">
        <is>
          <t>°C</t>
        </is>
      </c>
      <c r="E2211"/>
      <c r="F2211"/>
      <c r="G2211" t="inlineStr">
        <is>
          <t>main transition temperature, DSC/lipid supplier data</t>
        </is>
      </c>
      <c r="H2211" t="inlineStr">
        <is>
          <t>S003_AVANTI_PHASE</t>
        </is>
      </c>
      <c r="I2211" t="inlineStr">
        <is>
          <t>supplier-reported</t>
        </is>
      </c>
      <c r="J2211">
        <v>0.78</v>
      </c>
      <c r="K2211"/>
    </row>
    <row r="2212">
      <c r="A2212" t="inlineStr">
        <is>
          <t>LIP_DOPC</t>
        </is>
      </c>
      <c r="B2212" t="inlineStr">
        <is>
          <t>Hansen_delta_D</t>
        </is>
      </c>
      <c r="C2212">
        <v>17.5</v>
      </c>
      <c r="D2212" t="inlineStr">
        <is>
          <t>MPa^0.5</t>
        </is>
      </c>
      <c r="E2212"/>
      <c r="F2212"/>
      <c r="G2212" t="inlineStr">
        <is>
          <t>heuristic group-contribution/nearest-neighbour</t>
        </is>
      </c>
      <c r="H2212" t="inlineStr">
        <is>
          <t>S013_EST_HSP_HEURISTIC</t>
        </is>
      </c>
      <c r="I2212" t="inlineStr">
        <is>
          <t>estimated</t>
        </is>
      </c>
      <c r="J2212">
        <v>0.38</v>
      </c>
      <c r="K2212" t="inlineStr">
        <is>
          <t>Provisional HSP for screening; replace with experimental/literature value before model lock.</t>
        </is>
      </c>
    </row>
    <row r="2213">
      <c r="A2213" t="inlineStr">
        <is>
          <t>LIP_DOPC</t>
        </is>
      </c>
      <c r="B2213" t="inlineStr">
        <is>
          <t>Hansen_delta_P</t>
        </is>
      </c>
      <c r="C2213">
        <v>5.5</v>
      </c>
      <c r="D2213" t="inlineStr">
        <is>
          <t>MPa^0.5</t>
        </is>
      </c>
      <c r="E2213"/>
      <c r="F2213"/>
      <c r="G2213" t="inlineStr">
        <is>
          <t>heuristic group-contribution/nearest-neighbour</t>
        </is>
      </c>
      <c r="H2213" t="inlineStr">
        <is>
          <t>S013_EST_HSP_HEURISTIC</t>
        </is>
      </c>
      <c r="I2213" t="inlineStr">
        <is>
          <t>estimated</t>
        </is>
      </c>
      <c r="J2213">
        <v>0.38</v>
      </c>
      <c r="K2213" t="inlineStr">
        <is>
          <t>Provisional HSP for screening; replace with experimental/literature value before model lock.</t>
        </is>
      </c>
    </row>
    <row r="2214">
      <c r="A2214" t="inlineStr">
        <is>
          <t>LIP_DOPC</t>
        </is>
      </c>
      <c r="B2214" t="inlineStr">
        <is>
          <t>Hansen_delta_H</t>
        </is>
      </c>
      <c r="C2214">
        <v>8.0</v>
      </c>
      <c r="D2214" t="inlineStr">
        <is>
          <t>MPa^0.5</t>
        </is>
      </c>
      <c r="E2214"/>
      <c r="F2214"/>
      <c r="G2214" t="inlineStr">
        <is>
          <t>heuristic group-contribution/nearest-neighbour</t>
        </is>
      </c>
      <c r="H2214" t="inlineStr">
        <is>
          <t>S013_EST_HSP_HEURISTIC</t>
        </is>
      </c>
      <c r="I2214" t="inlineStr">
        <is>
          <t>estimated</t>
        </is>
      </c>
      <c r="J2214">
        <v>0.38</v>
      </c>
      <c r="K2214" t="inlineStr">
        <is>
          <t>Provisional HSP for screening; replace with experimental/literature value before model lock.</t>
        </is>
      </c>
    </row>
    <row r="2215">
      <c r="A2215" t="inlineStr">
        <is>
          <t>LIP_DOPC</t>
        </is>
      </c>
      <c r="B2215" t="inlineStr">
        <is>
          <t>Hildebrand_delta_T</t>
        </is>
      </c>
      <c r="C2215">
        <v>20.01</v>
      </c>
      <c r="D2215" t="inlineStr">
        <is>
          <t>MPa^0.5</t>
        </is>
      </c>
      <c r="E2215"/>
      <c r="F2215"/>
      <c r="G2215" t="inlineStr">
        <is>
          <t>sqrt(deltaD^2+deltaP^2+deltaH^2)</t>
        </is>
      </c>
      <c r="H2215" t="inlineStr">
        <is>
          <t>S012_CALCULATED</t>
        </is>
      </c>
      <c r="I2215" t="inlineStr">
        <is>
          <t>calculated</t>
        </is>
      </c>
      <c r="J2215">
        <v>0.43</v>
      </c>
      <c r="K2215" t="inlineStr">
        <is>
          <t>Derived from stored Hansen components.</t>
        </is>
      </c>
    </row>
    <row r="2216">
      <c r="A2216" t="inlineStr">
        <is>
          <t>LIP_DOPC</t>
        </is>
      </c>
      <c r="B2216" t="inlineStr">
        <is>
          <t>HSP_radius_R0</t>
        </is>
      </c>
      <c r="C2216">
        <v>8.0</v>
      </c>
      <c r="D2216" t="inlineStr">
        <is>
          <t>MPa^0.5</t>
        </is>
      </c>
      <c r="E2216"/>
      <c r="F2216"/>
      <c r="G2216" t="inlineStr">
        <is>
          <t>literature/heuristic solubility sphere</t>
        </is>
      </c>
      <c r="H2216" t="inlineStr">
        <is>
          <t>S013_EST_HSP_HEURISTIC</t>
        </is>
      </c>
      <c r="I2216" t="inlineStr">
        <is>
          <t>estimated</t>
        </is>
      </c>
      <c r="J2216">
        <v>0.38</v>
      </c>
      <c r="K2216" t="inlineStr">
        <is>
          <t>Screening radius only unless experimentally determined.</t>
        </is>
      </c>
    </row>
    <row r="2217">
      <c r="A2217" t="inlineStr">
        <is>
          <t>LIP_DOPC</t>
        </is>
      </c>
      <c r="B2217" t="inlineStr">
        <is>
          <t>molar_volume_cm3_mol</t>
        </is>
      </c>
      <c r="C2217">
        <v>786.11</v>
      </c>
      <c r="D2217" t="inlineStr">
        <is>
          <t>cm3/mol</t>
        </is>
      </c>
      <c r="E2217"/>
      <c r="F2217"/>
      <c r="G2217" t="inlineStr">
        <is>
          <t>MW/density estimate</t>
        </is>
      </c>
      <c r="H2217" t="inlineStr">
        <is>
          <t>S012_CALCULATED</t>
        </is>
      </c>
      <c r="I2217" t="inlineStr">
        <is>
          <t>estimated</t>
        </is>
      </c>
      <c r="J2217">
        <v>0.42</v>
      </c>
      <c r="K2217" t="inlineStr">
        <is>
          <t>Estimated from MW/density; replace with measured molar volume or density-specific grade data.</t>
        </is>
      </c>
    </row>
    <row r="2218">
      <c r="A2218" t="inlineStr">
        <is>
          <t>LIP_DOPC</t>
        </is>
      </c>
      <c r="B2218" t="inlineStr">
        <is>
          <t>headgroup_area_nm2</t>
        </is>
      </c>
      <c r="C2218">
        <v>0.64</v>
      </c>
      <c r="D2218" t="inlineStr">
        <is>
          <t>nm2</t>
        </is>
      </c>
      <c r="E2218"/>
      <c r="F2218"/>
      <c r="G2218" t="inlineStr">
        <is>
          <t>literature/MD heuristic</t>
        </is>
      </c>
      <c r="H2218" t="inlineStr">
        <is>
          <t>S013_EST_HSP_HEURISTIC</t>
        </is>
      </c>
      <c r="I2218" t="inlineStr">
        <is>
          <t>estimated</t>
        </is>
      </c>
      <c r="J2218">
        <v>0.35</v>
      </c>
      <c r="K2218" t="inlineStr">
        <is>
          <t>Area per lipid varies with phase, temperature, cholesterol, hydration, and force field.</t>
        </is>
      </c>
    </row>
    <row r="2219">
      <c r="A2219" t="inlineStr">
        <is>
          <t>LIP_POPC</t>
        </is>
      </c>
      <c r="B2219" t="inlineStr">
        <is>
          <t>molecular_weight_g_mol</t>
        </is>
      </c>
      <c r="C2219">
        <v>760.08</v>
      </c>
      <c r="D2219" t="inlineStr">
        <is>
          <t>g/mol</t>
        </is>
      </c>
      <c r="E2219"/>
      <c r="F2219"/>
      <c r="G2219" t="inlineStr">
        <is>
          <t>LIPID MAPS/supplier formula or average grade MW</t>
        </is>
      </c>
      <c r="H2219" t="inlineStr">
        <is>
          <t>S004_LIPIDMAPS</t>
        </is>
      </c>
      <c r="I2219" t="inlineStr">
        <is>
          <t>database-derived</t>
        </is>
      </c>
      <c r="J2219">
        <v>0.78</v>
      </c>
      <c r="K2219"/>
    </row>
    <row r="2220">
      <c r="A2220" t="inlineStr">
        <is>
          <t>LIP_POPC</t>
        </is>
      </c>
      <c r="B2220" t="inlineStr">
        <is>
          <t>lipid_class</t>
        </is>
      </c>
      <c r="C2220" t="inlineStr">
        <is>
          <t>PC</t>
        </is>
      </c>
      <c r="D2220"/>
      <c r="E2220"/>
      <c r="F2220"/>
      <c r="G2220" t="inlineStr">
        <is>
          <t>lipid class annotation</t>
        </is>
      </c>
      <c r="H2220" t="inlineStr">
        <is>
          <t>S003_AVANTI_PHASE</t>
        </is>
      </c>
      <c r="I2220" t="inlineStr">
        <is>
          <t>curated</t>
        </is>
      </c>
      <c r="J2220">
        <v>0.85</v>
      </c>
      <c r="K2220"/>
    </row>
    <row r="2221">
      <c r="A2221" t="inlineStr">
        <is>
          <t>LIP_POPC</t>
        </is>
      </c>
      <c r="B2221" t="inlineStr">
        <is>
          <t>headgroup_type</t>
        </is>
      </c>
      <c r="C2221" t="inlineStr">
        <is>
          <t>PC</t>
        </is>
      </c>
      <c r="D2221"/>
      <c r="E2221"/>
      <c r="F2221"/>
      <c r="G2221" t="inlineStr">
        <is>
          <t>headgroup annotation</t>
        </is>
      </c>
      <c r="H2221" t="inlineStr">
        <is>
          <t>S003_AVANTI_PHASE</t>
        </is>
      </c>
      <c r="I2221" t="inlineStr">
        <is>
          <t>curated</t>
        </is>
      </c>
      <c r="J2221">
        <v>0.85</v>
      </c>
      <c r="K2221"/>
    </row>
    <row r="2222">
      <c r="A2222" t="inlineStr">
        <is>
          <t>LIP_POPC</t>
        </is>
      </c>
      <c r="B2222" t="inlineStr">
        <is>
          <t>charge_type</t>
        </is>
      </c>
      <c r="C2222" t="inlineStr">
        <is>
          <t>zwitterionic</t>
        </is>
      </c>
      <c r="D2222"/>
      <c r="E2222"/>
      <c r="F2222"/>
      <c r="G2222" t="inlineStr">
        <is>
          <t>nominal at pH 7.4</t>
        </is>
      </c>
      <c r="H2222" t="inlineStr">
        <is>
          <t>S003_AVANTI_PHASE</t>
        </is>
      </c>
      <c r="I2222" t="inlineStr">
        <is>
          <t>curated</t>
        </is>
      </c>
      <c r="J2222">
        <v>0.85</v>
      </c>
      <c r="K2222"/>
    </row>
    <row r="2223">
      <c r="A2223" t="inlineStr">
        <is>
          <t>LIP_POPC</t>
        </is>
      </c>
      <c r="B2223" t="inlineStr">
        <is>
          <t>formal_charge</t>
        </is>
      </c>
      <c r="C2223">
        <v>0</v>
      </c>
      <c r="D2223" t="inlineStr">
        <is>
          <t>e</t>
        </is>
      </c>
      <c r="E2223"/>
      <c r="F2223"/>
      <c r="G2223" t="inlineStr">
        <is>
          <t>nominal at pH 7.4</t>
        </is>
      </c>
      <c r="H2223" t="inlineStr">
        <is>
          <t>S003_AVANTI_PHASE</t>
        </is>
      </c>
      <c r="I2223" t="inlineStr">
        <is>
          <t>curated</t>
        </is>
      </c>
      <c r="J2223">
        <v>0.85</v>
      </c>
      <c r="K2223"/>
    </row>
    <row r="2224">
      <c r="A2224" t="inlineStr">
        <is>
          <t>LIP_POPC</t>
        </is>
      </c>
      <c r="B2224" t="inlineStr">
        <is>
          <t>tail_1_carbons</t>
        </is>
      </c>
      <c r="C2224">
        <v>16</v>
      </c>
      <c r="D2224" t="inlineStr">
        <is>
          <t>count</t>
        </is>
      </c>
      <c r="E2224"/>
      <c r="F2224"/>
      <c r="G2224" t="inlineStr">
        <is>
          <t>lipid shorthand annotation</t>
        </is>
      </c>
      <c r="H2224" t="inlineStr">
        <is>
          <t>S003_AVANTI_PHASE</t>
        </is>
      </c>
      <c r="I2224" t="inlineStr">
        <is>
          <t>curated</t>
        </is>
      </c>
      <c r="J2224">
        <v>0.86</v>
      </c>
      <c r="K2224"/>
    </row>
    <row r="2225">
      <c r="A2225" t="inlineStr">
        <is>
          <t>LIP_POPC</t>
        </is>
      </c>
      <c r="B2225" t="inlineStr">
        <is>
          <t>tail_1_unsaturation</t>
        </is>
      </c>
      <c r="C2225">
        <v>0</v>
      </c>
      <c r="D2225" t="inlineStr">
        <is>
          <t>double_bonds</t>
        </is>
      </c>
      <c r="E2225"/>
      <c r="F2225"/>
      <c r="G2225" t="inlineStr">
        <is>
          <t>lipid shorthand annotation</t>
        </is>
      </c>
      <c r="H2225" t="inlineStr">
        <is>
          <t>S003_AVANTI_PHASE</t>
        </is>
      </c>
      <c r="I2225" t="inlineStr">
        <is>
          <t>curated</t>
        </is>
      </c>
      <c r="J2225">
        <v>0.86</v>
      </c>
      <c r="K2225"/>
    </row>
    <row r="2226">
      <c r="A2226" t="inlineStr">
        <is>
          <t>LIP_POPC</t>
        </is>
      </c>
      <c r="B2226" t="inlineStr">
        <is>
          <t>tail_2_carbons</t>
        </is>
      </c>
      <c r="C2226">
        <v>18</v>
      </c>
      <c r="D2226" t="inlineStr">
        <is>
          <t>count</t>
        </is>
      </c>
      <c r="E2226"/>
      <c r="F2226"/>
      <c r="G2226" t="inlineStr">
        <is>
          <t>lipid shorthand annotation</t>
        </is>
      </c>
      <c r="H2226" t="inlineStr">
        <is>
          <t>S003_AVANTI_PHASE</t>
        </is>
      </c>
      <c r="I2226" t="inlineStr">
        <is>
          <t>curated</t>
        </is>
      </c>
      <c r="J2226">
        <v>0.86</v>
      </c>
      <c r="K2226"/>
    </row>
    <row r="2227">
      <c r="A2227" t="inlineStr">
        <is>
          <t>LIP_POPC</t>
        </is>
      </c>
      <c r="B2227" t="inlineStr">
        <is>
          <t>tail_2_unsaturation</t>
        </is>
      </c>
      <c r="C2227">
        <v>1</v>
      </c>
      <c r="D2227" t="inlineStr">
        <is>
          <t>double_bonds</t>
        </is>
      </c>
      <c r="E2227"/>
      <c r="F2227"/>
      <c r="G2227" t="inlineStr">
        <is>
          <t>lipid shorthand annotation</t>
        </is>
      </c>
      <c r="H2227" t="inlineStr">
        <is>
          <t>S003_AVANTI_PHASE</t>
        </is>
      </c>
      <c r="I2227" t="inlineStr">
        <is>
          <t>curated</t>
        </is>
      </c>
      <c r="J2227">
        <v>0.86</v>
      </c>
      <c r="K2227"/>
    </row>
    <row r="2228">
      <c r="A2228" t="inlineStr">
        <is>
          <t>LIP_POPC</t>
        </is>
      </c>
      <c r="B2228" t="inlineStr">
        <is>
          <t>number_of_tails</t>
        </is>
      </c>
      <c r="C2228">
        <v>2</v>
      </c>
      <c r="D2228" t="inlineStr">
        <is>
          <t>count</t>
        </is>
      </c>
      <c r="E2228"/>
      <c r="F2228"/>
      <c r="G2228" t="inlineStr">
        <is>
          <t>lipid shorthand annotation</t>
        </is>
      </c>
      <c r="H2228" t="inlineStr">
        <is>
          <t>S003_AVANTI_PHASE</t>
        </is>
      </c>
      <c r="I2228" t="inlineStr">
        <is>
          <t>curated</t>
        </is>
      </c>
      <c r="J2228">
        <v>0.86</v>
      </c>
      <c r="K2228"/>
    </row>
    <row r="2229">
      <c r="A2229" t="inlineStr">
        <is>
          <t>LIP_POPC</t>
        </is>
      </c>
      <c r="B2229" t="inlineStr">
        <is>
          <t>critical_packing_notes</t>
        </is>
      </c>
      <c r="C2229" t="inlineStr">
        <is>
          <t>bilayer-forming cylindrical lipid</t>
        </is>
      </c>
      <c r="D2229"/>
      <c r="E2229"/>
      <c r="F2229"/>
      <c r="G2229" t="inlineStr">
        <is>
          <t>CPP heuristic</t>
        </is>
      </c>
      <c r="H2229" t="inlineStr">
        <is>
          <t>S014_AULTON</t>
        </is>
      </c>
      <c r="I2229" t="inlineStr">
        <is>
          <t>curated</t>
        </is>
      </c>
      <c r="J2229">
        <v>0.65</v>
      </c>
      <c r="K2229"/>
    </row>
    <row r="2230">
      <c r="A2230" t="inlineStr">
        <is>
          <t>LIP_POPC</t>
        </is>
      </c>
      <c r="B2230" t="inlineStr">
        <is>
          <t>membrane_rigidity_contribution</t>
        </is>
      </c>
      <c r="C2230" t="inlineStr">
        <is>
          <t>fluidizing</t>
        </is>
      </c>
      <c r="D2230"/>
      <c r="E2230"/>
      <c r="F2230"/>
      <c r="G2230" t="inlineStr">
        <is>
          <t>Tm and unsaturation heuristic</t>
        </is>
      </c>
      <c r="H2230" t="inlineStr">
        <is>
          <t>S003_AVANTI_PHASE</t>
        </is>
      </c>
      <c r="I2230" t="inlineStr">
        <is>
          <t>curated</t>
        </is>
      </c>
      <c r="J2230">
        <v>0.65</v>
      </c>
      <c r="K2230"/>
    </row>
    <row r="2231">
      <c r="A2231" t="inlineStr">
        <is>
          <t>LIP_POPC</t>
        </is>
      </c>
      <c r="B2231" t="inlineStr">
        <is>
          <t>fusogenic_flag</t>
        </is>
      </c>
      <c r="C2231" t="inlineStr">
        <is>
          <t>no</t>
        </is>
      </c>
      <c r="D2231"/>
      <c r="E2231"/>
      <c r="F2231"/>
      <c r="G2231" t="inlineStr">
        <is>
          <t>role annotation</t>
        </is>
      </c>
      <c r="H2231" t="inlineStr">
        <is>
          <t>S014_AULTON</t>
        </is>
      </c>
      <c r="I2231" t="inlineStr">
        <is>
          <t>curated</t>
        </is>
      </c>
      <c r="J2231">
        <v>0.7</v>
      </c>
      <c r="K2231"/>
    </row>
    <row r="2232">
      <c r="A2232" t="inlineStr">
        <is>
          <t>LIP_POPC</t>
        </is>
      </c>
      <c r="B2232" t="inlineStr">
        <is>
          <t>PEGylated_flag</t>
        </is>
      </c>
      <c r="C2232" t="inlineStr">
        <is>
          <t>no</t>
        </is>
      </c>
      <c r="D2232"/>
      <c r="E2232"/>
      <c r="F2232"/>
      <c r="G2232" t="inlineStr">
        <is>
          <t>role annotation</t>
        </is>
      </c>
      <c r="H2232" t="inlineStr">
        <is>
          <t>S014_AULTON</t>
        </is>
      </c>
      <c r="I2232" t="inlineStr">
        <is>
          <t>curated</t>
        </is>
      </c>
      <c r="J2232">
        <v>0.85</v>
      </c>
      <c r="K2232"/>
    </row>
    <row r="2233">
      <c r="A2233" t="inlineStr">
        <is>
          <t>LIP_POPC</t>
        </is>
      </c>
      <c r="B2233" t="inlineStr">
        <is>
          <t>ionizable_flag</t>
        </is>
      </c>
      <c r="C2233" t="inlineStr">
        <is>
          <t>no</t>
        </is>
      </c>
      <c r="D2233"/>
      <c r="E2233"/>
      <c r="F2233"/>
      <c r="G2233" t="inlineStr">
        <is>
          <t>role annotation</t>
        </is>
      </c>
      <c r="H2233" t="inlineStr">
        <is>
          <t>S014_AULTON</t>
        </is>
      </c>
      <c r="I2233" t="inlineStr">
        <is>
          <t>curated</t>
        </is>
      </c>
      <c r="J2233">
        <v>0.85</v>
      </c>
      <c r="K2233"/>
    </row>
    <row r="2234">
      <c r="A2234" t="inlineStr">
        <is>
          <t>LIP_POPC</t>
        </is>
      </c>
      <c r="B2234" t="inlineStr">
        <is>
          <t>route_suitability</t>
        </is>
      </c>
      <c r="C2234" t="inlineStr">
        <is>
          <t>liposome/LNP; route depends on purity, grade, residual solvents/endotoxin</t>
        </is>
      </c>
      <c r="D2234"/>
      <c r="E2234"/>
      <c r="F2234"/>
      <c r="G2234" t="inlineStr">
        <is>
          <t>route precedent caution</t>
        </is>
      </c>
      <c r="H2234" t="inlineStr">
        <is>
          <t>S008_FDA_IID</t>
        </is>
      </c>
      <c r="I2234" t="inlineStr">
        <is>
          <t>curated</t>
        </is>
      </c>
      <c r="J2234">
        <v>0.55</v>
      </c>
      <c r="K2234"/>
    </row>
    <row r="2235">
      <c r="A2235" t="inlineStr">
        <is>
          <t>LIP_POPC</t>
        </is>
      </c>
      <c r="B2235" t="inlineStr">
        <is>
          <t>storage_notes</t>
        </is>
      </c>
      <c r="C2235" t="inlineStr">
        <is>
          <t>store cold, dry, inert gas; protect unsaturated/ionizable lipids from oxidation/hydrolysis</t>
        </is>
      </c>
      <c r="D2235"/>
      <c r="E2235"/>
      <c r="F2235"/>
      <c r="G2235" t="inlineStr">
        <is>
          <t>supplier stability convention</t>
        </is>
      </c>
      <c r="H2235" t="inlineStr">
        <is>
          <t>S003_AVANTI_PHASE</t>
        </is>
      </c>
      <c r="I2235" t="inlineStr">
        <is>
          <t>curated</t>
        </is>
      </c>
      <c r="J2235">
        <v>0.7</v>
      </c>
      <c r="K2235"/>
    </row>
    <row r="2236">
      <c r="A2236" t="inlineStr">
        <is>
          <t>LIP_POPC</t>
        </is>
      </c>
      <c r="B2236" t="inlineStr">
        <is>
          <t>phase_transition_temperature_C</t>
        </is>
      </c>
      <c r="C2236">
        <v>-2</v>
      </c>
      <c r="D2236" t="inlineStr">
        <is>
          <t>°C</t>
        </is>
      </c>
      <c r="E2236"/>
      <c r="F2236"/>
      <c r="G2236" t="inlineStr">
        <is>
          <t>main transition temperature, DSC/lipid supplier data</t>
        </is>
      </c>
      <c r="H2236" t="inlineStr">
        <is>
          <t>S003_AVANTI_PHASE</t>
        </is>
      </c>
      <c r="I2236" t="inlineStr">
        <is>
          <t>supplier-reported</t>
        </is>
      </c>
      <c r="J2236">
        <v>0.78</v>
      </c>
      <c r="K2236"/>
    </row>
    <row r="2237">
      <c r="A2237" t="inlineStr">
        <is>
          <t>LIP_POPC</t>
        </is>
      </c>
      <c r="B2237" t="inlineStr">
        <is>
          <t>Hansen_delta_D</t>
        </is>
      </c>
      <c r="C2237">
        <v>17.5</v>
      </c>
      <c r="D2237" t="inlineStr">
        <is>
          <t>MPa^0.5</t>
        </is>
      </c>
      <c r="E2237"/>
      <c r="F2237"/>
      <c r="G2237" t="inlineStr">
        <is>
          <t>heuristic group-contribution/nearest-neighbour</t>
        </is>
      </c>
      <c r="H2237" t="inlineStr">
        <is>
          <t>S013_EST_HSP_HEURISTIC</t>
        </is>
      </c>
      <c r="I2237" t="inlineStr">
        <is>
          <t>estimated</t>
        </is>
      </c>
      <c r="J2237">
        <v>0.38</v>
      </c>
      <c r="K2237" t="inlineStr">
        <is>
          <t>Provisional HSP for screening; replace with experimental/literature value before model lock.</t>
        </is>
      </c>
    </row>
    <row r="2238">
      <c r="A2238" t="inlineStr">
        <is>
          <t>LIP_POPC</t>
        </is>
      </c>
      <c r="B2238" t="inlineStr">
        <is>
          <t>Hansen_delta_P</t>
        </is>
      </c>
      <c r="C2238">
        <v>5.5</v>
      </c>
      <c r="D2238" t="inlineStr">
        <is>
          <t>MPa^0.5</t>
        </is>
      </c>
      <c r="E2238"/>
      <c r="F2238"/>
      <c r="G2238" t="inlineStr">
        <is>
          <t>heuristic group-contribution/nearest-neighbour</t>
        </is>
      </c>
      <c r="H2238" t="inlineStr">
        <is>
          <t>S013_EST_HSP_HEURISTIC</t>
        </is>
      </c>
      <c r="I2238" t="inlineStr">
        <is>
          <t>estimated</t>
        </is>
      </c>
      <c r="J2238">
        <v>0.38</v>
      </c>
      <c r="K2238" t="inlineStr">
        <is>
          <t>Provisional HSP for screening; replace with experimental/literature value before model lock.</t>
        </is>
      </c>
    </row>
    <row r="2239">
      <c r="A2239" t="inlineStr">
        <is>
          <t>LIP_POPC</t>
        </is>
      </c>
      <c r="B2239" t="inlineStr">
        <is>
          <t>Hansen_delta_H</t>
        </is>
      </c>
      <c r="C2239">
        <v>8.0</v>
      </c>
      <c r="D2239" t="inlineStr">
        <is>
          <t>MPa^0.5</t>
        </is>
      </c>
      <c r="E2239"/>
      <c r="F2239"/>
      <c r="G2239" t="inlineStr">
        <is>
          <t>heuristic group-contribution/nearest-neighbour</t>
        </is>
      </c>
      <c r="H2239" t="inlineStr">
        <is>
          <t>S013_EST_HSP_HEURISTIC</t>
        </is>
      </c>
      <c r="I2239" t="inlineStr">
        <is>
          <t>estimated</t>
        </is>
      </c>
      <c r="J2239">
        <v>0.38</v>
      </c>
      <c r="K2239" t="inlineStr">
        <is>
          <t>Provisional HSP for screening; replace with experimental/literature value before model lock.</t>
        </is>
      </c>
    </row>
    <row r="2240">
      <c r="A2240" t="inlineStr">
        <is>
          <t>LIP_POPC</t>
        </is>
      </c>
      <c r="B2240" t="inlineStr">
        <is>
          <t>Hildebrand_delta_T</t>
        </is>
      </c>
      <c r="C2240">
        <v>20.01</v>
      </c>
      <c r="D2240" t="inlineStr">
        <is>
          <t>MPa^0.5</t>
        </is>
      </c>
      <c r="E2240"/>
      <c r="F2240"/>
      <c r="G2240" t="inlineStr">
        <is>
          <t>sqrt(deltaD^2+deltaP^2+deltaH^2)</t>
        </is>
      </c>
      <c r="H2240" t="inlineStr">
        <is>
          <t>S012_CALCULATED</t>
        </is>
      </c>
      <c r="I2240" t="inlineStr">
        <is>
          <t>calculated</t>
        </is>
      </c>
      <c r="J2240">
        <v>0.43</v>
      </c>
      <c r="K2240" t="inlineStr">
        <is>
          <t>Derived from stored Hansen components.</t>
        </is>
      </c>
    </row>
    <row r="2241">
      <c r="A2241" t="inlineStr">
        <is>
          <t>LIP_POPC</t>
        </is>
      </c>
      <c r="B2241" t="inlineStr">
        <is>
          <t>HSP_radius_R0</t>
        </is>
      </c>
      <c r="C2241">
        <v>8.0</v>
      </c>
      <c r="D2241" t="inlineStr">
        <is>
          <t>MPa^0.5</t>
        </is>
      </c>
      <c r="E2241"/>
      <c r="F2241"/>
      <c r="G2241" t="inlineStr">
        <is>
          <t>literature/heuristic solubility sphere</t>
        </is>
      </c>
      <c r="H2241" t="inlineStr">
        <is>
          <t>S013_EST_HSP_HEURISTIC</t>
        </is>
      </c>
      <c r="I2241" t="inlineStr">
        <is>
          <t>estimated</t>
        </is>
      </c>
      <c r="J2241">
        <v>0.38</v>
      </c>
      <c r="K2241" t="inlineStr">
        <is>
          <t>Screening radius only unless experimentally determined.</t>
        </is>
      </c>
    </row>
    <row r="2242">
      <c r="A2242" t="inlineStr">
        <is>
          <t>LIP_POPC</t>
        </is>
      </c>
      <c r="B2242" t="inlineStr">
        <is>
          <t>molar_volume_cm3_mol</t>
        </is>
      </c>
      <c r="C2242">
        <v>760.08</v>
      </c>
      <c r="D2242" t="inlineStr">
        <is>
          <t>cm3/mol</t>
        </is>
      </c>
      <c r="E2242"/>
      <c r="F2242"/>
      <c r="G2242" t="inlineStr">
        <is>
          <t>MW/density estimate</t>
        </is>
      </c>
      <c r="H2242" t="inlineStr">
        <is>
          <t>S012_CALCULATED</t>
        </is>
      </c>
      <c r="I2242" t="inlineStr">
        <is>
          <t>estimated</t>
        </is>
      </c>
      <c r="J2242">
        <v>0.42</v>
      </c>
      <c r="K2242" t="inlineStr">
        <is>
          <t>Estimated from MW/density; replace with measured molar volume or density-specific grade data.</t>
        </is>
      </c>
    </row>
    <row r="2243">
      <c r="A2243" t="inlineStr">
        <is>
          <t>LIP_POPC</t>
        </is>
      </c>
      <c r="B2243" t="inlineStr">
        <is>
          <t>headgroup_area_nm2</t>
        </is>
      </c>
      <c r="C2243">
        <v>0.64</v>
      </c>
      <c r="D2243" t="inlineStr">
        <is>
          <t>nm2</t>
        </is>
      </c>
      <c r="E2243"/>
      <c r="F2243"/>
      <c r="G2243" t="inlineStr">
        <is>
          <t>literature/MD heuristic</t>
        </is>
      </c>
      <c r="H2243" t="inlineStr">
        <is>
          <t>S013_EST_HSP_HEURISTIC</t>
        </is>
      </c>
      <c r="I2243" t="inlineStr">
        <is>
          <t>estimated</t>
        </is>
      </c>
      <c r="J2243">
        <v>0.35</v>
      </c>
      <c r="K2243" t="inlineStr">
        <is>
          <t>Area per lipid varies with phase, temperature, cholesterol, hydration, and force field.</t>
        </is>
      </c>
    </row>
    <row r="2244">
      <c r="A2244" t="inlineStr">
        <is>
          <t>LIP_SOPC</t>
        </is>
      </c>
      <c r="B2244" t="inlineStr">
        <is>
          <t>molecular_weight_g_mol</t>
        </is>
      </c>
      <c r="C2244">
        <v>788.13</v>
      </c>
      <c r="D2244" t="inlineStr">
        <is>
          <t>g/mol</t>
        </is>
      </c>
      <c r="E2244"/>
      <c r="F2244"/>
      <c r="G2244" t="inlineStr">
        <is>
          <t>LIPID MAPS/supplier formula or average grade MW</t>
        </is>
      </c>
      <c r="H2244" t="inlineStr">
        <is>
          <t>S004_LIPIDMAPS</t>
        </is>
      </c>
      <c r="I2244" t="inlineStr">
        <is>
          <t>database-derived</t>
        </is>
      </c>
      <c r="J2244">
        <v>0.78</v>
      </c>
      <c r="K2244"/>
    </row>
    <row r="2245">
      <c r="A2245" t="inlineStr">
        <is>
          <t>LIP_SOPC</t>
        </is>
      </c>
      <c r="B2245" t="inlineStr">
        <is>
          <t>lipid_class</t>
        </is>
      </c>
      <c r="C2245" t="inlineStr">
        <is>
          <t>PC</t>
        </is>
      </c>
      <c r="D2245"/>
      <c r="E2245"/>
      <c r="F2245"/>
      <c r="G2245" t="inlineStr">
        <is>
          <t>lipid class annotation</t>
        </is>
      </c>
      <c r="H2245" t="inlineStr">
        <is>
          <t>S003_AVANTI_PHASE</t>
        </is>
      </c>
      <c r="I2245" t="inlineStr">
        <is>
          <t>curated</t>
        </is>
      </c>
      <c r="J2245">
        <v>0.85</v>
      </c>
      <c r="K2245"/>
    </row>
    <row r="2246">
      <c r="A2246" t="inlineStr">
        <is>
          <t>LIP_SOPC</t>
        </is>
      </c>
      <c r="B2246" t="inlineStr">
        <is>
          <t>headgroup_type</t>
        </is>
      </c>
      <c r="C2246" t="inlineStr">
        <is>
          <t>PC</t>
        </is>
      </c>
      <c r="D2246"/>
      <c r="E2246"/>
      <c r="F2246"/>
      <c r="G2246" t="inlineStr">
        <is>
          <t>headgroup annotation</t>
        </is>
      </c>
      <c r="H2246" t="inlineStr">
        <is>
          <t>S003_AVANTI_PHASE</t>
        </is>
      </c>
      <c r="I2246" t="inlineStr">
        <is>
          <t>curated</t>
        </is>
      </c>
      <c r="J2246">
        <v>0.85</v>
      </c>
      <c r="K2246"/>
    </row>
    <row r="2247">
      <c r="A2247" t="inlineStr">
        <is>
          <t>LIP_SOPC</t>
        </is>
      </c>
      <c r="B2247" t="inlineStr">
        <is>
          <t>charge_type</t>
        </is>
      </c>
      <c r="C2247" t="inlineStr">
        <is>
          <t>zwitterionic</t>
        </is>
      </c>
      <c r="D2247"/>
      <c r="E2247"/>
      <c r="F2247"/>
      <c r="G2247" t="inlineStr">
        <is>
          <t>nominal at pH 7.4</t>
        </is>
      </c>
      <c r="H2247" t="inlineStr">
        <is>
          <t>S003_AVANTI_PHASE</t>
        </is>
      </c>
      <c r="I2247" t="inlineStr">
        <is>
          <t>curated</t>
        </is>
      </c>
      <c r="J2247">
        <v>0.85</v>
      </c>
      <c r="K2247"/>
    </row>
    <row r="2248">
      <c r="A2248" t="inlineStr">
        <is>
          <t>LIP_SOPC</t>
        </is>
      </c>
      <c r="B2248" t="inlineStr">
        <is>
          <t>formal_charge</t>
        </is>
      </c>
      <c r="C2248">
        <v>0</v>
      </c>
      <c r="D2248" t="inlineStr">
        <is>
          <t>e</t>
        </is>
      </c>
      <c r="E2248"/>
      <c r="F2248"/>
      <c r="G2248" t="inlineStr">
        <is>
          <t>nominal at pH 7.4</t>
        </is>
      </c>
      <c r="H2248" t="inlineStr">
        <is>
          <t>S003_AVANTI_PHASE</t>
        </is>
      </c>
      <c r="I2248" t="inlineStr">
        <is>
          <t>curated</t>
        </is>
      </c>
      <c r="J2248">
        <v>0.85</v>
      </c>
      <c r="K2248"/>
    </row>
    <row r="2249">
      <c r="A2249" t="inlineStr">
        <is>
          <t>LIP_SOPC</t>
        </is>
      </c>
      <c r="B2249" t="inlineStr">
        <is>
          <t>tail_1_carbons</t>
        </is>
      </c>
      <c r="C2249">
        <v>18</v>
      </c>
      <c r="D2249" t="inlineStr">
        <is>
          <t>count</t>
        </is>
      </c>
      <c r="E2249"/>
      <c r="F2249"/>
      <c r="G2249" t="inlineStr">
        <is>
          <t>lipid shorthand annotation</t>
        </is>
      </c>
      <c r="H2249" t="inlineStr">
        <is>
          <t>S003_AVANTI_PHASE</t>
        </is>
      </c>
      <c r="I2249" t="inlineStr">
        <is>
          <t>curated</t>
        </is>
      </c>
      <c r="J2249">
        <v>0.86</v>
      </c>
      <c r="K2249"/>
    </row>
    <row r="2250">
      <c r="A2250" t="inlineStr">
        <is>
          <t>LIP_SOPC</t>
        </is>
      </c>
      <c r="B2250" t="inlineStr">
        <is>
          <t>tail_1_unsaturation</t>
        </is>
      </c>
      <c r="C2250">
        <v>0</v>
      </c>
      <c r="D2250" t="inlineStr">
        <is>
          <t>double_bonds</t>
        </is>
      </c>
      <c r="E2250"/>
      <c r="F2250"/>
      <c r="G2250" t="inlineStr">
        <is>
          <t>lipid shorthand annotation</t>
        </is>
      </c>
      <c r="H2250" t="inlineStr">
        <is>
          <t>S003_AVANTI_PHASE</t>
        </is>
      </c>
      <c r="I2250" t="inlineStr">
        <is>
          <t>curated</t>
        </is>
      </c>
      <c r="J2250">
        <v>0.86</v>
      </c>
      <c r="K2250"/>
    </row>
    <row r="2251">
      <c r="A2251" t="inlineStr">
        <is>
          <t>LIP_SOPC</t>
        </is>
      </c>
      <c r="B2251" t="inlineStr">
        <is>
          <t>tail_2_carbons</t>
        </is>
      </c>
      <c r="C2251">
        <v>18</v>
      </c>
      <c r="D2251" t="inlineStr">
        <is>
          <t>count</t>
        </is>
      </c>
      <c r="E2251"/>
      <c r="F2251"/>
      <c r="G2251" t="inlineStr">
        <is>
          <t>lipid shorthand annotation</t>
        </is>
      </c>
      <c r="H2251" t="inlineStr">
        <is>
          <t>S003_AVANTI_PHASE</t>
        </is>
      </c>
      <c r="I2251" t="inlineStr">
        <is>
          <t>curated</t>
        </is>
      </c>
      <c r="J2251">
        <v>0.86</v>
      </c>
      <c r="K2251"/>
    </row>
    <row r="2252">
      <c r="A2252" t="inlineStr">
        <is>
          <t>LIP_SOPC</t>
        </is>
      </c>
      <c r="B2252" t="inlineStr">
        <is>
          <t>tail_2_unsaturation</t>
        </is>
      </c>
      <c r="C2252">
        <v>1</v>
      </c>
      <c r="D2252" t="inlineStr">
        <is>
          <t>double_bonds</t>
        </is>
      </c>
      <c r="E2252"/>
      <c r="F2252"/>
      <c r="G2252" t="inlineStr">
        <is>
          <t>lipid shorthand annotation</t>
        </is>
      </c>
      <c r="H2252" t="inlineStr">
        <is>
          <t>S003_AVANTI_PHASE</t>
        </is>
      </c>
      <c r="I2252" t="inlineStr">
        <is>
          <t>curated</t>
        </is>
      </c>
      <c r="J2252">
        <v>0.86</v>
      </c>
      <c r="K2252"/>
    </row>
    <row r="2253">
      <c r="A2253" t="inlineStr">
        <is>
          <t>LIP_SOPC</t>
        </is>
      </c>
      <c r="B2253" t="inlineStr">
        <is>
          <t>number_of_tails</t>
        </is>
      </c>
      <c r="C2253">
        <v>2</v>
      </c>
      <c r="D2253" t="inlineStr">
        <is>
          <t>count</t>
        </is>
      </c>
      <c r="E2253"/>
      <c r="F2253"/>
      <c r="G2253" t="inlineStr">
        <is>
          <t>lipid shorthand annotation</t>
        </is>
      </c>
      <c r="H2253" t="inlineStr">
        <is>
          <t>S003_AVANTI_PHASE</t>
        </is>
      </c>
      <c r="I2253" t="inlineStr">
        <is>
          <t>curated</t>
        </is>
      </c>
      <c r="J2253">
        <v>0.86</v>
      </c>
      <c r="K2253"/>
    </row>
    <row r="2254">
      <c r="A2254" t="inlineStr">
        <is>
          <t>LIP_SOPC</t>
        </is>
      </c>
      <c r="B2254" t="inlineStr">
        <is>
          <t>critical_packing_notes</t>
        </is>
      </c>
      <c r="C2254" t="inlineStr">
        <is>
          <t>bilayer-forming cylindrical lipid</t>
        </is>
      </c>
      <c r="D2254"/>
      <c r="E2254"/>
      <c r="F2254"/>
      <c r="G2254" t="inlineStr">
        <is>
          <t>CPP heuristic</t>
        </is>
      </c>
      <c r="H2254" t="inlineStr">
        <is>
          <t>S014_AULTON</t>
        </is>
      </c>
      <c r="I2254" t="inlineStr">
        <is>
          <t>curated</t>
        </is>
      </c>
      <c r="J2254">
        <v>0.65</v>
      </c>
      <c r="K2254"/>
    </row>
    <row r="2255">
      <c r="A2255" t="inlineStr">
        <is>
          <t>LIP_SOPC</t>
        </is>
      </c>
      <c r="B2255" t="inlineStr">
        <is>
          <t>membrane_rigidity_contribution</t>
        </is>
      </c>
      <c r="C2255" t="inlineStr">
        <is>
          <t>fluidizing</t>
        </is>
      </c>
      <c r="D2255"/>
      <c r="E2255"/>
      <c r="F2255"/>
      <c r="G2255" t="inlineStr">
        <is>
          <t>Tm and unsaturation heuristic</t>
        </is>
      </c>
      <c r="H2255" t="inlineStr">
        <is>
          <t>S003_AVANTI_PHASE</t>
        </is>
      </c>
      <c r="I2255" t="inlineStr">
        <is>
          <t>curated</t>
        </is>
      </c>
      <c r="J2255">
        <v>0.65</v>
      </c>
      <c r="K2255"/>
    </row>
    <row r="2256">
      <c r="A2256" t="inlineStr">
        <is>
          <t>LIP_SOPC</t>
        </is>
      </c>
      <c r="B2256" t="inlineStr">
        <is>
          <t>fusogenic_flag</t>
        </is>
      </c>
      <c r="C2256" t="inlineStr">
        <is>
          <t>no</t>
        </is>
      </c>
      <c r="D2256"/>
      <c r="E2256"/>
      <c r="F2256"/>
      <c r="G2256" t="inlineStr">
        <is>
          <t>role annotation</t>
        </is>
      </c>
      <c r="H2256" t="inlineStr">
        <is>
          <t>S014_AULTON</t>
        </is>
      </c>
      <c r="I2256" t="inlineStr">
        <is>
          <t>curated</t>
        </is>
      </c>
      <c r="J2256">
        <v>0.7</v>
      </c>
      <c r="K2256"/>
    </row>
    <row r="2257">
      <c r="A2257" t="inlineStr">
        <is>
          <t>LIP_SOPC</t>
        </is>
      </c>
      <c r="B2257" t="inlineStr">
        <is>
          <t>PEGylated_flag</t>
        </is>
      </c>
      <c r="C2257" t="inlineStr">
        <is>
          <t>no</t>
        </is>
      </c>
      <c r="D2257"/>
      <c r="E2257"/>
      <c r="F2257"/>
      <c r="G2257" t="inlineStr">
        <is>
          <t>role annotation</t>
        </is>
      </c>
      <c r="H2257" t="inlineStr">
        <is>
          <t>S014_AULTON</t>
        </is>
      </c>
      <c r="I2257" t="inlineStr">
        <is>
          <t>curated</t>
        </is>
      </c>
      <c r="J2257">
        <v>0.85</v>
      </c>
      <c r="K2257"/>
    </row>
    <row r="2258">
      <c r="A2258" t="inlineStr">
        <is>
          <t>LIP_SOPC</t>
        </is>
      </c>
      <c r="B2258" t="inlineStr">
        <is>
          <t>ionizable_flag</t>
        </is>
      </c>
      <c r="C2258" t="inlineStr">
        <is>
          <t>no</t>
        </is>
      </c>
      <c r="D2258"/>
      <c r="E2258"/>
      <c r="F2258"/>
      <c r="G2258" t="inlineStr">
        <is>
          <t>role annotation</t>
        </is>
      </c>
      <c r="H2258" t="inlineStr">
        <is>
          <t>S014_AULTON</t>
        </is>
      </c>
      <c r="I2258" t="inlineStr">
        <is>
          <t>curated</t>
        </is>
      </c>
      <c r="J2258">
        <v>0.85</v>
      </c>
      <c r="K2258"/>
    </row>
    <row r="2259">
      <c r="A2259" t="inlineStr">
        <is>
          <t>LIP_SOPC</t>
        </is>
      </c>
      <c r="B2259" t="inlineStr">
        <is>
          <t>route_suitability</t>
        </is>
      </c>
      <c r="C2259" t="inlineStr">
        <is>
          <t>liposome/LNP; route depends on purity, grade, residual solvents/endotoxin</t>
        </is>
      </c>
      <c r="D2259"/>
      <c r="E2259"/>
      <c r="F2259"/>
      <c r="G2259" t="inlineStr">
        <is>
          <t>route precedent caution</t>
        </is>
      </c>
      <c r="H2259" t="inlineStr">
        <is>
          <t>S008_FDA_IID</t>
        </is>
      </c>
      <c r="I2259" t="inlineStr">
        <is>
          <t>curated</t>
        </is>
      </c>
      <c r="J2259">
        <v>0.55</v>
      </c>
      <c r="K2259"/>
    </row>
    <row r="2260">
      <c r="A2260" t="inlineStr">
        <is>
          <t>LIP_SOPC</t>
        </is>
      </c>
      <c r="B2260" t="inlineStr">
        <is>
          <t>storage_notes</t>
        </is>
      </c>
      <c r="C2260" t="inlineStr">
        <is>
          <t>store cold, dry, inert gas; protect unsaturated/ionizable lipids from oxidation/hydrolysis</t>
        </is>
      </c>
      <c r="D2260"/>
      <c r="E2260"/>
      <c r="F2260"/>
      <c r="G2260" t="inlineStr">
        <is>
          <t>supplier stability convention</t>
        </is>
      </c>
      <c r="H2260" t="inlineStr">
        <is>
          <t>S003_AVANTI_PHASE</t>
        </is>
      </c>
      <c r="I2260" t="inlineStr">
        <is>
          <t>curated</t>
        </is>
      </c>
      <c r="J2260">
        <v>0.7</v>
      </c>
      <c r="K2260"/>
    </row>
    <row r="2261">
      <c r="A2261" t="inlineStr">
        <is>
          <t>LIP_SOPC</t>
        </is>
      </c>
      <c r="B2261" t="inlineStr">
        <is>
          <t>phase_transition_temperature_C</t>
        </is>
      </c>
      <c r="C2261">
        <v>6.7</v>
      </c>
      <c r="D2261" t="inlineStr">
        <is>
          <t>°C</t>
        </is>
      </c>
      <c r="E2261"/>
      <c r="F2261"/>
      <c r="G2261" t="inlineStr">
        <is>
          <t>main transition temperature, DSC/lipid supplier data</t>
        </is>
      </c>
      <c r="H2261" t="inlineStr">
        <is>
          <t>S003_AVANTI_PHASE</t>
        </is>
      </c>
      <c r="I2261" t="inlineStr">
        <is>
          <t>supplier-reported</t>
        </is>
      </c>
      <c r="J2261">
        <v>0.78</v>
      </c>
      <c r="K2261"/>
    </row>
    <row r="2262">
      <c r="A2262" t="inlineStr">
        <is>
          <t>LIP_SOPC</t>
        </is>
      </c>
      <c r="B2262" t="inlineStr">
        <is>
          <t>Hansen_delta_D</t>
        </is>
      </c>
      <c r="C2262">
        <v>17.5</v>
      </c>
      <c r="D2262" t="inlineStr">
        <is>
          <t>MPa^0.5</t>
        </is>
      </c>
      <c r="E2262"/>
      <c r="F2262"/>
      <c r="G2262" t="inlineStr">
        <is>
          <t>heuristic group-contribution/nearest-neighbour</t>
        </is>
      </c>
      <c r="H2262" t="inlineStr">
        <is>
          <t>S013_EST_HSP_HEURISTIC</t>
        </is>
      </c>
      <c r="I2262" t="inlineStr">
        <is>
          <t>estimated</t>
        </is>
      </c>
      <c r="J2262">
        <v>0.38</v>
      </c>
      <c r="K2262" t="inlineStr">
        <is>
          <t>Provisional HSP for screening; replace with experimental/literature value before model lock.</t>
        </is>
      </c>
    </row>
    <row r="2263">
      <c r="A2263" t="inlineStr">
        <is>
          <t>LIP_SOPC</t>
        </is>
      </c>
      <c r="B2263" t="inlineStr">
        <is>
          <t>Hansen_delta_P</t>
        </is>
      </c>
      <c r="C2263">
        <v>5.5</v>
      </c>
      <c r="D2263" t="inlineStr">
        <is>
          <t>MPa^0.5</t>
        </is>
      </c>
      <c r="E2263"/>
      <c r="F2263"/>
      <c r="G2263" t="inlineStr">
        <is>
          <t>heuristic group-contribution/nearest-neighbour</t>
        </is>
      </c>
      <c r="H2263" t="inlineStr">
        <is>
          <t>S013_EST_HSP_HEURISTIC</t>
        </is>
      </c>
      <c r="I2263" t="inlineStr">
        <is>
          <t>estimated</t>
        </is>
      </c>
      <c r="J2263">
        <v>0.38</v>
      </c>
      <c r="K2263" t="inlineStr">
        <is>
          <t>Provisional HSP for screening; replace with experimental/literature value before model lock.</t>
        </is>
      </c>
    </row>
    <row r="2264">
      <c r="A2264" t="inlineStr">
        <is>
          <t>LIP_SOPC</t>
        </is>
      </c>
      <c r="B2264" t="inlineStr">
        <is>
          <t>Hansen_delta_H</t>
        </is>
      </c>
      <c r="C2264">
        <v>8.0</v>
      </c>
      <c r="D2264" t="inlineStr">
        <is>
          <t>MPa^0.5</t>
        </is>
      </c>
      <c r="E2264"/>
      <c r="F2264"/>
      <c r="G2264" t="inlineStr">
        <is>
          <t>heuristic group-contribution/nearest-neighbour</t>
        </is>
      </c>
      <c r="H2264" t="inlineStr">
        <is>
          <t>S013_EST_HSP_HEURISTIC</t>
        </is>
      </c>
      <c r="I2264" t="inlineStr">
        <is>
          <t>estimated</t>
        </is>
      </c>
      <c r="J2264">
        <v>0.38</v>
      </c>
      <c r="K2264" t="inlineStr">
        <is>
          <t>Provisional HSP for screening; replace with experimental/literature value before model lock.</t>
        </is>
      </c>
    </row>
    <row r="2265">
      <c r="A2265" t="inlineStr">
        <is>
          <t>LIP_SOPC</t>
        </is>
      </c>
      <c r="B2265" t="inlineStr">
        <is>
          <t>Hildebrand_delta_T</t>
        </is>
      </c>
      <c r="C2265">
        <v>20.01</v>
      </c>
      <c r="D2265" t="inlineStr">
        <is>
          <t>MPa^0.5</t>
        </is>
      </c>
      <c r="E2265"/>
      <c r="F2265"/>
      <c r="G2265" t="inlineStr">
        <is>
          <t>sqrt(deltaD^2+deltaP^2+deltaH^2)</t>
        </is>
      </c>
      <c r="H2265" t="inlineStr">
        <is>
          <t>S012_CALCULATED</t>
        </is>
      </c>
      <c r="I2265" t="inlineStr">
        <is>
          <t>calculated</t>
        </is>
      </c>
      <c r="J2265">
        <v>0.43</v>
      </c>
      <c r="K2265" t="inlineStr">
        <is>
          <t>Derived from stored Hansen components.</t>
        </is>
      </c>
    </row>
    <row r="2266">
      <c r="A2266" t="inlineStr">
        <is>
          <t>LIP_SOPC</t>
        </is>
      </c>
      <c r="B2266" t="inlineStr">
        <is>
          <t>HSP_radius_R0</t>
        </is>
      </c>
      <c r="C2266">
        <v>8.0</v>
      </c>
      <c r="D2266" t="inlineStr">
        <is>
          <t>MPa^0.5</t>
        </is>
      </c>
      <c r="E2266"/>
      <c r="F2266"/>
      <c r="G2266" t="inlineStr">
        <is>
          <t>literature/heuristic solubility sphere</t>
        </is>
      </c>
      <c r="H2266" t="inlineStr">
        <is>
          <t>S013_EST_HSP_HEURISTIC</t>
        </is>
      </c>
      <c r="I2266" t="inlineStr">
        <is>
          <t>estimated</t>
        </is>
      </c>
      <c r="J2266">
        <v>0.38</v>
      </c>
      <c r="K2266" t="inlineStr">
        <is>
          <t>Screening radius only unless experimentally determined.</t>
        </is>
      </c>
    </row>
    <row r="2267">
      <c r="A2267" t="inlineStr">
        <is>
          <t>LIP_SOPC</t>
        </is>
      </c>
      <c r="B2267" t="inlineStr">
        <is>
          <t>molar_volume_cm3_mol</t>
        </is>
      </c>
      <c r="C2267">
        <v>788.13</v>
      </c>
      <c r="D2267" t="inlineStr">
        <is>
          <t>cm3/mol</t>
        </is>
      </c>
      <c r="E2267"/>
      <c r="F2267"/>
      <c r="G2267" t="inlineStr">
        <is>
          <t>MW/density estimate</t>
        </is>
      </c>
      <c r="H2267" t="inlineStr">
        <is>
          <t>S012_CALCULATED</t>
        </is>
      </c>
      <c r="I2267" t="inlineStr">
        <is>
          <t>estimated</t>
        </is>
      </c>
      <c r="J2267">
        <v>0.42</v>
      </c>
      <c r="K2267" t="inlineStr">
        <is>
          <t>Estimated from MW/density; replace with measured molar volume or density-specific grade data.</t>
        </is>
      </c>
    </row>
    <row r="2268">
      <c r="A2268" t="inlineStr">
        <is>
          <t>LIP_SOPC</t>
        </is>
      </c>
      <c r="B2268" t="inlineStr">
        <is>
          <t>headgroup_area_nm2</t>
        </is>
      </c>
      <c r="C2268">
        <v>0.64</v>
      </c>
      <c r="D2268" t="inlineStr">
        <is>
          <t>nm2</t>
        </is>
      </c>
      <c r="E2268"/>
      <c r="F2268"/>
      <c r="G2268" t="inlineStr">
        <is>
          <t>literature/MD heuristic</t>
        </is>
      </c>
      <c r="H2268" t="inlineStr">
        <is>
          <t>S013_EST_HSP_HEURISTIC</t>
        </is>
      </c>
      <c r="I2268" t="inlineStr">
        <is>
          <t>estimated</t>
        </is>
      </c>
      <c r="J2268">
        <v>0.35</v>
      </c>
      <c r="K2268" t="inlineStr">
        <is>
          <t>Area per lipid varies with phase, temperature, cholesterol, hydration, and force field.</t>
        </is>
      </c>
    </row>
    <row r="2269">
      <c r="A2269" t="inlineStr">
        <is>
          <t>LIP_DOPE</t>
        </is>
      </c>
      <c r="B2269" t="inlineStr">
        <is>
          <t>molecular_weight_g_mol</t>
        </is>
      </c>
      <c r="C2269">
        <v>744.04</v>
      </c>
      <c r="D2269" t="inlineStr">
        <is>
          <t>g/mol</t>
        </is>
      </c>
      <c r="E2269"/>
      <c r="F2269"/>
      <c r="G2269" t="inlineStr">
        <is>
          <t>LIPID MAPS/supplier formula or average grade MW</t>
        </is>
      </c>
      <c r="H2269" t="inlineStr">
        <is>
          <t>S004_LIPIDMAPS</t>
        </is>
      </c>
      <c r="I2269" t="inlineStr">
        <is>
          <t>database-derived</t>
        </is>
      </c>
      <c r="J2269">
        <v>0.78</v>
      </c>
      <c r="K2269"/>
    </row>
    <row r="2270">
      <c r="A2270" t="inlineStr">
        <is>
          <t>LIP_DOPE</t>
        </is>
      </c>
      <c r="B2270" t="inlineStr">
        <is>
          <t>lipid_class</t>
        </is>
      </c>
      <c r="C2270" t="inlineStr">
        <is>
          <t>PE</t>
        </is>
      </c>
      <c r="D2270"/>
      <c r="E2270"/>
      <c r="F2270"/>
      <c r="G2270" t="inlineStr">
        <is>
          <t>lipid class annotation</t>
        </is>
      </c>
      <c r="H2270" t="inlineStr">
        <is>
          <t>S003_AVANTI_PHASE</t>
        </is>
      </c>
      <c r="I2270" t="inlineStr">
        <is>
          <t>curated</t>
        </is>
      </c>
      <c r="J2270">
        <v>0.85</v>
      </c>
      <c r="K2270"/>
    </row>
    <row r="2271">
      <c r="A2271" t="inlineStr">
        <is>
          <t>LIP_DOPE</t>
        </is>
      </c>
      <c r="B2271" t="inlineStr">
        <is>
          <t>headgroup_type</t>
        </is>
      </c>
      <c r="C2271" t="inlineStr">
        <is>
          <t>PE</t>
        </is>
      </c>
      <c r="D2271"/>
      <c r="E2271"/>
      <c r="F2271"/>
      <c r="G2271" t="inlineStr">
        <is>
          <t>headgroup annotation</t>
        </is>
      </c>
      <c r="H2271" t="inlineStr">
        <is>
          <t>S003_AVANTI_PHASE</t>
        </is>
      </c>
      <c r="I2271" t="inlineStr">
        <is>
          <t>curated</t>
        </is>
      </c>
      <c r="J2271">
        <v>0.85</v>
      </c>
      <c r="K2271"/>
    </row>
    <row r="2272">
      <c r="A2272" t="inlineStr">
        <is>
          <t>LIP_DOPE</t>
        </is>
      </c>
      <c r="B2272" t="inlineStr">
        <is>
          <t>charge_type</t>
        </is>
      </c>
      <c r="C2272" t="inlineStr">
        <is>
          <t>zwitterionic</t>
        </is>
      </c>
      <c r="D2272"/>
      <c r="E2272"/>
      <c r="F2272"/>
      <c r="G2272" t="inlineStr">
        <is>
          <t>nominal at pH 7.4</t>
        </is>
      </c>
      <c r="H2272" t="inlineStr">
        <is>
          <t>S003_AVANTI_PHASE</t>
        </is>
      </c>
      <c r="I2272" t="inlineStr">
        <is>
          <t>curated</t>
        </is>
      </c>
      <c r="J2272">
        <v>0.85</v>
      </c>
      <c r="K2272"/>
    </row>
    <row r="2273">
      <c r="A2273" t="inlineStr">
        <is>
          <t>LIP_DOPE</t>
        </is>
      </c>
      <c r="B2273" t="inlineStr">
        <is>
          <t>formal_charge</t>
        </is>
      </c>
      <c r="C2273">
        <v>0</v>
      </c>
      <c r="D2273" t="inlineStr">
        <is>
          <t>e</t>
        </is>
      </c>
      <c r="E2273"/>
      <c r="F2273"/>
      <c r="G2273" t="inlineStr">
        <is>
          <t>nominal at pH 7.4</t>
        </is>
      </c>
      <c r="H2273" t="inlineStr">
        <is>
          <t>S003_AVANTI_PHASE</t>
        </is>
      </c>
      <c r="I2273" t="inlineStr">
        <is>
          <t>curated</t>
        </is>
      </c>
      <c r="J2273">
        <v>0.85</v>
      </c>
      <c r="K2273"/>
    </row>
    <row r="2274">
      <c r="A2274" t="inlineStr">
        <is>
          <t>LIP_DOPE</t>
        </is>
      </c>
      <c r="B2274" t="inlineStr">
        <is>
          <t>tail_1_carbons</t>
        </is>
      </c>
      <c r="C2274">
        <v>18</v>
      </c>
      <c r="D2274" t="inlineStr">
        <is>
          <t>count</t>
        </is>
      </c>
      <c r="E2274"/>
      <c r="F2274"/>
      <c r="G2274" t="inlineStr">
        <is>
          <t>lipid shorthand annotation</t>
        </is>
      </c>
      <c r="H2274" t="inlineStr">
        <is>
          <t>S003_AVANTI_PHASE</t>
        </is>
      </c>
      <c r="I2274" t="inlineStr">
        <is>
          <t>curated</t>
        </is>
      </c>
      <c r="J2274">
        <v>0.86</v>
      </c>
      <c r="K2274"/>
    </row>
    <row r="2275">
      <c r="A2275" t="inlineStr">
        <is>
          <t>LIP_DOPE</t>
        </is>
      </c>
      <c r="B2275" t="inlineStr">
        <is>
          <t>tail_1_unsaturation</t>
        </is>
      </c>
      <c r="C2275">
        <v>1</v>
      </c>
      <c r="D2275" t="inlineStr">
        <is>
          <t>double_bonds</t>
        </is>
      </c>
      <c r="E2275"/>
      <c r="F2275"/>
      <c r="G2275" t="inlineStr">
        <is>
          <t>lipid shorthand annotation</t>
        </is>
      </c>
      <c r="H2275" t="inlineStr">
        <is>
          <t>S003_AVANTI_PHASE</t>
        </is>
      </c>
      <c r="I2275" t="inlineStr">
        <is>
          <t>curated</t>
        </is>
      </c>
      <c r="J2275">
        <v>0.86</v>
      </c>
      <c r="K2275"/>
    </row>
    <row r="2276">
      <c r="A2276" t="inlineStr">
        <is>
          <t>LIP_DOPE</t>
        </is>
      </c>
      <c r="B2276" t="inlineStr">
        <is>
          <t>tail_2_carbons</t>
        </is>
      </c>
      <c r="C2276">
        <v>18</v>
      </c>
      <c r="D2276" t="inlineStr">
        <is>
          <t>count</t>
        </is>
      </c>
      <c r="E2276"/>
      <c r="F2276"/>
      <c r="G2276" t="inlineStr">
        <is>
          <t>lipid shorthand annotation</t>
        </is>
      </c>
      <c r="H2276" t="inlineStr">
        <is>
          <t>S003_AVANTI_PHASE</t>
        </is>
      </c>
      <c r="I2276" t="inlineStr">
        <is>
          <t>curated</t>
        </is>
      </c>
      <c r="J2276">
        <v>0.86</v>
      </c>
      <c r="K2276"/>
    </row>
    <row r="2277">
      <c r="A2277" t="inlineStr">
        <is>
          <t>LIP_DOPE</t>
        </is>
      </c>
      <c r="B2277" t="inlineStr">
        <is>
          <t>tail_2_unsaturation</t>
        </is>
      </c>
      <c r="C2277">
        <v>1</v>
      </c>
      <c r="D2277" t="inlineStr">
        <is>
          <t>double_bonds</t>
        </is>
      </c>
      <c r="E2277"/>
      <c r="F2277"/>
      <c r="G2277" t="inlineStr">
        <is>
          <t>lipid shorthand annotation</t>
        </is>
      </c>
      <c r="H2277" t="inlineStr">
        <is>
          <t>S003_AVANTI_PHASE</t>
        </is>
      </c>
      <c r="I2277" t="inlineStr">
        <is>
          <t>curated</t>
        </is>
      </c>
      <c r="J2277">
        <v>0.86</v>
      </c>
      <c r="K2277"/>
    </row>
    <row r="2278">
      <c r="A2278" t="inlineStr">
        <is>
          <t>LIP_DOPE</t>
        </is>
      </c>
      <c r="B2278" t="inlineStr">
        <is>
          <t>number_of_tails</t>
        </is>
      </c>
      <c r="C2278">
        <v>2</v>
      </c>
      <c r="D2278" t="inlineStr">
        <is>
          <t>count</t>
        </is>
      </c>
      <c r="E2278"/>
      <c r="F2278"/>
      <c r="G2278" t="inlineStr">
        <is>
          <t>lipid shorthand annotation</t>
        </is>
      </c>
      <c r="H2278" t="inlineStr">
        <is>
          <t>S003_AVANTI_PHASE</t>
        </is>
      </c>
      <c r="I2278" t="inlineStr">
        <is>
          <t>curated</t>
        </is>
      </c>
      <c r="J2278">
        <v>0.86</v>
      </c>
      <c r="K2278"/>
    </row>
    <row r="2279">
      <c r="A2279" t="inlineStr">
        <is>
          <t>LIP_DOPE</t>
        </is>
      </c>
      <c r="B2279" t="inlineStr">
        <is>
          <t>critical_packing_notes</t>
        </is>
      </c>
      <c r="C2279" t="inlineStr">
        <is>
          <t>bilayer-forming cylindrical lipid</t>
        </is>
      </c>
      <c r="D2279"/>
      <c r="E2279"/>
      <c r="F2279"/>
      <c r="G2279" t="inlineStr">
        <is>
          <t>CPP heuristic</t>
        </is>
      </c>
      <c r="H2279" t="inlineStr">
        <is>
          <t>S014_AULTON</t>
        </is>
      </c>
      <c r="I2279" t="inlineStr">
        <is>
          <t>curated</t>
        </is>
      </c>
      <c r="J2279">
        <v>0.65</v>
      </c>
      <c r="K2279"/>
    </row>
    <row r="2280">
      <c r="A2280" t="inlineStr">
        <is>
          <t>LIP_DOPE</t>
        </is>
      </c>
      <c r="B2280" t="inlineStr">
        <is>
          <t>membrane_rigidity_contribution</t>
        </is>
      </c>
      <c r="C2280" t="inlineStr">
        <is>
          <t>fluidizing</t>
        </is>
      </c>
      <c r="D2280"/>
      <c r="E2280"/>
      <c r="F2280"/>
      <c r="G2280" t="inlineStr">
        <is>
          <t>Tm and unsaturation heuristic</t>
        </is>
      </c>
      <c r="H2280" t="inlineStr">
        <is>
          <t>S003_AVANTI_PHASE</t>
        </is>
      </c>
      <c r="I2280" t="inlineStr">
        <is>
          <t>curated</t>
        </is>
      </c>
      <c r="J2280">
        <v>0.65</v>
      </c>
      <c r="K2280"/>
    </row>
    <row r="2281">
      <c r="A2281" t="inlineStr">
        <is>
          <t>LIP_DOPE</t>
        </is>
      </c>
      <c r="B2281" t="inlineStr">
        <is>
          <t>fusogenic_flag</t>
        </is>
      </c>
      <c r="C2281" t="inlineStr">
        <is>
          <t>yes</t>
        </is>
      </c>
      <c r="D2281"/>
      <c r="E2281"/>
      <c r="F2281"/>
      <c r="G2281" t="inlineStr">
        <is>
          <t>role annotation</t>
        </is>
      </c>
      <c r="H2281" t="inlineStr">
        <is>
          <t>S014_AULTON</t>
        </is>
      </c>
      <c r="I2281" t="inlineStr">
        <is>
          <t>curated</t>
        </is>
      </c>
      <c r="J2281">
        <v>0.7</v>
      </c>
      <c r="K2281"/>
    </row>
    <row r="2282">
      <c r="A2282" t="inlineStr">
        <is>
          <t>LIP_DOPE</t>
        </is>
      </c>
      <c r="B2282" t="inlineStr">
        <is>
          <t>PEGylated_flag</t>
        </is>
      </c>
      <c r="C2282" t="inlineStr">
        <is>
          <t>no</t>
        </is>
      </c>
      <c r="D2282"/>
      <c r="E2282"/>
      <c r="F2282"/>
      <c r="G2282" t="inlineStr">
        <is>
          <t>role annotation</t>
        </is>
      </c>
      <c r="H2282" t="inlineStr">
        <is>
          <t>S014_AULTON</t>
        </is>
      </c>
      <c r="I2282" t="inlineStr">
        <is>
          <t>curated</t>
        </is>
      </c>
      <c r="J2282">
        <v>0.85</v>
      </c>
      <c r="K2282"/>
    </row>
    <row r="2283">
      <c r="A2283" t="inlineStr">
        <is>
          <t>LIP_DOPE</t>
        </is>
      </c>
      <c r="B2283" t="inlineStr">
        <is>
          <t>ionizable_flag</t>
        </is>
      </c>
      <c r="C2283" t="inlineStr">
        <is>
          <t>no</t>
        </is>
      </c>
      <c r="D2283"/>
      <c r="E2283"/>
      <c r="F2283"/>
      <c r="G2283" t="inlineStr">
        <is>
          <t>role annotation</t>
        </is>
      </c>
      <c r="H2283" t="inlineStr">
        <is>
          <t>S014_AULTON</t>
        </is>
      </c>
      <c r="I2283" t="inlineStr">
        <is>
          <t>curated</t>
        </is>
      </c>
      <c r="J2283">
        <v>0.85</v>
      </c>
      <c r="K2283"/>
    </row>
    <row r="2284">
      <c r="A2284" t="inlineStr">
        <is>
          <t>LIP_DOPE</t>
        </is>
      </c>
      <c r="B2284" t="inlineStr">
        <is>
          <t>route_suitability</t>
        </is>
      </c>
      <c r="C2284" t="inlineStr">
        <is>
          <t>liposome/LNP; route depends on purity, grade, residual solvents/endotoxin</t>
        </is>
      </c>
      <c r="D2284"/>
      <c r="E2284"/>
      <c r="F2284"/>
      <c r="G2284" t="inlineStr">
        <is>
          <t>route precedent caution</t>
        </is>
      </c>
      <c r="H2284" t="inlineStr">
        <is>
          <t>S008_FDA_IID</t>
        </is>
      </c>
      <c r="I2284" t="inlineStr">
        <is>
          <t>curated</t>
        </is>
      </c>
      <c r="J2284">
        <v>0.55</v>
      </c>
      <c r="K2284"/>
    </row>
    <row r="2285">
      <c r="A2285" t="inlineStr">
        <is>
          <t>LIP_DOPE</t>
        </is>
      </c>
      <c r="B2285" t="inlineStr">
        <is>
          <t>storage_notes</t>
        </is>
      </c>
      <c r="C2285" t="inlineStr">
        <is>
          <t>store cold, dry, inert gas; protect unsaturated/ionizable lipids from oxidation/hydrolysis</t>
        </is>
      </c>
      <c r="D2285"/>
      <c r="E2285"/>
      <c r="F2285"/>
      <c r="G2285" t="inlineStr">
        <is>
          <t>supplier stability convention</t>
        </is>
      </c>
      <c r="H2285" t="inlineStr">
        <is>
          <t>S003_AVANTI_PHASE</t>
        </is>
      </c>
      <c r="I2285" t="inlineStr">
        <is>
          <t>curated</t>
        </is>
      </c>
      <c r="J2285">
        <v>0.7</v>
      </c>
      <c r="K2285"/>
    </row>
    <row r="2286">
      <c r="A2286" t="inlineStr">
        <is>
          <t>LIP_DOPE</t>
        </is>
      </c>
      <c r="B2286" t="inlineStr">
        <is>
          <t>phase_transition_temperature_C</t>
        </is>
      </c>
      <c r="C2286">
        <v>-16</v>
      </c>
      <c r="D2286" t="inlineStr">
        <is>
          <t>°C</t>
        </is>
      </c>
      <c r="E2286"/>
      <c r="F2286"/>
      <c r="G2286" t="inlineStr">
        <is>
          <t>main transition temperature, DSC/lipid supplier data</t>
        </is>
      </c>
      <c r="H2286" t="inlineStr">
        <is>
          <t>S003_AVANTI_PHASE</t>
        </is>
      </c>
      <c r="I2286" t="inlineStr">
        <is>
          <t>supplier-reported</t>
        </is>
      </c>
      <c r="J2286">
        <v>0.78</v>
      </c>
      <c r="K2286"/>
    </row>
    <row r="2287">
      <c r="A2287" t="inlineStr">
        <is>
          <t>LIP_DOPE</t>
        </is>
      </c>
      <c r="B2287" t="inlineStr">
        <is>
          <t>Hansen_delta_D</t>
        </is>
      </c>
      <c r="C2287">
        <v>17.5</v>
      </c>
      <c r="D2287" t="inlineStr">
        <is>
          <t>MPa^0.5</t>
        </is>
      </c>
      <c r="E2287"/>
      <c r="F2287"/>
      <c r="G2287" t="inlineStr">
        <is>
          <t>heuristic group-contribution/nearest-neighbour</t>
        </is>
      </c>
      <c r="H2287" t="inlineStr">
        <is>
          <t>S013_EST_HSP_HEURISTIC</t>
        </is>
      </c>
      <c r="I2287" t="inlineStr">
        <is>
          <t>estimated</t>
        </is>
      </c>
      <c r="J2287">
        <v>0.38</v>
      </c>
      <c r="K2287" t="inlineStr">
        <is>
          <t>Provisional HSP for screening; replace with experimental/literature value before model lock.</t>
        </is>
      </c>
    </row>
    <row r="2288">
      <c r="A2288" t="inlineStr">
        <is>
          <t>LIP_DOPE</t>
        </is>
      </c>
      <c r="B2288" t="inlineStr">
        <is>
          <t>Hansen_delta_P</t>
        </is>
      </c>
      <c r="C2288">
        <v>5.5</v>
      </c>
      <c r="D2288" t="inlineStr">
        <is>
          <t>MPa^0.5</t>
        </is>
      </c>
      <c r="E2288"/>
      <c r="F2288"/>
      <c r="G2288" t="inlineStr">
        <is>
          <t>heuristic group-contribution/nearest-neighbour</t>
        </is>
      </c>
      <c r="H2288" t="inlineStr">
        <is>
          <t>S013_EST_HSP_HEURISTIC</t>
        </is>
      </c>
      <c r="I2288" t="inlineStr">
        <is>
          <t>estimated</t>
        </is>
      </c>
      <c r="J2288">
        <v>0.38</v>
      </c>
      <c r="K2288" t="inlineStr">
        <is>
          <t>Provisional HSP for screening; replace with experimental/literature value before model lock.</t>
        </is>
      </c>
    </row>
    <row r="2289">
      <c r="A2289" t="inlineStr">
        <is>
          <t>LIP_DOPE</t>
        </is>
      </c>
      <c r="B2289" t="inlineStr">
        <is>
          <t>Hansen_delta_H</t>
        </is>
      </c>
      <c r="C2289">
        <v>8.0</v>
      </c>
      <c r="D2289" t="inlineStr">
        <is>
          <t>MPa^0.5</t>
        </is>
      </c>
      <c r="E2289"/>
      <c r="F2289"/>
      <c r="G2289" t="inlineStr">
        <is>
          <t>heuristic group-contribution/nearest-neighbour</t>
        </is>
      </c>
      <c r="H2289" t="inlineStr">
        <is>
          <t>S013_EST_HSP_HEURISTIC</t>
        </is>
      </c>
      <c r="I2289" t="inlineStr">
        <is>
          <t>estimated</t>
        </is>
      </c>
      <c r="J2289">
        <v>0.38</v>
      </c>
      <c r="K2289" t="inlineStr">
        <is>
          <t>Provisional HSP for screening; replace with experimental/literature value before model lock.</t>
        </is>
      </c>
    </row>
    <row r="2290">
      <c r="A2290" t="inlineStr">
        <is>
          <t>LIP_DOPE</t>
        </is>
      </c>
      <c r="B2290" t="inlineStr">
        <is>
          <t>Hildebrand_delta_T</t>
        </is>
      </c>
      <c r="C2290">
        <v>20.01</v>
      </c>
      <c r="D2290" t="inlineStr">
        <is>
          <t>MPa^0.5</t>
        </is>
      </c>
      <c r="E2290"/>
      <c r="F2290"/>
      <c r="G2290" t="inlineStr">
        <is>
          <t>sqrt(deltaD^2+deltaP^2+deltaH^2)</t>
        </is>
      </c>
      <c r="H2290" t="inlineStr">
        <is>
          <t>S012_CALCULATED</t>
        </is>
      </c>
      <c r="I2290" t="inlineStr">
        <is>
          <t>calculated</t>
        </is>
      </c>
      <c r="J2290">
        <v>0.43</v>
      </c>
      <c r="K2290" t="inlineStr">
        <is>
          <t>Derived from stored Hansen components.</t>
        </is>
      </c>
    </row>
    <row r="2291">
      <c r="A2291" t="inlineStr">
        <is>
          <t>LIP_DOPE</t>
        </is>
      </c>
      <c r="B2291" t="inlineStr">
        <is>
          <t>HSP_radius_R0</t>
        </is>
      </c>
      <c r="C2291">
        <v>8.0</v>
      </c>
      <c r="D2291" t="inlineStr">
        <is>
          <t>MPa^0.5</t>
        </is>
      </c>
      <c r="E2291"/>
      <c r="F2291"/>
      <c r="G2291" t="inlineStr">
        <is>
          <t>literature/heuristic solubility sphere</t>
        </is>
      </c>
      <c r="H2291" t="inlineStr">
        <is>
          <t>S013_EST_HSP_HEURISTIC</t>
        </is>
      </c>
      <c r="I2291" t="inlineStr">
        <is>
          <t>estimated</t>
        </is>
      </c>
      <c r="J2291">
        <v>0.38</v>
      </c>
      <c r="K2291" t="inlineStr">
        <is>
          <t>Screening radius only unless experimentally determined.</t>
        </is>
      </c>
    </row>
    <row r="2292">
      <c r="A2292" t="inlineStr">
        <is>
          <t>LIP_DOPE</t>
        </is>
      </c>
      <c r="B2292" t="inlineStr">
        <is>
          <t>molar_volume_cm3_mol</t>
        </is>
      </c>
      <c r="C2292">
        <v>744.04</v>
      </c>
      <c r="D2292" t="inlineStr">
        <is>
          <t>cm3/mol</t>
        </is>
      </c>
      <c r="E2292"/>
      <c r="F2292"/>
      <c r="G2292" t="inlineStr">
        <is>
          <t>MW/density estimate</t>
        </is>
      </c>
      <c r="H2292" t="inlineStr">
        <is>
          <t>S012_CALCULATED</t>
        </is>
      </c>
      <c r="I2292" t="inlineStr">
        <is>
          <t>estimated</t>
        </is>
      </c>
      <c r="J2292">
        <v>0.42</v>
      </c>
      <c r="K2292" t="inlineStr">
        <is>
          <t>Estimated from MW/density; replace with measured molar volume or density-specific grade data.</t>
        </is>
      </c>
    </row>
    <row r="2293">
      <c r="A2293" t="inlineStr">
        <is>
          <t>LIP_DOPE</t>
        </is>
      </c>
      <c r="B2293" t="inlineStr">
        <is>
          <t>headgroup_area_nm2</t>
        </is>
      </c>
      <c r="C2293">
        <v>0.55</v>
      </c>
      <c r="D2293" t="inlineStr">
        <is>
          <t>nm2</t>
        </is>
      </c>
      <c r="E2293"/>
      <c r="F2293"/>
      <c r="G2293" t="inlineStr">
        <is>
          <t>literature/MD heuristic</t>
        </is>
      </c>
      <c r="H2293" t="inlineStr">
        <is>
          <t>S013_EST_HSP_HEURISTIC</t>
        </is>
      </c>
      <c r="I2293" t="inlineStr">
        <is>
          <t>estimated</t>
        </is>
      </c>
      <c r="J2293">
        <v>0.35</v>
      </c>
      <c r="K2293" t="inlineStr">
        <is>
          <t>Area per lipid varies with phase, temperature, cholesterol, hydration, and force field.</t>
        </is>
      </c>
    </row>
    <row r="2294">
      <c r="A2294" t="inlineStr">
        <is>
          <t>LIP_POPE</t>
        </is>
      </c>
      <c r="B2294" t="inlineStr">
        <is>
          <t>molecular_weight_g_mol</t>
        </is>
      </c>
      <c r="C2294">
        <v>718.0</v>
      </c>
      <c r="D2294" t="inlineStr">
        <is>
          <t>g/mol</t>
        </is>
      </c>
      <c r="E2294"/>
      <c r="F2294"/>
      <c r="G2294" t="inlineStr">
        <is>
          <t>LIPID MAPS/supplier formula or average grade MW</t>
        </is>
      </c>
      <c r="H2294" t="inlineStr">
        <is>
          <t>S004_LIPIDMAPS</t>
        </is>
      </c>
      <c r="I2294" t="inlineStr">
        <is>
          <t>database-derived</t>
        </is>
      </c>
      <c r="J2294">
        <v>0.78</v>
      </c>
      <c r="K2294"/>
    </row>
    <row r="2295">
      <c r="A2295" t="inlineStr">
        <is>
          <t>LIP_POPE</t>
        </is>
      </c>
      <c r="B2295" t="inlineStr">
        <is>
          <t>lipid_class</t>
        </is>
      </c>
      <c r="C2295" t="inlineStr">
        <is>
          <t>PE</t>
        </is>
      </c>
      <c r="D2295"/>
      <c r="E2295"/>
      <c r="F2295"/>
      <c r="G2295" t="inlineStr">
        <is>
          <t>lipid class annotation</t>
        </is>
      </c>
      <c r="H2295" t="inlineStr">
        <is>
          <t>S003_AVANTI_PHASE</t>
        </is>
      </c>
      <c r="I2295" t="inlineStr">
        <is>
          <t>curated</t>
        </is>
      </c>
      <c r="J2295">
        <v>0.85</v>
      </c>
      <c r="K2295"/>
    </row>
    <row r="2296">
      <c r="A2296" t="inlineStr">
        <is>
          <t>LIP_POPE</t>
        </is>
      </c>
      <c r="B2296" t="inlineStr">
        <is>
          <t>headgroup_type</t>
        </is>
      </c>
      <c r="C2296" t="inlineStr">
        <is>
          <t>PE</t>
        </is>
      </c>
      <c r="D2296"/>
      <c r="E2296"/>
      <c r="F2296"/>
      <c r="G2296" t="inlineStr">
        <is>
          <t>headgroup annotation</t>
        </is>
      </c>
      <c r="H2296" t="inlineStr">
        <is>
          <t>S003_AVANTI_PHASE</t>
        </is>
      </c>
      <c r="I2296" t="inlineStr">
        <is>
          <t>curated</t>
        </is>
      </c>
      <c r="J2296">
        <v>0.85</v>
      </c>
      <c r="K2296"/>
    </row>
    <row r="2297">
      <c r="A2297" t="inlineStr">
        <is>
          <t>LIP_POPE</t>
        </is>
      </c>
      <c r="B2297" t="inlineStr">
        <is>
          <t>charge_type</t>
        </is>
      </c>
      <c r="C2297" t="inlineStr">
        <is>
          <t>zwitterionic</t>
        </is>
      </c>
      <c r="D2297"/>
      <c r="E2297"/>
      <c r="F2297"/>
      <c r="G2297" t="inlineStr">
        <is>
          <t>nominal at pH 7.4</t>
        </is>
      </c>
      <c r="H2297" t="inlineStr">
        <is>
          <t>S003_AVANTI_PHASE</t>
        </is>
      </c>
      <c r="I2297" t="inlineStr">
        <is>
          <t>curated</t>
        </is>
      </c>
      <c r="J2297">
        <v>0.85</v>
      </c>
      <c r="K2297"/>
    </row>
    <row r="2298">
      <c r="A2298" t="inlineStr">
        <is>
          <t>LIP_POPE</t>
        </is>
      </c>
      <c r="B2298" t="inlineStr">
        <is>
          <t>formal_charge</t>
        </is>
      </c>
      <c r="C2298">
        <v>0</v>
      </c>
      <c r="D2298" t="inlineStr">
        <is>
          <t>e</t>
        </is>
      </c>
      <c r="E2298"/>
      <c r="F2298"/>
      <c r="G2298" t="inlineStr">
        <is>
          <t>nominal at pH 7.4</t>
        </is>
      </c>
      <c r="H2298" t="inlineStr">
        <is>
          <t>S003_AVANTI_PHASE</t>
        </is>
      </c>
      <c r="I2298" t="inlineStr">
        <is>
          <t>curated</t>
        </is>
      </c>
      <c r="J2298">
        <v>0.85</v>
      </c>
      <c r="K2298"/>
    </row>
    <row r="2299">
      <c r="A2299" t="inlineStr">
        <is>
          <t>LIP_POPE</t>
        </is>
      </c>
      <c r="B2299" t="inlineStr">
        <is>
          <t>tail_1_carbons</t>
        </is>
      </c>
      <c r="C2299">
        <v>16</v>
      </c>
      <c r="D2299" t="inlineStr">
        <is>
          <t>count</t>
        </is>
      </c>
      <c r="E2299"/>
      <c r="F2299"/>
      <c r="G2299" t="inlineStr">
        <is>
          <t>lipid shorthand annotation</t>
        </is>
      </c>
      <c r="H2299" t="inlineStr">
        <is>
          <t>S003_AVANTI_PHASE</t>
        </is>
      </c>
      <c r="I2299" t="inlineStr">
        <is>
          <t>curated</t>
        </is>
      </c>
      <c r="J2299">
        <v>0.86</v>
      </c>
      <c r="K2299"/>
    </row>
    <row r="2300">
      <c r="A2300" t="inlineStr">
        <is>
          <t>LIP_POPE</t>
        </is>
      </c>
      <c r="B2300" t="inlineStr">
        <is>
          <t>tail_1_unsaturation</t>
        </is>
      </c>
      <c r="C2300">
        <v>0</v>
      </c>
      <c r="D2300" t="inlineStr">
        <is>
          <t>double_bonds</t>
        </is>
      </c>
      <c r="E2300"/>
      <c r="F2300"/>
      <c r="G2300" t="inlineStr">
        <is>
          <t>lipid shorthand annotation</t>
        </is>
      </c>
      <c r="H2300" t="inlineStr">
        <is>
          <t>S003_AVANTI_PHASE</t>
        </is>
      </c>
      <c r="I2300" t="inlineStr">
        <is>
          <t>curated</t>
        </is>
      </c>
      <c r="J2300">
        <v>0.86</v>
      </c>
      <c r="K2300"/>
    </row>
    <row r="2301">
      <c r="A2301" t="inlineStr">
        <is>
          <t>LIP_POPE</t>
        </is>
      </c>
      <c r="B2301" t="inlineStr">
        <is>
          <t>tail_2_carbons</t>
        </is>
      </c>
      <c r="C2301">
        <v>18</v>
      </c>
      <c r="D2301" t="inlineStr">
        <is>
          <t>count</t>
        </is>
      </c>
      <c r="E2301"/>
      <c r="F2301"/>
      <c r="G2301" t="inlineStr">
        <is>
          <t>lipid shorthand annotation</t>
        </is>
      </c>
      <c r="H2301" t="inlineStr">
        <is>
          <t>S003_AVANTI_PHASE</t>
        </is>
      </c>
      <c r="I2301" t="inlineStr">
        <is>
          <t>curated</t>
        </is>
      </c>
      <c r="J2301">
        <v>0.86</v>
      </c>
      <c r="K2301"/>
    </row>
    <row r="2302">
      <c r="A2302" t="inlineStr">
        <is>
          <t>LIP_POPE</t>
        </is>
      </c>
      <c r="B2302" t="inlineStr">
        <is>
          <t>tail_2_unsaturation</t>
        </is>
      </c>
      <c r="C2302">
        <v>1</v>
      </c>
      <c r="D2302" t="inlineStr">
        <is>
          <t>double_bonds</t>
        </is>
      </c>
      <c r="E2302"/>
      <c r="F2302"/>
      <c r="G2302" t="inlineStr">
        <is>
          <t>lipid shorthand annotation</t>
        </is>
      </c>
      <c r="H2302" t="inlineStr">
        <is>
          <t>S003_AVANTI_PHASE</t>
        </is>
      </c>
      <c r="I2302" t="inlineStr">
        <is>
          <t>curated</t>
        </is>
      </c>
      <c r="J2302">
        <v>0.86</v>
      </c>
      <c r="K2302"/>
    </row>
    <row r="2303">
      <c r="A2303" t="inlineStr">
        <is>
          <t>LIP_POPE</t>
        </is>
      </c>
      <c r="B2303" t="inlineStr">
        <is>
          <t>number_of_tails</t>
        </is>
      </c>
      <c r="C2303">
        <v>2</v>
      </c>
      <c r="D2303" t="inlineStr">
        <is>
          <t>count</t>
        </is>
      </c>
      <c r="E2303"/>
      <c r="F2303"/>
      <c r="G2303" t="inlineStr">
        <is>
          <t>lipid shorthand annotation</t>
        </is>
      </c>
      <c r="H2303" t="inlineStr">
        <is>
          <t>S003_AVANTI_PHASE</t>
        </is>
      </c>
      <c r="I2303" t="inlineStr">
        <is>
          <t>curated</t>
        </is>
      </c>
      <c r="J2303">
        <v>0.86</v>
      </c>
      <c r="K2303"/>
    </row>
    <row r="2304">
      <c r="A2304" t="inlineStr">
        <is>
          <t>LIP_POPE</t>
        </is>
      </c>
      <c r="B2304" t="inlineStr">
        <is>
          <t>critical_packing_notes</t>
        </is>
      </c>
      <c r="C2304" t="inlineStr">
        <is>
          <t>bilayer-forming cylindrical lipid</t>
        </is>
      </c>
      <c r="D2304"/>
      <c r="E2304"/>
      <c r="F2304"/>
      <c r="G2304" t="inlineStr">
        <is>
          <t>CPP heuristic</t>
        </is>
      </c>
      <c r="H2304" t="inlineStr">
        <is>
          <t>S014_AULTON</t>
        </is>
      </c>
      <c r="I2304" t="inlineStr">
        <is>
          <t>curated</t>
        </is>
      </c>
      <c r="J2304">
        <v>0.65</v>
      </c>
      <c r="K2304"/>
    </row>
    <row r="2305">
      <c r="A2305" t="inlineStr">
        <is>
          <t>LIP_POPE</t>
        </is>
      </c>
      <c r="B2305" t="inlineStr">
        <is>
          <t>membrane_rigidity_contribution</t>
        </is>
      </c>
      <c r="C2305" t="inlineStr">
        <is>
          <t>fluidizing</t>
        </is>
      </c>
      <c r="D2305"/>
      <c r="E2305"/>
      <c r="F2305"/>
      <c r="G2305" t="inlineStr">
        <is>
          <t>Tm and unsaturation heuristic</t>
        </is>
      </c>
      <c r="H2305" t="inlineStr">
        <is>
          <t>S003_AVANTI_PHASE</t>
        </is>
      </c>
      <c r="I2305" t="inlineStr">
        <is>
          <t>curated</t>
        </is>
      </c>
      <c r="J2305">
        <v>0.65</v>
      </c>
      <c r="K2305"/>
    </row>
    <row r="2306">
      <c r="A2306" t="inlineStr">
        <is>
          <t>LIP_POPE</t>
        </is>
      </c>
      <c r="B2306" t="inlineStr">
        <is>
          <t>fusogenic_flag</t>
        </is>
      </c>
      <c r="C2306" t="inlineStr">
        <is>
          <t>yes</t>
        </is>
      </c>
      <c r="D2306"/>
      <c r="E2306"/>
      <c r="F2306"/>
      <c r="G2306" t="inlineStr">
        <is>
          <t>role annotation</t>
        </is>
      </c>
      <c r="H2306" t="inlineStr">
        <is>
          <t>S014_AULTON</t>
        </is>
      </c>
      <c r="I2306" t="inlineStr">
        <is>
          <t>curated</t>
        </is>
      </c>
      <c r="J2306">
        <v>0.7</v>
      </c>
      <c r="K2306"/>
    </row>
    <row r="2307">
      <c r="A2307" t="inlineStr">
        <is>
          <t>LIP_POPE</t>
        </is>
      </c>
      <c r="B2307" t="inlineStr">
        <is>
          <t>PEGylated_flag</t>
        </is>
      </c>
      <c r="C2307" t="inlineStr">
        <is>
          <t>no</t>
        </is>
      </c>
      <c r="D2307"/>
      <c r="E2307"/>
      <c r="F2307"/>
      <c r="G2307" t="inlineStr">
        <is>
          <t>role annotation</t>
        </is>
      </c>
      <c r="H2307" t="inlineStr">
        <is>
          <t>S014_AULTON</t>
        </is>
      </c>
      <c r="I2307" t="inlineStr">
        <is>
          <t>curated</t>
        </is>
      </c>
      <c r="J2307">
        <v>0.85</v>
      </c>
      <c r="K2307"/>
    </row>
    <row r="2308">
      <c r="A2308" t="inlineStr">
        <is>
          <t>LIP_POPE</t>
        </is>
      </c>
      <c r="B2308" t="inlineStr">
        <is>
          <t>ionizable_flag</t>
        </is>
      </c>
      <c r="C2308" t="inlineStr">
        <is>
          <t>no</t>
        </is>
      </c>
      <c r="D2308"/>
      <c r="E2308"/>
      <c r="F2308"/>
      <c r="G2308" t="inlineStr">
        <is>
          <t>role annotation</t>
        </is>
      </c>
      <c r="H2308" t="inlineStr">
        <is>
          <t>S014_AULTON</t>
        </is>
      </c>
      <c r="I2308" t="inlineStr">
        <is>
          <t>curated</t>
        </is>
      </c>
      <c r="J2308">
        <v>0.85</v>
      </c>
      <c r="K2308"/>
    </row>
    <row r="2309">
      <c r="A2309" t="inlineStr">
        <is>
          <t>LIP_POPE</t>
        </is>
      </c>
      <c r="B2309" t="inlineStr">
        <is>
          <t>route_suitability</t>
        </is>
      </c>
      <c r="C2309" t="inlineStr">
        <is>
          <t>liposome/LNP; route depends on purity, grade, residual solvents/endotoxin</t>
        </is>
      </c>
      <c r="D2309"/>
      <c r="E2309"/>
      <c r="F2309"/>
      <c r="G2309" t="inlineStr">
        <is>
          <t>route precedent caution</t>
        </is>
      </c>
      <c r="H2309" t="inlineStr">
        <is>
          <t>S008_FDA_IID</t>
        </is>
      </c>
      <c r="I2309" t="inlineStr">
        <is>
          <t>curated</t>
        </is>
      </c>
      <c r="J2309">
        <v>0.55</v>
      </c>
      <c r="K2309"/>
    </row>
    <row r="2310">
      <c r="A2310" t="inlineStr">
        <is>
          <t>LIP_POPE</t>
        </is>
      </c>
      <c r="B2310" t="inlineStr">
        <is>
          <t>storage_notes</t>
        </is>
      </c>
      <c r="C2310" t="inlineStr">
        <is>
          <t>store cold, dry, inert gas; protect unsaturated/ionizable lipids from oxidation/hydrolysis</t>
        </is>
      </c>
      <c r="D2310"/>
      <c r="E2310"/>
      <c r="F2310"/>
      <c r="G2310" t="inlineStr">
        <is>
          <t>supplier stability convention</t>
        </is>
      </c>
      <c r="H2310" t="inlineStr">
        <is>
          <t>S003_AVANTI_PHASE</t>
        </is>
      </c>
      <c r="I2310" t="inlineStr">
        <is>
          <t>curated</t>
        </is>
      </c>
      <c r="J2310">
        <v>0.7</v>
      </c>
      <c r="K2310"/>
    </row>
    <row r="2311">
      <c r="A2311" t="inlineStr">
        <is>
          <t>LIP_POPE</t>
        </is>
      </c>
      <c r="B2311" t="inlineStr">
        <is>
          <t>phase_transition_temperature_C</t>
        </is>
      </c>
      <c r="C2311">
        <v>25</v>
      </c>
      <c r="D2311" t="inlineStr">
        <is>
          <t>°C</t>
        </is>
      </c>
      <c r="E2311"/>
      <c r="F2311"/>
      <c r="G2311" t="inlineStr">
        <is>
          <t>main transition temperature, DSC/lipid supplier data</t>
        </is>
      </c>
      <c r="H2311" t="inlineStr">
        <is>
          <t>S003_AVANTI_PHASE</t>
        </is>
      </c>
      <c r="I2311" t="inlineStr">
        <is>
          <t>supplier-reported</t>
        </is>
      </c>
      <c r="J2311">
        <v>0.78</v>
      </c>
      <c r="K2311"/>
    </row>
    <row r="2312">
      <c r="A2312" t="inlineStr">
        <is>
          <t>LIP_POPE</t>
        </is>
      </c>
      <c r="B2312" t="inlineStr">
        <is>
          <t>Hansen_delta_D</t>
        </is>
      </c>
      <c r="C2312">
        <v>17.5</v>
      </c>
      <c r="D2312" t="inlineStr">
        <is>
          <t>MPa^0.5</t>
        </is>
      </c>
      <c r="E2312"/>
      <c r="F2312"/>
      <c r="G2312" t="inlineStr">
        <is>
          <t>heuristic group-contribution/nearest-neighbour</t>
        </is>
      </c>
      <c r="H2312" t="inlineStr">
        <is>
          <t>S013_EST_HSP_HEURISTIC</t>
        </is>
      </c>
      <c r="I2312" t="inlineStr">
        <is>
          <t>estimated</t>
        </is>
      </c>
      <c r="J2312">
        <v>0.38</v>
      </c>
      <c r="K2312" t="inlineStr">
        <is>
          <t>Provisional HSP for screening; replace with experimental/literature value before model lock.</t>
        </is>
      </c>
    </row>
    <row r="2313">
      <c r="A2313" t="inlineStr">
        <is>
          <t>LIP_POPE</t>
        </is>
      </c>
      <c r="B2313" t="inlineStr">
        <is>
          <t>Hansen_delta_P</t>
        </is>
      </c>
      <c r="C2313">
        <v>5.5</v>
      </c>
      <c r="D2313" t="inlineStr">
        <is>
          <t>MPa^0.5</t>
        </is>
      </c>
      <c r="E2313"/>
      <c r="F2313"/>
      <c r="G2313" t="inlineStr">
        <is>
          <t>heuristic group-contribution/nearest-neighbour</t>
        </is>
      </c>
      <c r="H2313" t="inlineStr">
        <is>
          <t>S013_EST_HSP_HEURISTIC</t>
        </is>
      </c>
      <c r="I2313" t="inlineStr">
        <is>
          <t>estimated</t>
        </is>
      </c>
      <c r="J2313">
        <v>0.38</v>
      </c>
      <c r="K2313" t="inlineStr">
        <is>
          <t>Provisional HSP for screening; replace with experimental/literature value before model lock.</t>
        </is>
      </c>
    </row>
    <row r="2314">
      <c r="A2314" t="inlineStr">
        <is>
          <t>LIP_POPE</t>
        </is>
      </c>
      <c r="B2314" t="inlineStr">
        <is>
          <t>Hansen_delta_H</t>
        </is>
      </c>
      <c r="C2314">
        <v>8.0</v>
      </c>
      <c r="D2314" t="inlineStr">
        <is>
          <t>MPa^0.5</t>
        </is>
      </c>
      <c r="E2314"/>
      <c r="F2314"/>
      <c r="G2314" t="inlineStr">
        <is>
          <t>heuristic group-contribution/nearest-neighbour</t>
        </is>
      </c>
      <c r="H2314" t="inlineStr">
        <is>
          <t>S013_EST_HSP_HEURISTIC</t>
        </is>
      </c>
      <c r="I2314" t="inlineStr">
        <is>
          <t>estimated</t>
        </is>
      </c>
      <c r="J2314">
        <v>0.38</v>
      </c>
      <c r="K2314" t="inlineStr">
        <is>
          <t>Provisional HSP for screening; replace with experimental/literature value before model lock.</t>
        </is>
      </c>
    </row>
    <row r="2315">
      <c r="A2315" t="inlineStr">
        <is>
          <t>LIP_POPE</t>
        </is>
      </c>
      <c r="B2315" t="inlineStr">
        <is>
          <t>Hildebrand_delta_T</t>
        </is>
      </c>
      <c r="C2315">
        <v>20.01</v>
      </c>
      <c r="D2315" t="inlineStr">
        <is>
          <t>MPa^0.5</t>
        </is>
      </c>
      <c r="E2315"/>
      <c r="F2315"/>
      <c r="G2315" t="inlineStr">
        <is>
          <t>sqrt(deltaD^2+deltaP^2+deltaH^2)</t>
        </is>
      </c>
      <c r="H2315" t="inlineStr">
        <is>
          <t>S012_CALCULATED</t>
        </is>
      </c>
      <c r="I2315" t="inlineStr">
        <is>
          <t>calculated</t>
        </is>
      </c>
      <c r="J2315">
        <v>0.43</v>
      </c>
      <c r="K2315" t="inlineStr">
        <is>
          <t>Derived from stored Hansen components.</t>
        </is>
      </c>
    </row>
    <row r="2316">
      <c r="A2316" t="inlineStr">
        <is>
          <t>LIP_POPE</t>
        </is>
      </c>
      <c r="B2316" t="inlineStr">
        <is>
          <t>HSP_radius_R0</t>
        </is>
      </c>
      <c r="C2316">
        <v>8.0</v>
      </c>
      <c r="D2316" t="inlineStr">
        <is>
          <t>MPa^0.5</t>
        </is>
      </c>
      <c r="E2316"/>
      <c r="F2316"/>
      <c r="G2316" t="inlineStr">
        <is>
          <t>literature/heuristic solubility sphere</t>
        </is>
      </c>
      <c r="H2316" t="inlineStr">
        <is>
          <t>S013_EST_HSP_HEURISTIC</t>
        </is>
      </c>
      <c r="I2316" t="inlineStr">
        <is>
          <t>estimated</t>
        </is>
      </c>
      <c r="J2316">
        <v>0.38</v>
      </c>
      <c r="K2316" t="inlineStr">
        <is>
          <t>Screening radius only unless experimentally determined.</t>
        </is>
      </c>
    </row>
    <row r="2317">
      <c r="A2317" t="inlineStr">
        <is>
          <t>LIP_POPE</t>
        </is>
      </c>
      <c r="B2317" t="inlineStr">
        <is>
          <t>molar_volume_cm3_mol</t>
        </is>
      </c>
      <c r="C2317">
        <v>718.0</v>
      </c>
      <c r="D2317" t="inlineStr">
        <is>
          <t>cm3/mol</t>
        </is>
      </c>
      <c r="E2317"/>
      <c r="F2317"/>
      <c r="G2317" t="inlineStr">
        <is>
          <t>MW/density estimate</t>
        </is>
      </c>
      <c r="H2317" t="inlineStr">
        <is>
          <t>S012_CALCULATED</t>
        </is>
      </c>
      <c r="I2317" t="inlineStr">
        <is>
          <t>estimated</t>
        </is>
      </c>
      <c r="J2317">
        <v>0.42</v>
      </c>
      <c r="K2317" t="inlineStr">
        <is>
          <t>Estimated from MW/density; replace with measured molar volume or density-specific grade data.</t>
        </is>
      </c>
    </row>
    <row r="2318">
      <c r="A2318" t="inlineStr">
        <is>
          <t>LIP_POPE</t>
        </is>
      </c>
      <c r="B2318" t="inlineStr">
        <is>
          <t>headgroup_area_nm2</t>
        </is>
      </c>
      <c r="C2318">
        <v>0.55</v>
      </c>
      <c r="D2318" t="inlineStr">
        <is>
          <t>nm2</t>
        </is>
      </c>
      <c r="E2318"/>
      <c r="F2318"/>
      <c r="G2318" t="inlineStr">
        <is>
          <t>literature/MD heuristic</t>
        </is>
      </c>
      <c r="H2318" t="inlineStr">
        <is>
          <t>S013_EST_HSP_HEURISTIC</t>
        </is>
      </c>
      <c r="I2318" t="inlineStr">
        <is>
          <t>estimated</t>
        </is>
      </c>
      <c r="J2318">
        <v>0.35</v>
      </c>
      <c r="K2318" t="inlineStr">
        <is>
          <t>Area per lipid varies with phase, temperature, cholesterol, hydration, and force field.</t>
        </is>
      </c>
    </row>
    <row r="2319">
      <c r="A2319" t="inlineStr">
        <is>
          <t>LIP_DSPE</t>
        </is>
      </c>
      <c r="B2319" t="inlineStr">
        <is>
          <t>molecular_weight_g_mol</t>
        </is>
      </c>
      <c r="C2319">
        <v>748.08</v>
      </c>
      <c r="D2319" t="inlineStr">
        <is>
          <t>g/mol</t>
        </is>
      </c>
      <c r="E2319"/>
      <c r="F2319"/>
      <c r="G2319" t="inlineStr">
        <is>
          <t>LIPID MAPS/supplier formula or average grade MW</t>
        </is>
      </c>
      <c r="H2319" t="inlineStr">
        <is>
          <t>S004_LIPIDMAPS</t>
        </is>
      </c>
      <c r="I2319" t="inlineStr">
        <is>
          <t>database-derived</t>
        </is>
      </c>
      <c r="J2319">
        <v>0.78</v>
      </c>
      <c r="K2319"/>
    </row>
    <row r="2320">
      <c r="A2320" t="inlineStr">
        <is>
          <t>LIP_DSPE</t>
        </is>
      </c>
      <c r="B2320" t="inlineStr">
        <is>
          <t>lipid_class</t>
        </is>
      </c>
      <c r="C2320" t="inlineStr">
        <is>
          <t>PE</t>
        </is>
      </c>
      <c r="D2320"/>
      <c r="E2320"/>
      <c r="F2320"/>
      <c r="G2320" t="inlineStr">
        <is>
          <t>lipid class annotation</t>
        </is>
      </c>
      <c r="H2320" t="inlineStr">
        <is>
          <t>S003_AVANTI_PHASE</t>
        </is>
      </c>
      <c r="I2320" t="inlineStr">
        <is>
          <t>curated</t>
        </is>
      </c>
      <c r="J2320">
        <v>0.85</v>
      </c>
      <c r="K2320"/>
    </row>
    <row r="2321">
      <c r="A2321" t="inlineStr">
        <is>
          <t>LIP_DSPE</t>
        </is>
      </c>
      <c r="B2321" t="inlineStr">
        <is>
          <t>headgroup_type</t>
        </is>
      </c>
      <c r="C2321" t="inlineStr">
        <is>
          <t>PE</t>
        </is>
      </c>
      <c r="D2321"/>
      <c r="E2321"/>
      <c r="F2321"/>
      <c r="G2321" t="inlineStr">
        <is>
          <t>headgroup annotation</t>
        </is>
      </c>
      <c r="H2321" t="inlineStr">
        <is>
          <t>S003_AVANTI_PHASE</t>
        </is>
      </c>
      <c r="I2321" t="inlineStr">
        <is>
          <t>curated</t>
        </is>
      </c>
      <c r="J2321">
        <v>0.85</v>
      </c>
      <c r="K2321"/>
    </row>
    <row r="2322">
      <c r="A2322" t="inlineStr">
        <is>
          <t>LIP_DSPE</t>
        </is>
      </c>
      <c r="B2322" t="inlineStr">
        <is>
          <t>charge_type</t>
        </is>
      </c>
      <c r="C2322" t="inlineStr">
        <is>
          <t>zwitterionic</t>
        </is>
      </c>
      <c r="D2322"/>
      <c r="E2322"/>
      <c r="F2322"/>
      <c r="G2322" t="inlineStr">
        <is>
          <t>nominal at pH 7.4</t>
        </is>
      </c>
      <c r="H2322" t="inlineStr">
        <is>
          <t>S003_AVANTI_PHASE</t>
        </is>
      </c>
      <c r="I2322" t="inlineStr">
        <is>
          <t>curated</t>
        </is>
      </c>
      <c r="J2322">
        <v>0.85</v>
      </c>
      <c r="K2322"/>
    </row>
    <row r="2323">
      <c r="A2323" t="inlineStr">
        <is>
          <t>LIP_DSPE</t>
        </is>
      </c>
      <c r="B2323" t="inlineStr">
        <is>
          <t>formal_charge</t>
        </is>
      </c>
      <c r="C2323">
        <v>0</v>
      </c>
      <c r="D2323" t="inlineStr">
        <is>
          <t>e</t>
        </is>
      </c>
      <c r="E2323"/>
      <c r="F2323"/>
      <c r="G2323" t="inlineStr">
        <is>
          <t>nominal at pH 7.4</t>
        </is>
      </c>
      <c r="H2323" t="inlineStr">
        <is>
          <t>S003_AVANTI_PHASE</t>
        </is>
      </c>
      <c r="I2323" t="inlineStr">
        <is>
          <t>curated</t>
        </is>
      </c>
      <c r="J2323">
        <v>0.85</v>
      </c>
      <c r="K2323"/>
    </row>
    <row r="2324">
      <c r="A2324" t="inlineStr">
        <is>
          <t>LIP_DSPE</t>
        </is>
      </c>
      <c r="B2324" t="inlineStr">
        <is>
          <t>tail_1_carbons</t>
        </is>
      </c>
      <c r="C2324">
        <v>18</v>
      </c>
      <c r="D2324" t="inlineStr">
        <is>
          <t>count</t>
        </is>
      </c>
      <c r="E2324"/>
      <c r="F2324"/>
      <c r="G2324" t="inlineStr">
        <is>
          <t>lipid shorthand annotation</t>
        </is>
      </c>
      <c r="H2324" t="inlineStr">
        <is>
          <t>S003_AVANTI_PHASE</t>
        </is>
      </c>
      <c r="I2324" t="inlineStr">
        <is>
          <t>curated</t>
        </is>
      </c>
      <c r="J2324">
        <v>0.86</v>
      </c>
      <c r="K2324"/>
    </row>
    <row r="2325">
      <c r="A2325" t="inlineStr">
        <is>
          <t>LIP_DSPE</t>
        </is>
      </c>
      <c r="B2325" t="inlineStr">
        <is>
          <t>tail_1_unsaturation</t>
        </is>
      </c>
      <c r="C2325">
        <v>0</v>
      </c>
      <c r="D2325" t="inlineStr">
        <is>
          <t>double_bonds</t>
        </is>
      </c>
      <c r="E2325"/>
      <c r="F2325"/>
      <c r="G2325" t="inlineStr">
        <is>
          <t>lipid shorthand annotation</t>
        </is>
      </c>
      <c r="H2325" t="inlineStr">
        <is>
          <t>S003_AVANTI_PHASE</t>
        </is>
      </c>
      <c r="I2325" t="inlineStr">
        <is>
          <t>curated</t>
        </is>
      </c>
      <c r="J2325">
        <v>0.86</v>
      </c>
      <c r="K2325"/>
    </row>
    <row r="2326">
      <c r="A2326" t="inlineStr">
        <is>
          <t>LIP_DSPE</t>
        </is>
      </c>
      <c r="B2326" t="inlineStr">
        <is>
          <t>tail_2_carbons</t>
        </is>
      </c>
      <c r="C2326">
        <v>18</v>
      </c>
      <c r="D2326" t="inlineStr">
        <is>
          <t>count</t>
        </is>
      </c>
      <c r="E2326"/>
      <c r="F2326"/>
      <c r="G2326" t="inlineStr">
        <is>
          <t>lipid shorthand annotation</t>
        </is>
      </c>
      <c r="H2326" t="inlineStr">
        <is>
          <t>S003_AVANTI_PHASE</t>
        </is>
      </c>
      <c r="I2326" t="inlineStr">
        <is>
          <t>curated</t>
        </is>
      </c>
      <c r="J2326">
        <v>0.86</v>
      </c>
      <c r="K2326"/>
    </row>
    <row r="2327">
      <c r="A2327" t="inlineStr">
        <is>
          <t>LIP_DSPE</t>
        </is>
      </c>
      <c r="B2327" t="inlineStr">
        <is>
          <t>tail_2_unsaturation</t>
        </is>
      </c>
      <c r="C2327">
        <v>0</v>
      </c>
      <c r="D2327" t="inlineStr">
        <is>
          <t>double_bonds</t>
        </is>
      </c>
      <c r="E2327"/>
      <c r="F2327"/>
      <c r="G2327" t="inlineStr">
        <is>
          <t>lipid shorthand annotation</t>
        </is>
      </c>
      <c r="H2327" t="inlineStr">
        <is>
          <t>S003_AVANTI_PHASE</t>
        </is>
      </c>
      <c r="I2327" t="inlineStr">
        <is>
          <t>curated</t>
        </is>
      </c>
      <c r="J2327">
        <v>0.86</v>
      </c>
      <c r="K2327"/>
    </row>
    <row r="2328">
      <c r="A2328" t="inlineStr">
        <is>
          <t>LIP_DSPE</t>
        </is>
      </c>
      <c r="B2328" t="inlineStr">
        <is>
          <t>number_of_tails</t>
        </is>
      </c>
      <c r="C2328">
        <v>2</v>
      </c>
      <c r="D2328" t="inlineStr">
        <is>
          <t>count</t>
        </is>
      </c>
      <c r="E2328"/>
      <c r="F2328"/>
      <c r="G2328" t="inlineStr">
        <is>
          <t>lipid shorthand annotation</t>
        </is>
      </c>
      <c r="H2328" t="inlineStr">
        <is>
          <t>S003_AVANTI_PHASE</t>
        </is>
      </c>
      <c r="I2328" t="inlineStr">
        <is>
          <t>curated</t>
        </is>
      </c>
      <c r="J2328">
        <v>0.86</v>
      </c>
      <c r="K2328"/>
    </row>
    <row r="2329">
      <c r="A2329" t="inlineStr">
        <is>
          <t>LIP_DSPE</t>
        </is>
      </c>
      <c r="B2329" t="inlineStr">
        <is>
          <t>critical_packing_notes</t>
        </is>
      </c>
      <c r="C2329" t="inlineStr">
        <is>
          <t>bilayer-forming cylindrical lipid</t>
        </is>
      </c>
      <c r="D2329"/>
      <c r="E2329"/>
      <c r="F2329"/>
      <c r="G2329" t="inlineStr">
        <is>
          <t>CPP heuristic</t>
        </is>
      </c>
      <c r="H2329" t="inlineStr">
        <is>
          <t>S014_AULTON</t>
        </is>
      </c>
      <c r="I2329" t="inlineStr">
        <is>
          <t>curated</t>
        </is>
      </c>
      <c r="J2329">
        <v>0.65</v>
      </c>
      <c r="K2329"/>
    </row>
    <row r="2330">
      <c r="A2330" t="inlineStr">
        <is>
          <t>LIP_DSPE</t>
        </is>
      </c>
      <c r="B2330" t="inlineStr">
        <is>
          <t>membrane_rigidity_contribution</t>
        </is>
      </c>
      <c r="C2330" t="inlineStr">
        <is>
          <t>high</t>
        </is>
      </c>
      <c r="D2330"/>
      <c r="E2330"/>
      <c r="F2330"/>
      <c r="G2330" t="inlineStr">
        <is>
          <t>Tm and unsaturation heuristic</t>
        </is>
      </c>
      <c r="H2330" t="inlineStr">
        <is>
          <t>S003_AVANTI_PHASE</t>
        </is>
      </c>
      <c r="I2330" t="inlineStr">
        <is>
          <t>curated</t>
        </is>
      </c>
      <c r="J2330">
        <v>0.65</v>
      </c>
      <c r="K2330"/>
    </row>
    <row r="2331">
      <c r="A2331" t="inlineStr">
        <is>
          <t>LIP_DSPE</t>
        </is>
      </c>
      <c r="B2331" t="inlineStr">
        <is>
          <t>fusogenic_flag</t>
        </is>
      </c>
      <c r="C2331" t="inlineStr">
        <is>
          <t>conditional</t>
        </is>
      </c>
      <c r="D2331"/>
      <c r="E2331"/>
      <c r="F2331"/>
      <c r="G2331" t="inlineStr">
        <is>
          <t>role annotation</t>
        </is>
      </c>
      <c r="H2331" t="inlineStr">
        <is>
          <t>S014_AULTON</t>
        </is>
      </c>
      <c r="I2331" t="inlineStr">
        <is>
          <t>curated</t>
        </is>
      </c>
      <c r="J2331">
        <v>0.7</v>
      </c>
      <c r="K2331"/>
    </row>
    <row r="2332">
      <c r="A2332" t="inlineStr">
        <is>
          <t>LIP_DSPE</t>
        </is>
      </c>
      <c r="B2332" t="inlineStr">
        <is>
          <t>PEGylated_flag</t>
        </is>
      </c>
      <c r="C2332" t="inlineStr">
        <is>
          <t>no</t>
        </is>
      </c>
      <c r="D2332"/>
      <c r="E2332"/>
      <c r="F2332"/>
      <c r="G2332" t="inlineStr">
        <is>
          <t>role annotation</t>
        </is>
      </c>
      <c r="H2332" t="inlineStr">
        <is>
          <t>S014_AULTON</t>
        </is>
      </c>
      <c r="I2332" t="inlineStr">
        <is>
          <t>curated</t>
        </is>
      </c>
      <c r="J2332">
        <v>0.85</v>
      </c>
      <c r="K2332"/>
    </row>
    <row r="2333">
      <c r="A2333" t="inlineStr">
        <is>
          <t>LIP_DSPE</t>
        </is>
      </c>
      <c r="B2333" t="inlineStr">
        <is>
          <t>ionizable_flag</t>
        </is>
      </c>
      <c r="C2333" t="inlineStr">
        <is>
          <t>no</t>
        </is>
      </c>
      <c r="D2333"/>
      <c r="E2333"/>
      <c r="F2333"/>
      <c r="G2333" t="inlineStr">
        <is>
          <t>role annotation</t>
        </is>
      </c>
      <c r="H2333" t="inlineStr">
        <is>
          <t>S014_AULTON</t>
        </is>
      </c>
      <c r="I2333" t="inlineStr">
        <is>
          <t>curated</t>
        </is>
      </c>
      <c r="J2333">
        <v>0.85</v>
      </c>
      <c r="K2333"/>
    </row>
    <row r="2334">
      <c r="A2334" t="inlineStr">
        <is>
          <t>LIP_DSPE</t>
        </is>
      </c>
      <c r="B2334" t="inlineStr">
        <is>
          <t>route_suitability</t>
        </is>
      </c>
      <c r="C2334" t="inlineStr">
        <is>
          <t>liposome/LNP; route depends on purity, grade, residual solvents/endotoxin</t>
        </is>
      </c>
      <c r="D2334"/>
      <c r="E2334"/>
      <c r="F2334"/>
      <c r="G2334" t="inlineStr">
        <is>
          <t>route precedent caution</t>
        </is>
      </c>
      <c r="H2334" t="inlineStr">
        <is>
          <t>S008_FDA_IID</t>
        </is>
      </c>
      <c r="I2334" t="inlineStr">
        <is>
          <t>curated</t>
        </is>
      </c>
      <c r="J2334">
        <v>0.55</v>
      </c>
      <c r="K2334"/>
    </row>
    <row r="2335">
      <c r="A2335" t="inlineStr">
        <is>
          <t>LIP_DSPE</t>
        </is>
      </c>
      <c r="B2335" t="inlineStr">
        <is>
          <t>storage_notes</t>
        </is>
      </c>
      <c r="C2335" t="inlineStr">
        <is>
          <t>store cold, dry, inert gas; protect unsaturated/ionizable lipids from oxidation/hydrolysis</t>
        </is>
      </c>
      <c r="D2335"/>
      <c r="E2335"/>
      <c r="F2335"/>
      <c r="G2335" t="inlineStr">
        <is>
          <t>supplier stability convention</t>
        </is>
      </c>
      <c r="H2335" t="inlineStr">
        <is>
          <t>S003_AVANTI_PHASE</t>
        </is>
      </c>
      <c r="I2335" t="inlineStr">
        <is>
          <t>curated</t>
        </is>
      </c>
      <c r="J2335">
        <v>0.7</v>
      </c>
      <c r="K2335"/>
    </row>
    <row r="2336">
      <c r="A2336" t="inlineStr">
        <is>
          <t>LIP_DSPE</t>
        </is>
      </c>
      <c r="B2336" t="inlineStr">
        <is>
          <t>phase_transition_temperature_C</t>
        </is>
      </c>
      <c r="C2336">
        <v>74</v>
      </c>
      <c r="D2336" t="inlineStr">
        <is>
          <t>°C</t>
        </is>
      </c>
      <c r="E2336"/>
      <c r="F2336"/>
      <c r="G2336" t="inlineStr">
        <is>
          <t>main transition temperature, DSC/lipid supplier data</t>
        </is>
      </c>
      <c r="H2336" t="inlineStr">
        <is>
          <t>S003_AVANTI_PHASE</t>
        </is>
      </c>
      <c r="I2336" t="inlineStr">
        <is>
          <t>supplier-reported</t>
        </is>
      </c>
      <c r="J2336">
        <v>0.78</v>
      </c>
      <c r="K2336"/>
    </row>
    <row r="2337">
      <c r="A2337" t="inlineStr">
        <is>
          <t>LIP_DSPE</t>
        </is>
      </c>
      <c r="B2337" t="inlineStr">
        <is>
          <t>Hansen_delta_D</t>
        </is>
      </c>
      <c r="C2337">
        <v>17.5</v>
      </c>
      <c r="D2337" t="inlineStr">
        <is>
          <t>MPa^0.5</t>
        </is>
      </c>
      <c r="E2337"/>
      <c r="F2337"/>
      <c r="G2337" t="inlineStr">
        <is>
          <t>heuristic group-contribution/nearest-neighbour</t>
        </is>
      </c>
      <c r="H2337" t="inlineStr">
        <is>
          <t>S013_EST_HSP_HEURISTIC</t>
        </is>
      </c>
      <c r="I2337" t="inlineStr">
        <is>
          <t>estimated</t>
        </is>
      </c>
      <c r="J2337">
        <v>0.38</v>
      </c>
      <c r="K2337" t="inlineStr">
        <is>
          <t>Provisional HSP for screening; replace with experimental/literature value before model lock.</t>
        </is>
      </c>
    </row>
    <row r="2338">
      <c r="A2338" t="inlineStr">
        <is>
          <t>LIP_DSPE</t>
        </is>
      </c>
      <c r="B2338" t="inlineStr">
        <is>
          <t>Hansen_delta_P</t>
        </is>
      </c>
      <c r="C2338">
        <v>5.5</v>
      </c>
      <c r="D2338" t="inlineStr">
        <is>
          <t>MPa^0.5</t>
        </is>
      </c>
      <c r="E2338"/>
      <c r="F2338"/>
      <c r="G2338" t="inlineStr">
        <is>
          <t>heuristic group-contribution/nearest-neighbour</t>
        </is>
      </c>
      <c r="H2338" t="inlineStr">
        <is>
          <t>S013_EST_HSP_HEURISTIC</t>
        </is>
      </c>
      <c r="I2338" t="inlineStr">
        <is>
          <t>estimated</t>
        </is>
      </c>
      <c r="J2338">
        <v>0.38</v>
      </c>
      <c r="K2338" t="inlineStr">
        <is>
          <t>Provisional HSP for screening; replace with experimental/literature value before model lock.</t>
        </is>
      </c>
    </row>
    <row r="2339">
      <c r="A2339" t="inlineStr">
        <is>
          <t>LIP_DSPE</t>
        </is>
      </c>
      <c r="B2339" t="inlineStr">
        <is>
          <t>Hansen_delta_H</t>
        </is>
      </c>
      <c r="C2339">
        <v>8.0</v>
      </c>
      <c r="D2339" t="inlineStr">
        <is>
          <t>MPa^0.5</t>
        </is>
      </c>
      <c r="E2339"/>
      <c r="F2339"/>
      <c r="G2339" t="inlineStr">
        <is>
          <t>heuristic group-contribution/nearest-neighbour</t>
        </is>
      </c>
      <c r="H2339" t="inlineStr">
        <is>
          <t>S013_EST_HSP_HEURISTIC</t>
        </is>
      </c>
      <c r="I2339" t="inlineStr">
        <is>
          <t>estimated</t>
        </is>
      </c>
      <c r="J2339">
        <v>0.38</v>
      </c>
      <c r="K2339" t="inlineStr">
        <is>
          <t>Provisional HSP for screening; replace with experimental/literature value before model lock.</t>
        </is>
      </c>
    </row>
    <row r="2340">
      <c r="A2340" t="inlineStr">
        <is>
          <t>LIP_DSPE</t>
        </is>
      </c>
      <c r="B2340" t="inlineStr">
        <is>
          <t>Hildebrand_delta_T</t>
        </is>
      </c>
      <c r="C2340">
        <v>20.01</v>
      </c>
      <c r="D2340" t="inlineStr">
        <is>
          <t>MPa^0.5</t>
        </is>
      </c>
      <c r="E2340"/>
      <c r="F2340"/>
      <c r="G2340" t="inlineStr">
        <is>
          <t>sqrt(deltaD^2+deltaP^2+deltaH^2)</t>
        </is>
      </c>
      <c r="H2340" t="inlineStr">
        <is>
          <t>S012_CALCULATED</t>
        </is>
      </c>
      <c r="I2340" t="inlineStr">
        <is>
          <t>calculated</t>
        </is>
      </c>
      <c r="J2340">
        <v>0.43</v>
      </c>
      <c r="K2340" t="inlineStr">
        <is>
          <t>Derived from stored Hansen components.</t>
        </is>
      </c>
    </row>
    <row r="2341">
      <c r="A2341" t="inlineStr">
        <is>
          <t>LIP_DSPE</t>
        </is>
      </c>
      <c r="B2341" t="inlineStr">
        <is>
          <t>HSP_radius_R0</t>
        </is>
      </c>
      <c r="C2341">
        <v>8.0</v>
      </c>
      <c r="D2341" t="inlineStr">
        <is>
          <t>MPa^0.5</t>
        </is>
      </c>
      <c r="E2341"/>
      <c r="F2341"/>
      <c r="G2341" t="inlineStr">
        <is>
          <t>literature/heuristic solubility sphere</t>
        </is>
      </c>
      <c r="H2341" t="inlineStr">
        <is>
          <t>S013_EST_HSP_HEURISTIC</t>
        </is>
      </c>
      <c r="I2341" t="inlineStr">
        <is>
          <t>estimated</t>
        </is>
      </c>
      <c r="J2341">
        <v>0.38</v>
      </c>
      <c r="K2341" t="inlineStr">
        <is>
          <t>Screening radius only unless experimentally determined.</t>
        </is>
      </c>
    </row>
    <row r="2342">
      <c r="A2342" t="inlineStr">
        <is>
          <t>LIP_DSPE</t>
        </is>
      </c>
      <c r="B2342" t="inlineStr">
        <is>
          <t>molar_volume_cm3_mol</t>
        </is>
      </c>
      <c r="C2342">
        <v>748.08</v>
      </c>
      <c r="D2342" t="inlineStr">
        <is>
          <t>cm3/mol</t>
        </is>
      </c>
      <c r="E2342"/>
      <c r="F2342"/>
      <c r="G2342" t="inlineStr">
        <is>
          <t>MW/density estimate</t>
        </is>
      </c>
      <c r="H2342" t="inlineStr">
        <is>
          <t>S012_CALCULATED</t>
        </is>
      </c>
      <c r="I2342" t="inlineStr">
        <is>
          <t>estimated</t>
        </is>
      </c>
      <c r="J2342">
        <v>0.42</v>
      </c>
      <c r="K2342" t="inlineStr">
        <is>
          <t>Estimated from MW/density; replace with measured molar volume or density-specific grade data.</t>
        </is>
      </c>
    </row>
    <row r="2343">
      <c r="A2343" t="inlineStr">
        <is>
          <t>LIP_DSPE</t>
        </is>
      </c>
      <c r="B2343" t="inlineStr">
        <is>
          <t>headgroup_area_nm2</t>
        </is>
      </c>
      <c r="C2343">
        <v>0.55</v>
      </c>
      <c r="D2343" t="inlineStr">
        <is>
          <t>nm2</t>
        </is>
      </c>
      <c r="E2343"/>
      <c r="F2343"/>
      <c r="G2343" t="inlineStr">
        <is>
          <t>literature/MD heuristic</t>
        </is>
      </c>
      <c r="H2343" t="inlineStr">
        <is>
          <t>S013_EST_HSP_HEURISTIC</t>
        </is>
      </c>
      <c r="I2343" t="inlineStr">
        <is>
          <t>estimated</t>
        </is>
      </c>
      <c r="J2343">
        <v>0.35</v>
      </c>
      <c r="K2343" t="inlineStr">
        <is>
          <t>Area per lipid varies with phase, temperature, cholesterol, hydration, and force field.</t>
        </is>
      </c>
    </row>
    <row r="2344">
      <c r="A2344" t="inlineStr">
        <is>
          <t>LIP_DPPE</t>
        </is>
      </c>
      <c r="B2344" t="inlineStr">
        <is>
          <t>molecular_weight_g_mol</t>
        </is>
      </c>
      <c r="C2344">
        <v>691.97</v>
      </c>
      <c r="D2344" t="inlineStr">
        <is>
          <t>g/mol</t>
        </is>
      </c>
      <c r="E2344"/>
      <c r="F2344"/>
      <c r="G2344" t="inlineStr">
        <is>
          <t>LIPID MAPS/supplier formula or average grade MW</t>
        </is>
      </c>
      <c r="H2344" t="inlineStr">
        <is>
          <t>S004_LIPIDMAPS</t>
        </is>
      </c>
      <c r="I2344" t="inlineStr">
        <is>
          <t>database-derived</t>
        </is>
      </c>
      <c r="J2344">
        <v>0.78</v>
      </c>
      <c r="K2344"/>
    </row>
    <row r="2345">
      <c r="A2345" t="inlineStr">
        <is>
          <t>LIP_DPPE</t>
        </is>
      </c>
      <c r="B2345" t="inlineStr">
        <is>
          <t>lipid_class</t>
        </is>
      </c>
      <c r="C2345" t="inlineStr">
        <is>
          <t>PE</t>
        </is>
      </c>
      <c r="D2345"/>
      <c r="E2345"/>
      <c r="F2345"/>
      <c r="G2345" t="inlineStr">
        <is>
          <t>lipid class annotation</t>
        </is>
      </c>
      <c r="H2345" t="inlineStr">
        <is>
          <t>S003_AVANTI_PHASE</t>
        </is>
      </c>
      <c r="I2345" t="inlineStr">
        <is>
          <t>curated</t>
        </is>
      </c>
      <c r="J2345">
        <v>0.85</v>
      </c>
      <c r="K2345"/>
    </row>
    <row r="2346">
      <c r="A2346" t="inlineStr">
        <is>
          <t>LIP_DPPE</t>
        </is>
      </c>
      <c r="B2346" t="inlineStr">
        <is>
          <t>headgroup_type</t>
        </is>
      </c>
      <c r="C2346" t="inlineStr">
        <is>
          <t>PE</t>
        </is>
      </c>
      <c r="D2346"/>
      <c r="E2346"/>
      <c r="F2346"/>
      <c r="G2346" t="inlineStr">
        <is>
          <t>headgroup annotation</t>
        </is>
      </c>
      <c r="H2346" t="inlineStr">
        <is>
          <t>S003_AVANTI_PHASE</t>
        </is>
      </c>
      <c r="I2346" t="inlineStr">
        <is>
          <t>curated</t>
        </is>
      </c>
      <c r="J2346">
        <v>0.85</v>
      </c>
      <c r="K2346"/>
    </row>
    <row r="2347">
      <c r="A2347" t="inlineStr">
        <is>
          <t>LIP_DPPE</t>
        </is>
      </c>
      <c r="B2347" t="inlineStr">
        <is>
          <t>charge_type</t>
        </is>
      </c>
      <c r="C2347" t="inlineStr">
        <is>
          <t>zwitterionic</t>
        </is>
      </c>
      <c r="D2347"/>
      <c r="E2347"/>
      <c r="F2347"/>
      <c r="G2347" t="inlineStr">
        <is>
          <t>nominal at pH 7.4</t>
        </is>
      </c>
      <c r="H2347" t="inlineStr">
        <is>
          <t>S003_AVANTI_PHASE</t>
        </is>
      </c>
      <c r="I2347" t="inlineStr">
        <is>
          <t>curated</t>
        </is>
      </c>
      <c r="J2347">
        <v>0.85</v>
      </c>
      <c r="K2347"/>
    </row>
    <row r="2348">
      <c r="A2348" t="inlineStr">
        <is>
          <t>LIP_DPPE</t>
        </is>
      </c>
      <c r="B2348" t="inlineStr">
        <is>
          <t>formal_charge</t>
        </is>
      </c>
      <c r="C2348">
        <v>0</v>
      </c>
      <c r="D2348" t="inlineStr">
        <is>
          <t>e</t>
        </is>
      </c>
      <c r="E2348"/>
      <c r="F2348"/>
      <c r="G2348" t="inlineStr">
        <is>
          <t>nominal at pH 7.4</t>
        </is>
      </c>
      <c r="H2348" t="inlineStr">
        <is>
          <t>S003_AVANTI_PHASE</t>
        </is>
      </c>
      <c r="I2348" t="inlineStr">
        <is>
          <t>curated</t>
        </is>
      </c>
      <c r="J2348">
        <v>0.85</v>
      </c>
      <c r="K2348"/>
    </row>
    <row r="2349">
      <c r="A2349" t="inlineStr">
        <is>
          <t>LIP_DPPE</t>
        </is>
      </c>
      <c r="B2349" t="inlineStr">
        <is>
          <t>tail_1_carbons</t>
        </is>
      </c>
      <c r="C2349">
        <v>16</v>
      </c>
      <c r="D2349" t="inlineStr">
        <is>
          <t>count</t>
        </is>
      </c>
      <c r="E2349"/>
      <c r="F2349"/>
      <c r="G2349" t="inlineStr">
        <is>
          <t>lipid shorthand annotation</t>
        </is>
      </c>
      <c r="H2349" t="inlineStr">
        <is>
          <t>S003_AVANTI_PHASE</t>
        </is>
      </c>
      <c r="I2349" t="inlineStr">
        <is>
          <t>curated</t>
        </is>
      </c>
      <c r="J2349">
        <v>0.86</v>
      </c>
      <c r="K2349"/>
    </row>
    <row r="2350">
      <c r="A2350" t="inlineStr">
        <is>
          <t>LIP_DPPE</t>
        </is>
      </c>
      <c r="B2350" t="inlineStr">
        <is>
          <t>tail_1_unsaturation</t>
        </is>
      </c>
      <c r="C2350">
        <v>0</v>
      </c>
      <c r="D2350" t="inlineStr">
        <is>
          <t>double_bonds</t>
        </is>
      </c>
      <c r="E2350"/>
      <c r="F2350"/>
      <c r="G2350" t="inlineStr">
        <is>
          <t>lipid shorthand annotation</t>
        </is>
      </c>
      <c r="H2350" t="inlineStr">
        <is>
          <t>S003_AVANTI_PHASE</t>
        </is>
      </c>
      <c r="I2350" t="inlineStr">
        <is>
          <t>curated</t>
        </is>
      </c>
      <c r="J2350">
        <v>0.86</v>
      </c>
      <c r="K2350"/>
    </row>
    <row r="2351">
      <c r="A2351" t="inlineStr">
        <is>
          <t>LIP_DPPE</t>
        </is>
      </c>
      <c r="B2351" t="inlineStr">
        <is>
          <t>tail_2_carbons</t>
        </is>
      </c>
      <c r="C2351">
        <v>16</v>
      </c>
      <c r="D2351" t="inlineStr">
        <is>
          <t>count</t>
        </is>
      </c>
      <c r="E2351"/>
      <c r="F2351"/>
      <c r="G2351" t="inlineStr">
        <is>
          <t>lipid shorthand annotation</t>
        </is>
      </c>
      <c r="H2351" t="inlineStr">
        <is>
          <t>S003_AVANTI_PHASE</t>
        </is>
      </c>
      <c r="I2351" t="inlineStr">
        <is>
          <t>curated</t>
        </is>
      </c>
      <c r="J2351">
        <v>0.86</v>
      </c>
      <c r="K2351"/>
    </row>
    <row r="2352">
      <c r="A2352" t="inlineStr">
        <is>
          <t>LIP_DPPE</t>
        </is>
      </c>
      <c r="B2352" t="inlineStr">
        <is>
          <t>tail_2_unsaturation</t>
        </is>
      </c>
      <c r="C2352">
        <v>0</v>
      </c>
      <c r="D2352" t="inlineStr">
        <is>
          <t>double_bonds</t>
        </is>
      </c>
      <c r="E2352"/>
      <c r="F2352"/>
      <c r="G2352" t="inlineStr">
        <is>
          <t>lipid shorthand annotation</t>
        </is>
      </c>
      <c r="H2352" t="inlineStr">
        <is>
          <t>S003_AVANTI_PHASE</t>
        </is>
      </c>
      <c r="I2352" t="inlineStr">
        <is>
          <t>curated</t>
        </is>
      </c>
      <c r="J2352">
        <v>0.86</v>
      </c>
      <c r="K2352"/>
    </row>
    <row r="2353">
      <c r="A2353" t="inlineStr">
        <is>
          <t>LIP_DPPE</t>
        </is>
      </c>
      <c r="B2353" t="inlineStr">
        <is>
          <t>number_of_tails</t>
        </is>
      </c>
      <c r="C2353">
        <v>2</v>
      </c>
      <c r="D2353" t="inlineStr">
        <is>
          <t>count</t>
        </is>
      </c>
      <c r="E2353"/>
      <c r="F2353"/>
      <c r="G2353" t="inlineStr">
        <is>
          <t>lipid shorthand annotation</t>
        </is>
      </c>
      <c r="H2353" t="inlineStr">
        <is>
          <t>S003_AVANTI_PHASE</t>
        </is>
      </c>
      <c r="I2353" t="inlineStr">
        <is>
          <t>curated</t>
        </is>
      </c>
      <c r="J2353">
        <v>0.86</v>
      </c>
      <c r="K2353"/>
    </row>
    <row r="2354">
      <c r="A2354" t="inlineStr">
        <is>
          <t>LIP_DPPE</t>
        </is>
      </c>
      <c r="B2354" t="inlineStr">
        <is>
          <t>critical_packing_notes</t>
        </is>
      </c>
      <c r="C2354" t="inlineStr">
        <is>
          <t>bilayer-forming cylindrical lipid</t>
        </is>
      </c>
      <c r="D2354"/>
      <c r="E2354"/>
      <c r="F2354"/>
      <c r="G2354" t="inlineStr">
        <is>
          <t>CPP heuristic</t>
        </is>
      </c>
      <c r="H2354" t="inlineStr">
        <is>
          <t>S014_AULTON</t>
        </is>
      </c>
      <c r="I2354" t="inlineStr">
        <is>
          <t>curated</t>
        </is>
      </c>
      <c r="J2354">
        <v>0.65</v>
      </c>
      <c r="K2354"/>
    </row>
    <row r="2355">
      <c r="A2355" t="inlineStr">
        <is>
          <t>LIP_DPPE</t>
        </is>
      </c>
      <c r="B2355" t="inlineStr">
        <is>
          <t>membrane_rigidity_contribution</t>
        </is>
      </c>
      <c r="C2355" t="inlineStr">
        <is>
          <t>high</t>
        </is>
      </c>
      <c r="D2355"/>
      <c r="E2355"/>
      <c r="F2355"/>
      <c r="G2355" t="inlineStr">
        <is>
          <t>Tm and unsaturation heuristic</t>
        </is>
      </c>
      <c r="H2355" t="inlineStr">
        <is>
          <t>S003_AVANTI_PHASE</t>
        </is>
      </c>
      <c r="I2355" t="inlineStr">
        <is>
          <t>curated</t>
        </is>
      </c>
      <c r="J2355">
        <v>0.65</v>
      </c>
      <c r="K2355"/>
    </row>
    <row r="2356">
      <c r="A2356" t="inlineStr">
        <is>
          <t>LIP_DPPE</t>
        </is>
      </c>
      <c r="B2356" t="inlineStr">
        <is>
          <t>fusogenic_flag</t>
        </is>
      </c>
      <c r="C2356" t="inlineStr">
        <is>
          <t>conditional</t>
        </is>
      </c>
      <c r="D2356"/>
      <c r="E2356"/>
      <c r="F2356"/>
      <c r="G2356" t="inlineStr">
        <is>
          <t>role annotation</t>
        </is>
      </c>
      <c r="H2356" t="inlineStr">
        <is>
          <t>S014_AULTON</t>
        </is>
      </c>
      <c r="I2356" t="inlineStr">
        <is>
          <t>curated</t>
        </is>
      </c>
      <c r="J2356">
        <v>0.7</v>
      </c>
      <c r="K2356"/>
    </row>
    <row r="2357">
      <c r="A2357" t="inlineStr">
        <is>
          <t>LIP_DPPE</t>
        </is>
      </c>
      <c r="B2357" t="inlineStr">
        <is>
          <t>PEGylated_flag</t>
        </is>
      </c>
      <c r="C2357" t="inlineStr">
        <is>
          <t>no</t>
        </is>
      </c>
      <c r="D2357"/>
      <c r="E2357"/>
      <c r="F2357"/>
      <c r="G2357" t="inlineStr">
        <is>
          <t>role annotation</t>
        </is>
      </c>
      <c r="H2357" t="inlineStr">
        <is>
          <t>S014_AULTON</t>
        </is>
      </c>
      <c r="I2357" t="inlineStr">
        <is>
          <t>curated</t>
        </is>
      </c>
      <c r="J2357">
        <v>0.85</v>
      </c>
      <c r="K2357"/>
    </row>
    <row r="2358">
      <c r="A2358" t="inlineStr">
        <is>
          <t>LIP_DPPE</t>
        </is>
      </c>
      <c r="B2358" t="inlineStr">
        <is>
          <t>ionizable_flag</t>
        </is>
      </c>
      <c r="C2358" t="inlineStr">
        <is>
          <t>no</t>
        </is>
      </c>
      <c r="D2358"/>
      <c r="E2358"/>
      <c r="F2358"/>
      <c r="G2358" t="inlineStr">
        <is>
          <t>role annotation</t>
        </is>
      </c>
      <c r="H2358" t="inlineStr">
        <is>
          <t>S014_AULTON</t>
        </is>
      </c>
      <c r="I2358" t="inlineStr">
        <is>
          <t>curated</t>
        </is>
      </c>
      <c r="J2358">
        <v>0.85</v>
      </c>
      <c r="K2358"/>
    </row>
    <row r="2359">
      <c r="A2359" t="inlineStr">
        <is>
          <t>LIP_DPPE</t>
        </is>
      </c>
      <c r="B2359" t="inlineStr">
        <is>
          <t>route_suitability</t>
        </is>
      </c>
      <c r="C2359" t="inlineStr">
        <is>
          <t>liposome/LNP; route depends on purity, grade, residual solvents/endotoxin</t>
        </is>
      </c>
      <c r="D2359"/>
      <c r="E2359"/>
      <c r="F2359"/>
      <c r="G2359" t="inlineStr">
        <is>
          <t>route precedent caution</t>
        </is>
      </c>
      <c r="H2359" t="inlineStr">
        <is>
          <t>S008_FDA_IID</t>
        </is>
      </c>
      <c r="I2359" t="inlineStr">
        <is>
          <t>curated</t>
        </is>
      </c>
      <c r="J2359">
        <v>0.55</v>
      </c>
      <c r="K2359"/>
    </row>
    <row r="2360">
      <c r="A2360" t="inlineStr">
        <is>
          <t>LIP_DPPE</t>
        </is>
      </c>
      <c r="B2360" t="inlineStr">
        <is>
          <t>storage_notes</t>
        </is>
      </c>
      <c r="C2360" t="inlineStr">
        <is>
          <t>store cold, dry, inert gas; protect unsaturated/ionizable lipids from oxidation/hydrolysis</t>
        </is>
      </c>
      <c r="D2360"/>
      <c r="E2360"/>
      <c r="F2360"/>
      <c r="G2360" t="inlineStr">
        <is>
          <t>supplier stability convention</t>
        </is>
      </c>
      <c r="H2360" t="inlineStr">
        <is>
          <t>S003_AVANTI_PHASE</t>
        </is>
      </c>
      <c r="I2360" t="inlineStr">
        <is>
          <t>curated</t>
        </is>
      </c>
      <c r="J2360">
        <v>0.7</v>
      </c>
      <c r="K2360"/>
    </row>
    <row r="2361">
      <c r="A2361" t="inlineStr">
        <is>
          <t>LIP_DPPE</t>
        </is>
      </c>
      <c r="B2361" t="inlineStr">
        <is>
          <t>phase_transition_temperature_C</t>
        </is>
      </c>
      <c r="C2361">
        <v>63</v>
      </c>
      <c r="D2361" t="inlineStr">
        <is>
          <t>°C</t>
        </is>
      </c>
      <c r="E2361"/>
      <c r="F2361"/>
      <c r="G2361" t="inlineStr">
        <is>
          <t>main transition temperature, DSC/lipid supplier data</t>
        </is>
      </c>
      <c r="H2361" t="inlineStr">
        <is>
          <t>S003_AVANTI_PHASE</t>
        </is>
      </c>
      <c r="I2361" t="inlineStr">
        <is>
          <t>supplier-reported</t>
        </is>
      </c>
      <c r="J2361">
        <v>0.78</v>
      </c>
      <c r="K2361"/>
    </row>
    <row r="2362">
      <c r="A2362" t="inlineStr">
        <is>
          <t>LIP_DPPE</t>
        </is>
      </c>
      <c r="B2362" t="inlineStr">
        <is>
          <t>Hansen_delta_D</t>
        </is>
      </c>
      <c r="C2362">
        <v>17.5</v>
      </c>
      <c r="D2362" t="inlineStr">
        <is>
          <t>MPa^0.5</t>
        </is>
      </c>
      <c r="E2362"/>
      <c r="F2362"/>
      <c r="G2362" t="inlineStr">
        <is>
          <t>heuristic group-contribution/nearest-neighbour</t>
        </is>
      </c>
      <c r="H2362" t="inlineStr">
        <is>
          <t>S013_EST_HSP_HEURISTIC</t>
        </is>
      </c>
      <c r="I2362" t="inlineStr">
        <is>
          <t>estimated</t>
        </is>
      </c>
      <c r="J2362">
        <v>0.38</v>
      </c>
      <c r="K2362" t="inlineStr">
        <is>
          <t>Provisional HSP for screening; replace with experimental/literature value before model lock.</t>
        </is>
      </c>
    </row>
    <row r="2363">
      <c r="A2363" t="inlineStr">
        <is>
          <t>LIP_DPPE</t>
        </is>
      </c>
      <c r="B2363" t="inlineStr">
        <is>
          <t>Hansen_delta_P</t>
        </is>
      </c>
      <c r="C2363">
        <v>5.5</v>
      </c>
      <c r="D2363" t="inlineStr">
        <is>
          <t>MPa^0.5</t>
        </is>
      </c>
      <c r="E2363"/>
      <c r="F2363"/>
      <c r="G2363" t="inlineStr">
        <is>
          <t>heuristic group-contribution/nearest-neighbour</t>
        </is>
      </c>
      <c r="H2363" t="inlineStr">
        <is>
          <t>S013_EST_HSP_HEURISTIC</t>
        </is>
      </c>
      <c r="I2363" t="inlineStr">
        <is>
          <t>estimated</t>
        </is>
      </c>
      <c r="J2363">
        <v>0.38</v>
      </c>
      <c r="K2363" t="inlineStr">
        <is>
          <t>Provisional HSP for screening; replace with experimental/literature value before model lock.</t>
        </is>
      </c>
    </row>
    <row r="2364">
      <c r="A2364" t="inlineStr">
        <is>
          <t>LIP_DPPE</t>
        </is>
      </c>
      <c r="B2364" t="inlineStr">
        <is>
          <t>Hansen_delta_H</t>
        </is>
      </c>
      <c r="C2364">
        <v>8.0</v>
      </c>
      <c r="D2364" t="inlineStr">
        <is>
          <t>MPa^0.5</t>
        </is>
      </c>
      <c r="E2364"/>
      <c r="F2364"/>
      <c r="G2364" t="inlineStr">
        <is>
          <t>heuristic group-contribution/nearest-neighbour</t>
        </is>
      </c>
      <c r="H2364" t="inlineStr">
        <is>
          <t>S013_EST_HSP_HEURISTIC</t>
        </is>
      </c>
      <c r="I2364" t="inlineStr">
        <is>
          <t>estimated</t>
        </is>
      </c>
      <c r="J2364">
        <v>0.38</v>
      </c>
      <c r="K2364" t="inlineStr">
        <is>
          <t>Provisional HSP for screening; replace with experimental/literature value before model lock.</t>
        </is>
      </c>
    </row>
    <row r="2365">
      <c r="A2365" t="inlineStr">
        <is>
          <t>LIP_DPPE</t>
        </is>
      </c>
      <c r="B2365" t="inlineStr">
        <is>
          <t>Hildebrand_delta_T</t>
        </is>
      </c>
      <c r="C2365">
        <v>20.01</v>
      </c>
      <c r="D2365" t="inlineStr">
        <is>
          <t>MPa^0.5</t>
        </is>
      </c>
      <c r="E2365"/>
      <c r="F2365"/>
      <c r="G2365" t="inlineStr">
        <is>
          <t>sqrt(deltaD^2+deltaP^2+deltaH^2)</t>
        </is>
      </c>
      <c r="H2365" t="inlineStr">
        <is>
          <t>S012_CALCULATED</t>
        </is>
      </c>
      <c r="I2365" t="inlineStr">
        <is>
          <t>calculated</t>
        </is>
      </c>
      <c r="J2365">
        <v>0.43</v>
      </c>
      <c r="K2365" t="inlineStr">
        <is>
          <t>Derived from stored Hansen components.</t>
        </is>
      </c>
    </row>
    <row r="2366">
      <c r="A2366" t="inlineStr">
        <is>
          <t>LIP_DPPE</t>
        </is>
      </c>
      <c r="B2366" t="inlineStr">
        <is>
          <t>HSP_radius_R0</t>
        </is>
      </c>
      <c r="C2366">
        <v>8.0</v>
      </c>
      <c r="D2366" t="inlineStr">
        <is>
          <t>MPa^0.5</t>
        </is>
      </c>
      <c r="E2366"/>
      <c r="F2366"/>
      <c r="G2366" t="inlineStr">
        <is>
          <t>literature/heuristic solubility sphere</t>
        </is>
      </c>
      <c r="H2366" t="inlineStr">
        <is>
          <t>S013_EST_HSP_HEURISTIC</t>
        </is>
      </c>
      <c r="I2366" t="inlineStr">
        <is>
          <t>estimated</t>
        </is>
      </c>
      <c r="J2366">
        <v>0.38</v>
      </c>
      <c r="K2366" t="inlineStr">
        <is>
          <t>Screening radius only unless experimentally determined.</t>
        </is>
      </c>
    </row>
    <row r="2367">
      <c r="A2367" t="inlineStr">
        <is>
          <t>LIP_DPPE</t>
        </is>
      </c>
      <c r="B2367" t="inlineStr">
        <is>
          <t>molar_volume_cm3_mol</t>
        </is>
      </c>
      <c r="C2367">
        <v>691.97</v>
      </c>
      <c r="D2367" t="inlineStr">
        <is>
          <t>cm3/mol</t>
        </is>
      </c>
      <c r="E2367"/>
      <c r="F2367"/>
      <c r="G2367" t="inlineStr">
        <is>
          <t>MW/density estimate</t>
        </is>
      </c>
      <c r="H2367" t="inlineStr">
        <is>
          <t>S012_CALCULATED</t>
        </is>
      </c>
      <c r="I2367" t="inlineStr">
        <is>
          <t>estimated</t>
        </is>
      </c>
      <c r="J2367">
        <v>0.42</v>
      </c>
      <c r="K2367" t="inlineStr">
        <is>
          <t>Estimated from MW/density; replace with measured molar volume or density-specific grade data.</t>
        </is>
      </c>
    </row>
    <row r="2368">
      <c r="A2368" t="inlineStr">
        <is>
          <t>LIP_DPPE</t>
        </is>
      </c>
      <c r="B2368" t="inlineStr">
        <is>
          <t>headgroup_area_nm2</t>
        </is>
      </c>
      <c r="C2368">
        <v>0.55</v>
      </c>
      <c r="D2368" t="inlineStr">
        <is>
          <t>nm2</t>
        </is>
      </c>
      <c r="E2368"/>
      <c r="F2368"/>
      <c r="G2368" t="inlineStr">
        <is>
          <t>literature/MD heuristic</t>
        </is>
      </c>
      <c r="H2368" t="inlineStr">
        <is>
          <t>S013_EST_HSP_HEURISTIC</t>
        </is>
      </c>
      <c r="I2368" t="inlineStr">
        <is>
          <t>estimated</t>
        </is>
      </c>
      <c r="J2368">
        <v>0.35</v>
      </c>
      <c r="K2368" t="inlineStr">
        <is>
          <t>Area per lipid varies with phase, temperature, cholesterol, hydration, and force field.</t>
        </is>
      </c>
    </row>
    <row r="2369">
      <c r="A2369" t="inlineStr">
        <is>
          <t>LIP_DMPE</t>
        </is>
      </c>
      <c r="B2369" t="inlineStr">
        <is>
          <t>molecular_weight_g_mol</t>
        </is>
      </c>
      <c r="C2369">
        <v>635.86</v>
      </c>
      <c r="D2369" t="inlineStr">
        <is>
          <t>g/mol</t>
        </is>
      </c>
      <c r="E2369"/>
      <c r="F2369"/>
      <c r="G2369" t="inlineStr">
        <is>
          <t>LIPID MAPS/supplier formula or average grade MW</t>
        </is>
      </c>
      <c r="H2369" t="inlineStr">
        <is>
          <t>S004_LIPIDMAPS</t>
        </is>
      </c>
      <c r="I2369" t="inlineStr">
        <is>
          <t>database-derived</t>
        </is>
      </c>
      <c r="J2369">
        <v>0.78</v>
      </c>
      <c r="K2369"/>
    </row>
    <row r="2370">
      <c r="A2370" t="inlineStr">
        <is>
          <t>LIP_DMPE</t>
        </is>
      </c>
      <c r="B2370" t="inlineStr">
        <is>
          <t>lipid_class</t>
        </is>
      </c>
      <c r="C2370" t="inlineStr">
        <is>
          <t>PE</t>
        </is>
      </c>
      <c r="D2370"/>
      <c r="E2370"/>
      <c r="F2370"/>
      <c r="G2370" t="inlineStr">
        <is>
          <t>lipid class annotation</t>
        </is>
      </c>
      <c r="H2370" t="inlineStr">
        <is>
          <t>S003_AVANTI_PHASE</t>
        </is>
      </c>
      <c r="I2370" t="inlineStr">
        <is>
          <t>curated</t>
        </is>
      </c>
      <c r="J2370">
        <v>0.85</v>
      </c>
      <c r="K2370"/>
    </row>
    <row r="2371">
      <c r="A2371" t="inlineStr">
        <is>
          <t>LIP_DMPE</t>
        </is>
      </c>
      <c r="B2371" t="inlineStr">
        <is>
          <t>headgroup_type</t>
        </is>
      </c>
      <c r="C2371" t="inlineStr">
        <is>
          <t>PE</t>
        </is>
      </c>
      <c r="D2371"/>
      <c r="E2371"/>
      <c r="F2371"/>
      <c r="G2371" t="inlineStr">
        <is>
          <t>headgroup annotation</t>
        </is>
      </c>
      <c r="H2371" t="inlineStr">
        <is>
          <t>S003_AVANTI_PHASE</t>
        </is>
      </c>
      <c r="I2371" t="inlineStr">
        <is>
          <t>curated</t>
        </is>
      </c>
      <c r="J2371">
        <v>0.85</v>
      </c>
      <c r="K2371"/>
    </row>
    <row r="2372">
      <c r="A2372" t="inlineStr">
        <is>
          <t>LIP_DMPE</t>
        </is>
      </c>
      <c r="B2372" t="inlineStr">
        <is>
          <t>charge_type</t>
        </is>
      </c>
      <c r="C2372" t="inlineStr">
        <is>
          <t>zwitterionic</t>
        </is>
      </c>
      <c r="D2372"/>
      <c r="E2372"/>
      <c r="F2372"/>
      <c r="G2372" t="inlineStr">
        <is>
          <t>nominal at pH 7.4</t>
        </is>
      </c>
      <c r="H2372" t="inlineStr">
        <is>
          <t>S003_AVANTI_PHASE</t>
        </is>
      </c>
      <c r="I2372" t="inlineStr">
        <is>
          <t>curated</t>
        </is>
      </c>
      <c r="J2372">
        <v>0.85</v>
      </c>
      <c r="K2372"/>
    </row>
    <row r="2373">
      <c r="A2373" t="inlineStr">
        <is>
          <t>LIP_DMPE</t>
        </is>
      </c>
      <c r="B2373" t="inlineStr">
        <is>
          <t>formal_charge</t>
        </is>
      </c>
      <c r="C2373">
        <v>0</v>
      </c>
      <c r="D2373" t="inlineStr">
        <is>
          <t>e</t>
        </is>
      </c>
      <c r="E2373"/>
      <c r="F2373"/>
      <c r="G2373" t="inlineStr">
        <is>
          <t>nominal at pH 7.4</t>
        </is>
      </c>
      <c r="H2373" t="inlineStr">
        <is>
          <t>S003_AVANTI_PHASE</t>
        </is>
      </c>
      <c r="I2373" t="inlineStr">
        <is>
          <t>curated</t>
        </is>
      </c>
      <c r="J2373">
        <v>0.85</v>
      </c>
      <c r="K2373"/>
    </row>
    <row r="2374">
      <c r="A2374" t="inlineStr">
        <is>
          <t>LIP_DMPE</t>
        </is>
      </c>
      <c r="B2374" t="inlineStr">
        <is>
          <t>tail_1_carbons</t>
        </is>
      </c>
      <c r="C2374">
        <v>14</v>
      </c>
      <c r="D2374" t="inlineStr">
        <is>
          <t>count</t>
        </is>
      </c>
      <c r="E2374"/>
      <c r="F2374"/>
      <c r="G2374" t="inlineStr">
        <is>
          <t>lipid shorthand annotation</t>
        </is>
      </c>
      <c r="H2374" t="inlineStr">
        <is>
          <t>S003_AVANTI_PHASE</t>
        </is>
      </c>
      <c r="I2374" t="inlineStr">
        <is>
          <t>curated</t>
        </is>
      </c>
      <c r="J2374">
        <v>0.86</v>
      </c>
      <c r="K2374"/>
    </row>
    <row r="2375">
      <c r="A2375" t="inlineStr">
        <is>
          <t>LIP_DMPE</t>
        </is>
      </c>
      <c r="B2375" t="inlineStr">
        <is>
          <t>tail_1_unsaturation</t>
        </is>
      </c>
      <c r="C2375">
        <v>0</v>
      </c>
      <c r="D2375" t="inlineStr">
        <is>
          <t>double_bonds</t>
        </is>
      </c>
      <c r="E2375"/>
      <c r="F2375"/>
      <c r="G2375" t="inlineStr">
        <is>
          <t>lipid shorthand annotation</t>
        </is>
      </c>
      <c r="H2375" t="inlineStr">
        <is>
          <t>S003_AVANTI_PHASE</t>
        </is>
      </c>
      <c r="I2375" t="inlineStr">
        <is>
          <t>curated</t>
        </is>
      </c>
      <c r="J2375">
        <v>0.86</v>
      </c>
      <c r="K2375"/>
    </row>
    <row r="2376">
      <c r="A2376" t="inlineStr">
        <is>
          <t>LIP_DMPE</t>
        </is>
      </c>
      <c r="B2376" t="inlineStr">
        <is>
          <t>tail_2_carbons</t>
        </is>
      </c>
      <c r="C2376">
        <v>14</v>
      </c>
      <c r="D2376" t="inlineStr">
        <is>
          <t>count</t>
        </is>
      </c>
      <c r="E2376"/>
      <c r="F2376"/>
      <c r="G2376" t="inlineStr">
        <is>
          <t>lipid shorthand annotation</t>
        </is>
      </c>
      <c r="H2376" t="inlineStr">
        <is>
          <t>S003_AVANTI_PHASE</t>
        </is>
      </c>
      <c r="I2376" t="inlineStr">
        <is>
          <t>curated</t>
        </is>
      </c>
      <c r="J2376">
        <v>0.86</v>
      </c>
      <c r="K2376"/>
    </row>
    <row r="2377">
      <c r="A2377" t="inlineStr">
        <is>
          <t>LIP_DMPE</t>
        </is>
      </c>
      <c r="B2377" t="inlineStr">
        <is>
          <t>tail_2_unsaturation</t>
        </is>
      </c>
      <c r="C2377">
        <v>0</v>
      </c>
      <c r="D2377" t="inlineStr">
        <is>
          <t>double_bonds</t>
        </is>
      </c>
      <c r="E2377"/>
      <c r="F2377"/>
      <c r="G2377" t="inlineStr">
        <is>
          <t>lipid shorthand annotation</t>
        </is>
      </c>
      <c r="H2377" t="inlineStr">
        <is>
          <t>S003_AVANTI_PHASE</t>
        </is>
      </c>
      <c r="I2377" t="inlineStr">
        <is>
          <t>curated</t>
        </is>
      </c>
      <c r="J2377">
        <v>0.86</v>
      </c>
      <c r="K2377"/>
    </row>
    <row r="2378">
      <c r="A2378" t="inlineStr">
        <is>
          <t>LIP_DMPE</t>
        </is>
      </c>
      <c r="B2378" t="inlineStr">
        <is>
          <t>number_of_tails</t>
        </is>
      </c>
      <c r="C2378">
        <v>2</v>
      </c>
      <c r="D2378" t="inlineStr">
        <is>
          <t>count</t>
        </is>
      </c>
      <c r="E2378"/>
      <c r="F2378"/>
      <c r="G2378" t="inlineStr">
        <is>
          <t>lipid shorthand annotation</t>
        </is>
      </c>
      <c r="H2378" t="inlineStr">
        <is>
          <t>S003_AVANTI_PHASE</t>
        </is>
      </c>
      <c r="I2378" t="inlineStr">
        <is>
          <t>curated</t>
        </is>
      </c>
      <c r="J2378">
        <v>0.86</v>
      </c>
      <c r="K2378"/>
    </row>
    <row r="2379">
      <c r="A2379" t="inlineStr">
        <is>
          <t>LIP_DMPE</t>
        </is>
      </c>
      <c r="B2379" t="inlineStr">
        <is>
          <t>critical_packing_notes</t>
        </is>
      </c>
      <c r="C2379" t="inlineStr">
        <is>
          <t>bilayer-forming cylindrical lipid</t>
        </is>
      </c>
      <c r="D2379"/>
      <c r="E2379"/>
      <c r="F2379"/>
      <c r="G2379" t="inlineStr">
        <is>
          <t>CPP heuristic</t>
        </is>
      </c>
      <c r="H2379" t="inlineStr">
        <is>
          <t>S014_AULTON</t>
        </is>
      </c>
      <c r="I2379" t="inlineStr">
        <is>
          <t>curated</t>
        </is>
      </c>
      <c r="J2379">
        <v>0.65</v>
      </c>
      <c r="K2379"/>
    </row>
    <row r="2380">
      <c r="A2380" t="inlineStr">
        <is>
          <t>LIP_DMPE</t>
        </is>
      </c>
      <c r="B2380" t="inlineStr">
        <is>
          <t>membrane_rigidity_contribution</t>
        </is>
      </c>
      <c r="C2380" t="inlineStr">
        <is>
          <t>high</t>
        </is>
      </c>
      <c r="D2380"/>
      <c r="E2380"/>
      <c r="F2380"/>
      <c r="G2380" t="inlineStr">
        <is>
          <t>Tm and unsaturation heuristic</t>
        </is>
      </c>
      <c r="H2380" t="inlineStr">
        <is>
          <t>S003_AVANTI_PHASE</t>
        </is>
      </c>
      <c r="I2380" t="inlineStr">
        <is>
          <t>curated</t>
        </is>
      </c>
      <c r="J2380">
        <v>0.65</v>
      </c>
      <c r="K2380"/>
    </row>
    <row r="2381">
      <c r="A2381" t="inlineStr">
        <is>
          <t>LIP_DMPE</t>
        </is>
      </c>
      <c r="B2381" t="inlineStr">
        <is>
          <t>fusogenic_flag</t>
        </is>
      </c>
      <c r="C2381" t="inlineStr">
        <is>
          <t>conditional</t>
        </is>
      </c>
      <c r="D2381"/>
      <c r="E2381"/>
      <c r="F2381"/>
      <c r="G2381" t="inlineStr">
        <is>
          <t>role annotation</t>
        </is>
      </c>
      <c r="H2381" t="inlineStr">
        <is>
          <t>S014_AULTON</t>
        </is>
      </c>
      <c r="I2381" t="inlineStr">
        <is>
          <t>curated</t>
        </is>
      </c>
      <c r="J2381">
        <v>0.7</v>
      </c>
      <c r="K2381"/>
    </row>
    <row r="2382">
      <c r="A2382" t="inlineStr">
        <is>
          <t>LIP_DMPE</t>
        </is>
      </c>
      <c r="B2382" t="inlineStr">
        <is>
          <t>PEGylated_flag</t>
        </is>
      </c>
      <c r="C2382" t="inlineStr">
        <is>
          <t>no</t>
        </is>
      </c>
      <c r="D2382"/>
      <c r="E2382"/>
      <c r="F2382"/>
      <c r="G2382" t="inlineStr">
        <is>
          <t>role annotation</t>
        </is>
      </c>
      <c r="H2382" t="inlineStr">
        <is>
          <t>S014_AULTON</t>
        </is>
      </c>
      <c r="I2382" t="inlineStr">
        <is>
          <t>curated</t>
        </is>
      </c>
      <c r="J2382">
        <v>0.85</v>
      </c>
      <c r="K2382"/>
    </row>
    <row r="2383">
      <c r="A2383" t="inlineStr">
        <is>
          <t>LIP_DMPE</t>
        </is>
      </c>
      <c r="B2383" t="inlineStr">
        <is>
          <t>ionizable_flag</t>
        </is>
      </c>
      <c r="C2383" t="inlineStr">
        <is>
          <t>no</t>
        </is>
      </c>
      <c r="D2383"/>
      <c r="E2383"/>
      <c r="F2383"/>
      <c r="G2383" t="inlineStr">
        <is>
          <t>role annotation</t>
        </is>
      </c>
      <c r="H2383" t="inlineStr">
        <is>
          <t>S014_AULTON</t>
        </is>
      </c>
      <c r="I2383" t="inlineStr">
        <is>
          <t>curated</t>
        </is>
      </c>
      <c r="J2383">
        <v>0.85</v>
      </c>
      <c r="K2383"/>
    </row>
    <row r="2384">
      <c r="A2384" t="inlineStr">
        <is>
          <t>LIP_DMPE</t>
        </is>
      </c>
      <c r="B2384" t="inlineStr">
        <is>
          <t>route_suitability</t>
        </is>
      </c>
      <c r="C2384" t="inlineStr">
        <is>
          <t>liposome/LNP; route depends on purity, grade, residual solvents/endotoxin</t>
        </is>
      </c>
      <c r="D2384"/>
      <c r="E2384"/>
      <c r="F2384"/>
      <c r="G2384" t="inlineStr">
        <is>
          <t>route precedent caution</t>
        </is>
      </c>
      <c r="H2384" t="inlineStr">
        <is>
          <t>S008_FDA_IID</t>
        </is>
      </c>
      <c r="I2384" t="inlineStr">
        <is>
          <t>curated</t>
        </is>
      </c>
      <c r="J2384">
        <v>0.55</v>
      </c>
      <c r="K2384"/>
    </row>
    <row r="2385">
      <c r="A2385" t="inlineStr">
        <is>
          <t>LIP_DMPE</t>
        </is>
      </c>
      <c r="B2385" t="inlineStr">
        <is>
          <t>storage_notes</t>
        </is>
      </c>
      <c r="C2385" t="inlineStr">
        <is>
          <t>store cold, dry, inert gas; protect unsaturated/ionizable lipids from oxidation/hydrolysis</t>
        </is>
      </c>
      <c r="D2385"/>
      <c r="E2385"/>
      <c r="F2385"/>
      <c r="G2385" t="inlineStr">
        <is>
          <t>supplier stability convention</t>
        </is>
      </c>
      <c r="H2385" t="inlineStr">
        <is>
          <t>S003_AVANTI_PHASE</t>
        </is>
      </c>
      <c r="I2385" t="inlineStr">
        <is>
          <t>curated</t>
        </is>
      </c>
      <c r="J2385">
        <v>0.7</v>
      </c>
      <c r="K2385"/>
    </row>
    <row r="2386">
      <c r="A2386" t="inlineStr">
        <is>
          <t>LIP_DMPE</t>
        </is>
      </c>
      <c r="B2386" t="inlineStr">
        <is>
          <t>phase_transition_temperature_C</t>
        </is>
      </c>
      <c r="C2386">
        <v>50</v>
      </c>
      <c r="D2386" t="inlineStr">
        <is>
          <t>°C</t>
        </is>
      </c>
      <c r="E2386"/>
      <c r="F2386"/>
      <c r="G2386" t="inlineStr">
        <is>
          <t>main transition temperature, DSC/lipid supplier data</t>
        </is>
      </c>
      <c r="H2386" t="inlineStr">
        <is>
          <t>S003_AVANTI_PHASE</t>
        </is>
      </c>
      <c r="I2386" t="inlineStr">
        <is>
          <t>supplier-reported</t>
        </is>
      </c>
      <c r="J2386">
        <v>0.78</v>
      </c>
      <c r="K2386"/>
    </row>
    <row r="2387">
      <c r="A2387" t="inlineStr">
        <is>
          <t>LIP_DMPE</t>
        </is>
      </c>
      <c r="B2387" t="inlineStr">
        <is>
          <t>Hansen_delta_D</t>
        </is>
      </c>
      <c r="C2387">
        <v>17.5</v>
      </c>
      <c r="D2387" t="inlineStr">
        <is>
          <t>MPa^0.5</t>
        </is>
      </c>
      <c r="E2387"/>
      <c r="F2387"/>
      <c r="G2387" t="inlineStr">
        <is>
          <t>heuristic group-contribution/nearest-neighbour</t>
        </is>
      </c>
      <c r="H2387" t="inlineStr">
        <is>
          <t>S013_EST_HSP_HEURISTIC</t>
        </is>
      </c>
      <c r="I2387" t="inlineStr">
        <is>
          <t>estimated</t>
        </is>
      </c>
      <c r="J2387">
        <v>0.38</v>
      </c>
      <c r="K2387" t="inlineStr">
        <is>
          <t>Provisional HSP for screening; replace with experimental/literature value before model lock.</t>
        </is>
      </c>
    </row>
    <row r="2388">
      <c r="A2388" t="inlineStr">
        <is>
          <t>LIP_DMPE</t>
        </is>
      </c>
      <c r="B2388" t="inlineStr">
        <is>
          <t>Hansen_delta_P</t>
        </is>
      </c>
      <c r="C2388">
        <v>5.5</v>
      </c>
      <c r="D2388" t="inlineStr">
        <is>
          <t>MPa^0.5</t>
        </is>
      </c>
      <c r="E2388"/>
      <c r="F2388"/>
      <c r="G2388" t="inlineStr">
        <is>
          <t>heuristic group-contribution/nearest-neighbour</t>
        </is>
      </c>
      <c r="H2388" t="inlineStr">
        <is>
          <t>S013_EST_HSP_HEURISTIC</t>
        </is>
      </c>
      <c r="I2388" t="inlineStr">
        <is>
          <t>estimated</t>
        </is>
      </c>
      <c r="J2388">
        <v>0.38</v>
      </c>
      <c r="K2388" t="inlineStr">
        <is>
          <t>Provisional HSP for screening; replace with experimental/literature value before model lock.</t>
        </is>
      </c>
    </row>
    <row r="2389">
      <c r="A2389" t="inlineStr">
        <is>
          <t>LIP_DMPE</t>
        </is>
      </c>
      <c r="B2389" t="inlineStr">
        <is>
          <t>Hansen_delta_H</t>
        </is>
      </c>
      <c r="C2389">
        <v>8.0</v>
      </c>
      <c r="D2389" t="inlineStr">
        <is>
          <t>MPa^0.5</t>
        </is>
      </c>
      <c r="E2389"/>
      <c r="F2389"/>
      <c r="G2389" t="inlineStr">
        <is>
          <t>heuristic group-contribution/nearest-neighbour</t>
        </is>
      </c>
      <c r="H2389" t="inlineStr">
        <is>
          <t>S013_EST_HSP_HEURISTIC</t>
        </is>
      </c>
      <c r="I2389" t="inlineStr">
        <is>
          <t>estimated</t>
        </is>
      </c>
      <c r="J2389">
        <v>0.38</v>
      </c>
      <c r="K2389" t="inlineStr">
        <is>
          <t>Provisional HSP for screening; replace with experimental/literature value before model lock.</t>
        </is>
      </c>
    </row>
    <row r="2390">
      <c r="A2390" t="inlineStr">
        <is>
          <t>LIP_DMPE</t>
        </is>
      </c>
      <c r="B2390" t="inlineStr">
        <is>
          <t>Hildebrand_delta_T</t>
        </is>
      </c>
      <c r="C2390">
        <v>20.01</v>
      </c>
      <c r="D2390" t="inlineStr">
        <is>
          <t>MPa^0.5</t>
        </is>
      </c>
      <c r="E2390"/>
      <c r="F2390"/>
      <c r="G2390" t="inlineStr">
        <is>
          <t>sqrt(deltaD^2+deltaP^2+deltaH^2)</t>
        </is>
      </c>
      <c r="H2390" t="inlineStr">
        <is>
          <t>S012_CALCULATED</t>
        </is>
      </c>
      <c r="I2390" t="inlineStr">
        <is>
          <t>calculated</t>
        </is>
      </c>
      <c r="J2390">
        <v>0.43</v>
      </c>
      <c r="K2390" t="inlineStr">
        <is>
          <t>Derived from stored Hansen components.</t>
        </is>
      </c>
    </row>
    <row r="2391">
      <c r="A2391" t="inlineStr">
        <is>
          <t>LIP_DMPE</t>
        </is>
      </c>
      <c r="B2391" t="inlineStr">
        <is>
          <t>HSP_radius_R0</t>
        </is>
      </c>
      <c r="C2391">
        <v>8.0</v>
      </c>
      <c r="D2391" t="inlineStr">
        <is>
          <t>MPa^0.5</t>
        </is>
      </c>
      <c r="E2391"/>
      <c r="F2391"/>
      <c r="G2391" t="inlineStr">
        <is>
          <t>literature/heuristic solubility sphere</t>
        </is>
      </c>
      <c r="H2391" t="inlineStr">
        <is>
          <t>S013_EST_HSP_HEURISTIC</t>
        </is>
      </c>
      <c r="I2391" t="inlineStr">
        <is>
          <t>estimated</t>
        </is>
      </c>
      <c r="J2391">
        <v>0.38</v>
      </c>
      <c r="K2391" t="inlineStr">
        <is>
          <t>Screening radius only unless experimentally determined.</t>
        </is>
      </c>
    </row>
    <row r="2392">
      <c r="A2392" t="inlineStr">
        <is>
          <t>LIP_DMPE</t>
        </is>
      </c>
      <c r="B2392" t="inlineStr">
        <is>
          <t>molar_volume_cm3_mol</t>
        </is>
      </c>
      <c r="C2392">
        <v>635.86</v>
      </c>
      <c r="D2392" t="inlineStr">
        <is>
          <t>cm3/mol</t>
        </is>
      </c>
      <c r="E2392"/>
      <c r="F2392"/>
      <c r="G2392" t="inlineStr">
        <is>
          <t>MW/density estimate</t>
        </is>
      </c>
      <c r="H2392" t="inlineStr">
        <is>
          <t>S012_CALCULATED</t>
        </is>
      </c>
      <c r="I2392" t="inlineStr">
        <is>
          <t>estimated</t>
        </is>
      </c>
      <c r="J2392">
        <v>0.42</v>
      </c>
      <c r="K2392" t="inlineStr">
        <is>
          <t>Estimated from MW/density; replace with measured molar volume or density-specific grade data.</t>
        </is>
      </c>
    </row>
    <row r="2393">
      <c r="A2393" t="inlineStr">
        <is>
          <t>LIP_DMPE</t>
        </is>
      </c>
      <c r="B2393" t="inlineStr">
        <is>
          <t>headgroup_area_nm2</t>
        </is>
      </c>
      <c r="C2393">
        <v>0.55</v>
      </c>
      <c r="D2393" t="inlineStr">
        <is>
          <t>nm2</t>
        </is>
      </c>
      <c r="E2393"/>
      <c r="F2393"/>
      <c r="G2393" t="inlineStr">
        <is>
          <t>literature/MD heuristic</t>
        </is>
      </c>
      <c r="H2393" t="inlineStr">
        <is>
          <t>S013_EST_HSP_HEURISTIC</t>
        </is>
      </c>
      <c r="I2393" t="inlineStr">
        <is>
          <t>estimated</t>
        </is>
      </c>
      <c r="J2393">
        <v>0.35</v>
      </c>
      <c r="K2393" t="inlineStr">
        <is>
          <t>Area per lipid varies with phase, temperature, cholesterol, hydration, and force field.</t>
        </is>
      </c>
    </row>
    <row r="2394">
      <c r="A2394" t="inlineStr">
        <is>
          <t>LIP_DPPG</t>
        </is>
      </c>
      <c r="B2394" t="inlineStr">
        <is>
          <t>molecular_weight_g_mol</t>
        </is>
      </c>
      <c r="C2394">
        <v>744.0</v>
      </c>
      <c r="D2394" t="inlineStr">
        <is>
          <t>g/mol</t>
        </is>
      </c>
      <c r="E2394"/>
      <c r="F2394"/>
      <c r="G2394" t="inlineStr">
        <is>
          <t>LIPID MAPS/supplier formula or average grade MW</t>
        </is>
      </c>
      <c r="H2394" t="inlineStr">
        <is>
          <t>S004_LIPIDMAPS</t>
        </is>
      </c>
      <c r="I2394" t="inlineStr">
        <is>
          <t>database-derived</t>
        </is>
      </c>
      <c r="J2394">
        <v>0.78</v>
      </c>
      <c r="K2394"/>
    </row>
    <row r="2395">
      <c r="A2395" t="inlineStr">
        <is>
          <t>LIP_DPPG</t>
        </is>
      </c>
      <c r="B2395" t="inlineStr">
        <is>
          <t>lipid_class</t>
        </is>
      </c>
      <c r="C2395" t="inlineStr">
        <is>
          <t>PG</t>
        </is>
      </c>
      <c r="D2395"/>
      <c r="E2395"/>
      <c r="F2395"/>
      <c r="G2395" t="inlineStr">
        <is>
          <t>lipid class annotation</t>
        </is>
      </c>
      <c r="H2395" t="inlineStr">
        <is>
          <t>S003_AVANTI_PHASE</t>
        </is>
      </c>
      <c r="I2395" t="inlineStr">
        <is>
          <t>curated</t>
        </is>
      </c>
      <c r="J2395">
        <v>0.85</v>
      </c>
      <c r="K2395"/>
    </row>
    <row r="2396">
      <c r="A2396" t="inlineStr">
        <is>
          <t>LIP_DPPG</t>
        </is>
      </c>
      <c r="B2396" t="inlineStr">
        <is>
          <t>headgroup_type</t>
        </is>
      </c>
      <c r="C2396" t="inlineStr">
        <is>
          <t>PG</t>
        </is>
      </c>
      <c r="D2396"/>
      <c r="E2396"/>
      <c r="F2396"/>
      <c r="G2396" t="inlineStr">
        <is>
          <t>headgroup annotation</t>
        </is>
      </c>
      <c r="H2396" t="inlineStr">
        <is>
          <t>S003_AVANTI_PHASE</t>
        </is>
      </c>
      <c r="I2396" t="inlineStr">
        <is>
          <t>curated</t>
        </is>
      </c>
      <c r="J2396">
        <v>0.85</v>
      </c>
      <c r="K2396"/>
    </row>
    <row r="2397">
      <c r="A2397" t="inlineStr">
        <is>
          <t>LIP_DPPG</t>
        </is>
      </c>
      <c r="B2397" t="inlineStr">
        <is>
          <t>charge_type</t>
        </is>
      </c>
      <c r="C2397" t="inlineStr">
        <is>
          <t>anionic</t>
        </is>
      </c>
      <c r="D2397"/>
      <c r="E2397"/>
      <c r="F2397"/>
      <c r="G2397" t="inlineStr">
        <is>
          <t>nominal at pH 7.4</t>
        </is>
      </c>
      <c r="H2397" t="inlineStr">
        <is>
          <t>S003_AVANTI_PHASE</t>
        </is>
      </c>
      <c r="I2397" t="inlineStr">
        <is>
          <t>curated</t>
        </is>
      </c>
      <c r="J2397">
        <v>0.85</v>
      </c>
      <c r="K2397"/>
    </row>
    <row r="2398">
      <c r="A2398" t="inlineStr">
        <is>
          <t>LIP_DPPG</t>
        </is>
      </c>
      <c r="B2398" t="inlineStr">
        <is>
          <t>formal_charge</t>
        </is>
      </c>
      <c r="C2398">
        <v>-1</v>
      </c>
      <c r="D2398" t="inlineStr">
        <is>
          <t>e</t>
        </is>
      </c>
      <c r="E2398"/>
      <c r="F2398"/>
      <c r="G2398" t="inlineStr">
        <is>
          <t>nominal at pH 7.4</t>
        </is>
      </c>
      <c r="H2398" t="inlineStr">
        <is>
          <t>S003_AVANTI_PHASE</t>
        </is>
      </c>
      <c r="I2398" t="inlineStr">
        <is>
          <t>curated</t>
        </is>
      </c>
      <c r="J2398">
        <v>0.85</v>
      </c>
      <c r="K2398"/>
    </row>
    <row r="2399">
      <c r="A2399" t="inlineStr">
        <is>
          <t>LIP_DPPG</t>
        </is>
      </c>
      <c r="B2399" t="inlineStr">
        <is>
          <t>tail_1_carbons</t>
        </is>
      </c>
      <c r="C2399">
        <v>16</v>
      </c>
      <c r="D2399" t="inlineStr">
        <is>
          <t>count</t>
        </is>
      </c>
      <c r="E2399"/>
      <c r="F2399"/>
      <c r="G2399" t="inlineStr">
        <is>
          <t>lipid shorthand annotation</t>
        </is>
      </c>
      <c r="H2399" t="inlineStr">
        <is>
          <t>S003_AVANTI_PHASE</t>
        </is>
      </c>
      <c r="I2399" t="inlineStr">
        <is>
          <t>curated</t>
        </is>
      </c>
      <c r="J2399">
        <v>0.86</v>
      </c>
      <c r="K2399"/>
    </row>
    <row r="2400">
      <c r="A2400" t="inlineStr">
        <is>
          <t>LIP_DPPG</t>
        </is>
      </c>
      <c r="B2400" t="inlineStr">
        <is>
          <t>tail_1_unsaturation</t>
        </is>
      </c>
      <c r="C2400">
        <v>0</v>
      </c>
      <c r="D2400" t="inlineStr">
        <is>
          <t>double_bonds</t>
        </is>
      </c>
      <c r="E2400"/>
      <c r="F2400"/>
      <c r="G2400" t="inlineStr">
        <is>
          <t>lipid shorthand annotation</t>
        </is>
      </c>
      <c r="H2400" t="inlineStr">
        <is>
          <t>S003_AVANTI_PHASE</t>
        </is>
      </c>
      <c r="I2400" t="inlineStr">
        <is>
          <t>curated</t>
        </is>
      </c>
      <c r="J2400">
        <v>0.86</v>
      </c>
      <c r="K2400"/>
    </row>
    <row r="2401">
      <c r="A2401" t="inlineStr">
        <is>
          <t>LIP_DPPG</t>
        </is>
      </c>
      <c r="B2401" t="inlineStr">
        <is>
          <t>tail_2_carbons</t>
        </is>
      </c>
      <c r="C2401">
        <v>16</v>
      </c>
      <c r="D2401" t="inlineStr">
        <is>
          <t>count</t>
        </is>
      </c>
      <c r="E2401"/>
      <c r="F2401"/>
      <c r="G2401" t="inlineStr">
        <is>
          <t>lipid shorthand annotation</t>
        </is>
      </c>
      <c r="H2401" t="inlineStr">
        <is>
          <t>S003_AVANTI_PHASE</t>
        </is>
      </c>
      <c r="I2401" t="inlineStr">
        <is>
          <t>curated</t>
        </is>
      </c>
      <c r="J2401">
        <v>0.86</v>
      </c>
      <c r="K2401"/>
    </row>
    <row r="2402">
      <c r="A2402" t="inlineStr">
        <is>
          <t>LIP_DPPG</t>
        </is>
      </c>
      <c r="B2402" t="inlineStr">
        <is>
          <t>tail_2_unsaturation</t>
        </is>
      </c>
      <c r="C2402">
        <v>0</v>
      </c>
      <c r="D2402" t="inlineStr">
        <is>
          <t>double_bonds</t>
        </is>
      </c>
      <c r="E2402"/>
      <c r="F2402"/>
      <c r="G2402" t="inlineStr">
        <is>
          <t>lipid shorthand annotation</t>
        </is>
      </c>
      <c r="H2402" t="inlineStr">
        <is>
          <t>S003_AVANTI_PHASE</t>
        </is>
      </c>
      <c r="I2402" t="inlineStr">
        <is>
          <t>curated</t>
        </is>
      </c>
      <c r="J2402">
        <v>0.86</v>
      </c>
      <c r="K2402"/>
    </row>
    <row r="2403">
      <c r="A2403" t="inlineStr">
        <is>
          <t>LIP_DPPG</t>
        </is>
      </c>
      <c r="B2403" t="inlineStr">
        <is>
          <t>number_of_tails</t>
        </is>
      </c>
      <c r="C2403">
        <v>2</v>
      </c>
      <c r="D2403" t="inlineStr">
        <is>
          <t>count</t>
        </is>
      </c>
      <c r="E2403"/>
      <c r="F2403"/>
      <c r="G2403" t="inlineStr">
        <is>
          <t>lipid shorthand annotation</t>
        </is>
      </c>
      <c r="H2403" t="inlineStr">
        <is>
          <t>S003_AVANTI_PHASE</t>
        </is>
      </c>
      <c r="I2403" t="inlineStr">
        <is>
          <t>curated</t>
        </is>
      </c>
      <c r="J2403">
        <v>0.86</v>
      </c>
      <c r="K2403"/>
    </row>
    <row r="2404">
      <c r="A2404" t="inlineStr">
        <is>
          <t>LIP_DPPG</t>
        </is>
      </c>
      <c r="B2404" t="inlineStr">
        <is>
          <t>critical_packing_notes</t>
        </is>
      </c>
      <c r="C2404" t="inlineStr">
        <is>
          <t>bilayer-forming cylindrical lipid</t>
        </is>
      </c>
      <c r="D2404"/>
      <c r="E2404"/>
      <c r="F2404"/>
      <c r="G2404" t="inlineStr">
        <is>
          <t>CPP heuristic</t>
        </is>
      </c>
      <c r="H2404" t="inlineStr">
        <is>
          <t>S014_AULTON</t>
        </is>
      </c>
      <c r="I2404" t="inlineStr">
        <is>
          <t>curated</t>
        </is>
      </c>
      <c r="J2404">
        <v>0.65</v>
      </c>
      <c r="K2404"/>
    </row>
    <row r="2405">
      <c r="A2405" t="inlineStr">
        <is>
          <t>LIP_DPPG</t>
        </is>
      </c>
      <c r="B2405" t="inlineStr">
        <is>
          <t>membrane_rigidity_contribution</t>
        </is>
      </c>
      <c r="C2405" t="inlineStr">
        <is>
          <t>high</t>
        </is>
      </c>
      <c r="D2405"/>
      <c r="E2405"/>
      <c r="F2405"/>
      <c r="G2405" t="inlineStr">
        <is>
          <t>Tm and unsaturation heuristic</t>
        </is>
      </c>
      <c r="H2405" t="inlineStr">
        <is>
          <t>S003_AVANTI_PHASE</t>
        </is>
      </c>
      <c r="I2405" t="inlineStr">
        <is>
          <t>curated</t>
        </is>
      </c>
      <c r="J2405">
        <v>0.65</v>
      </c>
      <c r="K2405"/>
    </row>
    <row r="2406">
      <c r="A2406" t="inlineStr">
        <is>
          <t>LIP_DPPG</t>
        </is>
      </c>
      <c r="B2406" t="inlineStr">
        <is>
          <t>fusogenic_flag</t>
        </is>
      </c>
      <c r="C2406" t="inlineStr">
        <is>
          <t>no</t>
        </is>
      </c>
      <c r="D2406"/>
      <c r="E2406"/>
      <c r="F2406"/>
      <c r="G2406" t="inlineStr">
        <is>
          <t>role annotation</t>
        </is>
      </c>
      <c r="H2406" t="inlineStr">
        <is>
          <t>S014_AULTON</t>
        </is>
      </c>
      <c r="I2406" t="inlineStr">
        <is>
          <t>curated</t>
        </is>
      </c>
      <c r="J2406">
        <v>0.7</v>
      </c>
      <c r="K2406"/>
    </row>
    <row r="2407">
      <c r="A2407" t="inlineStr">
        <is>
          <t>LIP_DPPG</t>
        </is>
      </c>
      <c r="B2407" t="inlineStr">
        <is>
          <t>PEGylated_flag</t>
        </is>
      </c>
      <c r="C2407" t="inlineStr">
        <is>
          <t>no</t>
        </is>
      </c>
      <c r="D2407"/>
      <c r="E2407"/>
      <c r="F2407"/>
      <c r="G2407" t="inlineStr">
        <is>
          <t>role annotation</t>
        </is>
      </c>
      <c r="H2407" t="inlineStr">
        <is>
          <t>S014_AULTON</t>
        </is>
      </c>
      <c r="I2407" t="inlineStr">
        <is>
          <t>curated</t>
        </is>
      </c>
      <c r="J2407">
        <v>0.85</v>
      </c>
      <c r="K2407"/>
    </row>
    <row r="2408">
      <c r="A2408" t="inlineStr">
        <is>
          <t>LIP_DPPG</t>
        </is>
      </c>
      <c r="B2408" t="inlineStr">
        <is>
          <t>ionizable_flag</t>
        </is>
      </c>
      <c r="C2408" t="inlineStr">
        <is>
          <t>no</t>
        </is>
      </c>
      <c r="D2408"/>
      <c r="E2408"/>
      <c r="F2408"/>
      <c r="G2408" t="inlineStr">
        <is>
          <t>role annotation</t>
        </is>
      </c>
      <c r="H2408" t="inlineStr">
        <is>
          <t>S014_AULTON</t>
        </is>
      </c>
      <c r="I2408" t="inlineStr">
        <is>
          <t>curated</t>
        </is>
      </c>
      <c r="J2408">
        <v>0.85</v>
      </c>
      <c r="K2408"/>
    </row>
    <row r="2409">
      <c r="A2409" t="inlineStr">
        <is>
          <t>LIP_DPPG</t>
        </is>
      </c>
      <c r="B2409" t="inlineStr">
        <is>
          <t>route_suitability</t>
        </is>
      </c>
      <c r="C2409" t="inlineStr">
        <is>
          <t>liposome/LNP; route depends on purity, grade, residual solvents/endotoxin</t>
        </is>
      </c>
      <c r="D2409"/>
      <c r="E2409"/>
      <c r="F2409"/>
      <c r="G2409" t="inlineStr">
        <is>
          <t>route precedent caution</t>
        </is>
      </c>
      <c r="H2409" t="inlineStr">
        <is>
          <t>S008_FDA_IID</t>
        </is>
      </c>
      <c r="I2409" t="inlineStr">
        <is>
          <t>curated</t>
        </is>
      </c>
      <c r="J2409">
        <v>0.55</v>
      </c>
      <c r="K2409"/>
    </row>
    <row r="2410">
      <c r="A2410" t="inlineStr">
        <is>
          <t>LIP_DPPG</t>
        </is>
      </c>
      <c r="B2410" t="inlineStr">
        <is>
          <t>storage_notes</t>
        </is>
      </c>
      <c r="C2410" t="inlineStr">
        <is>
          <t>store cold, dry, inert gas; protect unsaturated/ionizable lipids from oxidation/hydrolysis</t>
        </is>
      </c>
      <c r="D2410"/>
      <c r="E2410"/>
      <c r="F2410"/>
      <c r="G2410" t="inlineStr">
        <is>
          <t>supplier stability convention</t>
        </is>
      </c>
      <c r="H2410" t="inlineStr">
        <is>
          <t>S003_AVANTI_PHASE</t>
        </is>
      </c>
      <c r="I2410" t="inlineStr">
        <is>
          <t>curated</t>
        </is>
      </c>
      <c r="J2410">
        <v>0.7</v>
      </c>
      <c r="K2410"/>
    </row>
    <row r="2411">
      <c r="A2411" t="inlineStr">
        <is>
          <t>LIP_DPPG</t>
        </is>
      </c>
      <c r="B2411" t="inlineStr">
        <is>
          <t>phase_transition_temperature_C</t>
        </is>
      </c>
      <c r="C2411">
        <v>41</v>
      </c>
      <c r="D2411" t="inlineStr">
        <is>
          <t>°C</t>
        </is>
      </c>
      <c r="E2411"/>
      <c r="F2411"/>
      <c r="G2411" t="inlineStr">
        <is>
          <t>main transition temperature, DSC/lipid supplier data</t>
        </is>
      </c>
      <c r="H2411" t="inlineStr">
        <is>
          <t>S003_AVANTI_PHASE</t>
        </is>
      </c>
      <c r="I2411" t="inlineStr">
        <is>
          <t>supplier-reported</t>
        </is>
      </c>
      <c r="J2411">
        <v>0.78</v>
      </c>
      <c r="K2411"/>
    </row>
    <row r="2412">
      <c r="A2412" t="inlineStr">
        <is>
          <t>LIP_DPPG</t>
        </is>
      </c>
      <c r="B2412" t="inlineStr">
        <is>
          <t>Hansen_delta_D</t>
        </is>
      </c>
      <c r="C2412">
        <v>17.5</v>
      </c>
      <c r="D2412" t="inlineStr">
        <is>
          <t>MPa^0.5</t>
        </is>
      </c>
      <c r="E2412"/>
      <c r="F2412"/>
      <c r="G2412" t="inlineStr">
        <is>
          <t>heuristic group-contribution/nearest-neighbour</t>
        </is>
      </c>
      <c r="H2412" t="inlineStr">
        <is>
          <t>S013_EST_HSP_HEURISTIC</t>
        </is>
      </c>
      <c r="I2412" t="inlineStr">
        <is>
          <t>estimated</t>
        </is>
      </c>
      <c r="J2412">
        <v>0.38</v>
      </c>
      <c r="K2412" t="inlineStr">
        <is>
          <t>Provisional HSP for screening; replace with experimental/literature value before model lock.</t>
        </is>
      </c>
    </row>
    <row r="2413">
      <c r="A2413" t="inlineStr">
        <is>
          <t>LIP_DPPG</t>
        </is>
      </c>
      <c r="B2413" t="inlineStr">
        <is>
          <t>Hansen_delta_P</t>
        </is>
      </c>
      <c r="C2413">
        <v>7.5</v>
      </c>
      <c r="D2413" t="inlineStr">
        <is>
          <t>MPa^0.5</t>
        </is>
      </c>
      <c r="E2413"/>
      <c r="F2413"/>
      <c r="G2413" t="inlineStr">
        <is>
          <t>heuristic group-contribution/nearest-neighbour</t>
        </is>
      </c>
      <c r="H2413" t="inlineStr">
        <is>
          <t>S013_EST_HSP_HEURISTIC</t>
        </is>
      </c>
      <c r="I2413" t="inlineStr">
        <is>
          <t>estimated</t>
        </is>
      </c>
      <c r="J2413">
        <v>0.38</v>
      </c>
      <c r="K2413" t="inlineStr">
        <is>
          <t>Provisional HSP for screening; replace with experimental/literature value before model lock.</t>
        </is>
      </c>
    </row>
    <row r="2414">
      <c r="A2414" t="inlineStr">
        <is>
          <t>LIP_DPPG</t>
        </is>
      </c>
      <c r="B2414" t="inlineStr">
        <is>
          <t>Hansen_delta_H</t>
        </is>
      </c>
      <c r="C2414">
        <v>10.0</v>
      </c>
      <c r="D2414" t="inlineStr">
        <is>
          <t>MPa^0.5</t>
        </is>
      </c>
      <c r="E2414"/>
      <c r="F2414"/>
      <c r="G2414" t="inlineStr">
        <is>
          <t>heuristic group-contribution/nearest-neighbour</t>
        </is>
      </c>
      <c r="H2414" t="inlineStr">
        <is>
          <t>S013_EST_HSP_HEURISTIC</t>
        </is>
      </c>
      <c r="I2414" t="inlineStr">
        <is>
          <t>estimated</t>
        </is>
      </c>
      <c r="J2414">
        <v>0.38</v>
      </c>
      <c r="K2414" t="inlineStr">
        <is>
          <t>Provisional HSP for screening; replace with experimental/literature value before model lock.</t>
        </is>
      </c>
    </row>
    <row r="2415">
      <c r="A2415" t="inlineStr">
        <is>
          <t>LIP_DPPG</t>
        </is>
      </c>
      <c r="B2415" t="inlineStr">
        <is>
          <t>Hildebrand_delta_T</t>
        </is>
      </c>
      <c r="C2415">
        <v>21.51</v>
      </c>
      <c r="D2415" t="inlineStr">
        <is>
          <t>MPa^0.5</t>
        </is>
      </c>
      <c r="E2415"/>
      <c r="F2415"/>
      <c r="G2415" t="inlineStr">
        <is>
          <t>sqrt(deltaD^2+deltaP^2+deltaH^2)</t>
        </is>
      </c>
      <c r="H2415" t="inlineStr">
        <is>
          <t>S012_CALCULATED</t>
        </is>
      </c>
      <c r="I2415" t="inlineStr">
        <is>
          <t>calculated</t>
        </is>
      </c>
      <c r="J2415">
        <v>0.43</v>
      </c>
      <c r="K2415" t="inlineStr">
        <is>
          <t>Derived from stored Hansen components.</t>
        </is>
      </c>
    </row>
    <row r="2416">
      <c r="A2416" t="inlineStr">
        <is>
          <t>LIP_DPPG</t>
        </is>
      </c>
      <c r="B2416" t="inlineStr">
        <is>
          <t>HSP_radius_R0</t>
        </is>
      </c>
      <c r="C2416">
        <v>8.0</v>
      </c>
      <c r="D2416" t="inlineStr">
        <is>
          <t>MPa^0.5</t>
        </is>
      </c>
      <c r="E2416"/>
      <c r="F2416"/>
      <c r="G2416" t="inlineStr">
        <is>
          <t>literature/heuristic solubility sphere</t>
        </is>
      </c>
      <c r="H2416" t="inlineStr">
        <is>
          <t>S013_EST_HSP_HEURISTIC</t>
        </is>
      </c>
      <c r="I2416" t="inlineStr">
        <is>
          <t>estimated</t>
        </is>
      </c>
      <c r="J2416">
        <v>0.38</v>
      </c>
      <c r="K2416" t="inlineStr">
        <is>
          <t>Screening radius only unless experimentally determined.</t>
        </is>
      </c>
    </row>
    <row r="2417">
      <c r="A2417" t="inlineStr">
        <is>
          <t>LIP_DPPG</t>
        </is>
      </c>
      <c r="B2417" t="inlineStr">
        <is>
          <t>molar_volume_cm3_mol</t>
        </is>
      </c>
      <c r="C2417">
        <v>744.0</v>
      </c>
      <c r="D2417" t="inlineStr">
        <is>
          <t>cm3/mol</t>
        </is>
      </c>
      <c r="E2417"/>
      <c r="F2417"/>
      <c r="G2417" t="inlineStr">
        <is>
          <t>MW/density estimate</t>
        </is>
      </c>
      <c r="H2417" t="inlineStr">
        <is>
          <t>S012_CALCULATED</t>
        </is>
      </c>
      <c r="I2417" t="inlineStr">
        <is>
          <t>estimated</t>
        </is>
      </c>
      <c r="J2417">
        <v>0.42</v>
      </c>
      <c r="K2417" t="inlineStr">
        <is>
          <t>Estimated from MW/density; replace with measured molar volume or density-specific grade data.</t>
        </is>
      </c>
    </row>
    <row r="2418">
      <c r="A2418" t="inlineStr">
        <is>
          <t>LIP_DPPG</t>
        </is>
      </c>
      <c r="B2418" t="inlineStr">
        <is>
          <t>headgroup_area_nm2</t>
        </is>
      </c>
      <c r="C2418">
        <v>0.62</v>
      </c>
      <c r="D2418" t="inlineStr">
        <is>
          <t>nm2</t>
        </is>
      </c>
      <c r="E2418"/>
      <c r="F2418"/>
      <c r="G2418" t="inlineStr">
        <is>
          <t>literature/MD heuristic</t>
        </is>
      </c>
      <c r="H2418" t="inlineStr">
        <is>
          <t>S013_EST_HSP_HEURISTIC</t>
        </is>
      </c>
      <c r="I2418" t="inlineStr">
        <is>
          <t>estimated</t>
        </is>
      </c>
      <c r="J2418">
        <v>0.35</v>
      </c>
      <c r="K2418" t="inlineStr">
        <is>
          <t>Area per lipid varies with phase, temperature, cholesterol, hydration, and force field.</t>
        </is>
      </c>
    </row>
    <row r="2419">
      <c r="A2419" t="inlineStr">
        <is>
          <t>LIP_DOPG</t>
        </is>
      </c>
      <c r="B2419" t="inlineStr">
        <is>
          <t>molecular_weight_g_mol</t>
        </is>
      </c>
      <c r="C2419">
        <v>797.0</v>
      </c>
      <c r="D2419" t="inlineStr">
        <is>
          <t>g/mol</t>
        </is>
      </c>
      <c r="E2419"/>
      <c r="F2419"/>
      <c r="G2419" t="inlineStr">
        <is>
          <t>LIPID MAPS/supplier formula or average grade MW</t>
        </is>
      </c>
      <c r="H2419" t="inlineStr">
        <is>
          <t>S004_LIPIDMAPS</t>
        </is>
      </c>
      <c r="I2419" t="inlineStr">
        <is>
          <t>database-derived</t>
        </is>
      </c>
      <c r="J2419">
        <v>0.78</v>
      </c>
      <c r="K2419"/>
    </row>
    <row r="2420">
      <c r="A2420" t="inlineStr">
        <is>
          <t>LIP_DOPG</t>
        </is>
      </c>
      <c r="B2420" t="inlineStr">
        <is>
          <t>lipid_class</t>
        </is>
      </c>
      <c r="C2420" t="inlineStr">
        <is>
          <t>PG</t>
        </is>
      </c>
      <c r="D2420"/>
      <c r="E2420"/>
      <c r="F2420"/>
      <c r="G2420" t="inlineStr">
        <is>
          <t>lipid class annotation</t>
        </is>
      </c>
      <c r="H2420" t="inlineStr">
        <is>
          <t>S003_AVANTI_PHASE</t>
        </is>
      </c>
      <c r="I2420" t="inlineStr">
        <is>
          <t>curated</t>
        </is>
      </c>
      <c r="J2420">
        <v>0.85</v>
      </c>
      <c r="K2420"/>
    </row>
    <row r="2421">
      <c r="A2421" t="inlineStr">
        <is>
          <t>LIP_DOPG</t>
        </is>
      </c>
      <c r="B2421" t="inlineStr">
        <is>
          <t>headgroup_type</t>
        </is>
      </c>
      <c r="C2421" t="inlineStr">
        <is>
          <t>PG</t>
        </is>
      </c>
      <c r="D2421"/>
      <c r="E2421"/>
      <c r="F2421"/>
      <c r="G2421" t="inlineStr">
        <is>
          <t>headgroup annotation</t>
        </is>
      </c>
      <c r="H2421" t="inlineStr">
        <is>
          <t>S003_AVANTI_PHASE</t>
        </is>
      </c>
      <c r="I2421" t="inlineStr">
        <is>
          <t>curated</t>
        </is>
      </c>
      <c r="J2421">
        <v>0.85</v>
      </c>
      <c r="K2421"/>
    </row>
    <row r="2422">
      <c r="A2422" t="inlineStr">
        <is>
          <t>LIP_DOPG</t>
        </is>
      </c>
      <c r="B2422" t="inlineStr">
        <is>
          <t>charge_type</t>
        </is>
      </c>
      <c r="C2422" t="inlineStr">
        <is>
          <t>anionic</t>
        </is>
      </c>
      <c r="D2422"/>
      <c r="E2422"/>
      <c r="F2422"/>
      <c r="G2422" t="inlineStr">
        <is>
          <t>nominal at pH 7.4</t>
        </is>
      </c>
      <c r="H2422" t="inlineStr">
        <is>
          <t>S003_AVANTI_PHASE</t>
        </is>
      </c>
      <c r="I2422" t="inlineStr">
        <is>
          <t>curated</t>
        </is>
      </c>
      <c r="J2422">
        <v>0.85</v>
      </c>
      <c r="K2422"/>
    </row>
    <row r="2423">
      <c r="A2423" t="inlineStr">
        <is>
          <t>LIP_DOPG</t>
        </is>
      </c>
      <c r="B2423" t="inlineStr">
        <is>
          <t>formal_charge</t>
        </is>
      </c>
      <c r="C2423">
        <v>-1</v>
      </c>
      <c r="D2423" t="inlineStr">
        <is>
          <t>e</t>
        </is>
      </c>
      <c r="E2423"/>
      <c r="F2423"/>
      <c r="G2423" t="inlineStr">
        <is>
          <t>nominal at pH 7.4</t>
        </is>
      </c>
      <c r="H2423" t="inlineStr">
        <is>
          <t>S003_AVANTI_PHASE</t>
        </is>
      </c>
      <c r="I2423" t="inlineStr">
        <is>
          <t>curated</t>
        </is>
      </c>
      <c r="J2423">
        <v>0.85</v>
      </c>
      <c r="K2423"/>
    </row>
    <row r="2424">
      <c r="A2424" t="inlineStr">
        <is>
          <t>LIP_DOPG</t>
        </is>
      </c>
      <c r="B2424" t="inlineStr">
        <is>
          <t>tail_1_carbons</t>
        </is>
      </c>
      <c r="C2424">
        <v>18</v>
      </c>
      <c r="D2424" t="inlineStr">
        <is>
          <t>count</t>
        </is>
      </c>
      <c r="E2424"/>
      <c r="F2424"/>
      <c r="G2424" t="inlineStr">
        <is>
          <t>lipid shorthand annotation</t>
        </is>
      </c>
      <c r="H2424" t="inlineStr">
        <is>
          <t>S003_AVANTI_PHASE</t>
        </is>
      </c>
      <c r="I2424" t="inlineStr">
        <is>
          <t>curated</t>
        </is>
      </c>
      <c r="J2424">
        <v>0.86</v>
      </c>
      <c r="K2424"/>
    </row>
    <row r="2425">
      <c r="A2425" t="inlineStr">
        <is>
          <t>LIP_DOPG</t>
        </is>
      </c>
      <c r="B2425" t="inlineStr">
        <is>
          <t>tail_1_unsaturation</t>
        </is>
      </c>
      <c r="C2425">
        <v>1</v>
      </c>
      <c r="D2425" t="inlineStr">
        <is>
          <t>double_bonds</t>
        </is>
      </c>
      <c r="E2425"/>
      <c r="F2425"/>
      <c r="G2425" t="inlineStr">
        <is>
          <t>lipid shorthand annotation</t>
        </is>
      </c>
      <c r="H2425" t="inlineStr">
        <is>
          <t>S003_AVANTI_PHASE</t>
        </is>
      </c>
      <c r="I2425" t="inlineStr">
        <is>
          <t>curated</t>
        </is>
      </c>
      <c r="J2425">
        <v>0.86</v>
      </c>
      <c r="K2425"/>
    </row>
    <row r="2426">
      <c r="A2426" t="inlineStr">
        <is>
          <t>LIP_DOPG</t>
        </is>
      </c>
      <c r="B2426" t="inlineStr">
        <is>
          <t>tail_2_carbons</t>
        </is>
      </c>
      <c r="C2426">
        <v>18</v>
      </c>
      <c r="D2426" t="inlineStr">
        <is>
          <t>count</t>
        </is>
      </c>
      <c r="E2426"/>
      <c r="F2426"/>
      <c r="G2426" t="inlineStr">
        <is>
          <t>lipid shorthand annotation</t>
        </is>
      </c>
      <c r="H2426" t="inlineStr">
        <is>
          <t>S003_AVANTI_PHASE</t>
        </is>
      </c>
      <c r="I2426" t="inlineStr">
        <is>
          <t>curated</t>
        </is>
      </c>
      <c r="J2426">
        <v>0.86</v>
      </c>
      <c r="K2426"/>
    </row>
    <row r="2427">
      <c r="A2427" t="inlineStr">
        <is>
          <t>LIP_DOPG</t>
        </is>
      </c>
      <c r="B2427" t="inlineStr">
        <is>
          <t>tail_2_unsaturation</t>
        </is>
      </c>
      <c r="C2427">
        <v>1</v>
      </c>
      <c r="D2427" t="inlineStr">
        <is>
          <t>double_bonds</t>
        </is>
      </c>
      <c r="E2427"/>
      <c r="F2427"/>
      <c r="G2427" t="inlineStr">
        <is>
          <t>lipid shorthand annotation</t>
        </is>
      </c>
      <c r="H2427" t="inlineStr">
        <is>
          <t>S003_AVANTI_PHASE</t>
        </is>
      </c>
      <c r="I2427" t="inlineStr">
        <is>
          <t>curated</t>
        </is>
      </c>
      <c r="J2427">
        <v>0.86</v>
      </c>
      <c r="K2427"/>
    </row>
    <row r="2428">
      <c r="A2428" t="inlineStr">
        <is>
          <t>LIP_DOPG</t>
        </is>
      </c>
      <c r="B2428" t="inlineStr">
        <is>
          <t>number_of_tails</t>
        </is>
      </c>
      <c r="C2428">
        <v>2</v>
      </c>
      <c r="D2428" t="inlineStr">
        <is>
          <t>count</t>
        </is>
      </c>
      <c r="E2428"/>
      <c r="F2428"/>
      <c r="G2428" t="inlineStr">
        <is>
          <t>lipid shorthand annotation</t>
        </is>
      </c>
      <c r="H2428" t="inlineStr">
        <is>
          <t>S003_AVANTI_PHASE</t>
        </is>
      </c>
      <c r="I2428" t="inlineStr">
        <is>
          <t>curated</t>
        </is>
      </c>
      <c r="J2428">
        <v>0.86</v>
      </c>
      <c r="K2428"/>
    </row>
    <row r="2429">
      <c r="A2429" t="inlineStr">
        <is>
          <t>LIP_DOPG</t>
        </is>
      </c>
      <c r="B2429" t="inlineStr">
        <is>
          <t>critical_packing_notes</t>
        </is>
      </c>
      <c r="C2429" t="inlineStr">
        <is>
          <t>bilayer-forming cylindrical lipid</t>
        </is>
      </c>
      <c r="D2429"/>
      <c r="E2429"/>
      <c r="F2429"/>
      <c r="G2429" t="inlineStr">
        <is>
          <t>CPP heuristic</t>
        </is>
      </c>
      <c r="H2429" t="inlineStr">
        <is>
          <t>S014_AULTON</t>
        </is>
      </c>
      <c r="I2429" t="inlineStr">
        <is>
          <t>curated</t>
        </is>
      </c>
      <c r="J2429">
        <v>0.65</v>
      </c>
      <c r="K2429"/>
    </row>
    <row r="2430">
      <c r="A2430" t="inlineStr">
        <is>
          <t>LIP_DOPG</t>
        </is>
      </c>
      <c r="B2430" t="inlineStr">
        <is>
          <t>membrane_rigidity_contribution</t>
        </is>
      </c>
      <c r="C2430" t="inlineStr">
        <is>
          <t>fluidizing</t>
        </is>
      </c>
      <c r="D2430"/>
      <c r="E2430"/>
      <c r="F2430"/>
      <c r="G2430" t="inlineStr">
        <is>
          <t>Tm and unsaturation heuristic</t>
        </is>
      </c>
      <c r="H2430" t="inlineStr">
        <is>
          <t>S003_AVANTI_PHASE</t>
        </is>
      </c>
      <c r="I2430" t="inlineStr">
        <is>
          <t>curated</t>
        </is>
      </c>
      <c r="J2430">
        <v>0.65</v>
      </c>
      <c r="K2430"/>
    </row>
    <row r="2431">
      <c r="A2431" t="inlineStr">
        <is>
          <t>LIP_DOPG</t>
        </is>
      </c>
      <c r="B2431" t="inlineStr">
        <is>
          <t>fusogenic_flag</t>
        </is>
      </c>
      <c r="C2431" t="inlineStr">
        <is>
          <t>no</t>
        </is>
      </c>
      <c r="D2431"/>
      <c r="E2431"/>
      <c r="F2431"/>
      <c r="G2431" t="inlineStr">
        <is>
          <t>role annotation</t>
        </is>
      </c>
      <c r="H2431" t="inlineStr">
        <is>
          <t>S014_AULTON</t>
        </is>
      </c>
      <c r="I2431" t="inlineStr">
        <is>
          <t>curated</t>
        </is>
      </c>
      <c r="J2431">
        <v>0.7</v>
      </c>
      <c r="K2431"/>
    </row>
    <row r="2432">
      <c r="A2432" t="inlineStr">
        <is>
          <t>LIP_DOPG</t>
        </is>
      </c>
      <c r="B2432" t="inlineStr">
        <is>
          <t>PEGylated_flag</t>
        </is>
      </c>
      <c r="C2432" t="inlineStr">
        <is>
          <t>no</t>
        </is>
      </c>
      <c r="D2432"/>
      <c r="E2432"/>
      <c r="F2432"/>
      <c r="G2432" t="inlineStr">
        <is>
          <t>role annotation</t>
        </is>
      </c>
      <c r="H2432" t="inlineStr">
        <is>
          <t>S014_AULTON</t>
        </is>
      </c>
      <c r="I2432" t="inlineStr">
        <is>
          <t>curated</t>
        </is>
      </c>
      <c r="J2432">
        <v>0.85</v>
      </c>
      <c r="K2432"/>
    </row>
    <row r="2433">
      <c r="A2433" t="inlineStr">
        <is>
          <t>LIP_DOPG</t>
        </is>
      </c>
      <c r="B2433" t="inlineStr">
        <is>
          <t>ionizable_flag</t>
        </is>
      </c>
      <c r="C2433" t="inlineStr">
        <is>
          <t>no</t>
        </is>
      </c>
      <c r="D2433"/>
      <c r="E2433"/>
      <c r="F2433"/>
      <c r="G2433" t="inlineStr">
        <is>
          <t>role annotation</t>
        </is>
      </c>
      <c r="H2433" t="inlineStr">
        <is>
          <t>S014_AULTON</t>
        </is>
      </c>
      <c r="I2433" t="inlineStr">
        <is>
          <t>curated</t>
        </is>
      </c>
      <c r="J2433">
        <v>0.85</v>
      </c>
      <c r="K2433"/>
    </row>
    <row r="2434">
      <c r="A2434" t="inlineStr">
        <is>
          <t>LIP_DOPG</t>
        </is>
      </c>
      <c r="B2434" t="inlineStr">
        <is>
          <t>route_suitability</t>
        </is>
      </c>
      <c r="C2434" t="inlineStr">
        <is>
          <t>liposome/LNP; route depends on purity, grade, residual solvents/endotoxin</t>
        </is>
      </c>
      <c r="D2434"/>
      <c r="E2434"/>
      <c r="F2434"/>
      <c r="G2434" t="inlineStr">
        <is>
          <t>route precedent caution</t>
        </is>
      </c>
      <c r="H2434" t="inlineStr">
        <is>
          <t>S008_FDA_IID</t>
        </is>
      </c>
      <c r="I2434" t="inlineStr">
        <is>
          <t>curated</t>
        </is>
      </c>
      <c r="J2434">
        <v>0.55</v>
      </c>
      <c r="K2434"/>
    </row>
    <row r="2435">
      <c r="A2435" t="inlineStr">
        <is>
          <t>LIP_DOPG</t>
        </is>
      </c>
      <c r="B2435" t="inlineStr">
        <is>
          <t>storage_notes</t>
        </is>
      </c>
      <c r="C2435" t="inlineStr">
        <is>
          <t>store cold, dry, inert gas; protect unsaturated/ionizable lipids from oxidation/hydrolysis</t>
        </is>
      </c>
      <c r="D2435"/>
      <c r="E2435"/>
      <c r="F2435"/>
      <c r="G2435" t="inlineStr">
        <is>
          <t>supplier stability convention</t>
        </is>
      </c>
      <c r="H2435" t="inlineStr">
        <is>
          <t>S003_AVANTI_PHASE</t>
        </is>
      </c>
      <c r="I2435" t="inlineStr">
        <is>
          <t>curated</t>
        </is>
      </c>
      <c r="J2435">
        <v>0.7</v>
      </c>
      <c r="K2435"/>
    </row>
    <row r="2436">
      <c r="A2436" t="inlineStr">
        <is>
          <t>LIP_DOPG</t>
        </is>
      </c>
      <c r="B2436" t="inlineStr">
        <is>
          <t>phase_transition_temperature_C</t>
        </is>
      </c>
      <c r="C2436">
        <v>-18</v>
      </c>
      <c r="D2436" t="inlineStr">
        <is>
          <t>°C</t>
        </is>
      </c>
      <c r="E2436"/>
      <c r="F2436"/>
      <c r="G2436" t="inlineStr">
        <is>
          <t>main transition temperature, DSC/lipid supplier data</t>
        </is>
      </c>
      <c r="H2436" t="inlineStr">
        <is>
          <t>S003_AVANTI_PHASE</t>
        </is>
      </c>
      <c r="I2436" t="inlineStr">
        <is>
          <t>supplier-reported</t>
        </is>
      </c>
      <c r="J2436">
        <v>0.78</v>
      </c>
      <c r="K2436"/>
    </row>
    <row r="2437">
      <c r="A2437" t="inlineStr">
        <is>
          <t>LIP_DOPG</t>
        </is>
      </c>
      <c r="B2437" t="inlineStr">
        <is>
          <t>Hansen_delta_D</t>
        </is>
      </c>
      <c r="C2437">
        <v>17.5</v>
      </c>
      <c r="D2437" t="inlineStr">
        <is>
          <t>MPa^0.5</t>
        </is>
      </c>
      <c r="E2437"/>
      <c r="F2437"/>
      <c r="G2437" t="inlineStr">
        <is>
          <t>heuristic group-contribution/nearest-neighbour</t>
        </is>
      </c>
      <c r="H2437" t="inlineStr">
        <is>
          <t>S013_EST_HSP_HEURISTIC</t>
        </is>
      </c>
      <c r="I2437" t="inlineStr">
        <is>
          <t>estimated</t>
        </is>
      </c>
      <c r="J2437">
        <v>0.38</v>
      </c>
      <c r="K2437" t="inlineStr">
        <is>
          <t>Provisional HSP for screening; replace with experimental/literature value before model lock.</t>
        </is>
      </c>
    </row>
    <row r="2438">
      <c r="A2438" t="inlineStr">
        <is>
          <t>LIP_DOPG</t>
        </is>
      </c>
      <c r="B2438" t="inlineStr">
        <is>
          <t>Hansen_delta_P</t>
        </is>
      </c>
      <c r="C2438">
        <v>7.5</v>
      </c>
      <c r="D2438" t="inlineStr">
        <is>
          <t>MPa^0.5</t>
        </is>
      </c>
      <c r="E2438"/>
      <c r="F2438"/>
      <c r="G2438" t="inlineStr">
        <is>
          <t>heuristic group-contribution/nearest-neighbour</t>
        </is>
      </c>
      <c r="H2438" t="inlineStr">
        <is>
          <t>S013_EST_HSP_HEURISTIC</t>
        </is>
      </c>
      <c r="I2438" t="inlineStr">
        <is>
          <t>estimated</t>
        </is>
      </c>
      <c r="J2438">
        <v>0.38</v>
      </c>
      <c r="K2438" t="inlineStr">
        <is>
          <t>Provisional HSP for screening; replace with experimental/literature value before model lock.</t>
        </is>
      </c>
    </row>
    <row r="2439">
      <c r="A2439" t="inlineStr">
        <is>
          <t>LIP_DOPG</t>
        </is>
      </c>
      <c r="B2439" t="inlineStr">
        <is>
          <t>Hansen_delta_H</t>
        </is>
      </c>
      <c r="C2439">
        <v>10.0</v>
      </c>
      <c r="D2439" t="inlineStr">
        <is>
          <t>MPa^0.5</t>
        </is>
      </c>
      <c r="E2439"/>
      <c r="F2439"/>
      <c r="G2439" t="inlineStr">
        <is>
          <t>heuristic group-contribution/nearest-neighbour</t>
        </is>
      </c>
      <c r="H2439" t="inlineStr">
        <is>
          <t>S013_EST_HSP_HEURISTIC</t>
        </is>
      </c>
      <c r="I2439" t="inlineStr">
        <is>
          <t>estimated</t>
        </is>
      </c>
      <c r="J2439">
        <v>0.38</v>
      </c>
      <c r="K2439" t="inlineStr">
        <is>
          <t>Provisional HSP for screening; replace with experimental/literature value before model lock.</t>
        </is>
      </c>
    </row>
    <row r="2440">
      <c r="A2440" t="inlineStr">
        <is>
          <t>LIP_DOPG</t>
        </is>
      </c>
      <c r="B2440" t="inlineStr">
        <is>
          <t>Hildebrand_delta_T</t>
        </is>
      </c>
      <c r="C2440">
        <v>21.51</v>
      </c>
      <c r="D2440" t="inlineStr">
        <is>
          <t>MPa^0.5</t>
        </is>
      </c>
      <c r="E2440"/>
      <c r="F2440"/>
      <c r="G2440" t="inlineStr">
        <is>
          <t>sqrt(deltaD^2+deltaP^2+deltaH^2)</t>
        </is>
      </c>
      <c r="H2440" t="inlineStr">
        <is>
          <t>S012_CALCULATED</t>
        </is>
      </c>
      <c r="I2440" t="inlineStr">
        <is>
          <t>calculated</t>
        </is>
      </c>
      <c r="J2440">
        <v>0.43</v>
      </c>
      <c r="K2440" t="inlineStr">
        <is>
          <t>Derived from stored Hansen components.</t>
        </is>
      </c>
    </row>
    <row r="2441">
      <c r="A2441" t="inlineStr">
        <is>
          <t>LIP_DOPG</t>
        </is>
      </c>
      <c r="B2441" t="inlineStr">
        <is>
          <t>HSP_radius_R0</t>
        </is>
      </c>
      <c r="C2441">
        <v>8.0</v>
      </c>
      <c r="D2441" t="inlineStr">
        <is>
          <t>MPa^0.5</t>
        </is>
      </c>
      <c r="E2441"/>
      <c r="F2441"/>
      <c r="G2441" t="inlineStr">
        <is>
          <t>literature/heuristic solubility sphere</t>
        </is>
      </c>
      <c r="H2441" t="inlineStr">
        <is>
          <t>S013_EST_HSP_HEURISTIC</t>
        </is>
      </c>
      <c r="I2441" t="inlineStr">
        <is>
          <t>estimated</t>
        </is>
      </c>
      <c r="J2441">
        <v>0.38</v>
      </c>
      <c r="K2441" t="inlineStr">
        <is>
          <t>Screening radius only unless experimentally determined.</t>
        </is>
      </c>
    </row>
    <row r="2442">
      <c r="A2442" t="inlineStr">
        <is>
          <t>LIP_DOPG</t>
        </is>
      </c>
      <c r="B2442" t="inlineStr">
        <is>
          <t>molar_volume_cm3_mol</t>
        </is>
      </c>
      <c r="C2442">
        <v>797.0</v>
      </c>
      <c r="D2442" t="inlineStr">
        <is>
          <t>cm3/mol</t>
        </is>
      </c>
      <c r="E2442"/>
      <c r="F2442"/>
      <c r="G2442" t="inlineStr">
        <is>
          <t>MW/density estimate</t>
        </is>
      </c>
      <c r="H2442" t="inlineStr">
        <is>
          <t>S012_CALCULATED</t>
        </is>
      </c>
      <c r="I2442" t="inlineStr">
        <is>
          <t>estimated</t>
        </is>
      </c>
      <c r="J2442">
        <v>0.42</v>
      </c>
      <c r="K2442" t="inlineStr">
        <is>
          <t>Estimated from MW/density; replace with measured molar volume or density-specific grade data.</t>
        </is>
      </c>
    </row>
    <row r="2443">
      <c r="A2443" t="inlineStr">
        <is>
          <t>LIP_DOPG</t>
        </is>
      </c>
      <c r="B2443" t="inlineStr">
        <is>
          <t>headgroup_area_nm2</t>
        </is>
      </c>
      <c r="C2443">
        <v>0.62</v>
      </c>
      <c r="D2443" t="inlineStr">
        <is>
          <t>nm2</t>
        </is>
      </c>
      <c r="E2443"/>
      <c r="F2443"/>
      <c r="G2443" t="inlineStr">
        <is>
          <t>literature/MD heuristic</t>
        </is>
      </c>
      <c r="H2443" t="inlineStr">
        <is>
          <t>S013_EST_HSP_HEURISTIC</t>
        </is>
      </c>
      <c r="I2443" t="inlineStr">
        <is>
          <t>estimated</t>
        </is>
      </c>
      <c r="J2443">
        <v>0.35</v>
      </c>
      <c r="K2443" t="inlineStr">
        <is>
          <t>Area per lipid varies with phase, temperature, cholesterol, hydration, and force field.</t>
        </is>
      </c>
    </row>
    <row r="2444">
      <c r="A2444" t="inlineStr">
        <is>
          <t>LIP_POPG</t>
        </is>
      </c>
      <c r="B2444" t="inlineStr">
        <is>
          <t>molecular_weight_g_mol</t>
        </is>
      </c>
      <c r="C2444">
        <v>771.0</v>
      </c>
      <c r="D2444" t="inlineStr">
        <is>
          <t>g/mol</t>
        </is>
      </c>
      <c r="E2444"/>
      <c r="F2444"/>
      <c r="G2444" t="inlineStr">
        <is>
          <t>LIPID MAPS/supplier formula or average grade MW</t>
        </is>
      </c>
      <c r="H2444" t="inlineStr">
        <is>
          <t>S004_LIPIDMAPS</t>
        </is>
      </c>
      <c r="I2444" t="inlineStr">
        <is>
          <t>database-derived</t>
        </is>
      </c>
      <c r="J2444">
        <v>0.78</v>
      </c>
      <c r="K2444"/>
    </row>
    <row r="2445">
      <c r="A2445" t="inlineStr">
        <is>
          <t>LIP_POPG</t>
        </is>
      </c>
      <c r="B2445" t="inlineStr">
        <is>
          <t>lipid_class</t>
        </is>
      </c>
      <c r="C2445" t="inlineStr">
        <is>
          <t>PG</t>
        </is>
      </c>
      <c r="D2445"/>
      <c r="E2445"/>
      <c r="F2445"/>
      <c r="G2445" t="inlineStr">
        <is>
          <t>lipid class annotation</t>
        </is>
      </c>
      <c r="H2445" t="inlineStr">
        <is>
          <t>S003_AVANTI_PHASE</t>
        </is>
      </c>
      <c r="I2445" t="inlineStr">
        <is>
          <t>curated</t>
        </is>
      </c>
      <c r="J2445">
        <v>0.85</v>
      </c>
      <c r="K2445"/>
    </row>
    <row r="2446">
      <c r="A2446" t="inlineStr">
        <is>
          <t>LIP_POPG</t>
        </is>
      </c>
      <c r="B2446" t="inlineStr">
        <is>
          <t>headgroup_type</t>
        </is>
      </c>
      <c r="C2446" t="inlineStr">
        <is>
          <t>PG</t>
        </is>
      </c>
      <c r="D2446"/>
      <c r="E2446"/>
      <c r="F2446"/>
      <c r="G2446" t="inlineStr">
        <is>
          <t>headgroup annotation</t>
        </is>
      </c>
      <c r="H2446" t="inlineStr">
        <is>
          <t>S003_AVANTI_PHASE</t>
        </is>
      </c>
      <c r="I2446" t="inlineStr">
        <is>
          <t>curated</t>
        </is>
      </c>
      <c r="J2446">
        <v>0.85</v>
      </c>
      <c r="K2446"/>
    </row>
    <row r="2447">
      <c r="A2447" t="inlineStr">
        <is>
          <t>LIP_POPG</t>
        </is>
      </c>
      <c r="B2447" t="inlineStr">
        <is>
          <t>charge_type</t>
        </is>
      </c>
      <c r="C2447" t="inlineStr">
        <is>
          <t>anionic</t>
        </is>
      </c>
      <c r="D2447"/>
      <c r="E2447"/>
      <c r="F2447"/>
      <c r="G2447" t="inlineStr">
        <is>
          <t>nominal at pH 7.4</t>
        </is>
      </c>
      <c r="H2447" t="inlineStr">
        <is>
          <t>S003_AVANTI_PHASE</t>
        </is>
      </c>
      <c r="I2447" t="inlineStr">
        <is>
          <t>curated</t>
        </is>
      </c>
      <c r="J2447">
        <v>0.85</v>
      </c>
      <c r="K2447"/>
    </row>
    <row r="2448">
      <c r="A2448" t="inlineStr">
        <is>
          <t>LIP_POPG</t>
        </is>
      </c>
      <c r="B2448" t="inlineStr">
        <is>
          <t>formal_charge</t>
        </is>
      </c>
      <c r="C2448">
        <v>-1</v>
      </c>
      <c r="D2448" t="inlineStr">
        <is>
          <t>e</t>
        </is>
      </c>
      <c r="E2448"/>
      <c r="F2448"/>
      <c r="G2448" t="inlineStr">
        <is>
          <t>nominal at pH 7.4</t>
        </is>
      </c>
      <c r="H2448" t="inlineStr">
        <is>
          <t>S003_AVANTI_PHASE</t>
        </is>
      </c>
      <c r="I2448" t="inlineStr">
        <is>
          <t>curated</t>
        </is>
      </c>
      <c r="J2448">
        <v>0.85</v>
      </c>
      <c r="K2448"/>
    </row>
    <row r="2449">
      <c r="A2449" t="inlineStr">
        <is>
          <t>LIP_POPG</t>
        </is>
      </c>
      <c r="B2449" t="inlineStr">
        <is>
          <t>tail_1_carbons</t>
        </is>
      </c>
      <c r="C2449">
        <v>16</v>
      </c>
      <c r="D2449" t="inlineStr">
        <is>
          <t>count</t>
        </is>
      </c>
      <c r="E2449"/>
      <c r="F2449"/>
      <c r="G2449" t="inlineStr">
        <is>
          <t>lipid shorthand annotation</t>
        </is>
      </c>
      <c r="H2449" t="inlineStr">
        <is>
          <t>S003_AVANTI_PHASE</t>
        </is>
      </c>
      <c r="I2449" t="inlineStr">
        <is>
          <t>curated</t>
        </is>
      </c>
      <c r="J2449">
        <v>0.86</v>
      </c>
      <c r="K2449"/>
    </row>
    <row r="2450">
      <c r="A2450" t="inlineStr">
        <is>
          <t>LIP_POPG</t>
        </is>
      </c>
      <c r="B2450" t="inlineStr">
        <is>
          <t>tail_1_unsaturation</t>
        </is>
      </c>
      <c r="C2450">
        <v>0</v>
      </c>
      <c r="D2450" t="inlineStr">
        <is>
          <t>double_bonds</t>
        </is>
      </c>
      <c r="E2450"/>
      <c r="F2450"/>
      <c r="G2450" t="inlineStr">
        <is>
          <t>lipid shorthand annotation</t>
        </is>
      </c>
      <c r="H2450" t="inlineStr">
        <is>
          <t>S003_AVANTI_PHASE</t>
        </is>
      </c>
      <c r="I2450" t="inlineStr">
        <is>
          <t>curated</t>
        </is>
      </c>
      <c r="J2450">
        <v>0.86</v>
      </c>
      <c r="K2450"/>
    </row>
    <row r="2451">
      <c r="A2451" t="inlineStr">
        <is>
          <t>LIP_POPG</t>
        </is>
      </c>
      <c r="B2451" t="inlineStr">
        <is>
          <t>tail_2_carbons</t>
        </is>
      </c>
      <c r="C2451">
        <v>18</v>
      </c>
      <c r="D2451" t="inlineStr">
        <is>
          <t>count</t>
        </is>
      </c>
      <c r="E2451"/>
      <c r="F2451"/>
      <c r="G2451" t="inlineStr">
        <is>
          <t>lipid shorthand annotation</t>
        </is>
      </c>
      <c r="H2451" t="inlineStr">
        <is>
          <t>S003_AVANTI_PHASE</t>
        </is>
      </c>
      <c r="I2451" t="inlineStr">
        <is>
          <t>curated</t>
        </is>
      </c>
      <c r="J2451">
        <v>0.86</v>
      </c>
      <c r="K2451"/>
    </row>
    <row r="2452">
      <c r="A2452" t="inlineStr">
        <is>
          <t>LIP_POPG</t>
        </is>
      </c>
      <c r="B2452" t="inlineStr">
        <is>
          <t>tail_2_unsaturation</t>
        </is>
      </c>
      <c r="C2452">
        <v>1</v>
      </c>
      <c r="D2452" t="inlineStr">
        <is>
          <t>double_bonds</t>
        </is>
      </c>
      <c r="E2452"/>
      <c r="F2452"/>
      <c r="G2452" t="inlineStr">
        <is>
          <t>lipid shorthand annotation</t>
        </is>
      </c>
      <c r="H2452" t="inlineStr">
        <is>
          <t>S003_AVANTI_PHASE</t>
        </is>
      </c>
      <c r="I2452" t="inlineStr">
        <is>
          <t>curated</t>
        </is>
      </c>
      <c r="J2452">
        <v>0.86</v>
      </c>
      <c r="K2452"/>
    </row>
    <row r="2453">
      <c r="A2453" t="inlineStr">
        <is>
          <t>LIP_POPG</t>
        </is>
      </c>
      <c r="B2453" t="inlineStr">
        <is>
          <t>number_of_tails</t>
        </is>
      </c>
      <c r="C2453">
        <v>2</v>
      </c>
      <c r="D2453" t="inlineStr">
        <is>
          <t>count</t>
        </is>
      </c>
      <c r="E2453"/>
      <c r="F2453"/>
      <c r="G2453" t="inlineStr">
        <is>
          <t>lipid shorthand annotation</t>
        </is>
      </c>
      <c r="H2453" t="inlineStr">
        <is>
          <t>S003_AVANTI_PHASE</t>
        </is>
      </c>
      <c r="I2453" t="inlineStr">
        <is>
          <t>curated</t>
        </is>
      </c>
      <c r="J2453">
        <v>0.86</v>
      </c>
      <c r="K2453"/>
    </row>
    <row r="2454">
      <c r="A2454" t="inlineStr">
        <is>
          <t>LIP_POPG</t>
        </is>
      </c>
      <c r="B2454" t="inlineStr">
        <is>
          <t>critical_packing_notes</t>
        </is>
      </c>
      <c r="C2454" t="inlineStr">
        <is>
          <t>bilayer-forming cylindrical lipid</t>
        </is>
      </c>
      <c r="D2454"/>
      <c r="E2454"/>
      <c r="F2454"/>
      <c r="G2454" t="inlineStr">
        <is>
          <t>CPP heuristic</t>
        </is>
      </c>
      <c r="H2454" t="inlineStr">
        <is>
          <t>S014_AULTON</t>
        </is>
      </c>
      <c r="I2454" t="inlineStr">
        <is>
          <t>curated</t>
        </is>
      </c>
      <c r="J2454">
        <v>0.65</v>
      </c>
      <c r="K2454"/>
    </row>
    <row r="2455">
      <c r="A2455" t="inlineStr">
        <is>
          <t>LIP_POPG</t>
        </is>
      </c>
      <c r="B2455" t="inlineStr">
        <is>
          <t>membrane_rigidity_contribution</t>
        </is>
      </c>
      <c r="C2455" t="inlineStr">
        <is>
          <t>fluidizing</t>
        </is>
      </c>
      <c r="D2455"/>
      <c r="E2455"/>
      <c r="F2455"/>
      <c r="G2455" t="inlineStr">
        <is>
          <t>Tm and unsaturation heuristic</t>
        </is>
      </c>
      <c r="H2455" t="inlineStr">
        <is>
          <t>S003_AVANTI_PHASE</t>
        </is>
      </c>
      <c r="I2455" t="inlineStr">
        <is>
          <t>curated</t>
        </is>
      </c>
      <c r="J2455">
        <v>0.65</v>
      </c>
      <c r="K2455"/>
    </row>
    <row r="2456">
      <c r="A2456" t="inlineStr">
        <is>
          <t>LIP_POPG</t>
        </is>
      </c>
      <c r="B2456" t="inlineStr">
        <is>
          <t>fusogenic_flag</t>
        </is>
      </c>
      <c r="C2456" t="inlineStr">
        <is>
          <t>no</t>
        </is>
      </c>
      <c r="D2456"/>
      <c r="E2456"/>
      <c r="F2456"/>
      <c r="G2456" t="inlineStr">
        <is>
          <t>role annotation</t>
        </is>
      </c>
      <c r="H2456" t="inlineStr">
        <is>
          <t>S014_AULTON</t>
        </is>
      </c>
      <c r="I2456" t="inlineStr">
        <is>
          <t>curated</t>
        </is>
      </c>
      <c r="J2456">
        <v>0.7</v>
      </c>
      <c r="K2456"/>
    </row>
    <row r="2457">
      <c r="A2457" t="inlineStr">
        <is>
          <t>LIP_POPG</t>
        </is>
      </c>
      <c r="B2457" t="inlineStr">
        <is>
          <t>PEGylated_flag</t>
        </is>
      </c>
      <c r="C2457" t="inlineStr">
        <is>
          <t>no</t>
        </is>
      </c>
      <c r="D2457"/>
      <c r="E2457"/>
      <c r="F2457"/>
      <c r="G2457" t="inlineStr">
        <is>
          <t>role annotation</t>
        </is>
      </c>
      <c r="H2457" t="inlineStr">
        <is>
          <t>S014_AULTON</t>
        </is>
      </c>
      <c r="I2457" t="inlineStr">
        <is>
          <t>curated</t>
        </is>
      </c>
      <c r="J2457">
        <v>0.85</v>
      </c>
      <c r="K2457"/>
    </row>
    <row r="2458">
      <c r="A2458" t="inlineStr">
        <is>
          <t>LIP_POPG</t>
        </is>
      </c>
      <c r="B2458" t="inlineStr">
        <is>
          <t>ionizable_flag</t>
        </is>
      </c>
      <c r="C2458" t="inlineStr">
        <is>
          <t>no</t>
        </is>
      </c>
      <c r="D2458"/>
      <c r="E2458"/>
      <c r="F2458"/>
      <c r="G2458" t="inlineStr">
        <is>
          <t>role annotation</t>
        </is>
      </c>
      <c r="H2458" t="inlineStr">
        <is>
          <t>S014_AULTON</t>
        </is>
      </c>
      <c r="I2458" t="inlineStr">
        <is>
          <t>curated</t>
        </is>
      </c>
      <c r="J2458">
        <v>0.85</v>
      </c>
      <c r="K2458"/>
    </row>
    <row r="2459">
      <c r="A2459" t="inlineStr">
        <is>
          <t>LIP_POPG</t>
        </is>
      </c>
      <c r="B2459" t="inlineStr">
        <is>
          <t>route_suitability</t>
        </is>
      </c>
      <c r="C2459" t="inlineStr">
        <is>
          <t>liposome/LNP; route depends on purity, grade, residual solvents/endotoxin</t>
        </is>
      </c>
      <c r="D2459"/>
      <c r="E2459"/>
      <c r="F2459"/>
      <c r="G2459" t="inlineStr">
        <is>
          <t>route precedent caution</t>
        </is>
      </c>
      <c r="H2459" t="inlineStr">
        <is>
          <t>S008_FDA_IID</t>
        </is>
      </c>
      <c r="I2459" t="inlineStr">
        <is>
          <t>curated</t>
        </is>
      </c>
      <c r="J2459">
        <v>0.55</v>
      </c>
      <c r="K2459"/>
    </row>
    <row r="2460">
      <c r="A2460" t="inlineStr">
        <is>
          <t>LIP_POPG</t>
        </is>
      </c>
      <c r="B2460" t="inlineStr">
        <is>
          <t>storage_notes</t>
        </is>
      </c>
      <c r="C2460" t="inlineStr">
        <is>
          <t>store cold, dry, inert gas; protect unsaturated/ionizable lipids from oxidation/hydrolysis</t>
        </is>
      </c>
      <c r="D2460"/>
      <c r="E2460"/>
      <c r="F2460"/>
      <c r="G2460" t="inlineStr">
        <is>
          <t>supplier stability convention</t>
        </is>
      </c>
      <c r="H2460" t="inlineStr">
        <is>
          <t>S003_AVANTI_PHASE</t>
        </is>
      </c>
      <c r="I2460" t="inlineStr">
        <is>
          <t>curated</t>
        </is>
      </c>
      <c r="J2460">
        <v>0.7</v>
      </c>
      <c r="K2460"/>
    </row>
    <row r="2461">
      <c r="A2461" t="inlineStr">
        <is>
          <t>LIP_POPG</t>
        </is>
      </c>
      <c r="B2461" t="inlineStr">
        <is>
          <t>phase_transition_temperature_C</t>
        </is>
      </c>
      <c r="C2461">
        <v>-2</v>
      </c>
      <c r="D2461" t="inlineStr">
        <is>
          <t>°C</t>
        </is>
      </c>
      <c r="E2461"/>
      <c r="F2461"/>
      <c r="G2461" t="inlineStr">
        <is>
          <t>main transition temperature, DSC/lipid supplier data</t>
        </is>
      </c>
      <c r="H2461" t="inlineStr">
        <is>
          <t>S003_AVANTI_PHASE</t>
        </is>
      </c>
      <c r="I2461" t="inlineStr">
        <is>
          <t>supplier-reported</t>
        </is>
      </c>
      <c r="J2461">
        <v>0.78</v>
      </c>
      <c r="K2461"/>
    </row>
    <row r="2462">
      <c r="A2462" t="inlineStr">
        <is>
          <t>LIP_POPG</t>
        </is>
      </c>
      <c r="B2462" t="inlineStr">
        <is>
          <t>Hansen_delta_D</t>
        </is>
      </c>
      <c r="C2462">
        <v>17.5</v>
      </c>
      <c r="D2462" t="inlineStr">
        <is>
          <t>MPa^0.5</t>
        </is>
      </c>
      <c r="E2462"/>
      <c r="F2462"/>
      <c r="G2462" t="inlineStr">
        <is>
          <t>heuristic group-contribution/nearest-neighbour</t>
        </is>
      </c>
      <c r="H2462" t="inlineStr">
        <is>
          <t>S013_EST_HSP_HEURISTIC</t>
        </is>
      </c>
      <c r="I2462" t="inlineStr">
        <is>
          <t>estimated</t>
        </is>
      </c>
      <c r="J2462">
        <v>0.38</v>
      </c>
      <c r="K2462" t="inlineStr">
        <is>
          <t>Provisional HSP for screening; replace with experimental/literature value before model lock.</t>
        </is>
      </c>
    </row>
    <row r="2463">
      <c r="A2463" t="inlineStr">
        <is>
          <t>LIP_POPG</t>
        </is>
      </c>
      <c r="B2463" t="inlineStr">
        <is>
          <t>Hansen_delta_P</t>
        </is>
      </c>
      <c r="C2463">
        <v>7.5</v>
      </c>
      <c r="D2463" t="inlineStr">
        <is>
          <t>MPa^0.5</t>
        </is>
      </c>
      <c r="E2463"/>
      <c r="F2463"/>
      <c r="G2463" t="inlineStr">
        <is>
          <t>heuristic group-contribution/nearest-neighbour</t>
        </is>
      </c>
      <c r="H2463" t="inlineStr">
        <is>
          <t>S013_EST_HSP_HEURISTIC</t>
        </is>
      </c>
      <c r="I2463" t="inlineStr">
        <is>
          <t>estimated</t>
        </is>
      </c>
      <c r="J2463">
        <v>0.38</v>
      </c>
      <c r="K2463" t="inlineStr">
        <is>
          <t>Provisional HSP for screening; replace with experimental/literature value before model lock.</t>
        </is>
      </c>
    </row>
    <row r="2464">
      <c r="A2464" t="inlineStr">
        <is>
          <t>LIP_POPG</t>
        </is>
      </c>
      <c r="B2464" t="inlineStr">
        <is>
          <t>Hansen_delta_H</t>
        </is>
      </c>
      <c r="C2464">
        <v>10.0</v>
      </c>
      <c r="D2464" t="inlineStr">
        <is>
          <t>MPa^0.5</t>
        </is>
      </c>
      <c r="E2464"/>
      <c r="F2464"/>
      <c r="G2464" t="inlineStr">
        <is>
          <t>heuristic group-contribution/nearest-neighbour</t>
        </is>
      </c>
      <c r="H2464" t="inlineStr">
        <is>
          <t>S013_EST_HSP_HEURISTIC</t>
        </is>
      </c>
      <c r="I2464" t="inlineStr">
        <is>
          <t>estimated</t>
        </is>
      </c>
      <c r="J2464">
        <v>0.38</v>
      </c>
      <c r="K2464" t="inlineStr">
        <is>
          <t>Provisional HSP for screening; replace with experimental/literature value before model lock.</t>
        </is>
      </c>
    </row>
    <row r="2465">
      <c r="A2465" t="inlineStr">
        <is>
          <t>LIP_POPG</t>
        </is>
      </c>
      <c r="B2465" t="inlineStr">
        <is>
          <t>Hildebrand_delta_T</t>
        </is>
      </c>
      <c r="C2465">
        <v>21.51</v>
      </c>
      <c r="D2465" t="inlineStr">
        <is>
          <t>MPa^0.5</t>
        </is>
      </c>
      <c r="E2465"/>
      <c r="F2465"/>
      <c r="G2465" t="inlineStr">
        <is>
          <t>sqrt(deltaD^2+deltaP^2+deltaH^2)</t>
        </is>
      </c>
      <c r="H2465" t="inlineStr">
        <is>
          <t>S012_CALCULATED</t>
        </is>
      </c>
      <c r="I2465" t="inlineStr">
        <is>
          <t>calculated</t>
        </is>
      </c>
      <c r="J2465">
        <v>0.43</v>
      </c>
      <c r="K2465" t="inlineStr">
        <is>
          <t>Derived from stored Hansen components.</t>
        </is>
      </c>
    </row>
    <row r="2466">
      <c r="A2466" t="inlineStr">
        <is>
          <t>LIP_POPG</t>
        </is>
      </c>
      <c r="B2466" t="inlineStr">
        <is>
          <t>HSP_radius_R0</t>
        </is>
      </c>
      <c r="C2466">
        <v>8.0</v>
      </c>
      <c r="D2466" t="inlineStr">
        <is>
          <t>MPa^0.5</t>
        </is>
      </c>
      <c r="E2466"/>
      <c r="F2466"/>
      <c r="G2466" t="inlineStr">
        <is>
          <t>literature/heuristic solubility sphere</t>
        </is>
      </c>
      <c r="H2466" t="inlineStr">
        <is>
          <t>S013_EST_HSP_HEURISTIC</t>
        </is>
      </c>
      <c r="I2466" t="inlineStr">
        <is>
          <t>estimated</t>
        </is>
      </c>
      <c r="J2466">
        <v>0.38</v>
      </c>
      <c r="K2466" t="inlineStr">
        <is>
          <t>Screening radius only unless experimentally determined.</t>
        </is>
      </c>
    </row>
    <row r="2467">
      <c r="A2467" t="inlineStr">
        <is>
          <t>LIP_POPG</t>
        </is>
      </c>
      <c r="B2467" t="inlineStr">
        <is>
          <t>molar_volume_cm3_mol</t>
        </is>
      </c>
      <c r="C2467">
        <v>771.0</v>
      </c>
      <c r="D2467" t="inlineStr">
        <is>
          <t>cm3/mol</t>
        </is>
      </c>
      <c r="E2467"/>
      <c r="F2467"/>
      <c r="G2467" t="inlineStr">
        <is>
          <t>MW/density estimate</t>
        </is>
      </c>
      <c r="H2467" t="inlineStr">
        <is>
          <t>S012_CALCULATED</t>
        </is>
      </c>
      <c r="I2467" t="inlineStr">
        <is>
          <t>estimated</t>
        </is>
      </c>
      <c r="J2467">
        <v>0.42</v>
      </c>
      <c r="K2467" t="inlineStr">
        <is>
          <t>Estimated from MW/density; replace with measured molar volume or density-specific grade data.</t>
        </is>
      </c>
    </row>
    <row r="2468">
      <c r="A2468" t="inlineStr">
        <is>
          <t>LIP_POPG</t>
        </is>
      </c>
      <c r="B2468" t="inlineStr">
        <is>
          <t>headgroup_area_nm2</t>
        </is>
      </c>
      <c r="C2468">
        <v>0.62</v>
      </c>
      <c r="D2468" t="inlineStr">
        <is>
          <t>nm2</t>
        </is>
      </c>
      <c r="E2468"/>
      <c r="F2468"/>
      <c r="G2468" t="inlineStr">
        <is>
          <t>literature/MD heuristic</t>
        </is>
      </c>
      <c r="H2468" t="inlineStr">
        <is>
          <t>S013_EST_HSP_HEURISTIC</t>
        </is>
      </c>
      <c r="I2468" t="inlineStr">
        <is>
          <t>estimated</t>
        </is>
      </c>
      <c r="J2468">
        <v>0.35</v>
      </c>
      <c r="K2468" t="inlineStr">
        <is>
          <t>Area per lipid varies with phase, temperature, cholesterol, hydration, and force field.</t>
        </is>
      </c>
    </row>
    <row r="2469">
      <c r="A2469" t="inlineStr">
        <is>
          <t>LIP_DSPG</t>
        </is>
      </c>
      <c r="B2469" t="inlineStr">
        <is>
          <t>molecular_weight_g_mol</t>
        </is>
      </c>
      <c r="C2469">
        <v>800.1</v>
      </c>
      <c r="D2469" t="inlineStr">
        <is>
          <t>g/mol</t>
        </is>
      </c>
      <c r="E2469"/>
      <c r="F2469"/>
      <c r="G2469" t="inlineStr">
        <is>
          <t>LIPID MAPS/supplier formula or average grade MW</t>
        </is>
      </c>
      <c r="H2469" t="inlineStr">
        <is>
          <t>S004_LIPIDMAPS</t>
        </is>
      </c>
      <c r="I2469" t="inlineStr">
        <is>
          <t>database-derived</t>
        </is>
      </c>
      <c r="J2469">
        <v>0.78</v>
      </c>
      <c r="K2469"/>
    </row>
    <row r="2470">
      <c r="A2470" t="inlineStr">
        <is>
          <t>LIP_DSPG</t>
        </is>
      </c>
      <c r="B2470" t="inlineStr">
        <is>
          <t>lipid_class</t>
        </is>
      </c>
      <c r="C2470" t="inlineStr">
        <is>
          <t>PG</t>
        </is>
      </c>
      <c r="D2470"/>
      <c r="E2470"/>
      <c r="F2470"/>
      <c r="G2470" t="inlineStr">
        <is>
          <t>lipid class annotation</t>
        </is>
      </c>
      <c r="H2470" t="inlineStr">
        <is>
          <t>S003_AVANTI_PHASE</t>
        </is>
      </c>
      <c r="I2470" t="inlineStr">
        <is>
          <t>curated</t>
        </is>
      </c>
      <c r="J2470">
        <v>0.85</v>
      </c>
      <c r="K2470"/>
    </row>
    <row r="2471">
      <c r="A2471" t="inlineStr">
        <is>
          <t>LIP_DSPG</t>
        </is>
      </c>
      <c r="B2471" t="inlineStr">
        <is>
          <t>headgroup_type</t>
        </is>
      </c>
      <c r="C2471" t="inlineStr">
        <is>
          <t>PG</t>
        </is>
      </c>
      <c r="D2471"/>
      <c r="E2471"/>
      <c r="F2471"/>
      <c r="G2471" t="inlineStr">
        <is>
          <t>headgroup annotation</t>
        </is>
      </c>
      <c r="H2471" t="inlineStr">
        <is>
          <t>S003_AVANTI_PHASE</t>
        </is>
      </c>
      <c r="I2471" t="inlineStr">
        <is>
          <t>curated</t>
        </is>
      </c>
      <c r="J2471">
        <v>0.85</v>
      </c>
      <c r="K2471"/>
    </row>
    <row r="2472">
      <c r="A2472" t="inlineStr">
        <is>
          <t>LIP_DSPG</t>
        </is>
      </c>
      <c r="B2472" t="inlineStr">
        <is>
          <t>charge_type</t>
        </is>
      </c>
      <c r="C2472" t="inlineStr">
        <is>
          <t>anionic</t>
        </is>
      </c>
      <c r="D2472"/>
      <c r="E2472"/>
      <c r="F2472"/>
      <c r="G2472" t="inlineStr">
        <is>
          <t>nominal at pH 7.4</t>
        </is>
      </c>
      <c r="H2472" t="inlineStr">
        <is>
          <t>S003_AVANTI_PHASE</t>
        </is>
      </c>
      <c r="I2472" t="inlineStr">
        <is>
          <t>curated</t>
        </is>
      </c>
      <c r="J2472">
        <v>0.85</v>
      </c>
      <c r="K2472"/>
    </row>
    <row r="2473">
      <c r="A2473" t="inlineStr">
        <is>
          <t>LIP_DSPG</t>
        </is>
      </c>
      <c r="B2473" t="inlineStr">
        <is>
          <t>formal_charge</t>
        </is>
      </c>
      <c r="C2473">
        <v>-1</v>
      </c>
      <c r="D2473" t="inlineStr">
        <is>
          <t>e</t>
        </is>
      </c>
      <c r="E2473"/>
      <c r="F2473"/>
      <c r="G2473" t="inlineStr">
        <is>
          <t>nominal at pH 7.4</t>
        </is>
      </c>
      <c r="H2473" t="inlineStr">
        <is>
          <t>S003_AVANTI_PHASE</t>
        </is>
      </c>
      <c r="I2473" t="inlineStr">
        <is>
          <t>curated</t>
        </is>
      </c>
      <c r="J2473">
        <v>0.85</v>
      </c>
      <c r="K2473"/>
    </row>
    <row r="2474">
      <c r="A2474" t="inlineStr">
        <is>
          <t>LIP_DSPG</t>
        </is>
      </c>
      <c r="B2474" t="inlineStr">
        <is>
          <t>tail_1_carbons</t>
        </is>
      </c>
      <c r="C2474">
        <v>18</v>
      </c>
      <c r="D2474" t="inlineStr">
        <is>
          <t>count</t>
        </is>
      </c>
      <c r="E2474"/>
      <c r="F2474"/>
      <c r="G2474" t="inlineStr">
        <is>
          <t>lipid shorthand annotation</t>
        </is>
      </c>
      <c r="H2474" t="inlineStr">
        <is>
          <t>S003_AVANTI_PHASE</t>
        </is>
      </c>
      <c r="I2474" t="inlineStr">
        <is>
          <t>curated</t>
        </is>
      </c>
      <c r="J2474">
        <v>0.86</v>
      </c>
      <c r="K2474"/>
    </row>
    <row r="2475">
      <c r="A2475" t="inlineStr">
        <is>
          <t>LIP_DSPG</t>
        </is>
      </c>
      <c r="B2475" t="inlineStr">
        <is>
          <t>tail_1_unsaturation</t>
        </is>
      </c>
      <c r="C2475">
        <v>0</v>
      </c>
      <c r="D2475" t="inlineStr">
        <is>
          <t>double_bonds</t>
        </is>
      </c>
      <c r="E2475"/>
      <c r="F2475"/>
      <c r="G2475" t="inlineStr">
        <is>
          <t>lipid shorthand annotation</t>
        </is>
      </c>
      <c r="H2475" t="inlineStr">
        <is>
          <t>S003_AVANTI_PHASE</t>
        </is>
      </c>
      <c r="I2475" t="inlineStr">
        <is>
          <t>curated</t>
        </is>
      </c>
      <c r="J2475">
        <v>0.86</v>
      </c>
      <c r="K2475"/>
    </row>
    <row r="2476">
      <c r="A2476" t="inlineStr">
        <is>
          <t>LIP_DSPG</t>
        </is>
      </c>
      <c r="B2476" t="inlineStr">
        <is>
          <t>tail_2_carbons</t>
        </is>
      </c>
      <c r="C2476">
        <v>18</v>
      </c>
      <c r="D2476" t="inlineStr">
        <is>
          <t>count</t>
        </is>
      </c>
      <c r="E2476"/>
      <c r="F2476"/>
      <c r="G2476" t="inlineStr">
        <is>
          <t>lipid shorthand annotation</t>
        </is>
      </c>
      <c r="H2476" t="inlineStr">
        <is>
          <t>S003_AVANTI_PHASE</t>
        </is>
      </c>
      <c r="I2476" t="inlineStr">
        <is>
          <t>curated</t>
        </is>
      </c>
      <c r="J2476">
        <v>0.86</v>
      </c>
      <c r="K2476"/>
    </row>
    <row r="2477">
      <c r="A2477" t="inlineStr">
        <is>
          <t>LIP_DSPG</t>
        </is>
      </c>
      <c r="B2477" t="inlineStr">
        <is>
          <t>tail_2_unsaturation</t>
        </is>
      </c>
      <c r="C2477">
        <v>0</v>
      </c>
      <c r="D2477" t="inlineStr">
        <is>
          <t>double_bonds</t>
        </is>
      </c>
      <c r="E2477"/>
      <c r="F2477"/>
      <c r="G2477" t="inlineStr">
        <is>
          <t>lipid shorthand annotation</t>
        </is>
      </c>
      <c r="H2477" t="inlineStr">
        <is>
          <t>S003_AVANTI_PHASE</t>
        </is>
      </c>
      <c r="I2477" t="inlineStr">
        <is>
          <t>curated</t>
        </is>
      </c>
      <c r="J2477">
        <v>0.86</v>
      </c>
      <c r="K2477"/>
    </row>
    <row r="2478">
      <c r="A2478" t="inlineStr">
        <is>
          <t>LIP_DSPG</t>
        </is>
      </c>
      <c r="B2478" t="inlineStr">
        <is>
          <t>number_of_tails</t>
        </is>
      </c>
      <c r="C2478">
        <v>2</v>
      </c>
      <c r="D2478" t="inlineStr">
        <is>
          <t>count</t>
        </is>
      </c>
      <c r="E2478"/>
      <c r="F2478"/>
      <c r="G2478" t="inlineStr">
        <is>
          <t>lipid shorthand annotation</t>
        </is>
      </c>
      <c r="H2478" t="inlineStr">
        <is>
          <t>S003_AVANTI_PHASE</t>
        </is>
      </c>
      <c r="I2478" t="inlineStr">
        <is>
          <t>curated</t>
        </is>
      </c>
      <c r="J2478">
        <v>0.86</v>
      </c>
      <c r="K2478"/>
    </row>
    <row r="2479">
      <c r="A2479" t="inlineStr">
        <is>
          <t>LIP_DSPG</t>
        </is>
      </c>
      <c r="B2479" t="inlineStr">
        <is>
          <t>critical_packing_notes</t>
        </is>
      </c>
      <c r="C2479" t="inlineStr">
        <is>
          <t>bilayer-forming cylindrical lipid</t>
        </is>
      </c>
      <c r="D2479"/>
      <c r="E2479"/>
      <c r="F2479"/>
      <c r="G2479" t="inlineStr">
        <is>
          <t>CPP heuristic</t>
        </is>
      </c>
      <c r="H2479" t="inlineStr">
        <is>
          <t>S014_AULTON</t>
        </is>
      </c>
      <c r="I2479" t="inlineStr">
        <is>
          <t>curated</t>
        </is>
      </c>
      <c r="J2479">
        <v>0.65</v>
      </c>
      <c r="K2479"/>
    </row>
    <row r="2480">
      <c r="A2480" t="inlineStr">
        <is>
          <t>LIP_DSPG</t>
        </is>
      </c>
      <c r="B2480" t="inlineStr">
        <is>
          <t>membrane_rigidity_contribution</t>
        </is>
      </c>
      <c r="C2480" t="inlineStr">
        <is>
          <t>high</t>
        </is>
      </c>
      <c r="D2480"/>
      <c r="E2480"/>
      <c r="F2480"/>
      <c r="G2480" t="inlineStr">
        <is>
          <t>Tm and unsaturation heuristic</t>
        </is>
      </c>
      <c r="H2480" t="inlineStr">
        <is>
          <t>S003_AVANTI_PHASE</t>
        </is>
      </c>
      <c r="I2480" t="inlineStr">
        <is>
          <t>curated</t>
        </is>
      </c>
      <c r="J2480">
        <v>0.65</v>
      </c>
      <c r="K2480"/>
    </row>
    <row r="2481">
      <c r="A2481" t="inlineStr">
        <is>
          <t>LIP_DSPG</t>
        </is>
      </c>
      <c r="B2481" t="inlineStr">
        <is>
          <t>fusogenic_flag</t>
        </is>
      </c>
      <c r="C2481" t="inlineStr">
        <is>
          <t>no</t>
        </is>
      </c>
      <c r="D2481"/>
      <c r="E2481"/>
      <c r="F2481"/>
      <c r="G2481" t="inlineStr">
        <is>
          <t>role annotation</t>
        </is>
      </c>
      <c r="H2481" t="inlineStr">
        <is>
          <t>S014_AULTON</t>
        </is>
      </c>
      <c r="I2481" t="inlineStr">
        <is>
          <t>curated</t>
        </is>
      </c>
      <c r="J2481">
        <v>0.7</v>
      </c>
      <c r="K2481"/>
    </row>
    <row r="2482">
      <c r="A2482" t="inlineStr">
        <is>
          <t>LIP_DSPG</t>
        </is>
      </c>
      <c r="B2482" t="inlineStr">
        <is>
          <t>PEGylated_flag</t>
        </is>
      </c>
      <c r="C2482" t="inlineStr">
        <is>
          <t>no</t>
        </is>
      </c>
      <c r="D2482"/>
      <c r="E2482"/>
      <c r="F2482"/>
      <c r="G2482" t="inlineStr">
        <is>
          <t>role annotation</t>
        </is>
      </c>
      <c r="H2482" t="inlineStr">
        <is>
          <t>S014_AULTON</t>
        </is>
      </c>
      <c r="I2482" t="inlineStr">
        <is>
          <t>curated</t>
        </is>
      </c>
      <c r="J2482">
        <v>0.85</v>
      </c>
      <c r="K2482"/>
    </row>
    <row r="2483">
      <c r="A2483" t="inlineStr">
        <is>
          <t>LIP_DSPG</t>
        </is>
      </c>
      <c r="B2483" t="inlineStr">
        <is>
          <t>ionizable_flag</t>
        </is>
      </c>
      <c r="C2483" t="inlineStr">
        <is>
          <t>no</t>
        </is>
      </c>
      <c r="D2483"/>
      <c r="E2483"/>
      <c r="F2483"/>
      <c r="G2483" t="inlineStr">
        <is>
          <t>role annotation</t>
        </is>
      </c>
      <c r="H2483" t="inlineStr">
        <is>
          <t>S014_AULTON</t>
        </is>
      </c>
      <c r="I2483" t="inlineStr">
        <is>
          <t>curated</t>
        </is>
      </c>
      <c r="J2483">
        <v>0.85</v>
      </c>
      <c r="K2483"/>
    </row>
    <row r="2484">
      <c r="A2484" t="inlineStr">
        <is>
          <t>LIP_DSPG</t>
        </is>
      </c>
      <c r="B2484" t="inlineStr">
        <is>
          <t>route_suitability</t>
        </is>
      </c>
      <c r="C2484" t="inlineStr">
        <is>
          <t>liposome/LNP; route depends on purity, grade, residual solvents/endotoxin</t>
        </is>
      </c>
      <c r="D2484"/>
      <c r="E2484"/>
      <c r="F2484"/>
      <c r="G2484" t="inlineStr">
        <is>
          <t>route precedent caution</t>
        </is>
      </c>
      <c r="H2484" t="inlineStr">
        <is>
          <t>S008_FDA_IID</t>
        </is>
      </c>
      <c r="I2484" t="inlineStr">
        <is>
          <t>curated</t>
        </is>
      </c>
      <c r="J2484">
        <v>0.55</v>
      </c>
      <c r="K2484"/>
    </row>
    <row r="2485">
      <c r="A2485" t="inlineStr">
        <is>
          <t>LIP_DSPG</t>
        </is>
      </c>
      <c r="B2485" t="inlineStr">
        <is>
          <t>storage_notes</t>
        </is>
      </c>
      <c r="C2485" t="inlineStr">
        <is>
          <t>store cold, dry, inert gas; protect unsaturated/ionizable lipids from oxidation/hydrolysis</t>
        </is>
      </c>
      <c r="D2485"/>
      <c r="E2485"/>
      <c r="F2485"/>
      <c r="G2485" t="inlineStr">
        <is>
          <t>supplier stability convention</t>
        </is>
      </c>
      <c r="H2485" t="inlineStr">
        <is>
          <t>S003_AVANTI_PHASE</t>
        </is>
      </c>
      <c r="I2485" t="inlineStr">
        <is>
          <t>curated</t>
        </is>
      </c>
      <c r="J2485">
        <v>0.7</v>
      </c>
      <c r="K2485"/>
    </row>
    <row r="2486">
      <c r="A2486" t="inlineStr">
        <is>
          <t>LIP_DSPG</t>
        </is>
      </c>
      <c r="B2486" t="inlineStr">
        <is>
          <t>phase_transition_temperature_C</t>
        </is>
      </c>
      <c r="C2486">
        <v>55</v>
      </c>
      <c r="D2486" t="inlineStr">
        <is>
          <t>°C</t>
        </is>
      </c>
      <c r="E2486"/>
      <c r="F2486"/>
      <c r="G2486" t="inlineStr">
        <is>
          <t>main transition temperature, DSC/lipid supplier data</t>
        </is>
      </c>
      <c r="H2486" t="inlineStr">
        <is>
          <t>S003_AVANTI_PHASE</t>
        </is>
      </c>
      <c r="I2486" t="inlineStr">
        <is>
          <t>supplier-reported</t>
        </is>
      </c>
      <c r="J2486">
        <v>0.78</v>
      </c>
      <c r="K2486"/>
    </row>
    <row r="2487">
      <c r="A2487" t="inlineStr">
        <is>
          <t>LIP_DSPG</t>
        </is>
      </c>
      <c r="B2487" t="inlineStr">
        <is>
          <t>Hansen_delta_D</t>
        </is>
      </c>
      <c r="C2487">
        <v>17.5</v>
      </c>
      <c r="D2487" t="inlineStr">
        <is>
          <t>MPa^0.5</t>
        </is>
      </c>
      <c r="E2487"/>
      <c r="F2487"/>
      <c r="G2487" t="inlineStr">
        <is>
          <t>heuristic group-contribution/nearest-neighbour</t>
        </is>
      </c>
      <c r="H2487" t="inlineStr">
        <is>
          <t>S013_EST_HSP_HEURISTIC</t>
        </is>
      </c>
      <c r="I2487" t="inlineStr">
        <is>
          <t>estimated</t>
        </is>
      </c>
      <c r="J2487">
        <v>0.38</v>
      </c>
      <c r="K2487" t="inlineStr">
        <is>
          <t>Provisional HSP for screening; replace with experimental/literature value before model lock.</t>
        </is>
      </c>
    </row>
    <row r="2488">
      <c r="A2488" t="inlineStr">
        <is>
          <t>LIP_DSPG</t>
        </is>
      </c>
      <c r="B2488" t="inlineStr">
        <is>
          <t>Hansen_delta_P</t>
        </is>
      </c>
      <c r="C2488">
        <v>7.5</v>
      </c>
      <c r="D2488" t="inlineStr">
        <is>
          <t>MPa^0.5</t>
        </is>
      </c>
      <c r="E2488"/>
      <c r="F2488"/>
      <c r="G2488" t="inlineStr">
        <is>
          <t>heuristic group-contribution/nearest-neighbour</t>
        </is>
      </c>
      <c r="H2488" t="inlineStr">
        <is>
          <t>S013_EST_HSP_HEURISTIC</t>
        </is>
      </c>
      <c r="I2488" t="inlineStr">
        <is>
          <t>estimated</t>
        </is>
      </c>
      <c r="J2488">
        <v>0.38</v>
      </c>
      <c r="K2488" t="inlineStr">
        <is>
          <t>Provisional HSP for screening; replace with experimental/literature value before model lock.</t>
        </is>
      </c>
    </row>
    <row r="2489">
      <c r="A2489" t="inlineStr">
        <is>
          <t>LIP_DSPG</t>
        </is>
      </c>
      <c r="B2489" t="inlineStr">
        <is>
          <t>Hansen_delta_H</t>
        </is>
      </c>
      <c r="C2489">
        <v>10.0</v>
      </c>
      <c r="D2489" t="inlineStr">
        <is>
          <t>MPa^0.5</t>
        </is>
      </c>
      <c r="E2489"/>
      <c r="F2489"/>
      <c r="G2489" t="inlineStr">
        <is>
          <t>heuristic group-contribution/nearest-neighbour</t>
        </is>
      </c>
      <c r="H2489" t="inlineStr">
        <is>
          <t>S013_EST_HSP_HEURISTIC</t>
        </is>
      </c>
      <c r="I2489" t="inlineStr">
        <is>
          <t>estimated</t>
        </is>
      </c>
      <c r="J2489">
        <v>0.38</v>
      </c>
      <c r="K2489" t="inlineStr">
        <is>
          <t>Provisional HSP for screening; replace with experimental/literature value before model lock.</t>
        </is>
      </c>
    </row>
    <row r="2490">
      <c r="A2490" t="inlineStr">
        <is>
          <t>LIP_DSPG</t>
        </is>
      </c>
      <c r="B2490" t="inlineStr">
        <is>
          <t>Hildebrand_delta_T</t>
        </is>
      </c>
      <c r="C2490">
        <v>21.51</v>
      </c>
      <c r="D2490" t="inlineStr">
        <is>
          <t>MPa^0.5</t>
        </is>
      </c>
      <c r="E2490"/>
      <c r="F2490"/>
      <c r="G2490" t="inlineStr">
        <is>
          <t>sqrt(deltaD^2+deltaP^2+deltaH^2)</t>
        </is>
      </c>
      <c r="H2490" t="inlineStr">
        <is>
          <t>S012_CALCULATED</t>
        </is>
      </c>
      <c r="I2490" t="inlineStr">
        <is>
          <t>calculated</t>
        </is>
      </c>
      <c r="J2490">
        <v>0.43</v>
      </c>
      <c r="K2490" t="inlineStr">
        <is>
          <t>Derived from stored Hansen components.</t>
        </is>
      </c>
    </row>
    <row r="2491">
      <c r="A2491" t="inlineStr">
        <is>
          <t>LIP_DSPG</t>
        </is>
      </c>
      <c r="B2491" t="inlineStr">
        <is>
          <t>HSP_radius_R0</t>
        </is>
      </c>
      <c r="C2491">
        <v>8.0</v>
      </c>
      <c r="D2491" t="inlineStr">
        <is>
          <t>MPa^0.5</t>
        </is>
      </c>
      <c r="E2491"/>
      <c r="F2491"/>
      <c r="G2491" t="inlineStr">
        <is>
          <t>literature/heuristic solubility sphere</t>
        </is>
      </c>
      <c r="H2491" t="inlineStr">
        <is>
          <t>S013_EST_HSP_HEURISTIC</t>
        </is>
      </c>
      <c r="I2491" t="inlineStr">
        <is>
          <t>estimated</t>
        </is>
      </c>
      <c r="J2491">
        <v>0.38</v>
      </c>
      <c r="K2491" t="inlineStr">
        <is>
          <t>Screening radius only unless experimentally determined.</t>
        </is>
      </c>
    </row>
    <row r="2492">
      <c r="A2492" t="inlineStr">
        <is>
          <t>LIP_DSPG</t>
        </is>
      </c>
      <c r="B2492" t="inlineStr">
        <is>
          <t>molar_volume_cm3_mol</t>
        </is>
      </c>
      <c r="C2492">
        <v>800.1</v>
      </c>
      <c r="D2492" t="inlineStr">
        <is>
          <t>cm3/mol</t>
        </is>
      </c>
      <c r="E2492"/>
      <c r="F2492"/>
      <c r="G2492" t="inlineStr">
        <is>
          <t>MW/density estimate</t>
        </is>
      </c>
      <c r="H2492" t="inlineStr">
        <is>
          <t>S012_CALCULATED</t>
        </is>
      </c>
      <c r="I2492" t="inlineStr">
        <is>
          <t>estimated</t>
        </is>
      </c>
      <c r="J2492">
        <v>0.42</v>
      </c>
      <c r="K2492" t="inlineStr">
        <is>
          <t>Estimated from MW/density; replace with measured molar volume or density-specific grade data.</t>
        </is>
      </c>
    </row>
    <row r="2493">
      <c r="A2493" t="inlineStr">
        <is>
          <t>LIP_DSPG</t>
        </is>
      </c>
      <c r="B2493" t="inlineStr">
        <is>
          <t>headgroup_area_nm2</t>
        </is>
      </c>
      <c r="C2493">
        <v>0.62</v>
      </c>
      <c r="D2493" t="inlineStr">
        <is>
          <t>nm2</t>
        </is>
      </c>
      <c r="E2493"/>
      <c r="F2493"/>
      <c r="G2493" t="inlineStr">
        <is>
          <t>literature/MD heuristic</t>
        </is>
      </c>
      <c r="H2493" t="inlineStr">
        <is>
          <t>S013_EST_HSP_HEURISTIC</t>
        </is>
      </c>
      <c r="I2493" t="inlineStr">
        <is>
          <t>estimated</t>
        </is>
      </c>
      <c r="J2493">
        <v>0.35</v>
      </c>
      <c r="K2493" t="inlineStr">
        <is>
          <t>Area per lipid varies with phase, temperature, cholesterol, hydration, and force field.</t>
        </is>
      </c>
    </row>
    <row r="2494">
      <c r="A2494" t="inlineStr">
        <is>
          <t>LIP_DOPS</t>
        </is>
      </c>
      <c r="B2494" t="inlineStr">
        <is>
          <t>molecular_weight_g_mol</t>
        </is>
      </c>
      <c r="C2494">
        <v>810.0</v>
      </c>
      <c r="D2494" t="inlineStr">
        <is>
          <t>g/mol</t>
        </is>
      </c>
      <c r="E2494"/>
      <c r="F2494"/>
      <c r="G2494" t="inlineStr">
        <is>
          <t>LIPID MAPS/supplier formula or average grade MW</t>
        </is>
      </c>
      <c r="H2494" t="inlineStr">
        <is>
          <t>S004_LIPIDMAPS</t>
        </is>
      </c>
      <c r="I2494" t="inlineStr">
        <is>
          <t>database-derived</t>
        </is>
      </c>
      <c r="J2494">
        <v>0.78</v>
      </c>
      <c r="K2494"/>
    </row>
    <row r="2495">
      <c r="A2495" t="inlineStr">
        <is>
          <t>LIP_DOPS</t>
        </is>
      </c>
      <c r="B2495" t="inlineStr">
        <is>
          <t>lipid_class</t>
        </is>
      </c>
      <c r="C2495" t="inlineStr">
        <is>
          <t>PS</t>
        </is>
      </c>
      <c r="D2495"/>
      <c r="E2495"/>
      <c r="F2495"/>
      <c r="G2495" t="inlineStr">
        <is>
          <t>lipid class annotation</t>
        </is>
      </c>
      <c r="H2495" t="inlineStr">
        <is>
          <t>S003_AVANTI_PHASE</t>
        </is>
      </c>
      <c r="I2495" t="inlineStr">
        <is>
          <t>curated</t>
        </is>
      </c>
      <c r="J2495">
        <v>0.85</v>
      </c>
      <c r="K2495"/>
    </row>
    <row r="2496">
      <c r="A2496" t="inlineStr">
        <is>
          <t>LIP_DOPS</t>
        </is>
      </c>
      <c r="B2496" t="inlineStr">
        <is>
          <t>headgroup_type</t>
        </is>
      </c>
      <c r="C2496" t="inlineStr">
        <is>
          <t>PS</t>
        </is>
      </c>
      <c r="D2496"/>
      <c r="E2496"/>
      <c r="F2496"/>
      <c r="G2496" t="inlineStr">
        <is>
          <t>headgroup annotation</t>
        </is>
      </c>
      <c r="H2496" t="inlineStr">
        <is>
          <t>S003_AVANTI_PHASE</t>
        </is>
      </c>
      <c r="I2496" t="inlineStr">
        <is>
          <t>curated</t>
        </is>
      </c>
      <c r="J2496">
        <v>0.85</v>
      </c>
      <c r="K2496"/>
    </row>
    <row r="2497">
      <c r="A2497" t="inlineStr">
        <is>
          <t>LIP_DOPS</t>
        </is>
      </c>
      <c r="B2497" t="inlineStr">
        <is>
          <t>charge_type</t>
        </is>
      </c>
      <c r="C2497" t="inlineStr">
        <is>
          <t>anionic</t>
        </is>
      </c>
      <c r="D2497"/>
      <c r="E2497"/>
      <c r="F2497"/>
      <c r="G2497" t="inlineStr">
        <is>
          <t>nominal at pH 7.4</t>
        </is>
      </c>
      <c r="H2497" t="inlineStr">
        <is>
          <t>S003_AVANTI_PHASE</t>
        </is>
      </c>
      <c r="I2497" t="inlineStr">
        <is>
          <t>curated</t>
        </is>
      </c>
      <c r="J2497">
        <v>0.85</v>
      </c>
      <c r="K2497"/>
    </row>
    <row r="2498">
      <c r="A2498" t="inlineStr">
        <is>
          <t>LIP_DOPS</t>
        </is>
      </c>
      <c r="B2498" t="inlineStr">
        <is>
          <t>formal_charge</t>
        </is>
      </c>
      <c r="C2498">
        <v>-1</v>
      </c>
      <c r="D2498" t="inlineStr">
        <is>
          <t>e</t>
        </is>
      </c>
      <c r="E2498"/>
      <c r="F2498"/>
      <c r="G2498" t="inlineStr">
        <is>
          <t>nominal at pH 7.4</t>
        </is>
      </c>
      <c r="H2498" t="inlineStr">
        <is>
          <t>S003_AVANTI_PHASE</t>
        </is>
      </c>
      <c r="I2498" t="inlineStr">
        <is>
          <t>curated</t>
        </is>
      </c>
      <c r="J2498">
        <v>0.85</v>
      </c>
      <c r="K2498"/>
    </row>
    <row r="2499">
      <c r="A2499" t="inlineStr">
        <is>
          <t>LIP_DOPS</t>
        </is>
      </c>
      <c r="B2499" t="inlineStr">
        <is>
          <t>tail_1_carbons</t>
        </is>
      </c>
      <c r="C2499">
        <v>18</v>
      </c>
      <c r="D2499" t="inlineStr">
        <is>
          <t>count</t>
        </is>
      </c>
      <c r="E2499"/>
      <c r="F2499"/>
      <c r="G2499" t="inlineStr">
        <is>
          <t>lipid shorthand annotation</t>
        </is>
      </c>
      <c r="H2499" t="inlineStr">
        <is>
          <t>S003_AVANTI_PHASE</t>
        </is>
      </c>
      <c r="I2499" t="inlineStr">
        <is>
          <t>curated</t>
        </is>
      </c>
      <c r="J2499">
        <v>0.86</v>
      </c>
      <c r="K2499"/>
    </row>
    <row r="2500">
      <c r="A2500" t="inlineStr">
        <is>
          <t>LIP_DOPS</t>
        </is>
      </c>
      <c r="B2500" t="inlineStr">
        <is>
          <t>tail_1_unsaturation</t>
        </is>
      </c>
      <c r="C2500">
        <v>1</v>
      </c>
      <c r="D2500" t="inlineStr">
        <is>
          <t>double_bonds</t>
        </is>
      </c>
      <c r="E2500"/>
      <c r="F2500"/>
      <c r="G2500" t="inlineStr">
        <is>
          <t>lipid shorthand annotation</t>
        </is>
      </c>
      <c r="H2500" t="inlineStr">
        <is>
          <t>S003_AVANTI_PHASE</t>
        </is>
      </c>
      <c r="I2500" t="inlineStr">
        <is>
          <t>curated</t>
        </is>
      </c>
      <c r="J2500">
        <v>0.86</v>
      </c>
      <c r="K2500"/>
    </row>
    <row r="2501">
      <c r="A2501" t="inlineStr">
        <is>
          <t>LIP_DOPS</t>
        </is>
      </c>
      <c r="B2501" t="inlineStr">
        <is>
          <t>tail_2_carbons</t>
        </is>
      </c>
      <c r="C2501">
        <v>18</v>
      </c>
      <c r="D2501" t="inlineStr">
        <is>
          <t>count</t>
        </is>
      </c>
      <c r="E2501"/>
      <c r="F2501"/>
      <c r="G2501" t="inlineStr">
        <is>
          <t>lipid shorthand annotation</t>
        </is>
      </c>
      <c r="H2501" t="inlineStr">
        <is>
          <t>S003_AVANTI_PHASE</t>
        </is>
      </c>
      <c r="I2501" t="inlineStr">
        <is>
          <t>curated</t>
        </is>
      </c>
      <c r="J2501">
        <v>0.86</v>
      </c>
      <c r="K2501"/>
    </row>
    <row r="2502">
      <c r="A2502" t="inlineStr">
        <is>
          <t>LIP_DOPS</t>
        </is>
      </c>
      <c r="B2502" t="inlineStr">
        <is>
          <t>tail_2_unsaturation</t>
        </is>
      </c>
      <c r="C2502">
        <v>1</v>
      </c>
      <c r="D2502" t="inlineStr">
        <is>
          <t>double_bonds</t>
        </is>
      </c>
      <c r="E2502"/>
      <c r="F2502"/>
      <c r="G2502" t="inlineStr">
        <is>
          <t>lipid shorthand annotation</t>
        </is>
      </c>
      <c r="H2502" t="inlineStr">
        <is>
          <t>S003_AVANTI_PHASE</t>
        </is>
      </c>
      <c r="I2502" t="inlineStr">
        <is>
          <t>curated</t>
        </is>
      </c>
      <c r="J2502">
        <v>0.86</v>
      </c>
      <c r="K2502"/>
    </row>
    <row r="2503">
      <c r="A2503" t="inlineStr">
        <is>
          <t>LIP_DOPS</t>
        </is>
      </c>
      <c r="B2503" t="inlineStr">
        <is>
          <t>number_of_tails</t>
        </is>
      </c>
      <c r="C2503">
        <v>2</v>
      </c>
      <c r="D2503" t="inlineStr">
        <is>
          <t>count</t>
        </is>
      </c>
      <c r="E2503"/>
      <c r="F2503"/>
      <c r="G2503" t="inlineStr">
        <is>
          <t>lipid shorthand annotation</t>
        </is>
      </c>
      <c r="H2503" t="inlineStr">
        <is>
          <t>S003_AVANTI_PHASE</t>
        </is>
      </c>
      <c r="I2503" t="inlineStr">
        <is>
          <t>curated</t>
        </is>
      </c>
      <c r="J2503">
        <v>0.86</v>
      </c>
      <c r="K2503"/>
    </row>
    <row r="2504">
      <c r="A2504" t="inlineStr">
        <is>
          <t>LIP_DOPS</t>
        </is>
      </c>
      <c r="B2504" t="inlineStr">
        <is>
          <t>critical_packing_notes</t>
        </is>
      </c>
      <c r="C2504" t="inlineStr">
        <is>
          <t>bilayer-forming cylindrical lipid</t>
        </is>
      </c>
      <c r="D2504"/>
      <c r="E2504"/>
      <c r="F2504"/>
      <c r="G2504" t="inlineStr">
        <is>
          <t>CPP heuristic</t>
        </is>
      </c>
      <c r="H2504" t="inlineStr">
        <is>
          <t>S014_AULTON</t>
        </is>
      </c>
      <c r="I2504" t="inlineStr">
        <is>
          <t>curated</t>
        </is>
      </c>
      <c r="J2504">
        <v>0.65</v>
      </c>
      <c r="K2504"/>
    </row>
    <row r="2505">
      <c r="A2505" t="inlineStr">
        <is>
          <t>LIP_DOPS</t>
        </is>
      </c>
      <c r="B2505" t="inlineStr">
        <is>
          <t>membrane_rigidity_contribution</t>
        </is>
      </c>
      <c r="C2505" t="inlineStr">
        <is>
          <t>fluidizing</t>
        </is>
      </c>
      <c r="D2505"/>
      <c r="E2505"/>
      <c r="F2505"/>
      <c r="G2505" t="inlineStr">
        <is>
          <t>Tm and unsaturation heuristic</t>
        </is>
      </c>
      <c r="H2505" t="inlineStr">
        <is>
          <t>S003_AVANTI_PHASE</t>
        </is>
      </c>
      <c r="I2505" t="inlineStr">
        <is>
          <t>curated</t>
        </is>
      </c>
      <c r="J2505">
        <v>0.65</v>
      </c>
      <c r="K2505"/>
    </row>
    <row r="2506">
      <c r="A2506" t="inlineStr">
        <is>
          <t>LIP_DOPS</t>
        </is>
      </c>
      <c r="B2506" t="inlineStr">
        <is>
          <t>fusogenic_flag</t>
        </is>
      </c>
      <c r="C2506" t="inlineStr">
        <is>
          <t>no</t>
        </is>
      </c>
      <c r="D2506"/>
      <c r="E2506"/>
      <c r="F2506"/>
      <c r="G2506" t="inlineStr">
        <is>
          <t>role annotation</t>
        </is>
      </c>
      <c r="H2506" t="inlineStr">
        <is>
          <t>S014_AULTON</t>
        </is>
      </c>
      <c r="I2506" t="inlineStr">
        <is>
          <t>curated</t>
        </is>
      </c>
      <c r="J2506">
        <v>0.7</v>
      </c>
      <c r="K2506"/>
    </row>
    <row r="2507">
      <c r="A2507" t="inlineStr">
        <is>
          <t>LIP_DOPS</t>
        </is>
      </c>
      <c r="B2507" t="inlineStr">
        <is>
          <t>PEGylated_flag</t>
        </is>
      </c>
      <c r="C2507" t="inlineStr">
        <is>
          <t>no</t>
        </is>
      </c>
      <c r="D2507"/>
      <c r="E2507"/>
      <c r="F2507"/>
      <c r="G2507" t="inlineStr">
        <is>
          <t>role annotation</t>
        </is>
      </c>
      <c r="H2507" t="inlineStr">
        <is>
          <t>S014_AULTON</t>
        </is>
      </c>
      <c r="I2507" t="inlineStr">
        <is>
          <t>curated</t>
        </is>
      </c>
      <c r="J2507">
        <v>0.85</v>
      </c>
      <c r="K2507"/>
    </row>
    <row r="2508">
      <c r="A2508" t="inlineStr">
        <is>
          <t>LIP_DOPS</t>
        </is>
      </c>
      <c r="B2508" t="inlineStr">
        <is>
          <t>ionizable_flag</t>
        </is>
      </c>
      <c r="C2508" t="inlineStr">
        <is>
          <t>no</t>
        </is>
      </c>
      <c r="D2508"/>
      <c r="E2508"/>
      <c r="F2508"/>
      <c r="G2508" t="inlineStr">
        <is>
          <t>role annotation</t>
        </is>
      </c>
      <c r="H2508" t="inlineStr">
        <is>
          <t>S014_AULTON</t>
        </is>
      </c>
      <c r="I2508" t="inlineStr">
        <is>
          <t>curated</t>
        </is>
      </c>
      <c r="J2508">
        <v>0.85</v>
      </c>
      <c r="K2508"/>
    </row>
    <row r="2509">
      <c r="A2509" t="inlineStr">
        <is>
          <t>LIP_DOPS</t>
        </is>
      </c>
      <c r="B2509" t="inlineStr">
        <is>
          <t>route_suitability</t>
        </is>
      </c>
      <c r="C2509" t="inlineStr">
        <is>
          <t>liposome/LNP; route depends on purity, grade, residual solvents/endotoxin</t>
        </is>
      </c>
      <c r="D2509"/>
      <c r="E2509"/>
      <c r="F2509"/>
      <c r="G2509" t="inlineStr">
        <is>
          <t>route precedent caution</t>
        </is>
      </c>
      <c r="H2509" t="inlineStr">
        <is>
          <t>S008_FDA_IID</t>
        </is>
      </c>
      <c r="I2509" t="inlineStr">
        <is>
          <t>curated</t>
        </is>
      </c>
      <c r="J2509">
        <v>0.55</v>
      </c>
      <c r="K2509"/>
    </row>
    <row r="2510">
      <c r="A2510" t="inlineStr">
        <is>
          <t>LIP_DOPS</t>
        </is>
      </c>
      <c r="B2510" t="inlineStr">
        <is>
          <t>storage_notes</t>
        </is>
      </c>
      <c r="C2510" t="inlineStr">
        <is>
          <t>store cold, dry, inert gas; protect unsaturated/ionizable lipids from oxidation/hydrolysis</t>
        </is>
      </c>
      <c r="D2510"/>
      <c r="E2510"/>
      <c r="F2510"/>
      <c r="G2510" t="inlineStr">
        <is>
          <t>supplier stability convention</t>
        </is>
      </c>
      <c r="H2510" t="inlineStr">
        <is>
          <t>S003_AVANTI_PHASE</t>
        </is>
      </c>
      <c r="I2510" t="inlineStr">
        <is>
          <t>curated</t>
        </is>
      </c>
      <c r="J2510">
        <v>0.7</v>
      </c>
      <c r="K2510"/>
    </row>
    <row r="2511">
      <c r="A2511" t="inlineStr">
        <is>
          <t>LIP_DOPS</t>
        </is>
      </c>
      <c r="B2511" t="inlineStr">
        <is>
          <t>phase_transition_temperature_C</t>
        </is>
      </c>
      <c r="C2511">
        <v>-11</v>
      </c>
      <c r="D2511" t="inlineStr">
        <is>
          <t>°C</t>
        </is>
      </c>
      <c r="E2511"/>
      <c r="F2511"/>
      <c r="G2511" t="inlineStr">
        <is>
          <t>main transition temperature, DSC/lipid supplier data</t>
        </is>
      </c>
      <c r="H2511" t="inlineStr">
        <is>
          <t>S003_AVANTI_PHASE</t>
        </is>
      </c>
      <c r="I2511" t="inlineStr">
        <is>
          <t>supplier-reported</t>
        </is>
      </c>
      <c r="J2511">
        <v>0.78</v>
      </c>
      <c r="K2511"/>
    </row>
    <row r="2512">
      <c r="A2512" t="inlineStr">
        <is>
          <t>LIP_DOPS</t>
        </is>
      </c>
      <c r="B2512" t="inlineStr">
        <is>
          <t>Hansen_delta_D</t>
        </is>
      </c>
      <c r="C2512">
        <v>17.5</v>
      </c>
      <c r="D2512" t="inlineStr">
        <is>
          <t>MPa^0.5</t>
        </is>
      </c>
      <c r="E2512"/>
      <c r="F2512"/>
      <c r="G2512" t="inlineStr">
        <is>
          <t>heuristic group-contribution/nearest-neighbour</t>
        </is>
      </c>
      <c r="H2512" t="inlineStr">
        <is>
          <t>S013_EST_HSP_HEURISTIC</t>
        </is>
      </c>
      <c r="I2512" t="inlineStr">
        <is>
          <t>estimated</t>
        </is>
      </c>
      <c r="J2512">
        <v>0.38</v>
      </c>
      <c r="K2512" t="inlineStr">
        <is>
          <t>Provisional HSP for screening; replace with experimental/literature value before model lock.</t>
        </is>
      </c>
    </row>
    <row r="2513">
      <c r="A2513" t="inlineStr">
        <is>
          <t>LIP_DOPS</t>
        </is>
      </c>
      <c r="B2513" t="inlineStr">
        <is>
          <t>Hansen_delta_P</t>
        </is>
      </c>
      <c r="C2513">
        <v>7.5</v>
      </c>
      <c r="D2513" t="inlineStr">
        <is>
          <t>MPa^0.5</t>
        </is>
      </c>
      <c r="E2513"/>
      <c r="F2513"/>
      <c r="G2513" t="inlineStr">
        <is>
          <t>heuristic group-contribution/nearest-neighbour</t>
        </is>
      </c>
      <c r="H2513" t="inlineStr">
        <is>
          <t>S013_EST_HSP_HEURISTIC</t>
        </is>
      </c>
      <c r="I2513" t="inlineStr">
        <is>
          <t>estimated</t>
        </is>
      </c>
      <c r="J2513">
        <v>0.38</v>
      </c>
      <c r="K2513" t="inlineStr">
        <is>
          <t>Provisional HSP for screening; replace with experimental/literature value before model lock.</t>
        </is>
      </c>
    </row>
    <row r="2514">
      <c r="A2514" t="inlineStr">
        <is>
          <t>LIP_DOPS</t>
        </is>
      </c>
      <c r="B2514" t="inlineStr">
        <is>
          <t>Hansen_delta_H</t>
        </is>
      </c>
      <c r="C2514">
        <v>10.0</v>
      </c>
      <c r="D2514" t="inlineStr">
        <is>
          <t>MPa^0.5</t>
        </is>
      </c>
      <c r="E2514"/>
      <c r="F2514"/>
      <c r="G2514" t="inlineStr">
        <is>
          <t>heuristic group-contribution/nearest-neighbour</t>
        </is>
      </c>
      <c r="H2514" t="inlineStr">
        <is>
          <t>S013_EST_HSP_HEURISTIC</t>
        </is>
      </c>
      <c r="I2514" t="inlineStr">
        <is>
          <t>estimated</t>
        </is>
      </c>
      <c r="J2514">
        <v>0.38</v>
      </c>
      <c r="K2514" t="inlineStr">
        <is>
          <t>Provisional HSP for screening; replace with experimental/literature value before model lock.</t>
        </is>
      </c>
    </row>
    <row r="2515">
      <c r="A2515" t="inlineStr">
        <is>
          <t>LIP_DOPS</t>
        </is>
      </c>
      <c r="B2515" t="inlineStr">
        <is>
          <t>Hildebrand_delta_T</t>
        </is>
      </c>
      <c r="C2515">
        <v>21.51</v>
      </c>
      <c r="D2515" t="inlineStr">
        <is>
          <t>MPa^0.5</t>
        </is>
      </c>
      <c r="E2515"/>
      <c r="F2515"/>
      <c r="G2515" t="inlineStr">
        <is>
          <t>sqrt(deltaD^2+deltaP^2+deltaH^2)</t>
        </is>
      </c>
      <c r="H2515" t="inlineStr">
        <is>
          <t>S012_CALCULATED</t>
        </is>
      </c>
      <c r="I2515" t="inlineStr">
        <is>
          <t>calculated</t>
        </is>
      </c>
      <c r="J2515">
        <v>0.43</v>
      </c>
      <c r="K2515" t="inlineStr">
        <is>
          <t>Derived from stored Hansen components.</t>
        </is>
      </c>
    </row>
    <row r="2516">
      <c r="A2516" t="inlineStr">
        <is>
          <t>LIP_DOPS</t>
        </is>
      </c>
      <c r="B2516" t="inlineStr">
        <is>
          <t>HSP_radius_R0</t>
        </is>
      </c>
      <c r="C2516">
        <v>8.0</v>
      </c>
      <c r="D2516" t="inlineStr">
        <is>
          <t>MPa^0.5</t>
        </is>
      </c>
      <c r="E2516"/>
      <c r="F2516"/>
      <c r="G2516" t="inlineStr">
        <is>
          <t>literature/heuristic solubility sphere</t>
        </is>
      </c>
      <c r="H2516" t="inlineStr">
        <is>
          <t>S013_EST_HSP_HEURISTIC</t>
        </is>
      </c>
      <c r="I2516" t="inlineStr">
        <is>
          <t>estimated</t>
        </is>
      </c>
      <c r="J2516">
        <v>0.38</v>
      </c>
      <c r="K2516" t="inlineStr">
        <is>
          <t>Screening radius only unless experimentally determined.</t>
        </is>
      </c>
    </row>
    <row r="2517">
      <c r="A2517" t="inlineStr">
        <is>
          <t>LIP_DOPS</t>
        </is>
      </c>
      <c r="B2517" t="inlineStr">
        <is>
          <t>molar_volume_cm3_mol</t>
        </is>
      </c>
      <c r="C2517">
        <v>810.0</v>
      </c>
      <c r="D2517" t="inlineStr">
        <is>
          <t>cm3/mol</t>
        </is>
      </c>
      <c r="E2517"/>
      <c r="F2517"/>
      <c r="G2517" t="inlineStr">
        <is>
          <t>MW/density estimate</t>
        </is>
      </c>
      <c r="H2517" t="inlineStr">
        <is>
          <t>S012_CALCULATED</t>
        </is>
      </c>
      <c r="I2517" t="inlineStr">
        <is>
          <t>estimated</t>
        </is>
      </c>
      <c r="J2517">
        <v>0.42</v>
      </c>
      <c r="K2517" t="inlineStr">
        <is>
          <t>Estimated from MW/density; replace with measured molar volume or density-specific grade data.</t>
        </is>
      </c>
    </row>
    <row r="2518">
      <c r="A2518" t="inlineStr">
        <is>
          <t>LIP_DOPS</t>
        </is>
      </c>
      <c r="B2518" t="inlineStr">
        <is>
          <t>headgroup_area_nm2</t>
        </is>
      </c>
      <c r="C2518">
        <v>0.62</v>
      </c>
      <c r="D2518" t="inlineStr">
        <is>
          <t>nm2</t>
        </is>
      </c>
      <c r="E2518"/>
      <c r="F2518"/>
      <c r="G2518" t="inlineStr">
        <is>
          <t>literature/MD heuristic</t>
        </is>
      </c>
      <c r="H2518" t="inlineStr">
        <is>
          <t>S013_EST_HSP_HEURISTIC</t>
        </is>
      </c>
      <c r="I2518" t="inlineStr">
        <is>
          <t>estimated</t>
        </is>
      </c>
      <c r="J2518">
        <v>0.35</v>
      </c>
      <c r="K2518" t="inlineStr">
        <is>
          <t>Area per lipid varies with phase, temperature, cholesterol, hydration, and force field.</t>
        </is>
      </c>
    </row>
    <row r="2519">
      <c r="A2519" t="inlineStr">
        <is>
          <t>LIP_DPPS</t>
        </is>
      </c>
      <c r="B2519" t="inlineStr">
        <is>
          <t>molecular_weight_g_mol</t>
        </is>
      </c>
      <c r="C2519">
        <v>757.0</v>
      </c>
      <c r="D2519" t="inlineStr">
        <is>
          <t>g/mol</t>
        </is>
      </c>
      <c r="E2519"/>
      <c r="F2519"/>
      <c r="G2519" t="inlineStr">
        <is>
          <t>LIPID MAPS/supplier formula or average grade MW</t>
        </is>
      </c>
      <c r="H2519" t="inlineStr">
        <is>
          <t>S004_LIPIDMAPS</t>
        </is>
      </c>
      <c r="I2519" t="inlineStr">
        <is>
          <t>database-derived</t>
        </is>
      </c>
      <c r="J2519">
        <v>0.78</v>
      </c>
      <c r="K2519"/>
    </row>
    <row r="2520">
      <c r="A2520" t="inlineStr">
        <is>
          <t>LIP_DPPS</t>
        </is>
      </c>
      <c r="B2520" t="inlineStr">
        <is>
          <t>lipid_class</t>
        </is>
      </c>
      <c r="C2520" t="inlineStr">
        <is>
          <t>PS</t>
        </is>
      </c>
      <c r="D2520"/>
      <c r="E2520"/>
      <c r="F2520"/>
      <c r="G2520" t="inlineStr">
        <is>
          <t>lipid class annotation</t>
        </is>
      </c>
      <c r="H2520" t="inlineStr">
        <is>
          <t>S003_AVANTI_PHASE</t>
        </is>
      </c>
      <c r="I2520" t="inlineStr">
        <is>
          <t>curated</t>
        </is>
      </c>
      <c r="J2520">
        <v>0.85</v>
      </c>
      <c r="K2520"/>
    </row>
    <row r="2521">
      <c r="A2521" t="inlineStr">
        <is>
          <t>LIP_DPPS</t>
        </is>
      </c>
      <c r="B2521" t="inlineStr">
        <is>
          <t>headgroup_type</t>
        </is>
      </c>
      <c r="C2521" t="inlineStr">
        <is>
          <t>PS</t>
        </is>
      </c>
      <c r="D2521"/>
      <c r="E2521"/>
      <c r="F2521"/>
      <c r="G2521" t="inlineStr">
        <is>
          <t>headgroup annotation</t>
        </is>
      </c>
      <c r="H2521" t="inlineStr">
        <is>
          <t>S003_AVANTI_PHASE</t>
        </is>
      </c>
      <c r="I2521" t="inlineStr">
        <is>
          <t>curated</t>
        </is>
      </c>
      <c r="J2521">
        <v>0.85</v>
      </c>
      <c r="K2521"/>
    </row>
    <row r="2522">
      <c r="A2522" t="inlineStr">
        <is>
          <t>LIP_DPPS</t>
        </is>
      </c>
      <c r="B2522" t="inlineStr">
        <is>
          <t>charge_type</t>
        </is>
      </c>
      <c r="C2522" t="inlineStr">
        <is>
          <t>anionic</t>
        </is>
      </c>
      <c r="D2522"/>
      <c r="E2522"/>
      <c r="F2522"/>
      <c r="G2522" t="inlineStr">
        <is>
          <t>nominal at pH 7.4</t>
        </is>
      </c>
      <c r="H2522" t="inlineStr">
        <is>
          <t>S003_AVANTI_PHASE</t>
        </is>
      </c>
      <c r="I2522" t="inlineStr">
        <is>
          <t>curated</t>
        </is>
      </c>
      <c r="J2522">
        <v>0.85</v>
      </c>
      <c r="K2522"/>
    </row>
    <row r="2523">
      <c r="A2523" t="inlineStr">
        <is>
          <t>LIP_DPPS</t>
        </is>
      </c>
      <c r="B2523" t="inlineStr">
        <is>
          <t>formal_charge</t>
        </is>
      </c>
      <c r="C2523">
        <v>-1</v>
      </c>
      <c r="D2523" t="inlineStr">
        <is>
          <t>e</t>
        </is>
      </c>
      <c r="E2523"/>
      <c r="F2523"/>
      <c r="G2523" t="inlineStr">
        <is>
          <t>nominal at pH 7.4</t>
        </is>
      </c>
      <c r="H2523" t="inlineStr">
        <is>
          <t>S003_AVANTI_PHASE</t>
        </is>
      </c>
      <c r="I2523" t="inlineStr">
        <is>
          <t>curated</t>
        </is>
      </c>
      <c r="J2523">
        <v>0.85</v>
      </c>
      <c r="K2523"/>
    </row>
    <row r="2524">
      <c r="A2524" t="inlineStr">
        <is>
          <t>LIP_DPPS</t>
        </is>
      </c>
      <c r="B2524" t="inlineStr">
        <is>
          <t>tail_1_carbons</t>
        </is>
      </c>
      <c r="C2524">
        <v>16</v>
      </c>
      <c r="D2524" t="inlineStr">
        <is>
          <t>count</t>
        </is>
      </c>
      <c r="E2524"/>
      <c r="F2524"/>
      <c r="G2524" t="inlineStr">
        <is>
          <t>lipid shorthand annotation</t>
        </is>
      </c>
      <c r="H2524" t="inlineStr">
        <is>
          <t>S003_AVANTI_PHASE</t>
        </is>
      </c>
      <c r="I2524" t="inlineStr">
        <is>
          <t>curated</t>
        </is>
      </c>
      <c r="J2524">
        <v>0.86</v>
      </c>
      <c r="K2524"/>
    </row>
    <row r="2525">
      <c r="A2525" t="inlineStr">
        <is>
          <t>LIP_DPPS</t>
        </is>
      </c>
      <c r="B2525" t="inlineStr">
        <is>
          <t>tail_1_unsaturation</t>
        </is>
      </c>
      <c r="C2525">
        <v>0</v>
      </c>
      <c r="D2525" t="inlineStr">
        <is>
          <t>double_bonds</t>
        </is>
      </c>
      <c r="E2525"/>
      <c r="F2525"/>
      <c r="G2525" t="inlineStr">
        <is>
          <t>lipid shorthand annotation</t>
        </is>
      </c>
      <c r="H2525" t="inlineStr">
        <is>
          <t>S003_AVANTI_PHASE</t>
        </is>
      </c>
      <c r="I2525" t="inlineStr">
        <is>
          <t>curated</t>
        </is>
      </c>
      <c r="J2525">
        <v>0.86</v>
      </c>
      <c r="K2525"/>
    </row>
    <row r="2526">
      <c r="A2526" t="inlineStr">
        <is>
          <t>LIP_DPPS</t>
        </is>
      </c>
      <c r="B2526" t="inlineStr">
        <is>
          <t>tail_2_carbons</t>
        </is>
      </c>
      <c r="C2526">
        <v>16</v>
      </c>
      <c r="D2526" t="inlineStr">
        <is>
          <t>count</t>
        </is>
      </c>
      <c r="E2526"/>
      <c r="F2526"/>
      <c r="G2526" t="inlineStr">
        <is>
          <t>lipid shorthand annotation</t>
        </is>
      </c>
      <c r="H2526" t="inlineStr">
        <is>
          <t>S003_AVANTI_PHASE</t>
        </is>
      </c>
      <c r="I2526" t="inlineStr">
        <is>
          <t>curated</t>
        </is>
      </c>
      <c r="J2526">
        <v>0.86</v>
      </c>
      <c r="K2526"/>
    </row>
    <row r="2527">
      <c r="A2527" t="inlineStr">
        <is>
          <t>LIP_DPPS</t>
        </is>
      </c>
      <c r="B2527" t="inlineStr">
        <is>
          <t>tail_2_unsaturation</t>
        </is>
      </c>
      <c r="C2527">
        <v>0</v>
      </c>
      <c r="D2527" t="inlineStr">
        <is>
          <t>double_bonds</t>
        </is>
      </c>
      <c r="E2527"/>
      <c r="F2527"/>
      <c r="G2527" t="inlineStr">
        <is>
          <t>lipid shorthand annotation</t>
        </is>
      </c>
      <c r="H2527" t="inlineStr">
        <is>
          <t>S003_AVANTI_PHASE</t>
        </is>
      </c>
      <c r="I2527" t="inlineStr">
        <is>
          <t>curated</t>
        </is>
      </c>
      <c r="J2527">
        <v>0.86</v>
      </c>
      <c r="K2527"/>
    </row>
    <row r="2528">
      <c r="A2528" t="inlineStr">
        <is>
          <t>LIP_DPPS</t>
        </is>
      </c>
      <c r="B2528" t="inlineStr">
        <is>
          <t>number_of_tails</t>
        </is>
      </c>
      <c r="C2528">
        <v>2</v>
      </c>
      <c r="D2528" t="inlineStr">
        <is>
          <t>count</t>
        </is>
      </c>
      <c r="E2528"/>
      <c r="F2528"/>
      <c r="G2528" t="inlineStr">
        <is>
          <t>lipid shorthand annotation</t>
        </is>
      </c>
      <c r="H2528" t="inlineStr">
        <is>
          <t>S003_AVANTI_PHASE</t>
        </is>
      </c>
      <c r="I2528" t="inlineStr">
        <is>
          <t>curated</t>
        </is>
      </c>
      <c r="J2528">
        <v>0.86</v>
      </c>
      <c r="K2528"/>
    </row>
    <row r="2529">
      <c r="A2529" t="inlineStr">
        <is>
          <t>LIP_DPPS</t>
        </is>
      </c>
      <c r="B2529" t="inlineStr">
        <is>
          <t>critical_packing_notes</t>
        </is>
      </c>
      <c r="C2529" t="inlineStr">
        <is>
          <t>bilayer-forming cylindrical lipid</t>
        </is>
      </c>
      <c r="D2529"/>
      <c r="E2529"/>
      <c r="F2529"/>
      <c r="G2529" t="inlineStr">
        <is>
          <t>CPP heuristic</t>
        </is>
      </c>
      <c r="H2529" t="inlineStr">
        <is>
          <t>S014_AULTON</t>
        </is>
      </c>
      <c r="I2529" t="inlineStr">
        <is>
          <t>curated</t>
        </is>
      </c>
      <c r="J2529">
        <v>0.65</v>
      </c>
      <c r="K2529"/>
    </row>
    <row r="2530">
      <c r="A2530" t="inlineStr">
        <is>
          <t>LIP_DPPS</t>
        </is>
      </c>
      <c r="B2530" t="inlineStr">
        <is>
          <t>membrane_rigidity_contribution</t>
        </is>
      </c>
      <c r="C2530" t="inlineStr">
        <is>
          <t>high</t>
        </is>
      </c>
      <c r="D2530"/>
      <c r="E2530"/>
      <c r="F2530"/>
      <c r="G2530" t="inlineStr">
        <is>
          <t>Tm and unsaturation heuristic</t>
        </is>
      </c>
      <c r="H2530" t="inlineStr">
        <is>
          <t>S003_AVANTI_PHASE</t>
        </is>
      </c>
      <c r="I2530" t="inlineStr">
        <is>
          <t>curated</t>
        </is>
      </c>
      <c r="J2530">
        <v>0.65</v>
      </c>
      <c r="K2530"/>
    </row>
    <row r="2531">
      <c r="A2531" t="inlineStr">
        <is>
          <t>LIP_DPPS</t>
        </is>
      </c>
      <c r="B2531" t="inlineStr">
        <is>
          <t>fusogenic_flag</t>
        </is>
      </c>
      <c r="C2531" t="inlineStr">
        <is>
          <t>no</t>
        </is>
      </c>
      <c r="D2531"/>
      <c r="E2531"/>
      <c r="F2531"/>
      <c r="G2531" t="inlineStr">
        <is>
          <t>role annotation</t>
        </is>
      </c>
      <c r="H2531" t="inlineStr">
        <is>
          <t>S014_AULTON</t>
        </is>
      </c>
      <c r="I2531" t="inlineStr">
        <is>
          <t>curated</t>
        </is>
      </c>
      <c r="J2531">
        <v>0.7</v>
      </c>
      <c r="K2531"/>
    </row>
    <row r="2532">
      <c r="A2532" t="inlineStr">
        <is>
          <t>LIP_DPPS</t>
        </is>
      </c>
      <c r="B2532" t="inlineStr">
        <is>
          <t>PEGylated_flag</t>
        </is>
      </c>
      <c r="C2532" t="inlineStr">
        <is>
          <t>no</t>
        </is>
      </c>
      <c r="D2532"/>
      <c r="E2532"/>
      <c r="F2532"/>
      <c r="G2532" t="inlineStr">
        <is>
          <t>role annotation</t>
        </is>
      </c>
      <c r="H2532" t="inlineStr">
        <is>
          <t>S014_AULTON</t>
        </is>
      </c>
      <c r="I2532" t="inlineStr">
        <is>
          <t>curated</t>
        </is>
      </c>
      <c r="J2532">
        <v>0.85</v>
      </c>
      <c r="K2532"/>
    </row>
    <row r="2533">
      <c r="A2533" t="inlineStr">
        <is>
          <t>LIP_DPPS</t>
        </is>
      </c>
      <c r="B2533" t="inlineStr">
        <is>
          <t>ionizable_flag</t>
        </is>
      </c>
      <c r="C2533" t="inlineStr">
        <is>
          <t>no</t>
        </is>
      </c>
      <c r="D2533"/>
      <c r="E2533"/>
      <c r="F2533"/>
      <c r="G2533" t="inlineStr">
        <is>
          <t>role annotation</t>
        </is>
      </c>
      <c r="H2533" t="inlineStr">
        <is>
          <t>S014_AULTON</t>
        </is>
      </c>
      <c r="I2533" t="inlineStr">
        <is>
          <t>curated</t>
        </is>
      </c>
      <c r="J2533">
        <v>0.85</v>
      </c>
      <c r="K2533"/>
    </row>
    <row r="2534">
      <c r="A2534" t="inlineStr">
        <is>
          <t>LIP_DPPS</t>
        </is>
      </c>
      <c r="B2534" t="inlineStr">
        <is>
          <t>route_suitability</t>
        </is>
      </c>
      <c r="C2534" t="inlineStr">
        <is>
          <t>liposome/LNP; route depends on purity, grade, residual solvents/endotoxin</t>
        </is>
      </c>
      <c r="D2534"/>
      <c r="E2534"/>
      <c r="F2534"/>
      <c r="G2534" t="inlineStr">
        <is>
          <t>route precedent caution</t>
        </is>
      </c>
      <c r="H2534" t="inlineStr">
        <is>
          <t>S008_FDA_IID</t>
        </is>
      </c>
      <c r="I2534" t="inlineStr">
        <is>
          <t>curated</t>
        </is>
      </c>
      <c r="J2534">
        <v>0.55</v>
      </c>
      <c r="K2534"/>
    </row>
    <row r="2535">
      <c r="A2535" t="inlineStr">
        <is>
          <t>LIP_DPPS</t>
        </is>
      </c>
      <c r="B2535" t="inlineStr">
        <is>
          <t>storage_notes</t>
        </is>
      </c>
      <c r="C2535" t="inlineStr">
        <is>
          <t>store cold, dry, inert gas; protect unsaturated/ionizable lipids from oxidation/hydrolysis</t>
        </is>
      </c>
      <c r="D2535"/>
      <c r="E2535"/>
      <c r="F2535"/>
      <c r="G2535" t="inlineStr">
        <is>
          <t>supplier stability convention</t>
        </is>
      </c>
      <c r="H2535" t="inlineStr">
        <is>
          <t>S003_AVANTI_PHASE</t>
        </is>
      </c>
      <c r="I2535" t="inlineStr">
        <is>
          <t>curated</t>
        </is>
      </c>
      <c r="J2535">
        <v>0.7</v>
      </c>
      <c r="K2535"/>
    </row>
    <row r="2536">
      <c r="A2536" t="inlineStr">
        <is>
          <t>LIP_DPPS</t>
        </is>
      </c>
      <c r="B2536" t="inlineStr">
        <is>
          <t>phase_transition_temperature_C</t>
        </is>
      </c>
      <c r="C2536">
        <v>54</v>
      </c>
      <c r="D2536" t="inlineStr">
        <is>
          <t>°C</t>
        </is>
      </c>
      <c r="E2536"/>
      <c r="F2536"/>
      <c r="G2536" t="inlineStr">
        <is>
          <t>main transition temperature, DSC/lipid supplier data</t>
        </is>
      </c>
      <c r="H2536" t="inlineStr">
        <is>
          <t>S003_AVANTI_PHASE</t>
        </is>
      </c>
      <c r="I2536" t="inlineStr">
        <is>
          <t>supplier-reported</t>
        </is>
      </c>
      <c r="J2536">
        <v>0.78</v>
      </c>
      <c r="K2536"/>
    </row>
    <row r="2537">
      <c r="A2537" t="inlineStr">
        <is>
          <t>LIP_DPPS</t>
        </is>
      </c>
      <c r="B2537" t="inlineStr">
        <is>
          <t>Hansen_delta_D</t>
        </is>
      </c>
      <c r="C2537">
        <v>17.5</v>
      </c>
      <c r="D2537" t="inlineStr">
        <is>
          <t>MPa^0.5</t>
        </is>
      </c>
      <c r="E2537"/>
      <c r="F2537"/>
      <c r="G2537" t="inlineStr">
        <is>
          <t>heuristic group-contribution/nearest-neighbour</t>
        </is>
      </c>
      <c r="H2537" t="inlineStr">
        <is>
          <t>S013_EST_HSP_HEURISTIC</t>
        </is>
      </c>
      <c r="I2537" t="inlineStr">
        <is>
          <t>estimated</t>
        </is>
      </c>
      <c r="J2537">
        <v>0.38</v>
      </c>
      <c r="K2537" t="inlineStr">
        <is>
          <t>Provisional HSP for screening; replace with experimental/literature value before model lock.</t>
        </is>
      </c>
    </row>
    <row r="2538">
      <c r="A2538" t="inlineStr">
        <is>
          <t>LIP_DPPS</t>
        </is>
      </c>
      <c r="B2538" t="inlineStr">
        <is>
          <t>Hansen_delta_P</t>
        </is>
      </c>
      <c r="C2538">
        <v>7.5</v>
      </c>
      <c r="D2538" t="inlineStr">
        <is>
          <t>MPa^0.5</t>
        </is>
      </c>
      <c r="E2538"/>
      <c r="F2538"/>
      <c r="G2538" t="inlineStr">
        <is>
          <t>heuristic group-contribution/nearest-neighbour</t>
        </is>
      </c>
      <c r="H2538" t="inlineStr">
        <is>
          <t>S013_EST_HSP_HEURISTIC</t>
        </is>
      </c>
      <c r="I2538" t="inlineStr">
        <is>
          <t>estimated</t>
        </is>
      </c>
      <c r="J2538">
        <v>0.38</v>
      </c>
      <c r="K2538" t="inlineStr">
        <is>
          <t>Provisional HSP for screening; replace with experimental/literature value before model lock.</t>
        </is>
      </c>
    </row>
    <row r="2539">
      <c r="A2539" t="inlineStr">
        <is>
          <t>LIP_DPPS</t>
        </is>
      </c>
      <c r="B2539" t="inlineStr">
        <is>
          <t>Hansen_delta_H</t>
        </is>
      </c>
      <c r="C2539">
        <v>10.0</v>
      </c>
      <c r="D2539" t="inlineStr">
        <is>
          <t>MPa^0.5</t>
        </is>
      </c>
      <c r="E2539"/>
      <c r="F2539"/>
      <c r="G2539" t="inlineStr">
        <is>
          <t>heuristic group-contribution/nearest-neighbour</t>
        </is>
      </c>
      <c r="H2539" t="inlineStr">
        <is>
          <t>S013_EST_HSP_HEURISTIC</t>
        </is>
      </c>
      <c r="I2539" t="inlineStr">
        <is>
          <t>estimated</t>
        </is>
      </c>
      <c r="J2539">
        <v>0.38</v>
      </c>
      <c r="K2539" t="inlineStr">
        <is>
          <t>Provisional HSP for screening; replace with experimental/literature value before model lock.</t>
        </is>
      </c>
    </row>
    <row r="2540">
      <c r="A2540" t="inlineStr">
        <is>
          <t>LIP_DPPS</t>
        </is>
      </c>
      <c r="B2540" t="inlineStr">
        <is>
          <t>Hildebrand_delta_T</t>
        </is>
      </c>
      <c r="C2540">
        <v>21.51</v>
      </c>
      <c r="D2540" t="inlineStr">
        <is>
          <t>MPa^0.5</t>
        </is>
      </c>
      <c r="E2540"/>
      <c r="F2540"/>
      <c r="G2540" t="inlineStr">
        <is>
          <t>sqrt(deltaD^2+deltaP^2+deltaH^2)</t>
        </is>
      </c>
      <c r="H2540" t="inlineStr">
        <is>
          <t>S012_CALCULATED</t>
        </is>
      </c>
      <c r="I2540" t="inlineStr">
        <is>
          <t>calculated</t>
        </is>
      </c>
      <c r="J2540">
        <v>0.43</v>
      </c>
      <c r="K2540" t="inlineStr">
        <is>
          <t>Derived from stored Hansen components.</t>
        </is>
      </c>
    </row>
    <row r="2541">
      <c r="A2541" t="inlineStr">
        <is>
          <t>LIP_DPPS</t>
        </is>
      </c>
      <c r="B2541" t="inlineStr">
        <is>
          <t>HSP_radius_R0</t>
        </is>
      </c>
      <c r="C2541">
        <v>8.0</v>
      </c>
      <c r="D2541" t="inlineStr">
        <is>
          <t>MPa^0.5</t>
        </is>
      </c>
      <c r="E2541"/>
      <c r="F2541"/>
      <c r="G2541" t="inlineStr">
        <is>
          <t>literature/heuristic solubility sphere</t>
        </is>
      </c>
      <c r="H2541" t="inlineStr">
        <is>
          <t>S013_EST_HSP_HEURISTIC</t>
        </is>
      </c>
      <c r="I2541" t="inlineStr">
        <is>
          <t>estimated</t>
        </is>
      </c>
      <c r="J2541">
        <v>0.38</v>
      </c>
      <c r="K2541" t="inlineStr">
        <is>
          <t>Screening radius only unless experimentally determined.</t>
        </is>
      </c>
    </row>
    <row r="2542">
      <c r="A2542" t="inlineStr">
        <is>
          <t>LIP_DPPS</t>
        </is>
      </c>
      <c r="B2542" t="inlineStr">
        <is>
          <t>molar_volume_cm3_mol</t>
        </is>
      </c>
      <c r="C2542">
        <v>757.0</v>
      </c>
      <c r="D2542" t="inlineStr">
        <is>
          <t>cm3/mol</t>
        </is>
      </c>
      <c r="E2542"/>
      <c r="F2542"/>
      <c r="G2542" t="inlineStr">
        <is>
          <t>MW/density estimate</t>
        </is>
      </c>
      <c r="H2542" t="inlineStr">
        <is>
          <t>S012_CALCULATED</t>
        </is>
      </c>
      <c r="I2542" t="inlineStr">
        <is>
          <t>estimated</t>
        </is>
      </c>
      <c r="J2542">
        <v>0.42</v>
      </c>
      <c r="K2542" t="inlineStr">
        <is>
          <t>Estimated from MW/density; replace with measured molar volume or density-specific grade data.</t>
        </is>
      </c>
    </row>
    <row r="2543">
      <c r="A2543" t="inlineStr">
        <is>
          <t>LIP_DPPS</t>
        </is>
      </c>
      <c r="B2543" t="inlineStr">
        <is>
          <t>headgroup_area_nm2</t>
        </is>
      </c>
      <c r="C2543">
        <v>0.62</v>
      </c>
      <c r="D2543" t="inlineStr">
        <is>
          <t>nm2</t>
        </is>
      </c>
      <c r="E2543"/>
      <c r="F2543"/>
      <c r="G2543" t="inlineStr">
        <is>
          <t>literature/MD heuristic</t>
        </is>
      </c>
      <c r="H2543" t="inlineStr">
        <is>
          <t>S013_EST_HSP_HEURISTIC</t>
        </is>
      </c>
      <c r="I2543" t="inlineStr">
        <is>
          <t>estimated</t>
        </is>
      </c>
      <c r="J2543">
        <v>0.35</v>
      </c>
      <c r="K2543" t="inlineStr">
        <is>
          <t>Area per lipid varies with phase, temperature, cholesterol, hydration, and force field.</t>
        </is>
      </c>
    </row>
    <row r="2544">
      <c r="A2544" t="inlineStr">
        <is>
          <t>LIP_DOPA</t>
        </is>
      </c>
      <c r="B2544" t="inlineStr">
        <is>
          <t>molecular_weight_g_mol</t>
        </is>
      </c>
      <c r="C2544">
        <v>699.9</v>
      </c>
      <c r="D2544" t="inlineStr">
        <is>
          <t>g/mol</t>
        </is>
      </c>
      <c r="E2544"/>
      <c r="F2544"/>
      <c r="G2544" t="inlineStr">
        <is>
          <t>LIPID MAPS/supplier formula or average grade MW</t>
        </is>
      </c>
      <c r="H2544" t="inlineStr">
        <is>
          <t>S004_LIPIDMAPS</t>
        </is>
      </c>
      <c r="I2544" t="inlineStr">
        <is>
          <t>database-derived</t>
        </is>
      </c>
      <c r="J2544">
        <v>0.78</v>
      </c>
      <c r="K2544"/>
    </row>
    <row r="2545">
      <c r="A2545" t="inlineStr">
        <is>
          <t>LIP_DOPA</t>
        </is>
      </c>
      <c r="B2545" t="inlineStr">
        <is>
          <t>lipid_class</t>
        </is>
      </c>
      <c r="C2545" t="inlineStr">
        <is>
          <t>PA</t>
        </is>
      </c>
      <c r="D2545"/>
      <c r="E2545"/>
      <c r="F2545"/>
      <c r="G2545" t="inlineStr">
        <is>
          <t>lipid class annotation</t>
        </is>
      </c>
      <c r="H2545" t="inlineStr">
        <is>
          <t>S003_AVANTI_PHASE</t>
        </is>
      </c>
      <c r="I2545" t="inlineStr">
        <is>
          <t>curated</t>
        </is>
      </c>
      <c r="J2545">
        <v>0.85</v>
      </c>
      <c r="K2545"/>
    </row>
    <row r="2546">
      <c r="A2546" t="inlineStr">
        <is>
          <t>LIP_DOPA</t>
        </is>
      </c>
      <c r="B2546" t="inlineStr">
        <is>
          <t>headgroup_type</t>
        </is>
      </c>
      <c r="C2546" t="inlineStr">
        <is>
          <t>PA</t>
        </is>
      </c>
      <c r="D2546"/>
      <c r="E2546"/>
      <c r="F2546"/>
      <c r="G2546" t="inlineStr">
        <is>
          <t>headgroup annotation</t>
        </is>
      </c>
      <c r="H2546" t="inlineStr">
        <is>
          <t>S003_AVANTI_PHASE</t>
        </is>
      </c>
      <c r="I2546" t="inlineStr">
        <is>
          <t>curated</t>
        </is>
      </c>
      <c r="J2546">
        <v>0.85</v>
      </c>
      <c r="K2546"/>
    </row>
    <row r="2547">
      <c r="A2547" t="inlineStr">
        <is>
          <t>LIP_DOPA</t>
        </is>
      </c>
      <c r="B2547" t="inlineStr">
        <is>
          <t>charge_type</t>
        </is>
      </c>
      <c r="C2547" t="inlineStr">
        <is>
          <t>anionic</t>
        </is>
      </c>
      <c r="D2547"/>
      <c r="E2547"/>
      <c r="F2547"/>
      <c r="G2547" t="inlineStr">
        <is>
          <t>nominal at pH 7.4</t>
        </is>
      </c>
      <c r="H2547" t="inlineStr">
        <is>
          <t>S003_AVANTI_PHASE</t>
        </is>
      </c>
      <c r="I2547" t="inlineStr">
        <is>
          <t>curated</t>
        </is>
      </c>
      <c r="J2547">
        <v>0.85</v>
      </c>
      <c r="K2547"/>
    </row>
    <row r="2548">
      <c r="A2548" t="inlineStr">
        <is>
          <t>LIP_DOPA</t>
        </is>
      </c>
      <c r="B2548" t="inlineStr">
        <is>
          <t>formal_charge</t>
        </is>
      </c>
      <c r="C2548">
        <v>-1</v>
      </c>
      <c r="D2548" t="inlineStr">
        <is>
          <t>e</t>
        </is>
      </c>
      <c r="E2548"/>
      <c r="F2548"/>
      <c r="G2548" t="inlineStr">
        <is>
          <t>nominal at pH 7.4</t>
        </is>
      </c>
      <c r="H2548" t="inlineStr">
        <is>
          <t>S003_AVANTI_PHASE</t>
        </is>
      </c>
      <c r="I2548" t="inlineStr">
        <is>
          <t>curated</t>
        </is>
      </c>
      <c r="J2548">
        <v>0.85</v>
      </c>
      <c r="K2548"/>
    </row>
    <row r="2549">
      <c r="A2549" t="inlineStr">
        <is>
          <t>LIP_DOPA</t>
        </is>
      </c>
      <c r="B2549" t="inlineStr">
        <is>
          <t>tail_1_carbons</t>
        </is>
      </c>
      <c r="C2549">
        <v>18</v>
      </c>
      <c r="D2549" t="inlineStr">
        <is>
          <t>count</t>
        </is>
      </c>
      <c r="E2549"/>
      <c r="F2549"/>
      <c r="G2549" t="inlineStr">
        <is>
          <t>lipid shorthand annotation</t>
        </is>
      </c>
      <c r="H2549" t="inlineStr">
        <is>
          <t>S003_AVANTI_PHASE</t>
        </is>
      </c>
      <c r="I2549" t="inlineStr">
        <is>
          <t>curated</t>
        </is>
      </c>
      <c r="J2549">
        <v>0.86</v>
      </c>
      <c r="K2549"/>
    </row>
    <row r="2550">
      <c r="A2550" t="inlineStr">
        <is>
          <t>LIP_DOPA</t>
        </is>
      </c>
      <c r="B2550" t="inlineStr">
        <is>
          <t>tail_1_unsaturation</t>
        </is>
      </c>
      <c r="C2550">
        <v>1</v>
      </c>
      <c r="D2550" t="inlineStr">
        <is>
          <t>double_bonds</t>
        </is>
      </c>
      <c r="E2550"/>
      <c r="F2550"/>
      <c r="G2550" t="inlineStr">
        <is>
          <t>lipid shorthand annotation</t>
        </is>
      </c>
      <c r="H2550" t="inlineStr">
        <is>
          <t>S003_AVANTI_PHASE</t>
        </is>
      </c>
      <c r="I2550" t="inlineStr">
        <is>
          <t>curated</t>
        </is>
      </c>
      <c r="J2550">
        <v>0.86</v>
      </c>
      <c r="K2550"/>
    </row>
    <row r="2551">
      <c r="A2551" t="inlineStr">
        <is>
          <t>LIP_DOPA</t>
        </is>
      </c>
      <c r="B2551" t="inlineStr">
        <is>
          <t>tail_2_carbons</t>
        </is>
      </c>
      <c r="C2551">
        <v>18</v>
      </c>
      <c r="D2551" t="inlineStr">
        <is>
          <t>count</t>
        </is>
      </c>
      <c r="E2551"/>
      <c r="F2551"/>
      <c r="G2551" t="inlineStr">
        <is>
          <t>lipid shorthand annotation</t>
        </is>
      </c>
      <c r="H2551" t="inlineStr">
        <is>
          <t>S003_AVANTI_PHASE</t>
        </is>
      </c>
      <c r="I2551" t="inlineStr">
        <is>
          <t>curated</t>
        </is>
      </c>
      <c r="J2551">
        <v>0.86</v>
      </c>
      <c r="K2551"/>
    </row>
    <row r="2552">
      <c r="A2552" t="inlineStr">
        <is>
          <t>LIP_DOPA</t>
        </is>
      </c>
      <c r="B2552" t="inlineStr">
        <is>
          <t>tail_2_unsaturation</t>
        </is>
      </c>
      <c r="C2552">
        <v>1</v>
      </c>
      <c r="D2552" t="inlineStr">
        <is>
          <t>double_bonds</t>
        </is>
      </c>
      <c r="E2552"/>
      <c r="F2552"/>
      <c r="G2552" t="inlineStr">
        <is>
          <t>lipid shorthand annotation</t>
        </is>
      </c>
      <c r="H2552" t="inlineStr">
        <is>
          <t>S003_AVANTI_PHASE</t>
        </is>
      </c>
      <c r="I2552" t="inlineStr">
        <is>
          <t>curated</t>
        </is>
      </c>
      <c r="J2552">
        <v>0.86</v>
      </c>
      <c r="K2552"/>
    </row>
    <row r="2553">
      <c r="A2553" t="inlineStr">
        <is>
          <t>LIP_DOPA</t>
        </is>
      </c>
      <c r="B2553" t="inlineStr">
        <is>
          <t>number_of_tails</t>
        </is>
      </c>
      <c r="C2553">
        <v>2</v>
      </c>
      <c r="D2553" t="inlineStr">
        <is>
          <t>count</t>
        </is>
      </c>
      <c r="E2553"/>
      <c r="F2553"/>
      <c r="G2553" t="inlineStr">
        <is>
          <t>lipid shorthand annotation</t>
        </is>
      </c>
      <c r="H2553" t="inlineStr">
        <is>
          <t>S003_AVANTI_PHASE</t>
        </is>
      </c>
      <c r="I2553" t="inlineStr">
        <is>
          <t>curated</t>
        </is>
      </c>
      <c r="J2553">
        <v>0.86</v>
      </c>
      <c r="K2553"/>
    </row>
    <row r="2554">
      <c r="A2554" t="inlineStr">
        <is>
          <t>LIP_DOPA</t>
        </is>
      </c>
      <c r="B2554" t="inlineStr">
        <is>
          <t>critical_packing_notes</t>
        </is>
      </c>
      <c r="C2554" t="inlineStr">
        <is>
          <t>bilayer-forming cylindrical lipid</t>
        </is>
      </c>
      <c r="D2554"/>
      <c r="E2554"/>
      <c r="F2554"/>
      <c r="G2554" t="inlineStr">
        <is>
          <t>CPP heuristic</t>
        </is>
      </c>
      <c r="H2554" t="inlineStr">
        <is>
          <t>S014_AULTON</t>
        </is>
      </c>
      <c r="I2554" t="inlineStr">
        <is>
          <t>curated</t>
        </is>
      </c>
      <c r="J2554">
        <v>0.65</v>
      </c>
      <c r="K2554"/>
    </row>
    <row r="2555">
      <c r="A2555" t="inlineStr">
        <is>
          <t>LIP_DOPA</t>
        </is>
      </c>
      <c r="B2555" t="inlineStr">
        <is>
          <t>membrane_rigidity_contribution</t>
        </is>
      </c>
      <c r="C2555" t="inlineStr">
        <is>
          <t>fluidizing</t>
        </is>
      </c>
      <c r="D2555"/>
      <c r="E2555"/>
      <c r="F2555"/>
      <c r="G2555" t="inlineStr">
        <is>
          <t>Tm and unsaturation heuristic</t>
        </is>
      </c>
      <c r="H2555" t="inlineStr">
        <is>
          <t>S003_AVANTI_PHASE</t>
        </is>
      </c>
      <c r="I2555" t="inlineStr">
        <is>
          <t>curated</t>
        </is>
      </c>
      <c r="J2555">
        <v>0.65</v>
      </c>
      <c r="K2555"/>
    </row>
    <row r="2556">
      <c r="A2556" t="inlineStr">
        <is>
          <t>LIP_DOPA</t>
        </is>
      </c>
      <c r="B2556" t="inlineStr">
        <is>
          <t>fusogenic_flag</t>
        </is>
      </c>
      <c r="C2556" t="inlineStr">
        <is>
          <t>no</t>
        </is>
      </c>
      <c r="D2556"/>
      <c r="E2556"/>
      <c r="F2556"/>
      <c r="G2556" t="inlineStr">
        <is>
          <t>role annotation</t>
        </is>
      </c>
      <c r="H2556" t="inlineStr">
        <is>
          <t>S014_AULTON</t>
        </is>
      </c>
      <c r="I2556" t="inlineStr">
        <is>
          <t>curated</t>
        </is>
      </c>
      <c r="J2556">
        <v>0.7</v>
      </c>
      <c r="K2556"/>
    </row>
    <row r="2557">
      <c r="A2557" t="inlineStr">
        <is>
          <t>LIP_DOPA</t>
        </is>
      </c>
      <c r="B2557" t="inlineStr">
        <is>
          <t>PEGylated_flag</t>
        </is>
      </c>
      <c r="C2557" t="inlineStr">
        <is>
          <t>no</t>
        </is>
      </c>
      <c r="D2557"/>
      <c r="E2557"/>
      <c r="F2557"/>
      <c r="G2557" t="inlineStr">
        <is>
          <t>role annotation</t>
        </is>
      </c>
      <c r="H2557" t="inlineStr">
        <is>
          <t>S014_AULTON</t>
        </is>
      </c>
      <c r="I2557" t="inlineStr">
        <is>
          <t>curated</t>
        </is>
      </c>
      <c r="J2557">
        <v>0.85</v>
      </c>
      <c r="K2557"/>
    </row>
    <row r="2558">
      <c r="A2558" t="inlineStr">
        <is>
          <t>LIP_DOPA</t>
        </is>
      </c>
      <c r="B2558" t="inlineStr">
        <is>
          <t>ionizable_flag</t>
        </is>
      </c>
      <c r="C2558" t="inlineStr">
        <is>
          <t>no</t>
        </is>
      </c>
      <c r="D2558"/>
      <c r="E2558"/>
      <c r="F2558"/>
      <c r="G2558" t="inlineStr">
        <is>
          <t>role annotation</t>
        </is>
      </c>
      <c r="H2558" t="inlineStr">
        <is>
          <t>S014_AULTON</t>
        </is>
      </c>
      <c r="I2558" t="inlineStr">
        <is>
          <t>curated</t>
        </is>
      </c>
      <c r="J2558">
        <v>0.85</v>
      </c>
      <c r="K2558"/>
    </row>
    <row r="2559">
      <c r="A2559" t="inlineStr">
        <is>
          <t>LIP_DOPA</t>
        </is>
      </c>
      <c r="B2559" t="inlineStr">
        <is>
          <t>route_suitability</t>
        </is>
      </c>
      <c r="C2559" t="inlineStr">
        <is>
          <t>liposome/LNP; route depends on purity, grade, residual solvents/endotoxin</t>
        </is>
      </c>
      <c r="D2559"/>
      <c r="E2559"/>
      <c r="F2559"/>
      <c r="G2559" t="inlineStr">
        <is>
          <t>route precedent caution</t>
        </is>
      </c>
      <c r="H2559" t="inlineStr">
        <is>
          <t>S008_FDA_IID</t>
        </is>
      </c>
      <c r="I2559" t="inlineStr">
        <is>
          <t>curated</t>
        </is>
      </c>
      <c r="J2559">
        <v>0.55</v>
      </c>
      <c r="K2559"/>
    </row>
    <row r="2560">
      <c r="A2560" t="inlineStr">
        <is>
          <t>LIP_DOPA</t>
        </is>
      </c>
      <c r="B2560" t="inlineStr">
        <is>
          <t>storage_notes</t>
        </is>
      </c>
      <c r="C2560" t="inlineStr">
        <is>
          <t>store cold, dry, inert gas; protect unsaturated/ionizable lipids from oxidation/hydrolysis</t>
        </is>
      </c>
      <c r="D2560"/>
      <c r="E2560"/>
      <c r="F2560"/>
      <c r="G2560" t="inlineStr">
        <is>
          <t>supplier stability convention</t>
        </is>
      </c>
      <c r="H2560" t="inlineStr">
        <is>
          <t>S003_AVANTI_PHASE</t>
        </is>
      </c>
      <c r="I2560" t="inlineStr">
        <is>
          <t>curated</t>
        </is>
      </c>
      <c r="J2560">
        <v>0.7</v>
      </c>
      <c r="K2560"/>
    </row>
    <row r="2561">
      <c r="A2561" t="inlineStr">
        <is>
          <t>LIP_DOPA</t>
        </is>
      </c>
      <c r="B2561" t="inlineStr">
        <is>
          <t>phase_transition_temperature_C</t>
        </is>
      </c>
      <c r="C2561">
        <v>-4</v>
      </c>
      <c r="D2561" t="inlineStr">
        <is>
          <t>°C</t>
        </is>
      </c>
      <c r="E2561"/>
      <c r="F2561"/>
      <c r="G2561" t="inlineStr">
        <is>
          <t>main transition temperature, DSC/lipid supplier data</t>
        </is>
      </c>
      <c r="H2561" t="inlineStr">
        <is>
          <t>S003_AVANTI_PHASE</t>
        </is>
      </c>
      <c r="I2561" t="inlineStr">
        <is>
          <t>supplier-reported</t>
        </is>
      </c>
      <c r="J2561">
        <v>0.78</v>
      </c>
      <c r="K2561"/>
    </row>
    <row r="2562">
      <c r="A2562" t="inlineStr">
        <is>
          <t>LIP_DOPA</t>
        </is>
      </c>
      <c r="B2562" t="inlineStr">
        <is>
          <t>Hansen_delta_D</t>
        </is>
      </c>
      <c r="C2562">
        <v>17.5</v>
      </c>
      <c r="D2562" t="inlineStr">
        <is>
          <t>MPa^0.5</t>
        </is>
      </c>
      <c r="E2562"/>
      <c r="F2562"/>
      <c r="G2562" t="inlineStr">
        <is>
          <t>heuristic group-contribution/nearest-neighbour</t>
        </is>
      </c>
      <c r="H2562" t="inlineStr">
        <is>
          <t>S013_EST_HSP_HEURISTIC</t>
        </is>
      </c>
      <c r="I2562" t="inlineStr">
        <is>
          <t>estimated</t>
        </is>
      </c>
      <c r="J2562">
        <v>0.38</v>
      </c>
      <c r="K2562" t="inlineStr">
        <is>
          <t>Provisional HSP for screening; replace with experimental/literature value before model lock.</t>
        </is>
      </c>
    </row>
    <row r="2563">
      <c r="A2563" t="inlineStr">
        <is>
          <t>LIP_DOPA</t>
        </is>
      </c>
      <c r="B2563" t="inlineStr">
        <is>
          <t>Hansen_delta_P</t>
        </is>
      </c>
      <c r="C2563">
        <v>7.5</v>
      </c>
      <c r="D2563" t="inlineStr">
        <is>
          <t>MPa^0.5</t>
        </is>
      </c>
      <c r="E2563"/>
      <c r="F2563"/>
      <c r="G2563" t="inlineStr">
        <is>
          <t>heuristic group-contribution/nearest-neighbour</t>
        </is>
      </c>
      <c r="H2563" t="inlineStr">
        <is>
          <t>S013_EST_HSP_HEURISTIC</t>
        </is>
      </c>
      <c r="I2563" t="inlineStr">
        <is>
          <t>estimated</t>
        </is>
      </c>
      <c r="J2563">
        <v>0.38</v>
      </c>
      <c r="K2563" t="inlineStr">
        <is>
          <t>Provisional HSP for screening; replace with experimental/literature value before model lock.</t>
        </is>
      </c>
    </row>
    <row r="2564">
      <c r="A2564" t="inlineStr">
        <is>
          <t>LIP_DOPA</t>
        </is>
      </c>
      <c r="B2564" t="inlineStr">
        <is>
          <t>Hansen_delta_H</t>
        </is>
      </c>
      <c r="C2564">
        <v>10.0</v>
      </c>
      <c r="D2564" t="inlineStr">
        <is>
          <t>MPa^0.5</t>
        </is>
      </c>
      <c r="E2564"/>
      <c r="F2564"/>
      <c r="G2564" t="inlineStr">
        <is>
          <t>heuristic group-contribution/nearest-neighbour</t>
        </is>
      </c>
      <c r="H2564" t="inlineStr">
        <is>
          <t>S013_EST_HSP_HEURISTIC</t>
        </is>
      </c>
      <c r="I2564" t="inlineStr">
        <is>
          <t>estimated</t>
        </is>
      </c>
      <c r="J2564">
        <v>0.38</v>
      </c>
      <c r="K2564" t="inlineStr">
        <is>
          <t>Provisional HSP for screening; replace with experimental/literature value before model lock.</t>
        </is>
      </c>
    </row>
    <row r="2565">
      <c r="A2565" t="inlineStr">
        <is>
          <t>LIP_DOPA</t>
        </is>
      </c>
      <c r="B2565" t="inlineStr">
        <is>
          <t>Hildebrand_delta_T</t>
        </is>
      </c>
      <c r="C2565">
        <v>21.51</v>
      </c>
      <c r="D2565" t="inlineStr">
        <is>
          <t>MPa^0.5</t>
        </is>
      </c>
      <c r="E2565"/>
      <c r="F2565"/>
      <c r="G2565" t="inlineStr">
        <is>
          <t>sqrt(deltaD^2+deltaP^2+deltaH^2)</t>
        </is>
      </c>
      <c r="H2565" t="inlineStr">
        <is>
          <t>S012_CALCULATED</t>
        </is>
      </c>
      <c r="I2565" t="inlineStr">
        <is>
          <t>calculated</t>
        </is>
      </c>
      <c r="J2565">
        <v>0.43</v>
      </c>
      <c r="K2565" t="inlineStr">
        <is>
          <t>Derived from stored Hansen components.</t>
        </is>
      </c>
    </row>
    <row r="2566">
      <c r="A2566" t="inlineStr">
        <is>
          <t>LIP_DOPA</t>
        </is>
      </c>
      <c r="B2566" t="inlineStr">
        <is>
          <t>HSP_radius_R0</t>
        </is>
      </c>
      <c r="C2566">
        <v>8.0</v>
      </c>
      <c r="D2566" t="inlineStr">
        <is>
          <t>MPa^0.5</t>
        </is>
      </c>
      <c r="E2566"/>
      <c r="F2566"/>
      <c r="G2566" t="inlineStr">
        <is>
          <t>literature/heuristic solubility sphere</t>
        </is>
      </c>
      <c r="H2566" t="inlineStr">
        <is>
          <t>S013_EST_HSP_HEURISTIC</t>
        </is>
      </c>
      <c r="I2566" t="inlineStr">
        <is>
          <t>estimated</t>
        </is>
      </c>
      <c r="J2566">
        <v>0.38</v>
      </c>
      <c r="K2566" t="inlineStr">
        <is>
          <t>Screening radius only unless experimentally determined.</t>
        </is>
      </c>
    </row>
    <row r="2567">
      <c r="A2567" t="inlineStr">
        <is>
          <t>LIP_DOPA</t>
        </is>
      </c>
      <c r="B2567" t="inlineStr">
        <is>
          <t>molar_volume_cm3_mol</t>
        </is>
      </c>
      <c r="C2567">
        <v>699.9</v>
      </c>
      <c r="D2567" t="inlineStr">
        <is>
          <t>cm3/mol</t>
        </is>
      </c>
      <c r="E2567"/>
      <c r="F2567"/>
      <c r="G2567" t="inlineStr">
        <is>
          <t>MW/density estimate</t>
        </is>
      </c>
      <c r="H2567" t="inlineStr">
        <is>
          <t>S012_CALCULATED</t>
        </is>
      </c>
      <c r="I2567" t="inlineStr">
        <is>
          <t>estimated</t>
        </is>
      </c>
      <c r="J2567">
        <v>0.42</v>
      </c>
      <c r="K2567" t="inlineStr">
        <is>
          <t>Estimated from MW/density; replace with measured molar volume or density-specific grade data.</t>
        </is>
      </c>
    </row>
    <row r="2568">
      <c r="A2568" t="inlineStr">
        <is>
          <t>LIP_DOPA</t>
        </is>
      </c>
      <c r="B2568" t="inlineStr">
        <is>
          <t>headgroup_area_nm2</t>
        </is>
      </c>
      <c r="C2568">
        <v>0.62</v>
      </c>
      <c r="D2568" t="inlineStr">
        <is>
          <t>nm2</t>
        </is>
      </c>
      <c r="E2568"/>
      <c r="F2568"/>
      <c r="G2568" t="inlineStr">
        <is>
          <t>literature/MD heuristic</t>
        </is>
      </c>
      <c r="H2568" t="inlineStr">
        <is>
          <t>S013_EST_HSP_HEURISTIC</t>
        </is>
      </c>
      <c r="I2568" t="inlineStr">
        <is>
          <t>estimated</t>
        </is>
      </c>
      <c r="J2568">
        <v>0.35</v>
      </c>
      <c r="K2568" t="inlineStr">
        <is>
          <t>Area per lipid varies with phase, temperature, cholesterol, hydration, and force field.</t>
        </is>
      </c>
    </row>
    <row r="2569">
      <c r="A2569" t="inlineStr">
        <is>
          <t>LIP_DPPA</t>
        </is>
      </c>
      <c r="B2569" t="inlineStr">
        <is>
          <t>molecular_weight_g_mol</t>
        </is>
      </c>
      <c r="C2569">
        <v>670.9</v>
      </c>
      <c r="D2569" t="inlineStr">
        <is>
          <t>g/mol</t>
        </is>
      </c>
      <c r="E2569"/>
      <c r="F2569"/>
      <c r="G2569" t="inlineStr">
        <is>
          <t>LIPID MAPS/supplier formula or average grade MW</t>
        </is>
      </c>
      <c r="H2569" t="inlineStr">
        <is>
          <t>S004_LIPIDMAPS</t>
        </is>
      </c>
      <c r="I2569" t="inlineStr">
        <is>
          <t>database-derived</t>
        </is>
      </c>
      <c r="J2569">
        <v>0.78</v>
      </c>
      <c r="K2569"/>
    </row>
    <row r="2570">
      <c r="A2570" t="inlineStr">
        <is>
          <t>LIP_DPPA</t>
        </is>
      </c>
      <c r="B2570" t="inlineStr">
        <is>
          <t>lipid_class</t>
        </is>
      </c>
      <c r="C2570" t="inlineStr">
        <is>
          <t>PA</t>
        </is>
      </c>
      <c r="D2570"/>
      <c r="E2570"/>
      <c r="F2570"/>
      <c r="G2570" t="inlineStr">
        <is>
          <t>lipid class annotation</t>
        </is>
      </c>
      <c r="H2570" t="inlineStr">
        <is>
          <t>S003_AVANTI_PHASE</t>
        </is>
      </c>
      <c r="I2570" t="inlineStr">
        <is>
          <t>curated</t>
        </is>
      </c>
      <c r="J2570">
        <v>0.85</v>
      </c>
      <c r="K2570"/>
    </row>
    <row r="2571">
      <c r="A2571" t="inlineStr">
        <is>
          <t>LIP_DPPA</t>
        </is>
      </c>
      <c r="B2571" t="inlineStr">
        <is>
          <t>headgroup_type</t>
        </is>
      </c>
      <c r="C2571" t="inlineStr">
        <is>
          <t>PA</t>
        </is>
      </c>
      <c r="D2571"/>
      <c r="E2571"/>
      <c r="F2571"/>
      <c r="G2571" t="inlineStr">
        <is>
          <t>headgroup annotation</t>
        </is>
      </c>
      <c r="H2571" t="inlineStr">
        <is>
          <t>S003_AVANTI_PHASE</t>
        </is>
      </c>
      <c r="I2571" t="inlineStr">
        <is>
          <t>curated</t>
        </is>
      </c>
      <c r="J2571">
        <v>0.85</v>
      </c>
      <c r="K2571"/>
    </row>
    <row r="2572">
      <c r="A2572" t="inlineStr">
        <is>
          <t>LIP_DPPA</t>
        </is>
      </c>
      <c r="B2572" t="inlineStr">
        <is>
          <t>charge_type</t>
        </is>
      </c>
      <c r="C2572" t="inlineStr">
        <is>
          <t>anionic</t>
        </is>
      </c>
      <c r="D2572"/>
      <c r="E2572"/>
      <c r="F2572"/>
      <c r="G2572" t="inlineStr">
        <is>
          <t>nominal at pH 7.4</t>
        </is>
      </c>
      <c r="H2572" t="inlineStr">
        <is>
          <t>S003_AVANTI_PHASE</t>
        </is>
      </c>
      <c r="I2572" t="inlineStr">
        <is>
          <t>curated</t>
        </is>
      </c>
      <c r="J2572">
        <v>0.85</v>
      </c>
      <c r="K2572"/>
    </row>
    <row r="2573">
      <c r="A2573" t="inlineStr">
        <is>
          <t>LIP_DPPA</t>
        </is>
      </c>
      <c r="B2573" t="inlineStr">
        <is>
          <t>formal_charge</t>
        </is>
      </c>
      <c r="C2573">
        <v>-1</v>
      </c>
      <c r="D2573" t="inlineStr">
        <is>
          <t>e</t>
        </is>
      </c>
      <c r="E2573"/>
      <c r="F2573"/>
      <c r="G2573" t="inlineStr">
        <is>
          <t>nominal at pH 7.4</t>
        </is>
      </c>
      <c r="H2573" t="inlineStr">
        <is>
          <t>S003_AVANTI_PHASE</t>
        </is>
      </c>
      <c r="I2573" t="inlineStr">
        <is>
          <t>curated</t>
        </is>
      </c>
      <c r="J2573">
        <v>0.85</v>
      </c>
      <c r="K2573"/>
    </row>
    <row r="2574">
      <c r="A2574" t="inlineStr">
        <is>
          <t>LIP_DPPA</t>
        </is>
      </c>
      <c r="B2574" t="inlineStr">
        <is>
          <t>tail_1_carbons</t>
        </is>
      </c>
      <c r="C2574">
        <v>16</v>
      </c>
      <c r="D2574" t="inlineStr">
        <is>
          <t>count</t>
        </is>
      </c>
      <c r="E2574"/>
      <c r="F2574"/>
      <c r="G2574" t="inlineStr">
        <is>
          <t>lipid shorthand annotation</t>
        </is>
      </c>
      <c r="H2574" t="inlineStr">
        <is>
          <t>S003_AVANTI_PHASE</t>
        </is>
      </c>
      <c r="I2574" t="inlineStr">
        <is>
          <t>curated</t>
        </is>
      </c>
      <c r="J2574">
        <v>0.86</v>
      </c>
      <c r="K2574"/>
    </row>
    <row r="2575">
      <c r="A2575" t="inlineStr">
        <is>
          <t>LIP_DPPA</t>
        </is>
      </c>
      <c r="B2575" t="inlineStr">
        <is>
          <t>tail_1_unsaturation</t>
        </is>
      </c>
      <c r="C2575">
        <v>0</v>
      </c>
      <c r="D2575" t="inlineStr">
        <is>
          <t>double_bonds</t>
        </is>
      </c>
      <c r="E2575"/>
      <c r="F2575"/>
      <c r="G2575" t="inlineStr">
        <is>
          <t>lipid shorthand annotation</t>
        </is>
      </c>
      <c r="H2575" t="inlineStr">
        <is>
          <t>S003_AVANTI_PHASE</t>
        </is>
      </c>
      <c r="I2575" t="inlineStr">
        <is>
          <t>curated</t>
        </is>
      </c>
      <c r="J2575">
        <v>0.86</v>
      </c>
      <c r="K2575"/>
    </row>
    <row r="2576">
      <c r="A2576" t="inlineStr">
        <is>
          <t>LIP_DPPA</t>
        </is>
      </c>
      <c r="B2576" t="inlineStr">
        <is>
          <t>tail_2_carbons</t>
        </is>
      </c>
      <c r="C2576">
        <v>16</v>
      </c>
      <c r="D2576" t="inlineStr">
        <is>
          <t>count</t>
        </is>
      </c>
      <c r="E2576"/>
      <c r="F2576"/>
      <c r="G2576" t="inlineStr">
        <is>
          <t>lipid shorthand annotation</t>
        </is>
      </c>
      <c r="H2576" t="inlineStr">
        <is>
          <t>S003_AVANTI_PHASE</t>
        </is>
      </c>
      <c r="I2576" t="inlineStr">
        <is>
          <t>curated</t>
        </is>
      </c>
      <c r="J2576">
        <v>0.86</v>
      </c>
      <c r="K2576"/>
    </row>
    <row r="2577">
      <c r="A2577" t="inlineStr">
        <is>
          <t>LIP_DPPA</t>
        </is>
      </c>
      <c r="B2577" t="inlineStr">
        <is>
          <t>tail_2_unsaturation</t>
        </is>
      </c>
      <c r="C2577">
        <v>0</v>
      </c>
      <c r="D2577" t="inlineStr">
        <is>
          <t>double_bonds</t>
        </is>
      </c>
      <c r="E2577"/>
      <c r="F2577"/>
      <c r="G2577" t="inlineStr">
        <is>
          <t>lipid shorthand annotation</t>
        </is>
      </c>
      <c r="H2577" t="inlineStr">
        <is>
          <t>S003_AVANTI_PHASE</t>
        </is>
      </c>
      <c r="I2577" t="inlineStr">
        <is>
          <t>curated</t>
        </is>
      </c>
      <c r="J2577">
        <v>0.86</v>
      </c>
      <c r="K2577"/>
    </row>
    <row r="2578">
      <c r="A2578" t="inlineStr">
        <is>
          <t>LIP_DPPA</t>
        </is>
      </c>
      <c r="B2578" t="inlineStr">
        <is>
          <t>number_of_tails</t>
        </is>
      </c>
      <c r="C2578">
        <v>2</v>
      </c>
      <c r="D2578" t="inlineStr">
        <is>
          <t>count</t>
        </is>
      </c>
      <c r="E2578"/>
      <c r="F2578"/>
      <c r="G2578" t="inlineStr">
        <is>
          <t>lipid shorthand annotation</t>
        </is>
      </c>
      <c r="H2578" t="inlineStr">
        <is>
          <t>S003_AVANTI_PHASE</t>
        </is>
      </c>
      <c r="I2578" t="inlineStr">
        <is>
          <t>curated</t>
        </is>
      </c>
      <c r="J2578">
        <v>0.86</v>
      </c>
      <c r="K2578"/>
    </row>
    <row r="2579">
      <c r="A2579" t="inlineStr">
        <is>
          <t>LIP_DPPA</t>
        </is>
      </c>
      <c r="B2579" t="inlineStr">
        <is>
          <t>critical_packing_notes</t>
        </is>
      </c>
      <c r="C2579" t="inlineStr">
        <is>
          <t>bilayer-forming cylindrical lipid</t>
        </is>
      </c>
      <c r="D2579"/>
      <c r="E2579"/>
      <c r="F2579"/>
      <c r="G2579" t="inlineStr">
        <is>
          <t>CPP heuristic</t>
        </is>
      </c>
      <c r="H2579" t="inlineStr">
        <is>
          <t>S014_AULTON</t>
        </is>
      </c>
      <c r="I2579" t="inlineStr">
        <is>
          <t>curated</t>
        </is>
      </c>
      <c r="J2579">
        <v>0.65</v>
      </c>
      <c r="K2579"/>
    </row>
    <row r="2580">
      <c r="A2580" t="inlineStr">
        <is>
          <t>LIP_DPPA</t>
        </is>
      </c>
      <c r="B2580" t="inlineStr">
        <is>
          <t>membrane_rigidity_contribution</t>
        </is>
      </c>
      <c r="C2580" t="inlineStr">
        <is>
          <t>high</t>
        </is>
      </c>
      <c r="D2580"/>
      <c r="E2580"/>
      <c r="F2580"/>
      <c r="G2580" t="inlineStr">
        <is>
          <t>Tm and unsaturation heuristic</t>
        </is>
      </c>
      <c r="H2580" t="inlineStr">
        <is>
          <t>S003_AVANTI_PHASE</t>
        </is>
      </c>
      <c r="I2580" t="inlineStr">
        <is>
          <t>curated</t>
        </is>
      </c>
      <c r="J2580">
        <v>0.65</v>
      </c>
      <c r="K2580"/>
    </row>
    <row r="2581">
      <c r="A2581" t="inlineStr">
        <is>
          <t>LIP_DPPA</t>
        </is>
      </c>
      <c r="B2581" t="inlineStr">
        <is>
          <t>fusogenic_flag</t>
        </is>
      </c>
      <c r="C2581" t="inlineStr">
        <is>
          <t>no</t>
        </is>
      </c>
      <c r="D2581"/>
      <c r="E2581"/>
      <c r="F2581"/>
      <c r="G2581" t="inlineStr">
        <is>
          <t>role annotation</t>
        </is>
      </c>
      <c r="H2581" t="inlineStr">
        <is>
          <t>S014_AULTON</t>
        </is>
      </c>
      <c r="I2581" t="inlineStr">
        <is>
          <t>curated</t>
        </is>
      </c>
      <c r="J2581">
        <v>0.7</v>
      </c>
      <c r="K2581"/>
    </row>
    <row r="2582">
      <c r="A2582" t="inlineStr">
        <is>
          <t>LIP_DPPA</t>
        </is>
      </c>
      <c r="B2582" t="inlineStr">
        <is>
          <t>PEGylated_flag</t>
        </is>
      </c>
      <c r="C2582" t="inlineStr">
        <is>
          <t>no</t>
        </is>
      </c>
      <c r="D2582"/>
      <c r="E2582"/>
      <c r="F2582"/>
      <c r="G2582" t="inlineStr">
        <is>
          <t>role annotation</t>
        </is>
      </c>
      <c r="H2582" t="inlineStr">
        <is>
          <t>S014_AULTON</t>
        </is>
      </c>
      <c r="I2582" t="inlineStr">
        <is>
          <t>curated</t>
        </is>
      </c>
      <c r="J2582">
        <v>0.85</v>
      </c>
      <c r="K2582"/>
    </row>
    <row r="2583">
      <c r="A2583" t="inlineStr">
        <is>
          <t>LIP_DPPA</t>
        </is>
      </c>
      <c r="B2583" t="inlineStr">
        <is>
          <t>ionizable_flag</t>
        </is>
      </c>
      <c r="C2583" t="inlineStr">
        <is>
          <t>no</t>
        </is>
      </c>
      <c r="D2583"/>
      <c r="E2583"/>
      <c r="F2583"/>
      <c r="G2583" t="inlineStr">
        <is>
          <t>role annotation</t>
        </is>
      </c>
      <c r="H2583" t="inlineStr">
        <is>
          <t>S014_AULTON</t>
        </is>
      </c>
      <c r="I2583" t="inlineStr">
        <is>
          <t>curated</t>
        </is>
      </c>
      <c r="J2583">
        <v>0.85</v>
      </c>
      <c r="K2583"/>
    </row>
    <row r="2584">
      <c r="A2584" t="inlineStr">
        <is>
          <t>LIP_DPPA</t>
        </is>
      </c>
      <c r="B2584" t="inlineStr">
        <is>
          <t>route_suitability</t>
        </is>
      </c>
      <c r="C2584" t="inlineStr">
        <is>
          <t>liposome/LNP; route depends on purity, grade, residual solvents/endotoxin</t>
        </is>
      </c>
      <c r="D2584"/>
      <c r="E2584"/>
      <c r="F2584"/>
      <c r="G2584" t="inlineStr">
        <is>
          <t>route precedent caution</t>
        </is>
      </c>
      <c r="H2584" t="inlineStr">
        <is>
          <t>S008_FDA_IID</t>
        </is>
      </c>
      <c r="I2584" t="inlineStr">
        <is>
          <t>curated</t>
        </is>
      </c>
      <c r="J2584">
        <v>0.55</v>
      </c>
      <c r="K2584"/>
    </row>
    <row r="2585">
      <c r="A2585" t="inlineStr">
        <is>
          <t>LIP_DPPA</t>
        </is>
      </c>
      <c r="B2585" t="inlineStr">
        <is>
          <t>storage_notes</t>
        </is>
      </c>
      <c r="C2585" t="inlineStr">
        <is>
          <t>store cold, dry, inert gas; protect unsaturated/ionizable lipids from oxidation/hydrolysis</t>
        </is>
      </c>
      <c r="D2585"/>
      <c r="E2585"/>
      <c r="F2585"/>
      <c r="G2585" t="inlineStr">
        <is>
          <t>supplier stability convention</t>
        </is>
      </c>
      <c r="H2585" t="inlineStr">
        <is>
          <t>S003_AVANTI_PHASE</t>
        </is>
      </c>
      <c r="I2585" t="inlineStr">
        <is>
          <t>curated</t>
        </is>
      </c>
      <c r="J2585">
        <v>0.7</v>
      </c>
      <c r="K2585"/>
    </row>
    <row r="2586">
      <c r="A2586" t="inlineStr">
        <is>
          <t>LIP_DPPA</t>
        </is>
      </c>
      <c r="B2586" t="inlineStr">
        <is>
          <t>phase_transition_temperature_C</t>
        </is>
      </c>
      <c r="C2586">
        <v>65</v>
      </c>
      <c r="D2586" t="inlineStr">
        <is>
          <t>°C</t>
        </is>
      </c>
      <c r="E2586"/>
      <c r="F2586"/>
      <c r="G2586" t="inlineStr">
        <is>
          <t>main transition temperature, DSC/lipid supplier data</t>
        </is>
      </c>
      <c r="H2586" t="inlineStr">
        <is>
          <t>S003_AVANTI_PHASE</t>
        </is>
      </c>
      <c r="I2586" t="inlineStr">
        <is>
          <t>supplier-reported</t>
        </is>
      </c>
      <c r="J2586">
        <v>0.78</v>
      </c>
      <c r="K2586"/>
    </row>
    <row r="2587">
      <c r="A2587" t="inlineStr">
        <is>
          <t>LIP_DPPA</t>
        </is>
      </c>
      <c r="B2587" t="inlineStr">
        <is>
          <t>Hansen_delta_D</t>
        </is>
      </c>
      <c r="C2587">
        <v>17.5</v>
      </c>
      <c r="D2587" t="inlineStr">
        <is>
          <t>MPa^0.5</t>
        </is>
      </c>
      <c r="E2587"/>
      <c r="F2587"/>
      <c r="G2587" t="inlineStr">
        <is>
          <t>heuristic group-contribution/nearest-neighbour</t>
        </is>
      </c>
      <c r="H2587" t="inlineStr">
        <is>
          <t>S013_EST_HSP_HEURISTIC</t>
        </is>
      </c>
      <c r="I2587" t="inlineStr">
        <is>
          <t>estimated</t>
        </is>
      </c>
      <c r="J2587">
        <v>0.38</v>
      </c>
      <c r="K2587" t="inlineStr">
        <is>
          <t>Provisional HSP for screening; replace with experimental/literature value before model lock.</t>
        </is>
      </c>
    </row>
    <row r="2588">
      <c r="A2588" t="inlineStr">
        <is>
          <t>LIP_DPPA</t>
        </is>
      </c>
      <c r="B2588" t="inlineStr">
        <is>
          <t>Hansen_delta_P</t>
        </is>
      </c>
      <c r="C2588">
        <v>7.5</v>
      </c>
      <c r="D2588" t="inlineStr">
        <is>
          <t>MPa^0.5</t>
        </is>
      </c>
      <c r="E2588"/>
      <c r="F2588"/>
      <c r="G2588" t="inlineStr">
        <is>
          <t>heuristic group-contribution/nearest-neighbour</t>
        </is>
      </c>
      <c r="H2588" t="inlineStr">
        <is>
          <t>S013_EST_HSP_HEURISTIC</t>
        </is>
      </c>
      <c r="I2588" t="inlineStr">
        <is>
          <t>estimated</t>
        </is>
      </c>
      <c r="J2588">
        <v>0.38</v>
      </c>
      <c r="K2588" t="inlineStr">
        <is>
          <t>Provisional HSP for screening; replace with experimental/literature value before model lock.</t>
        </is>
      </c>
    </row>
    <row r="2589">
      <c r="A2589" t="inlineStr">
        <is>
          <t>LIP_DPPA</t>
        </is>
      </c>
      <c r="B2589" t="inlineStr">
        <is>
          <t>Hansen_delta_H</t>
        </is>
      </c>
      <c r="C2589">
        <v>10.0</v>
      </c>
      <c r="D2589" t="inlineStr">
        <is>
          <t>MPa^0.5</t>
        </is>
      </c>
      <c r="E2589"/>
      <c r="F2589"/>
      <c r="G2589" t="inlineStr">
        <is>
          <t>heuristic group-contribution/nearest-neighbour</t>
        </is>
      </c>
      <c r="H2589" t="inlineStr">
        <is>
          <t>S013_EST_HSP_HEURISTIC</t>
        </is>
      </c>
      <c r="I2589" t="inlineStr">
        <is>
          <t>estimated</t>
        </is>
      </c>
      <c r="J2589">
        <v>0.38</v>
      </c>
      <c r="K2589" t="inlineStr">
        <is>
          <t>Provisional HSP for screening; replace with experimental/literature value before model lock.</t>
        </is>
      </c>
    </row>
    <row r="2590">
      <c r="A2590" t="inlineStr">
        <is>
          <t>LIP_DPPA</t>
        </is>
      </c>
      <c r="B2590" t="inlineStr">
        <is>
          <t>Hildebrand_delta_T</t>
        </is>
      </c>
      <c r="C2590">
        <v>21.51</v>
      </c>
      <c r="D2590" t="inlineStr">
        <is>
          <t>MPa^0.5</t>
        </is>
      </c>
      <c r="E2590"/>
      <c r="F2590"/>
      <c r="G2590" t="inlineStr">
        <is>
          <t>sqrt(deltaD^2+deltaP^2+deltaH^2)</t>
        </is>
      </c>
      <c r="H2590" t="inlineStr">
        <is>
          <t>S012_CALCULATED</t>
        </is>
      </c>
      <c r="I2590" t="inlineStr">
        <is>
          <t>calculated</t>
        </is>
      </c>
      <c r="J2590">
        <v>0.43</v>
      </c>
      <c r="K2590" t="inlineStr">
        <is>
          <t>Derived from stored Hansen components.</t>
        </is>
      </c>
    </row>
    <row r="2591">
      <c r="A2591" t="inlineStr">
        <is>
          <t>LIP_DPPA</t>
        </is>
      </c>
      <c r="B2591" t="inlineStr">
        <is>
          <t>HSP_radius_R0</t>
        </is>
      </c>
      <c r="C2591">
        <v>8.0</v>
      </c>
      <c r="D2591" t="inlineStr">
        <is>
          <t>MPa^0.5</t>
        </is>
      </c>
      <c r="E2591"/>
      <c r="F2591"/>
      <c r="G2591" t="inlineStr">
        <is>
          <t>literature/heuristic solubility sphere</t>
        </is>
      </c>
      <c r="H2591" t="inlineStr">
        <is>
          <t>S013_EST_HSP_HEURISTIC</t>
        </is>
      </c>
      <c r="I2591" t="inlineStr">
        <is>
          <t>estimated</t>
        </is>
      </c>
      <c r="J2591">
        <v>0.38</v>
      </c>
      <c r="K2591" t="inlineStr">
        <is>
          <t>Screening radius only unless experimentally determined.</t>
        </is>
      </c>
    </row>
    <row r="2592">
      <c r="A2592" t="inlineStr">
        <is>
          <t>LIP_DPPA</t>
        </is>
      </c>
      <c r="B2592" t="inlineStr">
        <is>
          <t>molar_volume_cm3_mol</t>
        </is>
      </c>
      <c r="C2592">
        <v>670.9</v>
      </c>
      <c r="D2592" t="inlineStr">
        <is>
          <t>cm3/mol</t>
        </is>
      </c>
      <c r="E2592"/>
      <c r="F2592"/>
      <c r="G2592" t="inlineStr">
        <is>
          <t>MW/density estimate</t>
        </is>
      </c>
      <c r="H2592" t="inlineStr">
        <is>
          <t>S012_CALCULATED</t>
        </is>
      </c>
      <c r="I2592" t="inlineStr">
        <is>
          <t>estimated</t>
        </is>
      </c>
      <c r="J2592">
        <v>0.42</v>
      </c>
      <c r="K2592" t="inlineStr">
        <is>
          <t>Estimated from MW/density; replace with measured molar volume or density-specific grade data.</t>
        </is>
      </c>
    </row>
    <row r="2593">
      <c r="A2593" t="inlineStr">
        <is>
          <t>LIP_DPPA</t>
        </is>
      </c>
      <c r="B2593" t="inlineStr">
        <is>
          <t>headgroup_area_nm2</t>
        </is>
      </c>
      <c r="C2593">
        <v>0.62</v>
      </c>
      <c r="D2593" t="inlineStr">
        <is>
          <t>nm2</t>
        </is>
      </c>
      <c r="E2593"/>
      <c r="F2593"/>
      <c r="G2593" t="inlineStr">
        <is>
          <t>literature/MD heuristic</t>
        </is>
      </c>
      <c r="H2593" t="inlineStr">
        <is>
          <t>S013_EST_HSP_HEURISTIC</t>
        </is>
      </c>
      <c r="I2593" t="inlineStr">
        <is>
          <t>estimated</t>
        </is>
      </c>
      <c r="J2593">
        <v>0.35</v>
      </c>
      <c r="K2593" t="inlineStr">
        <is>
          <t>Area per lipid varies with phase, temperature, cholesterol, hydration, and force field.</t>
        </is>
      </c>
    </row>
    <row r="2594">
      <c r="A2594" t="inlineStr">
        <is>
          <t>LIP_DSPE_PEG2000</t>
        </is>
      </c>
      <c r="B2594" t="inlineStr">
        <is>
          <t>molecular_weight_g_mol</t>
        </is>
      </c>
      <c r="C2594">
        <v>2805</v>
      </c>
      <c r="D2594" t="inlineStr">
        <is>
          <t>g/mol</t>
        </is>
      </c>
      <c r="E2594"/>
      <c r="F2594"/>
      <c r="G2594" t="inlineStr">
        <is>
          <t>LIPID MAPS/supplier formula or average grade MW</t>
        </is>
      </c>
      <c r="H2594" t="inlineStr">
        <is>
          <t>S004_LIPIDMAPS</t>
        </is>
      </c>
      <c r="I2594" t="inlineStr">
        <is>
          <t>database-derived</t>
        </is>
      </c>
      <c r="J2594">
        <v>0.78</v>
      </c>
      <c r="K2594"/>
    </row>
    <row r="2595">
      <c r="A2595" t="inlineStr">
        <is>
          <t>LIP_DSPE_PEG2000</t>
        </is>
      </c>
      <c r="B2595" t="inlineStr">
        <is>
          <t>lipid_class</t>
        </is>
      </c>
      <c r="C2595" t="inlineStr">
        <is>
          <t>PEGylated lipid</t>
        </is>
      </c>
      <c r="D2595"/>
      <c r="E2595"/>
      <c r="F2595"/>
      <c r="G2595" t="inlineStr">
        <is>
          <t>lipid class annotation</t>
        </is>
      </c>
      <c r="H2595" t="inlineStr">
        <is>
          <t>S003_AVANTI_PHASE</t>
        </is>
      </c>
      <c r="I2595" t="inlineStr">
        <is>
          <t>curated</t>
        </is>
      </c>
      <c r="J2595">
        <v>0.85</v>
      </c>
      <c r="K2595"/>
    </row>
    <row r="2596">
      <c r="A2596" t="inlineStr">
        <is>
          <t>LIP_DSPE_PEG2000</t>
        </is>
      </c>
      <c r="B2596" t="inlineStr">
        <is>
          <t>headgroup_type</t>
        </is>
      </c>
      <c r="C2596" t="inlineStr">
        <is>
          <t>PEG-lipid</t>
        </is>
      </c>
      <c r="D2596"/>
      <c r="E2596"/>
      <c r="F2596"/>
      <c r="G2596" t="inlineStr">
        <is>
          <t>headgroup annotation</t>
        </is>
      </c>
      <c r="H2596" t="inlineStr">
        <is>
          <t>S003_AVANTI_PHASE</t>
        </is>
      </c>
      <c r="I2596" t="inlineStr">
        <is>
          <t>curated</t>
        </is>
      </c>
      <c r="J2596">
        <v>0.85</v>
      </c>
      <c r="K2596"/>
    </row>
    <row r="2597">
      <c r="A2597" t="inlineStr">
        <is>
          <t>LIP_DSPE_PEG2000</t>
        </is>
      </c>
      <c r="B2597" t="inlineStr">
        <is>
          <t>charge_type</t>
        </is>
      </c>
      <c r="C2597" t="inlineStr">
        <is>
          <t>neutral</t>
        </is>
      </c>
      <c r="D2597"/>
      <c r="E2597"/>
      <c r="F2597"/>
      <c r="G2597" t="inlineStr">
        <is>
          <t>nominal at pH 7.4</t>
        </is>
      </c>
      <c r="H2597" t="inlineStr">
        <is>
          <t>S003_AVANTI_PHASE</t>
        </is>
      </c>
      <c r="I2597" t="inlineStr">
        <is>
          <t>curated</t>
        </is>
      </c>
      <c r="J2597">
        <v>0.85</v>
      </c>
      <c r="K2597"/>
    </row>
    <row r="2598">
      <c r="A2598" t="inlineStr">
        <is>
          <t>LIP_DSPE_PEG2000</t>
        </is>
      </c>
      <c r="B2598" t="inlineStr">
        <is>
          <t>formal_charge</t>
        </is>
      </c>
      <c r="C2598">
        <v>0</v>
      </c>
      <c r="D2598" t="inlineStr">
        <is>
          <t>e</t>
        </is>
      </c>
      <c r="E2598"/>
      <c r="F2598"/>
      <c r="G2598" t="inlineStr">
        <is>
          <t>nominal at pH 7.4</t>
        </is>
      </c>
      <c r="H2598" t="inlineStr">
        <is>
          <t>S003_AVANTI_PHASE</t>
        </is>
      </c>
      <c r="I2598" t="inlineStr">
        <is>
          <t>curated</t>
        </is>
      </c>
      <c r="J2598">
        <v>0.85</v>
      </c>
      <c r="K2598"/>
    </row>
    <row r="2599">
      <c r="A2599" t="inlineStr">
        <is>
          <t>LIP_DSPE_PEG2000</t>
        </is>
      </c>
      <c r="B2599" t="inlineStr">
        <is>
          <t>tail_1_carbons</t>
        </is>
      </c>
      <c r="C2599">
        <v>18</v>
      </c>
      <c r="D2599" t="inlineStr">
        <is>
          <t>count</t>
        </is>
      </c>
      <c r="E2599"/>
      <c r="F2599"/>
      <c r="G2599" t="inlineStr">
        <is>
          <t>lipid shorthand annotation</t>
        </is>
      </c>
      <c r="H2599" t="inlineStr">
        <is>
          <t>S003_AVANTI_PHASE</t>
        </is>
      </c>
      <c r="I2599" t="inlineStr">
        <is>
          <t>curated</t>
        </is>
      </c>
      <c r="J2599">
        <v>0.86</v>
      </c>
      <c r="K2599"/>
    </row>
    <row r="2600">
      <c r="A2600" t="inlineStr">
        <is>
          <t>LIP_DSPE_PEG2000</t>
        </is>
      </c>
      <c r="B2600" t="inlineStr">
        <is>
          <t>tail_1_unsaturation</t>
        </is>
      </c>
      <c r="C2600">
        <v>0</v>
      </c>
      <c r="D2600" t="inlineStr">
        <is>
          <t>double_bonds</t>
        </is>
      </c>
      <c r="E2600"/>
      <c r="F2600"/>
      <c r="G2600" t="inlineStr">
        <is>
          <t>lipid shorthand annotation</t>
        </is>
      </c>
      <c r="H2600" t="inlineStr">
        <is>
          <t>S003_AVANTI_PHASE</t>
        </is>
      </c>
      <c r="I2600" t="inlineStr">
        <is>
          <t>curated</t>
        </is>
      </c>
      <c r="J2600">
        <v>0.86</v>
      </c>
      <c r="K2600"/>
    </row>
    <row r="2601">
      <c r="A2601" t="inlineStr">
        <is>
          <t>LIP_DSPE_PEG2000</t>
        </is>
      </c>
      <c r="B2601" t="inlineStr">
        <is>
          <t>tail_2_carbons</t>
        </is>
      </c>
      <c r="C2601">
        <v>18</v>
      </c>
      <c r="D2601" t="inlineStr">
        <is>
          <t>count</t>
        </is>
      </c>
      <c r="E2601"/>
      <c r="F2601"/>
      <c r="G2601" t="inlineStr">
        <is>
          <t>lipid shorthand annotation</t>
        </is>
      </c>
      <c r="H2601" t="inlineStr">
        <is>
          <t>S003_AVANTI_PHASE</t>
        </is>
      </c>
      <c r="I2601" t="inlineStr">
        <is>
          <t>curated</t>
        </is>
      </c>
      <c r="J2601">
        <v>0.86</v>
      </c>
      <c r="K2601"/>
    </row>
    <row r="2602">
      <c r="A2602" t="inlineStr">
        <is>
          <t>LIP_DSPE_PEG2000</t>
        </is>
      </c>
      <c r="B2602" t="inlineStr">
        <is>
          <t>tail_2_unsaturation</t>
        </is>
      </c>
      <c r="C2602">
        <v>0</v>
      </c>
      <c r="D2602" t="inlineStr">
        <is>
          <t>double_bonds</t>
        </is>
      </c>
      <c r="E2602"/>
      <c r="F2602"/>
      <c r="G2602" t="inlineStr">
        <is>
          <t>lipid shorthand annotation</t>
        </is>
      </c>
      <c r="H2602" t="inlineStr">
        <is>
          <t>S003_AVANTI_PHASE</t>
        </is>
      </c>
      <c r="I2602" t="inlineStr">
        <is>
          <t>curated</t>
        </is>
      </c>
      <c r="J2602">
        <v>0.86</v>
      </c>
      <c r="K2602"/>
    </row>
    <row r="2603">
      <c r="A2603" t="inlineStr">
        <is>
          <t>LIP_DSPE_PEG2000</t>
        </is>
      </c>
      <c r="B2603" t="inlineStr">
        <is>
          <t>number_of_tails</t>
        </is>
      </c>
      <c r="C2603">
        <v>2</v>
      </c>
      <c r="D2603" t="inlineStr">
        <is>
          <t>count</t>
        </is>
      </c>
      <c r="E2603"/>
      <c r="F2603"/>
      <c r="G2603" t="inlineStr">
        <is>
          <t>lipid shorthand annotation</t>
        </is>
      </c>
      <c r="H2603" t="inlineStr">
        <is>
          <t>S003_AVANTI_PHASE</t>
        </is>
      </c>
      <c r="I2603" t="inlineStr">
        <is>
          <t>curated</t>
        </is>
      </c>
      <c r="J2603">
        <v>0.86</v>
      </c>
      <c r="K2603"/>
    </row>
    <row r="2604">
      <c r="A2604" t="inlineStr">
        <is>
          <t>LIP_DSPE_PEG2000</t>
        </is>
      </c>
      <c r="B2604" t="inlineStr">
        <is>
          <t>critical_packing_notes</t>
        </is>
      </c>
      <c r="C2604" t="inlineStr">
        <is>
          <t>bilayer-forming cylindrical lipid</t>
        </is>
      </c>
      <c r="D2604"/>
      <c r="E2604"/>
      <c r="F2604"/>
      <c r="G2604" t="inlineStr">
        <is>
          <t>CPP heuristic</t>
        </is>
      </c>
      <c r="H2604" t="inlineStr">
        <is>
          <t>S014_AULTON</t>
        </is>
      </c>
      <c r="I2604" t="inlineStr">
        <is>
          <t>curated</t>
        </is>
      </c>
      <c r="J2604">
        <v>0.65</v>
      </c>
      <c r="K2604"/>
    </row>
    <row r="2605">
      <c r="A2605" t="inlineStr">
        <is>
          <t>LIP_DSPE_PEG2000</t>
        </is>
      </c>
      <c r="B2605" t="inlineStr">
        <is>
          <t>membrane_rigidity_contribution</t>
        </is>
      </c>
      <c r="C2605" t="inlineStr">
        <is>
          <t>moderate</t>
        </is>
      </c>
      <c r="D2605"/>
      <c r="E2605"/>
      <c r="F2605"/>
      <c r="G2605" t="inlineStr">
        <is>
          <t>Tm and unsaturation heuristic</t>
        </is>
      </c>
      <c r="H2605" t="inlineStr">
        <is>
          <t>S003_AVANTI_PHASE</t>
        </is>
      </c>
      <c r="I2605" t="inlineStr">
        <is>
          <t>curated</t>
        </is>
      </c>
      <c r="J2605">
        <v>0.65</v>
      </c>
      <c r="K2605"/>
    </row>
    <row r="2606">
      <c r="A2606" t="inlineStr">
        <is>
          <t>LIP_DSPE_PEG2000</t>
        </is>
      </c>
      <c r="B2606" t="inlineStr">
        <is>
          <t>fusogenic_flag</t>
        </is>
      </c>
      <c r="C2606" t="inlineStr">
        <is>
          <t>no</t>
        </is>
      </c>
      <c r="D2606"/>
      <c r="E2606"/>
      <c r="F2606"/>
      <c r="G2606" t="inlineStr">
        <is>
          <t>role annotation</t>
        </is>
      </c>
      <c r="H2606" t="inlineStr">
        <is>
          <t>S014_AULTON</t>
        </is>
      </c>
      <c r="I2606" t="inlineStr">
        <is>
          <t>curated</t>
        </is>
      </c>
      <c r="J2606">
        <v>0.7</v>
      </c>
      <c r="K2606"/>
    </row>
    <row r="2607">
      <c r="A2607" t="inlineStr">
        <is>
          <t>LIP_DSPE_PEG2000</t>
        </is>
      </c>
      <c r="B2607" t="inlineStr">
        <is>
          <t>PEGylated_flag</t>
        </is>
      </c>
      <c r="C2607" t="inlineStr">
        <is>
          <t>yes</t>
        </is>
      </c>
      <c r="D2607"/>
      <c r="E2607"/>
      <c r="F2607"/>
      <c r="G2607" t="inlineStr">
        <is>
          <t>role annotation</t>
        </is>
      </c>
      <c r="H2607" t="inlineStr">
        <is>
          <t>S014_AULTON</t>
        </is>
      </c>
      <c r="I2607" t="inlineStr">
        <is>
          <t>curated</t>
        </is>
      </c>
      <c r="J2607">
        <v>0.85</v>
      </c>
      <c r="K2607"/>
    </row>
    <row r="2608">
      <c r="A2608" t="inlineStr">
        <is>
          <t>LIP_DSPE_PEG2000</t>
        </is>
      </c>
      <c r="B2608" t="inlineStr">
        <is>
          <t>ionizable_flag</t>
        </is>
      </c>
      <c r="C2608" t="inlineStr">
        <is>
          <t>no</t>
        </is>
      </c>
      <c r="D2608"/>
      <c r="E2608"/>
      <c r="F2608"/>
      <c r="G2608" t="inlineStr">
        <is>
          <t>role annotation</t>
        </is>
      </c>
      <c r="H2608" t="inlineStr">
        <is>
          <t>S014_AULTON</t>
        </is>
      </c>
      <c r="I2608" t="inlineStr">
        <is>
          <t>curated</t>
        </is>
      </c>
      <c r="J2608">
        <v>0.85</v>
      </c>
      <c r="K2608"/>
    </row>
    <row r="2609">
      <c r="A2609" t="inlineStr">
        <is>
          <t>LIP_DSPE_PEG2000</t>
        </is>
      </c>
      <c r="B2609" t="inlineStr">
        <is>
          <t>route_suitability</t>
        </is>
      </c>
      <c r="C2609" t="inlineStr">
        <is>
          <t>liposome/LNP; route depends on purity, grade, residual solvents/endotoxin</t>
        </is>
      </c>
      <c r="D2609"/>
      <c r="E2609"/>
      <c r="F2609"/>
      <c r="G2609" t="inlineStr">
        <is>
          <t>route precedent caution</t>
        </is>
      </c>
      <c r="H2609" t="inlineStr">
        <is>
          <t>S008_FDA_IID</t>
        </is>
      </c>
      <c r="I2609" t="inlineStr">
        <is>
          <t>curated</t>
        </is>
      </c>
      <c r="J2609">
        <v>0.55</v>
      </c>
      <c r="K2609"/>
    </row>
    <row r="2610">
      <c r="A2610" t="inlineStr">
        <is>
          <t>LIP_DSPE_PEG2000</t>
        </is>
      </c>
      <c r="B2610" t="inlineStr">
        <is>
          <t>storage_notes</t>
        </is>
      </c>
      <c r="C2610" t="inlineStr">
        <is>
          <t>store cold, dry, inert gas; protect unsaturated/ionizable lipids from oxidation/hydrolysis</t>
        </is>
      </c>
      <c r="D2610"/>
      <c r="E2610"/>
      <c r="F2610"/>
      <c r="G2610" t="inlineStr">
        <is>
          <t>supplier stability convention</t>
        </is>
      </c>
      <c r="H2610" t="inlineStr">
        <is>
          <t>S003_AVANTI_PHASE</t>
        </is>
      </c>
      <c r="I2610" t="inlineStr">
        <is>
          <t>curated</t>
        </is>
      </c>
      <c r="J2610">
        <v>0.7</v>
      </c>
      <c r="K2610"/>
    </row>
    <row r="2611">
      <c r="A2611" t="inlineStr">
        <is>
          <t>LIP_DSPE_PEG2000</t>
        </is>
      </c>
      <c r="B2611" t="inlineStr">
        <is>
          <t>Hansen_delta_D</t>
        </is>
      </c>
      <c r="C2611">
        <v>17.5</v>
      </c>
      <c r="D2611" t="inlineStr">
        <is>
          <t>MPa^0.5</t>
        </is>
      </c>
      <c r="E2611"/>
      <c r="F2611"/>
      <c r="G2611" t="inlineStr">
        <is>
          <t>heuristic group-contribution/nearest-neighbour</t>
        </is>
      </c>
      <c r="H2611" t="inlineStr">
        <is>
          <t>S013_EST_HSP_HEURISTIC</t>
        </is>
      </c>
      <c r="I2611" t="inlineStr">
        <is>
          <t>estimated</t>
        </is>
      </c>
      <c r="J2611">
        <v>0.38</v>
      </c>
      <c r="K2611" t="inlineStr">
        <is>
          <t>Provisional HSP for screening; replace with experimental/literature value before model lock.</t>
        </is>
      </c>
    </row>
    <row r="2612">
      <c r="A2612" t="inlineStr">
        <is>
          <t>LIP_DSPE_PEG2000</t>
        </is>
      </c>
      <c r="B2612" t="inlineStr">
        <is>
          <t>Hansen_delta_P</t>
        </is>
      </c>
      <c r="C2612">
        <v>7.5</v>
      </c>
      <c r="D2612" t="inlineStr">
        <is>
          <t>MPa^0.5</t>
        </is>
      </c>
      <c r="E2612"/>
      <c r="F2612"/>
      <c r="G2612" t="inlineStr">
        <is>
          <t>heuristic group-contribution/nearest-neighbour</t>
        </is>
      </c>
      <c r="H2612" t="inlineStr">
        <is>
          <t>S013_EST_HSP_HEURISTIC</t>
        </is>
      </c>
      <c r="I2612" t="inlineStr">
        <is>
          <t>estimated</t>
        </is>
      </c>
      <c r="J2612">
        <v>0.38</v>
      </c>
      <c r="K2612" t="inlineStr">
        <is>
          <t>Provisional HSP for screening; replace with experimental/literature value before model lock.</t>
        </is>
      </c>
    </row>
    <row r="2613">
      <c r="A2613" t="inlineStr">
        <is>
          <t>LIP_DSPE_PEG2000</t>
        </is>
      </c>
      <c r="B2613" t="inlineStr">
        <is>
          <t>Hansen_delta_H</t>
        </is>
      </c>
      <c r="C2613">
        <v>8.0</v>
      </c>
      <c r="D2613" t="inlineStr">
        <is>
          <t>MPa^0.5</t>
        </is>
      </c>
      <c r="E2613"/>
      <c r="F2613"/>
      <c r="G2613" t="inlineStr">
        <is>
          <t>heuristic group-contribution/nearest-neighbour</t>
        </is>
      </c>
      <c r="H2613" t="inlineStr">
        <is>
          <t>S013_EST_HSP_HEURISTIC</t>
        </is>
      </c>
      <c r="I2613" t="inlineStr">
        <is>
          <t>estimated</t>
        </is>
      </c>
      <c r="J2613">
        <v>0.38</v>
      </c>
      <c r="K2613" t="inlineStr">
        <is>
          <t>Provisional HSP for screening; replace with experimental/literature value before model lock.</t>
        </is>
      </c>
    </row>
    <row r="2614">
      <c r="A2614" t="inlineStr">
        <is>
          <t>LIP_DSPE_PEG2000</t>
        </is>
      </c>
      <c r="B2614" t="inlineStr">
        <is>
          <t>Hildebrand_delta_T</t>
        </is>
      </c>
      <c r="C2614">
        <v>20.65</v>
      </c>
      <c r="D2614" t="inlineStr">
        <is>
          <t>MPa^0.5</t>
        </is>
      </c>
      <c r="E2614"/>
      <c r="F2614"/>
      <c r="G2614" t="inlineStr">
        <is>
          <t>sqrt(deltaD^2+deltaP^2+deltaH^2)</t>
        </is>
      </c>
      <c r="H2614" t="inlineStr">
        <is>
          <t>S012_CALCULATED</t>
        </is>
      </c>
      <c r="I2614" t="inlineStr">
        <is>
          <t>calculated</t>
        </is>
      </c>
      <c r="J2614">
        <v>0.43</v>
      </c>
      <c r="K2614" t="inlineStr">
        <is>
          <t>Derived from stored Hansen components.</t>
        </is>
      </c>
    </row>
    <row r="2615">
      <c r="A2615" t="inlineStr">
        <is>
          <t>LIP_DSPE_PEG2000</t>
        </is>
      </c>
      <c r="B2615" t="inlineStr">
        <is>
          <t>HSP_radius_R0</t>
        </is>
      </c>
      <c r="C2615">
        <v>8.0</v>
      </c>
      <c r="D2615" t="inlineStr">
        <is>
          <t>MPa^0.5</t>
        </is>
      </c>
      <c r="E2615"/>
      <c r="F2615"/>
      <c r="G2615" t="inlineStr">
        <is>
          <t>literature/heuristic solubility sphere</t>
        </is>
      </c>
      <c r="H2615" t="inlineStr">
        <is>
          <t>S013_EST_HSP_HEURISTIC</t>
        </is>
      </c>
      <c r="I2615" t="inlineStr">
        <is>
          <t>estimated</t>
        </is>
      </c>
      <c r="J2615">
        <v>0.38</v>
      </c>
      <c r="K2615" t="inlineStr">
        <is>
          <t>Screening radius only unless experimentally determined.</t>
        </is>
      </c>
    </row>
    <row r="2616">
      <c r="A2616" t="inlineStr">
        <is>
          <t>LIP_DSPE_PEG2000</t>
        </is>
      </c>
      <c r="B2616" t="inlineStr">
        <is>
          <t>molar_volume_cm3_mol</t>
        </is>
      </c>
      <c r="C2616">
        <v>2805.0</v>
      </c>
      <c r="D2616" t="inlineStr">
        <is>
          <t>cm3/mol</t>
        </is>
      </c>
      <c r="E2616"/>
      <c r="F2616"/>
      <c r="G2616" t="inlineStr">
        <is>
          <t>MW/density estimate</t>
        </is>
      </c>
      <c r="H2616" t="inlineStr">
        <is>
          <t>S012_CALCULATED</t>
        </is>
      </c>
      <c r="I2616" t="inlineStr">
        <is>
          <t>estimated</t>
        </is>
      </c>
      <c r="J2616">
        <v>0.42</v>
      </c>
      <c r="K2616" t="inlineStr">
        <is>
          <t>Estimated from MW/density; replace with measured molar volume or density-specific grade data.</t>
        </is>
      </c>
    </row>
    <row r="2617">
      <c r="A2617" t="inlineStr">
        <is>
          <t>LIP_DSPE_PEG2000</t>
        </is>
      </c>
      <c r="B2617" t="inlineStr">
        <is>
          <t>headgroup_area_nm2</t>
        </is>
      </c>
      <c r="C2617">
        <v>0.7</v>
      </c>
      <c r="D2617" t="inlineStr">
        <is>
          <t>nm2</t>
        </is>
      </c>
      <c r="E2617"/>
      <c r="F2617"/>
      <c r="G2617" t="inlineStr">
        <is>
          <t>literature/MD heuristic</t>
        </is>
      </c>
      <c r="H2617" t="inlineStr">
        <is>
          <t>S013_EST_HSP_HEURISTIC</t>
        </is>
      </c>
      <c r="I2617" t="inlineStr">
        <is>
          <t>estimated</t>
        </is>
      </c>
      <c r="J2617">
        <v>0.35</v>
      </c>
      <c r="K2617" t="inlineStr">
        <is>
          <t>Area per lipid varies with phase, temperature, cholesterol, hydration, and force field.</t>
        </is>
      </c>
    </row>
    <row r="2618">
      <c r="A2618" t="inlineStr">
        <is>
          <t>LIP_DSPE_PEG5000</t>
        </is>
      </c>
      <c r="B2618" t="inlineStr">
        <is>
          <t>molecular_weight_g_mol</t>
        </is>
      </c>
      <c r="C2618">
        <v>5805</v>
      </c>
      <c r="D2618" t="inlineStr">
        <is>
          <t>g/mol</t>
        </is>
      </c>
      <c r="E2618"/>
      <c r="F2618"/>
      <c r="G2618" t="inlineStr">
        <is>
          <t>LIPID MAPS/supplier formula or average grade MW</t>
        </is>
      </c>
      <c r="H2618" t="inlineStr">
        <is>
          <t>S004_LIPIDMAPS</t>
        </is>
      </c>
      <c r="I2618" t="inlineStr">
        <is>
          <t>database-derived</t>
        </is>
      </c>
      <c r="J2618">
        <v>0.78</v>
      </c>
      <c r="K2618"/>
    </row>
    <row r="2619">
      <c r="A2619" t="inlineStr">
        <is>
          <t>LIP_DSPE_PEG5000</t>
        </is>
      </c>
      <c r="B2619" t="inlineStr">
        <is>
          <t>lipid_class</t>
        </is>
      </c>
      <c r="C2619" t="inlineStr">
        <is>
          <t>PEGylated lipid</t>
        </is>
      </c>
      <c r="D2619"/>
      <c r="E2619"/>
      <c r="F2619"/>
      <c r="G2619" t="inlineStr">
        <is>
          <t>lipid class annotation</t>
        </is>
      </c>
      <c r="H2619" t="inlineStr">
        <is>
          <t>S003_AVANTI_PHASE</t>
        </is>
      </c>
      <c r="I2619" t="inlineStr">
        <is>
          <t>curated</t>
        </is>
      </c>
      <c r="J2619">
        <v>0.85</v>
      </c>
      <c r="K2619"/>
    </row>
    <row r="2620">
      <c r="A2620" t="inlineStr">
        <is>
          <t>LIP_DSPE_PEG5000</t>
        </is>
      </c>
      <c r="B2620" t="inlineStr">
        <is>
          <t>headgroup_type</t>
        </is>
      </c>
      <c r="C2620" t="inlineStr">
        <is>
          <t>PEG-lipid</t>
        </is>
      </c>
      <c r="D2620"/>
      <c r="E2620"/>
      <c r="F2620"/>
      <c r="G2620" t="inlineStr">
        <is>
          <t>headgroup annotation</t>
        </is>
      </c>
      <c r="H2620" t="inlineStr">
        <is>
          <t>S003_AVANTI_PHASE</t>
        </is>
      </c>
      <c r="I2620" t="inlineStr">
        <is>
          <t>curated</t>
        </is>
      </c>
      <c r="J2620">
        <v>0.85</v>
      </c>
      <c r="K2620"/>
    </row>
    <row r="2621">
      <c r="A2621" t="inlineStr">
        <is>
          <t>LIP_DSPE_PEG5000</t>
        </is>
      </c>
      <c r="B2621" t="inlineStr">
        <is>
          <t>charge_type</t>
        </is>
      </c>
      <c r="C2621" t="inlineStr">
        <is>
          <t>neutral</t>
        </is>
      </c>
      <c r="D2621"/>
      <c r="E2621"/>
      <c r="F2621"/>
      <c r="G2621" t="inlineStr">
        <is>
          <t>nominal at pH 7.4</t>
        </is>
      </c>
      <c r="H2621" t="inlineStr">
        <is>
          <t>S003_AVANTI_PHASE</t>
        </is>
      </c>
      <c r="I2621" t="inlineStr">
        <is>
          <t>curated</t>
        </is>
      </c>
      <c r="J2621">
        <v>0.85</v>
      </c>
      <c r="K2621"/>
    </row>
    <row r="2622">
      <c r="A2622" t="inlineStr">
        <is>
          <t>LIP_DSPE_PEG5000</t>
        </is>
      </c>
      <c r="B2622" t="inlineStr">
        <is>
          <t>formal_charge</t>
        </is>
      </c>
      <c r="C2622">
        <v>0</v>
      </c>
      <c r="D2622" t="inlineStr">
        <is>
          <t>e</t>
        </is>
      </c>
      <c r="E2622"/>
      <c r="F2622"/>
      <c r="G2622" t="inlineStr">
        <is>
          <t>nominal at pH 7.4</t>
        </is>
      </c>
      <c r="H2622" t="inlineStr">
        <is>
          <t>S003_AVANTI_PHASE</t>
        </is>
      </c>
      <c r="I2622" t="inlineStr">
        <is>
          <t>curated</t>
        </is>
      </c>
      <c r="J2622">
        <v>0.85</v>
      </c>
      <c r="K2622"/>
    </row>
    <row r="2623">
      <c r="A2623" t="inlineStr">
        <is>
          <t>LIP_DSPE_PEG5000</t>
        </is>
      </c>
      <c r="B2623" t="inlineStr">
        <is>
          <t>tail_1_carbons</t>
        </is>
      </c>
      <c r="C2623">
        <v>18</v>
      </c>
      <c r="D2623" t="inlineStr">
        <is>
          <t>count</t>
        </is>
      </c>
      <c r="E2623"/>
      <c r="F2623"/>
      <c r="G2623" t="inlineStr">
        <is>
          <t>lipid shorthand annotation</t>
        </is>
      </c>
      <c r="H2623" t="inlineStr">
        <is>
          <t>S003_AVANTI_PHASE</t>
        </is>
      </c>
      <c r="I2623" t="inlineStr">
        <is>
          <t>curated</t>
        </is>
      </c>
      <c r="J2623">
        <v>0.86</v>
      </c>
      <c r="K2623"/>
    </row>
    <row r="2624">
      <c r="A2624" t="inlineStr">
        <is>
          <t>LIP_DSPE_PEG5000</t>
        </is>
      </c>
      <c r="B2624" t="inlineStr">
        <is>
          <t>tail_1_unsaturation</t>
        </is>
      </c>
      <c r="C2624">
        <v>0</v>
      </c>
      <c r="D2624" t="inlineStr">
        <is>
          <t>double_bonds</t>
        </is>
      </c>
      <c r="E2624"/>
      <c r="F2624"/>
      <c r="G2624" t="inlineStr">
        <is>
          <t>lipid shorthand annotation</t>
        </is>
      </c>
      <c r="H2624" t="inlineStr">
        <is>
          <t>S003_AVANTI_PHASE</t>
        </is>
      </c>
      <c r="I2624" t="inlineStr">
        <is>
          <t>curated</t>
        </is>
      </c>
      <c r="J2624">
        <v>0.86</v>
      </c>
      <c r="K2624"/>
    </row>
    <row r="2625">
      <c r="A2625" t="inlineStr">
        <is>
          <t>LIP_DSPE_PEG5000</t>
        </is>
      </c>
      <c r="B2625" t="inlineStr">
        <is>
          <t>tail_2_carbons</t>
        </is>
      </c>
      <c r="C2625">
        <v>18</v>
      </c>
      <c r="D2625" t="inlineStr">
        <is>
          <t>count</t>
        </is>
      </c>
      <c r="E2625"/>
      <c r="F2625"/>
      <c r="G2625" t="inlineStr">
        <is>
          <t>lipid shorthand annotation</t>
        </is>
      </c>
      <c r="H2625" t="inlineStr">
        <is>
          <t>S003_AVANTI_PHASE</t>
        </is>
      </c>
      <c r="I2625" t="inlineStr">
        <is>
          <t>curated</t>
        </is>
      </c>
      <c r="J2625">
        <v>0.86</v>
      </c>
      <c r="K2625"/>
    </row>
    <row r="2626">
      <c r="A2626" t="inlineStr">
        <is>
          <t>LIP_DSPE_PEG5000</t>
        </is>
      </c>
      <c r="B2626" t="inlineStr">
        <is>
          <t>tail_2_unsaturation</t>
        </is>
      </c>
      <c r="C2626">
        <v>0</v>
      </c>
      <c r="D2626" t="inlineStr">
        <is>
          <t>double_bonds</t>
        </is>
      </c>
      <c r="E2626"/>
      <c r="F2626"/>
      <c r="G2626" t="inlineStr">
        <is>
          <t>lipid shorthand annotation</t>
        </is>
      </c>
      <c r="H2626" t="inlineStr">
        <is>
          <t>S003_AVANTI_PHASE</t>
        </is>
      </c>
      <c r="I2626" t="inlineStr">
        <is>
          <t>curated</t>
        </is>
      </c>
      <c r="J2626">
        <v>0.86</v>
      </c>
      <c r="K2626"/>
    </row>
    <row r="2627">
      <c r="A2627" t="inlineStr">
        <is>
          <t>LIP_DSPE_PEG5000</t>
        </is>
      </c>
      <c r="B2627" t="inlineStr">
        <is>
          <t>number_of_tails</t>
        </is>
      </c>
      <c r="C2627">
        <v>2</v>
      </c>
      <c r="D2627" t="inlineStr">
        <is>
          <t>count</t>
        </is>
      </c>
      <c r="E2627"/>
      <c r="F2627"/>
      <c r="G2627" t="inlineStr">
        <is>
          <t>lipid shorthand annotation</t>
        </is>
      </c>
      <c r="H2627" t="inlineStr">
        <is>
          <t>S003_AVANTI_PHASE</t>
        </is>
      </c>
      <c r="I2627" t="inlineStr">
        <is>
          <t>curated</t>
        </is>
      </c>
      <c r="J2627">
        <v>0.86</v>
      </c>
      <c r="K2627"/>
    </row>
    <row r="2628">
      <c r="A2628" t="inlineStr">
        <is>
          <t>LIP_DSPE_PEG5000</t>
        </is>
      </c>
      <c r="B2628" t="inlineStr">
        <is>
          <t>critical_packing_notes</t>
        </is>
      </c>
      <c r="C2628" t="inlineStr">
        <is>
          <t>bilayer-forming cylindrical lipid</t>
        </is>
      </c>
      <c r="D2628"/>
      <c r="E2628"/>
      <c r="F2628"/>
      <c r="G2628" t="inlineStr">
        <is>
          <t>CPP heuristic</t>
        </is>
      </c>
      <c r="H2628" t="inlineStr">
        <is>
          <t>S014_AULTON</t>
        </is>
      </c>
      <c r="I2628" t="inlineStr">
        <is>
          <t>curated</t>
        </is>
      </c>
      <c r="J2628">
        <v>0.65</v>
      </c>
      <c r="K2628"/>
    </row>
    <row r="2629">
      <c r="A2629" t="inlineStr">
        <is>
          <t>LIP_DSPE_PEG5000</t>
        </is>
      </c>
      <c r="B2629" t="inlineStr">
        <is>
          <t>membrane_rigidity_contribution</t>
        </is>
      </c>
      <c r="C2629" t="inlineStr">
        <is>
          <t>moderate</t>
        </is>
      </c>
      <c r="D2629"/>
      <c r="E2629"/>
      <c r="F2629"/>
      <c r="G2629" t="inlineStr">
        <is>
          <t>Tm and unsaturation heuristic</t>
        </is>
      </c>
      <c r="H2629" t="inlineStr">
        <is>
          <t>S003_AVANTI_PHASE</t>
        </is>
      </c>
      <c r="I2629" t="inlineStr">
        <is>
          <t>curated</t>
        </is>
      </c>
      <c r="J2629">
        <v>0.65</v>
      </c>
      <c r="K2629"/>
    </row>
    <row r="2630">
      <c r="A2630" t="inlineStr">
        <is>
          <t>LIP_DSPE_PEG5000</t>
        </is>
      </c>
      <c r="B2630" t="inlineStr">
        <is>
          <t>fusogenic_flag</t>
        </is>
      </c>
      <c r="C2630" t="inlineStr">
        <is>
          <t>no</t>
        </is>
      </c>
      <c r="D2630"/>
      <c r="E2630"/>
      <c r="F2630"/>
      <c r="G2630" t="inlineStr">
        <is>
          <t>role annotation</t>
        </is>
      </c>
      <c r="H2630" t="inlineStr">
        <is>
          <t>S014_AULTON</t>
        </is>
      </c>
      <c r="I2630" t="inlineStr">
        <is>
          <t>curated</t>
        </is>
      </c>
      <c r="J2630">
        <v>0.7</v>
      </c>
      <c r="K2630"/>
    </row>
    <row r="2631">
      <c r="A2631" t="inlineStr">
        <is>
          <t>LIP_DSPE_PEG5000</t>
        </is>
      </c>
      <c r="B2631" t="inlineStr">
        <is>
          <t>PEGylated_flag</t>
        </is>
      </c>
      <c r="C2631" t="inlineStr">
        <is>
          <t>yes</t>
        </is>
      </c>
      <c r="D2631"/>
      <c r="E2631"/>
      <c r="F2631"/>
      <c r="G2631" t="inlineStr">
        <is>
          <t>role annotation</t>
        </is>
      </c>
      <c r="H2631" t="inlineStr">
        <is>
          <t>S014_AULTON</t>
        </is>
      </c>
      <c r="I2631" t="inlineStr">
        <is>
          <t>curated</t>
        </is>
      </c>
      <c r="J2631">
        <v>0.85</v>
      </c>
      <c r="K2631"/>
    </row>
    <row r="2632">
      <c r="A2632" t="inlineStr">
        <is>
          <t>LIP_DSPE_PEG5000</t>
        </is>
      </c>
      <c r="B2632" t="inlineStr">
        <is>
          <t>ionizable_flag</t>
        </is>
      </c>
      <c r="C2632" t="inlineStr">
        <is>
          <t>no</t>
        </is>
      </c>
      <c r="D2632"/>
      <c r="E2632"/>
      <c r="F2632"/>
      <c r="G2632" t="inlineStr">
        <is>
          <t>role annotation</t>
        </is>
      </c>
      <c r="H2632" t="inlineStr">
        <is>
          <t>S014_AULTON</t>
        </is>
      </c>
      <c r="I2632" t="inlineStr">
        <is>
          <t>curated</t>
        </is>
      </c>
      <c r="J2632">
        <v>0.85</v>
      </c>
      <c r="K2632"/>
    </row>
    <row r="2633">
      <c r="A2633" t="inlineStr">
        <is>
          <t>LIP_DSPE_PEG5000</t>
        </is>
      </c>
      <c r="B2633" t="inlineStr">
        <is>
          <t>route_suitability</t>
        </is>
      </c>
      <c r="C2633" t="inlineStr">
        <is>
          <t>liposome/LNP; route depends on purity, grade, residual solvents/endotoxin</t>
        </is>
      </c>
      <c r="D2633"/>
      <c r="E2633"/>
      <c r="F2633"/>
      <c r="G2633" t="inlineStr">
        <is>
          <t>route precedent caution</t>
        </is>
      </c>
      <c r="H2633" t="inlineStr">
        <is>
          <t>S008_FDA_IID</t>
        </is>
      </c>
      <c r="I2633" t="inlineStr">
        <is>
          <t>curated</t>
        </is>
      </c>
      <c r="J2633">
        <v>0.55</v>
      </c>
      <c r="K2633"/>
    </row>
    <row r="2634">
      <c r="A2634" t="inlineStr">
        <is>
          <t>LIP_DSPE_PEG5000</t>
        </is>
      </c>
      <c r="B2634" t="inlineStr">
        <is>
          <t>storage_notes</t>
        </is>
      </c>
      <c r="C2634" t="inlineStr">
        <is>
          <t>store cold, dry, inert gas; protect unsaturated/ionizable lipids from oxidation/hydrolysis</t>
        </is>
      </c>
      <c r="D2634"/>
      <c r="E2634"/>
      <c r="F2634"/>
      <c r="G2634" t="inlineStr">
        <is>
          <t>supplier stability convention</t>
        </is>
      </c>
      <c r="H2634" t="inlineStr">
        <is>
          <t>S003_AVANTI_PHASE</t>
        </is>
      </c>
      <c r="I2634" t="inlineStr">
        <is>
          <t>curated</t>
        </is>
      </c>
      <c r="J2634">
        <v>0.7</v>
      </c>
      <c r="K2634"/>
    </row>
    <row r="2635">
      <c r="A2635" t="inlineStr">
        <is>
          <t>LIP_DSPE_PEG5000</t>
        </is>
      </c>
      <c r="B2635" t="inlineStr">
        <is>
          <t>Hansen_delta_D</t>
        </is>
      </c>
      <c r="C2635">
        <v>17.5</v>
      </c>
      <c r="D2635" t="inlineStr">
        <is>
          <t>MPa^0.5</t>
        </is>
      </c>
      <c r="E2635"/>
      <c r="F2635"/>
      <c r="G2635" t="inlineStr">
        <is>
          <t>heuristic group-contribution/nearest-neighbour</t>
        </is>
      </c>
      <c r="H2635" t="inlineStr">
        <is>
          <t>S013_EST_HSP_HEURISTIC</t>
        </is>
      </c>
      <c r="I2635" t="inlineStr">
        <is>
          <t>estimated</t>
        </is>
      </c>
      <c r="J2635">
        <v>0.38</v>
      </c>
      <c r="K2635" t="inlineStr">
        <is>
          <t>Provisional HSP for screening; replace with experimental/literature value before model lock.</t>
        </is>
      </c>
    </row>
    <row r="2636">
      <c r="A2636" t="inlineStr">
        <is>
          <t>LIP_DSPE_PEG5000</t>
        </is>
      </c>
      <c r="B2636" t="inlineStr">
        <is>
          <t>Hansen_delta_P</t>
        </is>
      </c>
      <c r="C2636">
        <v>7.5</v>
      </c>
      <c r="D2636" t="inlineStr">
        <is>
          <t>MPa^0.5</t>
        </is>
      </c>
      <c r="E2636"/>
      <c r="F2636"/>
      <c r="G2636" t="inlineStr">
        <is>
          <t>heuristic group-contribution/nearest-neighbour</t>
        </is>
      </c>
      <c r="H2636" t="inlineStr">
        <is>
          <t>S013_EST_HSP_HEURISTIC</t>
        </is>
      </c>
      <c r="I2636" t="inlineStr">
        <is>
          <t>estimated</t>
        </is>
      </c>
      <c r="J2636">
        <v>0.38</v>
      </c>
      <c r="K2636" t="inlineStr">
        <is>
          <t>Provisional HSP for screening; replace with experimental/literature value before model lock.</t>
        </is>
      </c>
    </row>
    <row r="2637">
      <c r="A2637" t="inlineStr">
        <is>
          <t>LIP_DSPE_PEG5000</t>
        </is>
      </c>
      <c r="B2637" t="inlineStr">
        <is>
          <t>Hansen_delta_H</t>
        </is>
      </c>
      <c r="C2637">
        <v>8.0</v>
      </c>
      <c r="D2637" t="inlineStr">
        <is>
          <t>MPa^0.5</t>
        </is>
      </c>
      <c r="E2637"/>
      <c r="F2637"/>
      <c r="G2637" t="inlineStr">
        <is>
          <t>heuristic group-contribution/nearest-neighbour</t>
        </is>
      </c>
      <c r="H2637" t="inlineStr">
        <is>
          <t>S013_EST_HSP_HEURISTIC</t>
        </is>
      </c>
      <c r="I2637" t="inlineStr">
        <is>
          <t>estimated</t>
        </is>
      </c>
      <c r="J2637">
        <v>0.38</v>
      </c>
      <c r="K2637" t="inlineStr">
        <is>
          <t>Provisional HSP for screening; replace with experimental/literature value before model lock.</t>
        </is>
      </c>
    </row>
    <row r="2638">
      <c r="A2638" t="inlineStr">
        <is>
          <t>LIP_DSPE_PEG5000</t>
        </is>
      </c>
      <c r="B2638" t="inlineStr">
        <is>
          <t>Hildebrand_delta_T</t>
        </is>
      </c>
      <c r="C2638">
        <v>20.65</v>
      </c>
      <c r="D2638" t="inlineStr">
        <is>
          <t>MPa^0.5</t>
        </is>
      </c>
      <c r="E2638"/>
      <c r="F2638"/>
      <c r="G2638" t="inlineStr">
        <is>
          <t>sqrt(deltaD^2+deltaP^2+deltaH^2)</t>
        </is>
      </c>
      <c r="H2638" t="inlineStr">
        <is>
          <t>S012_CALCULATED</t>
        </is>
      </c>
      <c r="I2638" t="inlineStr">
        <is>
          <t>calculated</t>
        </is>
      </c>
      <c r="J2638">
        <v>0.43</v>
      </c>
      <c r="K2638" t="inlineStr">
        <is>
          <t>Derived from stored Hansen components.</t>
        </is>
      </c>
    </row>
    <row r="2639">
      <c r="A2639" t="inlineStr">
        <is>
          <t>LIP_DSPE_PEG5000</t>
        </is>
      </c>
      <c r="B2639" t="inlineStr">
        <is>
          <t>HSP_radius_R0</t>
        </is>
      </c>
      <c r="C2639">
        <v>8.0</v>
      </c>
      <c r="D2639" t="inlineStr">
        <is>
          <t>MPa^0.5</t>
        </is>
      </c>
      <c r="E2639"/>
      <c r="F2639"/>
      <c r="G2639" t="inlineStr">
        <is>
          <t>literature/heuristic solubility sphere</t>
        </is>
      </c>
      <c r="H2639" t="inlineStr">
        <is>
          <t>S013_EST_HSP_HEURISTIC</t>
        </is>
      </c>
      <c r="I2639" t="inlineStr">
        <is>
          <t>estimated</t>
        </is>
      </c>
      <c r="J2639">
        <v>0.38</v>
      </c>
      <c r="K2639" t="inlineStr">
        <is>
          <t>Screening radius only unless experimentally determined.</t>
        </is>
      </c>
    </row>
    <row r="2640">
      <c r="A2640" t="inlineStr">
        <is>
          <t>LIP_DSPE_PEG5000</t>
        </is>
      </c>
      <c r="B2640" t="inlineStr">
        <is>
          <t>molar_volume_cm3_mol</t>
        </is>
      </c>
      <c r="C2640">
        <v>5805.0</v>
      </c>
      <c r="D2640" t="inlineStr">
        <is>
          <t>cm3/mol</t>
        </is>
      </c>
      <c r="E2640"/>
      <c r="F2640"/>
      <c r="G2640" t="inlineStr">
        <is>
          <t>MW/density estimate</t>
        </is>
      </c>
      <c r="H2640" t="inlineStr">
        <is>
          <t>S012_CALCULATED</t>
        </is>
      </c>
      <c r="I2640" t="inlineStr">
        <is>
          <t>estimated</t>
        </is>
      </c>
      <c r="J2640">
        <v>0.42</v>
      </c>
      <c r="K2640" t="inlineStr">
        <is>
          <t>Estimated from MW/density; replace with measured molar volume or density-specific grade data.</t>
        </is>
      </c>
    </row>
    <row r="2641">
      <c r="A2641" t="inlineStr">
        <is>
          <t>LIP_DSPE_PEG5000</t>
        </is>
      </c>
      <c r="B2641" t="inlineStr">
        <is>
          <t>headgroup_area_nm2</t>
        </is>
      </c>
      <c r="C2641">
        <v>0.7</v>
      </c>
      <c r="D2641" t="inlineStr">
        <is>
          <t>nm2</t>
        </is>
      </c>
      <c r="E2641"/>
      <c r="F2641"/>
      <c r="G2641" t="inlineStr">
        <is>
          <t>literature/MD heuristic</t>
        </is>
      </c>
      <c r="H2641" t="inlineStr">
        <is>
          <t>S013_EST_HSP_HEURISTIC</t>
        </is>
      </c>
      <c r="I2641" t="inlineStr">
        <is>
          <t>estimated</t>
        </is>
      </c>
      <c r="J2641">
        <v>0.35</v>
      </c>
      <c r="K2641" t="inlineStr">
        <is>
          <t>Area per lipid varies with phase, temperature, cholesterol, hydration, and force field.</t>
        </is>
      </c>
    </row>
    <row r="2642">
      <c r="A2642" t="inlineStr">
        <is>
          <t>LIP_DMG_PEG2000</t>
        </is>
      </c>
      <c r="B2642" t="inlineStr">
        <is>
          <t>molecular_weight_g_mol</t>
        </is>
      </c>
      <c r="C2642">
        <v>2509</v>
      </c>
      <c r="D2642" t="inlineStr">
        <is>
          <t>g/mol</t>
        </is>
      </c>
      <c r="E2642"/>
      <c r="F2642"/>
      <c r="G2642" t="inlineStr">
        <is>
          <t>LIPID MAPS/supplier formula or average grade MW</t>
        </is>
      </c>
      <c r="H2642" t="inlineStr">
        <is>
          <t>S004_LIPIDMAPS</t>
        </is>
      </c>
      <c r="I2642" t="inlineStr">
        <is>
          <t>database-derived</t>
        </is>
      </c>
      <c r="J2642">
        <v>0.78</v>
      </c>
      <c r="K2642"/>
    </row>
    <row r="2643">
      <c r="A2643" t="inlineStr">
        <is>
          <t>LIP_DMG_PEG2000</t>
        </is>
      </c>
      <c r="B2643" t="inlineStr">
        <is>
          <t>lipid_class</t>
        </is>
      </c>
      <c r="C2643" t="inlineStr">
        <is>
          <t>PEGylated lipid</t>
        </is>
      </c>
      <c r="D2643"/>
      <c r="E2643"/>
      <c r="F2643"/>
      <c r="G2643" t="inlineStr">
        <is>
          <t>lipid class annotation</t>
        </is>
      </c>
      <c r="H2643" t="inlineStr">
        <is>
          <t>S003_AVANTI_PHASE</t>
        </is>
      </c>
      <c r="I2643" t="inlineStr">
        <is>
          <t>curated</t>
        </is>
      </c>
      <c r="J2643">
        <v>0.85</v>
      </c>
      <c r="K2643"/>
    </row>
    <row r="2644">
      <c r="A2644" t="inlineStr">
        <is>
          <t>LIP_DMG_PEG2000</t>
        </is>
      </c>
      <c r="B2644" t="inlineStr">
        <is>
          <t>headgroup_type</t>
        </is>
      </c>
      <c r="C2644" t="inlineStr">
        <is>
          <t>PEG-lipid</t>
        </is>
      </c>
      <c r="D2644"/>
      <c r="E2644"/>
      <c r="F2644"/>
      <c r="G2644" t="inlineStr">
        <is>
          <t>headgroup annotation</t>
        </is>
      </c>
      <c r="H2644" t="inlineStr">
        <is>
          <t>S003_AVANTI_PHASE</t>
        </is>
      </c>
      <c r="I2644" t="inlineStr">
        <is>
          <t>curated</t>
        </is>
      </c>
      <c r="J2644">
        <v>0.85</v>
      </c>
      <c r="K2644"/>
    </row>
    <row r="2645">
      <c r="A2645" t="inlineStr">
        <is>
          <t>LIP_DMG_PEG2000</t>
        </is>
      </c>
      <c r="B2645" t="inlineStr">
        <is>
          <t>charge_type</t>
        </is>
      </c>
      <c r="C2645" t="inlineStr">
        <is>
          <t>neutral</t>
        </is>
      </c>
      <c r="D2645"/>
      <c r="E2645"/>
      <c r="F2645"/>
      <c r="G2645" t="inlineStr">
        <is>
          <t>nominal at pH 7.4</t>
        </is>
      </c>
      <c r="H2645" t="inlineStr">
        <is>
          <t>S003_AVANTI_PHASE</t>
        </is>
      </c>
      <c r="I2645" t="inlineStr">
        <is>
          <t>curated</t>
        </is>
      </c>
      <c r="J2645">
        <v>0.85</v>
      </c>
      <c r="K2645"/>
    </row>
    <row r="2646">
      <c r="A2646" t="inlineStr">
        <is>
          <t>LIP_DMG_PEG2000</t>
        </is>
      </c>
      <c r="B2646" t="inlineStr">
        <is>
          <t>formal_charge</t>
        </is>
      </c>
      <c r="C2646">
        <v>0</v>
      </c>
      <c r="D2646" t="inlineStr">
        <is>
          <t>e</t>
        </is>
      </c>
      <c r="E2646"/>
      <c r="F2646"/>
      <c r="G2646" t="inlineStr">
        <is>
          <t>nominal at pH 7.4</t>
        </is>
      </c>
      <c r="H2646" t="inlineStr">
        <is>
          <t>S003_AVANTI_PHASE</t>
        </is>
      </c>
      <c r="I2646" t="inlineStr">
        <is>
          <t>curated</t>
        </is>
      </c>
      <c r="J2646">
        <v>0.85</v>
      </c>
      <c r="K2646"/>
    </row>
    <row r="2647">
      <c r="A2647" t="inlineStr">
        <is>
          <t>LIP_DMG_PEG2000</t>
        </is>
      </c>
      <c r="B2647" t="inlineStr">
        <is>
          <t>tail_1_carbons</t>
        </is>
      </c>
      <c r="C2647">
        <v>14</v>
      </c>
      <c r="D2647" t="inlineStr">
        <is>
          <t>count</t>
        </is>
      </c>
      <c r="E2647"/>
      <c r="F2647"/>
      <c r="G2647" t="inlineStr">
        <is>
          <t>lipid shorthand annotation</t>
        </is>
      </c>
      <c r="H2647" t="inlineStr">
        <is>
          <t>S003_AVANTI_PHASE</t>
        </is>
      </c>
      <c r="I2647" t="inlineStr">
        <is>
          <t>curated</t>
        </is>
      </c>
      <c r="J2647">
        <v>0.86</v>
      </c>
      <c r="K2647"/>
    </row>
    <row r="2648">
      <c r="A2648" t="inlineStr">
        <is>
          <t>LIP_DMG_PEG2000</t>
        </is>
      </c>
      <c r="B2648" t="inlineStr">
        <is>
          <t>tail_1_unsaturation</t>
        </is>
      </c>
      <c r="C2648">
        <v>0</v>
      </c>
      <c r="D2648" t="inlineStr">
        <is>
          <t>double_bonds</t>
        </is>
      </c>
      <c r="E2648"/>
      <c r="F2648"/>
      <c r="G2648" t="inlineStr">
        <is>
          <t>lipid shorthand annotation</t>
        </is>
      </c>
      <c r="H2648" t="inlineStr">
        <is>
          <t>S003_AVANTI_PHASE</t>
        </is>
      </c>
      <c r="I2648" t="inlineStr">
        <is>
          <t>curated</t>
        </is>
      </c>
      <c r="J2648">
        <v>0.86</v>
      </c>
      <c r="K2648"/>
    </row>
    <row r="2649">
      <c r="A2649" t="inlineStr">
        <is>
          <t>LIP_DMG_PEG2000</t>
        </is>
      </c>
      <c r="B2649" t="inlineStr">
        <is>
          <t>tail_2_carbons</t>
        </is>
      </c>
      <c r="C2649">
        <v>14</v>
      </c>
      <c r="D2649" t="inlineStr">
        <is>
          <t>count</t>
        </is>
      </c>
      <c r="E2649"/>
      <c r="F2649"/>
      <c r="G2649" t="inlineStr">
        <is>
          <t>lipid shorthand annotation</t>
        </is>
      </c>
      <c r="H2649" t="inlineStr">
        <is>
          <t>S003_AVANTI_PHASE</t>
        </is>
      </c>
      <c r="I2649" t="inlineStr">
        <is>
          <t>curated</t>
        </is>
      </c>
      <c r="J2649">
        <v>0.86</v>
      </c>
      <c r="K2649"/>
    </row>
    <row r="2650">
      <c r="A2650" t="inlineStr">
        <is>
          <t>LIP_DMG_PEG2000</t>
        </is>
      </c>
      <c r="B2650" t="inlineStr">
        <is>
          <t>tail_2_unsaturation</t>
        </is>
      </c>
      <c r="C2650">
        <v>0</v>
      </c>
      <c r="D2650" t="inlineStr">
        <is>
          <t>double_bonds</t>
        </is>
      </c>
      <c r="E2650"/>
      <c r="F2650"/>
      <c r="G2650" t="inlineStr">
        <is>
          <t>lipid shorthand annotation</t>
        </is>
      </c>
      <c r="H2650" t="inlineStr">
        <is>
          <t>S003_AVANTI_PHASE</t>
        </is>
      </c>
      <c r="I2650" t="inlineStr">
        <is>
          <t>curated</t>
        </is>
      </c>
      <c r="J2650">
        <v>0.86</v>
      </c>
      <c r="K2650"/>
    </row>
    <row r="2651">
      <c r="A2651" t="inlineStr">
        <is>
          <t>LIP_DMG_PEG2000</t>
        </is>
      </c>
      <c r="B2651" t="inlineStr">
        <is>
          <t>number_of_tails</t>
        </is>
      </c>
      <c r="C2651">
        <v>2</v>
      </c>
      <c r="D2651" t="inlineStr">
        <is>
          <t>count</t>
        </is>
      </c>
      <c r="E2651"/>
      <c r="F2651"/>
      <c r="G2651" t="inlineStr">
        <is>
          <t>lipid shorthand annotation</t>
        </is>
      </c>
      <c r="H2651" t="inlineStr">
        <is>
          <t>S003_AVANTI_PHASE</t>
        </is>
      </c>
      <c r="I2651" t="inlineStr">
        <is>
          <t>curated</t>
        </is>
      </c>
      <c r="J2651">
        <v>0.86</v>
      </c>
      <c r="K2651"/>
    </row>
    <row r="2652">
      <c r="A2652" t="inlineStr">
        <is>
          <t>LIP_DMG_PEG2000</t>
        </is>
      </c>
      <c r="B2652" t="inlineStr">
        <is>
          <t>critical_packing_notes</t>
        </is>
      </c>
      <c r="C2652" t="inlineStr">
        <is>
          <t>bilayer-forming cylindrical lipid</t>
        </is>
      </c>
      <c r="D2652"/>
      <c r="E2652"/>
      <c r="F2652"/>
      <c r="G2652" t="inlineStr">
        <is>
          <t>CPP heuristic</t>
        </is>
      </c>
      <c r="H2652" t="inlineStr">
        <is>
          <t>S014_AULTON</t>
        </is>
      </c>
      <c r="I2652" t="inlineStr">
        <is>
          <t>curated</t>
        </is>
      </c>
      <c r="J2652">
        <v>0.65</v>
      </c>
      <c r="K2652"/>
    </row>
    <row r="2653">
      <c r="A2653" t="inlineStr">
        <is>
          <t>LIP_DMG_PEG2000</t>
        </is>
      </c>
      <c r="B2653" t="inlineStr">
        <is>
          <t>membrane_rigidity_contribution</t>
        </is>
      </c>
      <c r="C2653" t="inlineStr">
        <is>
          <t>moderate</t>
        </is>
      </c>
      <c r="D2653"/>
      <c r="E2653"/>
      <c r="F2653"/>
      <c r="G2653" t="inlineStr">
        <is>
          <t>Tm and unsaturation heuristic</t>
        </is>
      </c>
      <c r="H2653" t="inlineStr">
        <is>
          <t>S003_AVANTI_PHASE</t>
        </is>
      </c>
      <c r="I2653" t="inlineStr">
        <is>
          <t>curated</t>
        </is>
      </c>
      <c r="J2653">
        <v>0.65</v>
      </c>
      <c r="K2653"/>
    </row>
    <row r="2654">
      <c r="A2654" t="inlineStr">
        <is>
          <t>LIP_DMG_PEG2000</t>
        </is>
      </c>
      <c r="B2654" t="inlineStr">
        <is>
          <t>fusogenic_flag</t>
        </is>
      </c>
      <c r="C2654" t="inlineStr">
        <is>
          <t>no</t>
        </is>
      </c>
      <c r="D2654"/>
      <c r="E2654"/>
      <c r="F2654"/>
      <c r="G2654" t="inlineStr">
        <is>
          <t>role annotation</t>
        </is>
      </c>
      <c r="H2654" t="inlineStr">
        <is>
          <t>S014_AULTON</t>
        </is>
      </c>
      <c r="I2654" t="inlineStr">
        <is>
          <t>curated</t>
        </is>
      </c>
      <c r="J2654">
        <v>0.7</v>
      </c>
      <c r="K2654"/>
    </row>
    <row r="2655">
      <c r="A2655" t="inlineStr">
        <is>
          <t>LIP_DMG_PEG2000</t>
        </is>
      </c>
      <c r="B2655" t="inlineStr">
        <is>
          <t>PEGylated_flag</t>
        </is>
      </c>
      <c r="C2655" t="inlineStr">
        <is>
          <t>yes</t>
        </is>
      </c>
      <c r="D2655"/>
      <c r="E2655"/>
      <c r="F2655"/>
      <c r="G2655" t="inlineStr">
        <is>
          <t>role annotation</t>
        </is>
      </c>
      <c r="H2655" t="inlineStr">
        <is>
          <t>S014_AULTON</t>
        </is>
      </c>
      <c r="I2655" t="inlineStr">
        <is>
          <t>curated</t>
        </is>
      </c>
      <c r="J2655">
        <v>0.85</v>
      </c>
      <c r="K2655"/>
    </row>
    <row r="2656">
      <c r="A2656" t="inlineStr">
        <is>
          <t>LIP_DMG_PEG2000</t>
        </is>
      </c>
      <c r="B2656" t="inlineStr">
        <is>
          <t>ionizable_flag</t>
        </is>
      </c>
      <c r="C2656" t="inlineStr">
        <is>
          <t>no</t>
        </is>
      </c>
      <c r="D2656"/>
      <c r="E2656"/>
      <c r="F2656"/>
      <c r="G2656" t="inlineStr">
        <is>
          <t>role annotation</t>
        </is>
      </c>
      <c r="H2656" t="inlineStr">
        <is>
          <t>S014_AULTON</t>
        </is>
      </c>
      <c r="I2656" t="inlineStr">
        <is>
          <t>curated</t>
        </is>
      </c>
      <c r="J2656">
        <v>0.85</v>
      </c>
      <c r="K2656"/>
    </row>
    <row r="2657">
      <c r="A2657" t="inlineStr">
        <is>
          <t>LIP_DMG_PEG2000</t>
        </is>
      </c>
      <c r="B2657" t="inlineStr">
        <is>
          <t>route_suitability</t>
        </is>
      </c>
      <c r="C2657" t="inlineStr">
        <is>
          <t>liposome/LNP; route depends on purity, grade, residual solvents/endotoxin</t>
        </is>
      </c>
      <c r="D2657"/>
      <c r="E2657"/>
      <c r="F2657"/>
      <c r="G2657" t="inlineStr">
        <is>
          <t>route precedent caution</t>
        </is>
      </c>
      <c r="H2657" t="inlineStr">
        <is>
          <t>S008_FDA_IID</t>
        </is>
      </c>
      <c r="I2657" t="inlineStr">
        <is>
          <t>curated</t>
        </is>
      </c>
      <c r="J2657">
        <v>0.55</v>
      </c>
      <c r="K2657"/>
    </row>
    <row r="2658">
      <c r="A2658" t="inlineStr">
        <is>
          <t>LIP_DMG_PEG2000</t>
        </is>
      </c>
      <c r="B2658" t="inlineStr">
        <is>
          <t>storage_notes</t>
        </is>
      </c>
      <c r="C2658" t="inlineStr">
        <is>
          <t>store cold, dry, inert gas; protect unsaturated/ionizable lipids from oxidation/hydrolysis</t>
        </is>
      </c>
      <c r="D2658"/>
      <c r="E2658"/>
      <c r="F2658"/>
      <c r="G2658" t="inlineStr">
        <is>
          <t>supplier stability convention</t>
        </is>
      </c>
      <c r="H2658" t="inlineStr">
        <is>
          <t>S003_AVANTI_PHASE</t>
        </is>
      </c>
      <c r="I2658" t="inlineStr">
        <is>
          <t>curated</t>
        </is>
      </c>
      <c r="J2658">
        <v>0.7</v>
      </c>
      <c r="K2658"/>
    </row>
    <row r="2659">
      <c r="A2659" t="inlineStr">
        <is>
          <t>LIP_DMG_PEG2000</t>
        </is>
      </c>
      <c r="B2659" t="inlineStr">
        <is>
          <t>Hansen_delta_D</t>
        </is>
      </c>
      <c r="C2659">
        <v>17.5</v>
      </c>
      <c r="D2659" t="inlineStr">
        <is>
          <t>MPa^0.5</t>
        </is>
      </c>
      <c r="E2659"/>
      <c r="F2659"/>
      <c r="G2659" t="inlineStr">
        <is>
          <t>heuristic group-contribution/nearest-neighbour</t>
        </is>
      </c>
      <c r="H2659" t="inlineStr">
        <is>
          <t>S013_EST_HSP_HEURISTIC</t>
        </is>
      </c>
      <c r="I2659" t="inlineStr">
        <is>
          <t>estimated</t>
        </is>
      </c>
      <c r="J2659">
        <v>0.38</v>
      </c>
      <c r="K2659" t="inlineStr">
        <is>
          <t>Provisional HSP for screening; replace with experimental/literature value before model lock.</t>
        </is>
      </c>
    </row>
    <row r="2660">
      <c r="A2660" t="inlineStr">
        <is>
          <t>LIP_DMG_PEG2000</t>
        </is>
      </c>
      <c r="B2660" t="inlineStr">
        <is>
          <t>Hansen_delta_P</t>
        </is>
      </c>
      <c r="C2660">
        <v>7.5</v>
      </c>
      <c r="D2660" t="inlineStr">
        <is>
          <t>MPa^0.5</t>
        </is>
      </c>
      <c r="E2660"/>
      <c r="F2660"/>
      <c r="G2660" t="inlineStr">
        <is>
          <t>heuristic group-contribution/nearest-neighbour</t>
        </is>
      </c>
      <c r="H2660" t="inlineStr">
        <is>
          <t>S013_EST_HSP_HEURISTIC</t>
        </is>
      </c>
      <c r="I2660" t="inlineStr">
        <is>
          <t>estimated</t>
        </is>
      </c>
      <c r="J2660">
        <v>0.38</v>
      </c>
      <c r="K2660" t="inlineStr">
        <is>
          <t>Provisional HSP for screening; replace with experimental/literature value before model lock.</t>
        </is>
      </c>
    </row>
    <row r="2661">
      <c r="A2661" t="inlineStr">
        <is>
          <t>LIP_DMG_PEG2000</t>
        </is>
      </c>
      <c r="B2661" t="inlineStr">
        <is>
          <t>Hansen_delta_H</t>
        </is>
      </c>
      <c r="C2661">
        <v>8.0</v>
      </c>
      <c r="D2661" t="inlineStr">
        <is>
          <t>MPa^0.5</t>
        </is>
      </c>
      <c r="E2661"/>
      <c r="F2661"/>
      <c r="G2661" t="inlineStr">
        <is>
          <t>heuristic group-contribution/nearest-neighbour</t>
        </is>
      </c>
      <c r="H2661" t="inlineStr">
        <is>
          <t>S013_EST_HSP_HEURISTIC</t>
        </is>
      </c>
      <c r="I2661" t="inlineStr">
        <is>
          <t>estimated</t>
        </is>
      </c>
      <c r="J2661">
        <v>0.38</v>
      </c>
      <c r="K2661" t="inlineStr">
        <is>
          <t>Provisional HSP for screening; replace with experimental/literature value before model lock.</t>
        </is>
      </c>
    </row>
    <row r="2662">
      <c r="A2662" t="inlineStr">
        <is>
          <t>LIP_DMG_PEG2000</t>
        </is>
      </c>
      <c r="B2662" t="inlineStr">
        <is>
          <t>Hildebrand_delta_T</t>
        </is>
      </c>
      <c r="C2662">
        <v>20.65</v>
      </c>
      <c r="D2662" t="inlineStr">
        <is>
          <t>MPa^0.5</t>
        </is>
      </c>
      <c r="E2662"/>
      <c r="F2662"/>
      <c r="G2662" t="inlineStr">
        <is>
          <t>sqrt(deltaD^2+deltaP^2+deltaH^2)</t>
        </is>
      </c>
      <c r="H2662" t="inlineStr">
        <is>
          <t>S012_CALCULATED</t>
        </is>
      </c>
      <c r="I2662" t="inlineStr">
        <is>
          <t>calculated</t>
        </is>
      </c>
      <c r="J2662">
        <v>0.43</v>
      </c>
      <c r="K2662" t="inlineStr">
        <is>
          <t>Derived from stored Hansen components.</t>
        </is>
      </c>
    </row>
    <row r="2663">
      <c r="A2663" t="inlineStr">
        <is>
          <t>LIP_DMG_PEG2000</t>
        </is>
      </c>
      <c r="B2663" t="inlineStr">
        <is>
          <t>HSP_radius_R0</t>
        </is>
      </c>
      <c r="C2663">
        <v>8.0</v>
      </c>
      <c r="D2663" t="inlineStr">
        <is>
          <t>MPa^0.5</t>
        </is>
      </c>
      <c r="E2663"/>
      <c r="F2663"/>
      <c r="G2663" t="inlineStr">
        <is>
          <t>literature/heuristic solubility sphere</t>
        </is>
      </c>
      <c r="H2663" t="inlineStr">
        <is>
          <t>S013_EST_HSP_HEURISTIC</t>
        </is>
      </c>
      <c r="I2663" t="inlineStr">
        <is>
          <t>estimated</t>
        </is>
      </c>
      <c r="J2663">
        <v>0.38</v>
      </c>
      <c r="K2663" t="inlineStr">
        <is>
          <t>Screening radius only unless experimentally determined.</t>
        </is>
      </c>
    </row>
    <row r="2664">
      <c r="A2664" t="inlineStr">
        <is>
          <t>LIP_DMG_PEG2000</t>
        </is>
      </c>
      <c r="B2664" t="inlineStr">
        <is>
          <t>molar_volume_cm3_mol</t>
        </is>
      </c>
      <c r="C2664">
        <v>2509.0</v>
      </c>
      <c r="D2664" t="inlineStr">
        <is>
          <t>cm3/mol</t>
        </is>
      </c>
      <c r="E2664"/>
      <c r="F2664"/>
      <c r="G2664" t="inlineStr">
        <is>
          <t>MW/density estimate</t>
        </is>
      </c>
      <c r="H2664" t="inlineStr">
        <is>
          <t>S012_CALCULATED</t>
        </is>
      </c>
      <c r="I2664" t="inlineStr">
        <is>
          <t>estimated</t>
        </is>
      </c>
      <c r="J2664">
        <v>0.42</v>
      </c>
      <c r="K2664" t="inlineStr">
        <is>
          <t>Estimated from MW/density; replace with measured molar volume or density-specific grade data.</t>
        </is>
      </c>
    </row>
    <row r="2665">
      <c r="A2665" t="inlineStr">
        <is>
          <t>LIP_DMG_PEG2000</t>
        </is>
      </c>
      <c r="B2665" t="inlineStr">
        <is>
          <t>headgroup_area_nm2</t>
        </is>
      </c>
      <c r="C2665">
        <v>0.7</v>
      </c>
      <c r="D2665" t="inlineStr">
        <is>
          <t>nm2</t>
        </is>
      </c>
      <c r="E2665"/>
      <c r="F2665"/>
      <c r="G2665" t="inlineStr">
        <is>
          <t>literature/MD heuristic</t>
        </is>
      </c>
      <c r="H2665" t="inlineStr">
        <is>
          <t>S013_EST_HSP_HEURISTIC</t>
        </is>
      </c>
      <c r="I2665" t="inlineStr">
        <is>
          <t>estimated</t>
        </is>
      </c>
      <c r="J2665">
        <v>0.35</v>
      </c>
      <c r="K2665" t="inlineStr">
        <is>
          <t>Area per lipid varies with phase, temperature, cholesterol, hydration, and force field.</t>
        </is>
      </c>
    </row>
    <row r="2666">
      <c r="A2666" t="inlineStr">
        <is>
          <t>LIP_PEG_DMG</t>
        </is>
      </c>
      <c r="B2666" t="inlineStr">
        <is>
          <t>molecular_weight_g_mol</t>
        </is>
      </c>
      <c r="C2666">
        <v>2509</v>
      </c>
      <c r="D2666" t="inlineStr">
        <is>
          <t>g/mol</t>
        </is>
      </c>
      <c r="E2666"/>
      <c r="F2666"/>
      <c r="G2666" t="inlineStr">
        <is>
          <t>LIPID MAPS/supplier formula or average grade MW</t>
        </is>
      </c>
      <c r="H2666" t="inlineStr">
        <is>
          <t>S004_LIPIDMAPS</t>
        </is>
      </c>
      <c r="I2666" t="inlineStr">
        <is>
          <t>database-derived</t>
        </is>
      </c>
      <c r="J2666">
        <v>0.78</v>
      </c>
      <c r="K2666"/>
    </row>
    <row r="2667">
      <c r="A2667" t="inlineStr">
        <is>
          <t>LIP_PEG_DMG</t>
        </is>
      </c>
      <c r="B2667" t="inlineStr">
        <is>
          <t>lipid_class</t>
        </is>
      </c>
      <c r="C2667" t="inlineStr">
        <is>
          <t>PEGylated lipid</t>
        </is>
      </c>
      <c r="D2667"/>
      <c r="E2667"/>
      <c r="F2667"/>
      <c r="G2667" t="inlineStr">
        <is>
          <t>lipid class annotation</t>
        </is>
      </c>
      <c r="H2667" t="inlineStr">
        <is>
          <t>S003_AVANTI_PHASE</t>
        </is>
      </c>
      <c r="I2667" t="inlineStr">
        <is>
          <t>curated</t>
        </is>
      </c>
      <c r="J2667">
        <v>0.85</v>
      </c>
      <c r="K2667"/>
    </row>
    <row r="2668">
      <c r="A2668" t="inlineStr">
        <is>
          <t>LIP_PEG_DMG</t>
        </is>
      </c>
      <c r="B2668" t="inlineStr">
        <is>
          <t>headgroup_type</t>
        </is>
      </c>
      <c r="C2668" t="inlineStr">
        <is>
          <t>PEG-lipid</t>
        </is>
      </c>
      <c r="D2668"/>
      <c r="E2668"/>
      <c r="F2668"/>
      <c r="G2668" t="inlineStr">
        <is>
          <t>headgroup annotation</t>
        </is>
      </c>
      <c r="H2668" t="inlineStr">
        <is>
          <t>S003_AVANTI_PHASE</t>
        </is>
      </c>
      <c r="I2668" t="inlineStr">
        <is>
          <t>curated</t>
        </is>
      </c>
      <c r="J2668">
        <v>0.85</v>
      </c>
      <c r="K2668"/>
    </row>
    <row r="2669">
      <c r="A2669" t="inlineStr">
        <is>
          <t>LIP_PEG_DMG</t>
        </is>
      </c>
      <c r="B2669" t="inlineStr">
        <is>
          <t>charge_type</t>
        </is>
      </c>
      <c r="C2669" t="inlineStr">
        <is>
          <t>neutral</t>
        </is>
      </c>
      <c r="D2669"/>
      <c r="E2669"/>
      <c r="F2669"/>
      <c r="G2669" t="inlineStr">
        <is>
          <t>nominal at pH 7.4</t>
        </is>
      </c>
      <c r="H2669" t="inlineStr">
        <is>
          <t>S003_AVANTI_PHASE</t>
        </is>
      </c>
      <c r="I2669" t="inlineStr">
        <is>
          <t>curated</t>
        </is>
      </c>
      <c r="J2669">
        <v>0.85</v>
      </c>
      <c r="K2669"/>
    </row>
    <row r="2670">
      <c r="A2670" t="inlineStr">
        <is>
          <t>LIP_PEG_DMG</t>
        </is>
      </c>
      <c r="B2670" t="inlineStr">
        <is>
          <t>formal_charge</t>
        </is>
      </c>
      <c r="C2670">
        <v>0</v>
      </c>
      <c r="D2670" t="inlineStr">
        <is>
          <t>e</t>
        </is>
      </c>
      <c r="E2670"/>
      <c r="F2670"/>
      <c r="G2670" t="inlineStr">
        <is>
          <t>nominal at pH 7.4</t>
        </is>
      </c>
      <c r="H2670" t="inlineStr">
        <is>
          <t>S003_AVANTI_PHASE</t>
        </is>
      </c>
      <c r="I2670" t="inlineStr">
        <is>
          <t>curated</t>
        </is>
      </c>
      <c r="J2670">
        <v>0.85</v>
      </c>
      <c r="K2670"/>
    </row>
    <row r="2671">
      <c r="A2671" t="inlineStr">
        <is>
          <t>LIP_PEG_DMG</t>
        </is>
      </c>
      <c r="B2671" t="inlineStr">
        <is>
          <t>tail_1_carbons</t>
        </is>
      </c>
      <c r="C2671">
        <v>14</v>
      </c>
      <c r="D2671" t="inlineStr">
        <is>
          <t>count</t>
        </is>
      </c>
      <c r="E2671"/>
      <c r="F2671"/>
      <c r="G2671" t="inlineStr">
        <is>
          <t>lipid shorthand annotation</t>
        </is>
      </c>
      <c r="H2671" t="inlineStr">
        <is>
          <t>S003_AVANTI_PHASE</t>
        </is>
      </c>
      <c r="I2671" t="inlineStr">
        <is>
          <t>curated</t>
        </is>
      </c>
      <c r="J2671">
        <v>0.86</v>
      </c>
      <c r="K2671"/>
    </row>
    <row r="2672">
      <c r="A2672" t="inlineStr">
        <is>
          <t>LIP_PEG_DMG</t>
        </is>
      </c>
      <c r="B2672" t="inlineStr">
        <is>
          <t>tail_1_unsaturation</t>
        </is>
      </c>
      <c r="C2672">
        <v>0</v>
      </c>
      <c r="D2672" t="inlineStr">
        <is>
          <t>double_bonds</t>
        </is>
      </c>
      <c r="E2672"/>
      <c r="F2672"/>
      <c r="G2672" t="inlineStr">
        <is>
          <t>lipid shorthand annotation</t>
        </is>
      </c>
      <c r="H2672" t="inlineStr">
        <is>
          <t>S003_AVANTI_PHASE</t>
        </is>
      </c>
      <c r="I2672" t="inlineStr">
        <is>
          <t>curated</t>
        </is>
      </c>
      <c r="J2672">
        <v>0.86</v>
      </c>
      <c r="K2672"/>
    </row>
    <row r="2673">
      <c r="A2673" t="inlineStr">
        <is>
          <t>LIP_PEG_DMG</t>
        </is>
      </c>
      <c r="B2673" t="inlineStr">
        <is>
          <t>tail_2_carbons</t>
        </is>
      </c>
      <c r="C2673">
        <v>14</v>
      </c>
      <c r="D2673" t="inlineStr">
        <is>
          <t>count</t>
        </is>
      </c>
      <c r="E2673"/>
      <c r="F2673"/>
      <c r="G2673" t="inlineStr">
        <is>
          <t>lipid shorthand annotation</t>
        </is>
      </c>
      <c r="H2673" t="inlineStr">
        <is>
          <t>S003_AVANTI_PHASE</t>
        </is>
      </c>
      <c r="I2673" t="inlineStr">
        <is>
          <t>curated</t>
        </is>
      </c>
      <c r="J2673">
        <v>0.86</v>
      </c>
      <c r="K2673"/>
    </row>
    <row r="2674">
      <c r="A2674" t="inlineStr">
        <is>
          <t>LIP_PEG_DMG</t>
        </is>
      </c>
      <c r="B2674" t="inlineStr">
        <is>
          <t>tail_2_unsaturation</t>
        </is>
      </c>
      <c r="C2674">
        <v>0</v>
      </c>
      <c r="D2674" t="inlineStr">
        <is>
          <t>double_bonds</t>
        </is>
      </c>
      <c r="E2674"/>
      <c r="F2674"/>
      <c r="G2674" t="inlineStr">
        <is>
          <t>lipid shorthand annotation</t>
        </is>
      </c>
      <c r="H2674" t="inlineStr">
        <is>
          <t>S003_AVANTI_PHASE</t>
        </is>
      </c>
      <c r="I2674" t="inlineStr">
        <is>
          <t>curated</t>
        </is>
      </c>
      <c r="J2674">
        <v>0.86</v>
      </c>
      <c r="K2674"/>
    </row>
    <row r="2675">
      <c r="A2675" t="inlineStr">
        <is>
          <t>LIP_PEG_DMG</t>
        </is>
      </c>
      <c r="B2675" t="inlineStr">
        <is>
          <t>number_of_tails</t>
        </is>
      </c>
      <c r="C2675">
        <v>2</v>
      </c>
      <c r="D2675" t="inlineStr">
        <is>
          <t>count</t>
        </is>
      </c>
      <c r="E2675"/>
      <c r="F2675"/>
      <c r="G2675" t="inlineStr">
        <is>
          <t>lipid shorthand annotation</t>
        </is>
      </c>
      <c r="H2675" t="inlineStr">
        <is>
          <t>S003_AVANTI_PHASE</t>
        </is>
      </c>
      <c r="I2675" t="inlineStr">
        <is>
          <t>curated</t>
        </is>
      </c>
      <c r="J2675">
        <v>0.86</v>
      </c>
      <c r="K2675"/>
    </row>
    <row r="2676">
      <c r="A2676" t="inlineStr">
        <is>
          <t>LIP_PEG_DMG</t>
        </is>
      </c>
      <c r="B2676" t="inlineStr">
        <is>
          <t>critical_packing_notes</t>
        </is>
      </c>
      <c r="C2676" t="inlineStr">
        <is>
          <t>bilayer-forming cylindrical lipid</t>
        </is>
      </c>
      <c r="D2676"/>
      <c r="E2676"/>
      <c r="F2676"/>
      <c r="G2676" t="inlineStr">
        <is>
          <t>CPP heuristic</t>
        </is>
      </c>
      <c r="H2676" t="inlineStr">
        <is>
          <t>S014_AULTON</t>
        </is>
      </c>
      <c r="I2676" t="inlineStr">
        <is>
          <t>curated</t>
        </is>
      </c>
      <c r="J2676">
        <v>0.65</v>
      </c>
      <c r="K2676"/>
    </row>
    <row r="2677">
      <c r="A2677" t="inlineStr">
        <is>
          <t>LIP_PEG_DMG</t>
        </is>
      </c>
      <c r="B2677" t="inlineStr">
        <is>
          <t>membrane_rigidity_contribution</t>
        </is>
      </c>
      <c r="C2677" t="inlineStr">
        <is>
          <t>moderate</t>
        </is>
      </c>
      <c r="D2677"/>
      <c r="E2677"/>
      <c r="F2677"/>
      <c r="G2677" t="inlineStr">
        <is>
          <t>Tm and unsaturation heuristic</t>
        </is>
      </c>
      <c r="H2677" t="inlineStr">
        <is>
          <t>S003_AVANTI_PHASE</t>
        </is>
      </c>
      <c r="I2677" t="inlineStr">
        <is>
          <t>curated</t>
        </is>
      </c>
      <c r="J2677">
        <v>0.65</v>
      </c>
      <c r="K2677"/>
    </row>
    <row r="2678">
      <c r="A2678" t="inlineStr">
        <is>
          <t>LIP_PEG_DMG</t>
        </is>
      </c>
      <c r="B2678" t="inlineStr">
        <is>
          <t>fusogenic_flag</t>
        </is>
      </c>
      <c r="C2678" t="inlineStr">
        <is>
          <t>no</t>
        </is>
      </c>
      <c r="D2678"/>
      <c r="E2678"/>
      <c r="F2678"/>
      <c r="G2678" t="inlineStr">
        <is>
          <t>role annotation</t>
        </is>
      </c>
      <c r="H2678" t="inlineStr">
        <is>
          <t>S014_AULTON</t>
        </is>
      </c>
      <c r="I2678" t="inlineStr">
        <is>
          <t>curated</t>
        </is>
      </c>
      <c r="J2678">
        <v>0.7</v>
      </c>
      <c r="K2678"/>
    </row>
    <row r="2679">
      <c r="A2679" t="inlineStr">
        <is>
          <t>LIP_PEG_DMG</t>
        </is>
      </c>
      <c r="B2679" t="inlineStr">
        <is>
          <t>PEGylated_flag</t>
        </is>
      </c>
      <c r="C2679" t="inlineStr">
        <is>
          <t>yes</t>
        </is>
      </c>
      <c r="D2679"/>
      <c r="E2679"/>
      <c r="F2679"/>
      <c r="G2679" t="inlineStr">
        <is>
          <t>role annotation</t>
        </is>
      </c>
      <c r="H2679" t="inlineStr">
        <is>
          <t>S014_AULTON</t>
        </is>
      </c>
      <c r="I2679" t="inlineStr">
        <is>
          <t>curated</t>
        </is>
      </c>
      <c r="J2679">
        <v>0.85</v>
      </c>
      <c r="K2679"/>
    </row>
    <row r="2680">
      <c r="A2680" t="inlineStr">
        <is>
          <t>LIP_PEG_DMG</t>
        </is>
      </c>
      <c r="B2680" t="inlineStr">
        <is>
          <t>ionizable_flag</t>
        </is>
      </c>
      <c r="C2680" t="inlineStr">
        <is>
          <t>no</t>
        </is>
      </c>
      <c r="D2680"/>
      <c r="E2680"/>
      <c r="F2680"/>
      <c r="G2680" t="inlineStr">
        <is>
          <t>role annotation</t>
        </is>
      </c>
      <c r="H2680" t="inlineStr">
        <is>
          <t>S014_AULTON</t>
        </is>
      </c>
      <c r="I2680" t="inlineStr">
        <is>
          <t>curated</t>
        </is>
      </c>
      <c r="J2680">
        <v>0.85</v>
      </c>
      <c r="K2680"/>
    </row>
    <row r="2681">
      <c r="A2681" t="inlineStr">
        <is>
          <t>LIP_PEG_DMG</t>
        </is>
      </c>
      <c r="B2681" t="inlineStr">
        <is>
          <t>route_suitability</t>
        </is>
      </c>
      <c r="C2681" t="inlineStr">
        <is>
          <t>liposome/LNP; route depends on purity, grade, residual solvents/endotoxin</t>
        </is>
      </c>
      <c r="D2681"/>
      <c r="E2681"/>
      <c r="F2681"/>
      <c r="G2681" t="inlineStr">
        <is>
          <t>route precedent caution</t>
        </is>
      </c>
      <c r="H2681" t="inlineStr">
        <is>
          <t>S008_FDA_IID</t>
        </is>
      </c>
      <c r="I2681" t="inlineStr">
        <is>
          <t>curated</t>
        </is>
      </c>
      <c r="J2681">
        <v>0.55</v>
      </c>
      <c r="K2681"/>
    </row>
    <row r="2682">
      <c r="A2682" t="inlineStr">
        <is>
          <t>LIP_PEG_DMG</t>
        </is>
      </c>
      <c r="B2682" t="inlineStr">
        <is>
          <t>storage_notes</t>
        </is>
      </c>
      <c r="C2682" t="inlineStr">
        <is>
          <t>store cold, dry, inert gas; protect unsaturated/ionizable lipids from oxidation/hydrolysis</t>
        </is>
      </c>
      <c r="D2682"/>
      <c r="E2682"/>
      <c r="F2682"/>
      <c r="G2682" t="inlineStr">
        <is>
          <t>supplier stability convention</t>
        </is>
      </c>
      <c r="H2682" t="inlineStr">
        <is>
          <t>S003_AVANTI_PHASE</t>
        </is>
      </c>
      <c r="I2682" t="inlineStr">
        <is>
          <t>curated</t>
        </is>
      </c>
      <c r="J2682">
        <v>0.7</v>
      </c>
      <c r="K2682"/>
    </row>
    <row r="2683">
      <c r="A2683" t="inlineStr">
        <is>
          <t>LIP_PEG_DMG</t>
        </is>
      </c>
      <c r="B2683" t="inlineStr">
        <is>
          <t>Hansen_delta_D</t>
        </is>
      </c>
      <c r="C2683">
        <v>17.5</v>
      </c>
      <c r="D2683" t="inlineStr">
        <is>
          <t>MPa^0.5</t>
        </is>
      </c>
      <c r="E2683"/>
      <c r="F2683"/>
      <c r="G2683" t="inlineStr">
        <is>
          <t>heuristic group-contribution/nearest-neighbour</t>
        </is>
      </c>
      <c r="H2683" t="inlineStr">
        <is>
          <t>S013_EST_HSP_HEURISTIC</t>
        </is>
      </c>
      <c r="I2683" t="inlineStr">
        <is>
          <t>estimated</t>
        </is>
      </c>
      <c r="J2683">
        <v>0.38</v>
      </c>
      <c r="K2683" t="inlineStr">
        <is>
          <t>Provisional HSP for screening; replace with experimental/literature value before model lock.</t>
        </is>
      </c>
    </row>
    <row r="2684">
      <c r="A2684" t="inlineStr">
        <is>
          <t>LIP_PEG_DMG</t>
        </is>
      </c>
      <c r="B2684" t="inlineStr">
        <is>
          <t>Hansen_delta_P</t>
        </is>
      </c>
      <c r="C2684">
        <v>7.5</v>
      </c>
      <c r="D2684" t="inlineStr">
        <is>
          <t>MPa^0.5</t>
        </is>
      </c>
      <c r="E2684"/>
      <c r="F2684"/>
      <c r="G2684" t="inlineStr">
        <is>
          <t>heuristic group-contribution/nearest-neighbour</t>
        </is>
      </c>
      <c r="H2684" t="inlineStr">
        <is>
          <t>S013_EST_HSP_HEURISTIC</t>
        </is>
      </c>
      <c r="I2684" t="inlineStr">
        <is>
          <t>estimated</t>
        </is>
      </c>
      <c r="J2684">
        <v>0.38</v>
      </c>
      <c r="K2684" t="inlineStr">
        <is>
          <t>Provisional HSP for screening; replace with experimental/literature value before model lock.</t>
        </is>
      </c>
    </row>
    <row r="2685">
      <c r="A2685" t="inlineStr">
        <is>
          <t>LIP_PEG_DMG</t>
        </is>
      </c>
      <c r="B2685" t="inlineStr">
        <is>
          <t>Hansen_delta_H</t>
        </is>
      </c>
      <c r="C2685">
        <v>8.0</v>
      </c>
      <c r="D2685" t="inlineStr">
        <is>
          <t>MPa^0.5</t>
        </is>
      </c>
      <c r="E2685"/>
      <c r="F2685"/>
      <c r="G2685" t="inlineStr">
        <is>
          <t>heuristic group-contribution/nearest-neighbour</t>
        </is>
      </c>
      <c r="H2685" t="inlineStr">
        <is>
          <t>S013_EST_HSP_HEURISTIC</t>
        </is>
      </c>
      <c r="I2685" t="inlineStr">
        <is>
          <t>estimated</t>
        </is>
      </c>
      <c r="J2685">
        <v>0.38</v>
      </c>
      <c r="K2685" t="inlineStr">
        <is>
          <t>Provisional HSP for screening; replace with experimental/literature value before model lock.</t>
        </is>
      </c>
    </row>
    <row r="2686">
      <c r="A2686" t="inlineStr">
        <is>
          <t>LIP_PEG_DMG</t>
        </is>
      </c>
      <c r="B2686" t="inlineStr">
        <is>
          <t>Hildebrand_delta_T</t>
        </is>
      </c>
      <c r="C2686">
        <v>20.65</v>
      </c>
      <c r="D2686" t="inlineStr">
        <is>
          <t>MPa^0.5</t>
        </is>
      </c>
      <c r="E2686"/>
      <c r="F2686"/>
      <c r="G2686" t="inlineStr">
        <is>
          <t>sqrt(deltaD^2+deltaP^2+deltaH^2)</t>
        </is>
      </c>
      <c r="H2686" t="inlineStr">
        <is>
          <t>S012_CALCULATED</t>
        </is>
      </c>
      <c r="I2686" t="inlineStr">
        <is>
          <t>calculated</t>
        </is>
      </c>
      <c r="J2686">
        <v>0.43</v>
      </c>
      <c r="K2686" t="inlineStr">
        <is>
          <t>Derived from stored Hansen components.</t>
        </is>
      </c>
    </row>
    <row r="2687">
      <c r="A2687" t="inlineStr">
        <is>
          <t>LIP_PEG_DMG</t>
        </is>
      </c>
      <c r="B2687" t="inlineStr">
        <is>
          <t>HSP_radius_R0</t>
        </is>
      </c>
      <c r="C2687">
        <v>8.0</v>
      </c>
      <c r="D2687" t="inlineStr">
        <is>
          <t>MPa^0.5</t>
        </is>
      </c>
      <c r="E2687"/>
      <c r="F2687"/>
      <c r="G2687" t="inlineStr">
        <is>
          <t>literature/heuristic solubility sphere</t>
        </is>
      </c>
      <c r="H2687" t="inlineStr">
        <is>
          <t>S013_EST_HSP_HEURISTIC</t>
        </is>
      </c>
      <c r="I2687" t="inlineStr">
        <is>
          <t>estimated</t>
        </is>
      </c>
      <c r="J2687">
        <v>0.38</v>
      </c>
      <c r="K2687" t="inlineStr">
        <is>
          <t>Screening radius only unless experimentally determined.</t>
        </is>
      </c>
    </row>
    <row r="2688">
      <c r="A2688" t="inlineStr">
        <is>
          <t>LIP_PEG_DMG</t>
        </is>
      </c>
      <c r="B2688" t="inlineStr">
        <is>
          <t>molar_volume_cm3_mol</t>
        </is>
      </c>
      <c r="C2688">
        <v>2509.0</v>
      </c>
      <c r="D2688" t="inlineStr">
        <is>
          <t>cm3/mol</t>
        </is>
      </c>
      <c r="E2688"/>
      <c r="F2688"/>
      <c r="G2688" t="inlineStr">
        <is>
          <t>MW/density estimate</t>
        </is>
      </c>
      <c r="H2688" t="inlineStr">
        <is>
          <t>S012_CALCULATED</t>
        </is>
      </c>
      <c r="I2688" t="inlineStr">
        <is>
          <t>estimated</t>
        </is>
      </c>
      <c r="J2688">
        <v>0.42</v>
      </c>
      <c r="K2688" t="inlineStr">
        <is>
          <t>Estimated from MW/density; replace with measured molar volume or density-specific grade data.</t>
        </is>
      </c>
    </row>
    <row r="2689">
      <c r="A2689" t="inlineStr">
        <is>
          <t>LIP_PEG_DMG</t>
        </is>
      </c>
      <c r="B2689" t="inlineStr">
        <is>
          <t>headgroup_area_nm2</t>
        </is>
      </c>
      <c r="C2689">
        <v>0.7</v>
      </c>
      <c r="D2689" t="inlineStr">
        <is>
          <t>nm2</t>
        </is>
      </c>
      <c r="E2689"/>
      <c r="F2689"/>
      <c r="G2689" t="inlineStr">
        <is>
          <t>literature/MD heuristic</t>
        </is>
      </c>
      <c r="H2689" t="inlineStr">
        <is>
          <t>S013_EST_HSP_HEURISTIC</t>
        </is>
      </c>
      <c r="I2689" t="inlineStr">
        <is>
          <t>estimated</t>
        </is>
      </c>
      <c r="J2689">
        <v>0.35</v>
      </c>
      <c r="K2689" t="inlineStr">
        <is>
          <t>Area per lipid varies with phase, temperature, cholesterol, hydration, and force field.</t>
        </is>
      </c>
    </row>
    <row r="2690">
      <c r="A2690" t="inlineStr">
        <is>
          <t>LIP_PEG_DSG</t>
        </is>
      </c>
      <c r="B2690" t="inlineStr">
        <is>
          <t>molecular_weight_g_mol</t>
        </is>
      </c>
      <c r="C2690">
        <v>2788</v>
      </c>
      <c r="D2690" t="inlineStr">
        <is>
          <t>g/mol</t>
        </is>
      </c>
      <c r="E2690"/>
      <c r="F2690"/>
      <c r="G2690" t="inlineStr">
        <is>
          <t>LIPID MAPS/supplier formula or average grade MW</t>
        </is>
      </c>
      <c r="H2690" t="inlineStr">
        <is>
          <t>S004_LIPIDMAPS</t>
        </is>
      </c>
      <c r="I2690" t="inlineStr">
        <is>
          <t>database-derived</t>
        </is>
      </c>
      <c r="J2690">
        <v>0.78</v>
      </c>
      <c r="K2690"/>
    </row>
    <row r="2691">
      <c r="A2691" t="inlineStr">
        <is>
          <t>LIP_PEG_DSG</t>
        </is>
      </c>
      <c r="B2691" t="inlineStr">
        <is>
          <t>lipid_class</t>
        </is>
      </c>
      <c r="C2691" t="inlineStr">
        <is>
          <t>PEGylated lipid</t>
        </is>
      </c>
      <c r="D2691"/>
      <c r="E2691"/>
      <c r="F2691"/>
      <c r="G2691" t="inlineStr">
        <is>
          <t>lipid class annotation</t>
        </is>
      </c>
      <c r="H2691" t="inlineStr">
        <is>
          <t>S003_AVANTI_PHASE</t>
        </is>
      </c>
      <c r="I2691" t="inlineStr">
        <is>
          <t>curated</t>
        </is>
      </c>
      <c r="J2691">
        <v>0.85</v>
      </c>
      <c r="K2691"/>
    </row>
    <row r="2692">
      <c r="A2692" t="inlineStr">
        <is>
          <t>LIP_PEG_DSG</t>
        </is>
      </c>
      <c r="B2692" t="inlineStr">
        <is>
          <t>headgroup_type</t>
        </is>
      </c>
      <c r="C2692" t="inlineStr">
        <is>
          <t>PEG-lipid</t>
        </is>
      </c>
      <c r="D2692"/>
      <c r="E2692"/>
      <c r="F2692"/>
      <c r="G2692" t="inlineStr">
        <is>
          <t>headgroup annotation</t>
        </is>
      </c>
      <c r="H2692" t="inlineStr">
        <is>
          <t>S003_AVANTI_PHASE</t>
        </is>
      </c>
      <c r="I2692" t="inlineStr">
        <is>
          <t>curated</t>
        </is>
      </c>
      <c r="J2692">
        <v>0.85</v>
      </c>
      <c r="K2692"/>
    </row>
    <row r="2693">
      <c r="A2693" t="inlineStr">
        <is>
          <t>LIP_PEG_DSG</t>
        </is>
      </c>
      <c r="B2693" t="inlineStr">
        <is>
          <t>charge_type</t>
        </is>
      </c>
      <c r="C2693" t="inlineStr">
        <is>
          <t>neutral</t>
        </is>
      </c>
      <c r="D2693"/>
      <c r="E2693"/>
      <c r="F2693"/>
      <c r="G2693" t="inlineStr">
        <is>
          <t>nominal at pH 7.4</t>
        </is>
      </c>
      <c r="H2693" t="inlineStr">
        <is>
          <t>S003_AVANTI_PHASE</t>
        </is>
      </c>
      <c r="I2693" t="inlineStr">
        <is>
          <t>curated</t>
        </is>
      </c>
      <c r="J2693">
        <v>0.85</v>
      </c>
      <c r="K2693"/>
    </row>
    <row r="2694">
      <c r="A2694" t="inlineStr">
        <is>
          <t>LIP_PEG_DSG</t>
        </is>
      </c>
      <c r="B2694" t="inlineStr">
        <is>
          <t>formal_charge</t>
        </is>
      </c>
      <c r="C2694">
        <v>0</v>
      </c>
      <c r="D2694" t="inlineStr">
        <is>
          <t>e</t>
        </is>
      </c>
      <c r="E2694"/>
      <c r="F2694"/>
      <c r="G2694" t="inlineStr">
        <is>
          <t>nominal at pH 7.4</t>
        </is>
      </c>
      <c r="H2694" t="inlineStr">
        <is>
          <t>S003_AVANTI_PHASE</t>
        </is>
      </c>
      <c r="I2694" t="inlineStr">
        <is>
          <t>curated</t>
        </is>
      </c>
      <c r="J2694">
        <v>0.85</v>
      </c>
      <c r="K2694"/>
    </row>
    <row r="2695">
      <c r="A2695" t="inlineStr">
        <is>
          <t>LIP_PEG_DSG</t>
        </is>
      </c>
      <c r="B2695" t="inlineStr">
        <is>
          <t>tail_1_carbons</t>
        </is>
      </c>
      <c r="C2695">
        <v>18</v>
      </c>
      <c r="D2695" t="inlineStr">
        <is>
          <t>count</t>
        </is>
      </c>
      <c r="E2695"/>
      <c r="F2695"/>
      <c r="G2695" t="inlineStr">
        <is>
          <t>lipid shorthand annotation</t>
        </is>
      </c>
      <c r="H2695" t="inlineStr">
        <is>
          <t>S003_AVANTI_PHASE</t>
        </is>
      </c>
      <c r="I2695" t="inlineStr">
        <is>
          <t>curated</t>
        </is>
      </c>
      <c r="J2695">
        <v>0.86</v>
      </c>
      <c r="K2695"/>
    </row>
    <row r="2696">
      <c r="A2696" t="inlineStr">
        <is>
          <t>LIP_PEG_DSG</t>
        </is>
      </c>
      <c r="B2696" t="inlineStr">
        <is>
          <t>tail_1_unsaturation</t>
        </is>
      </c>
      <c r="C2696">
        <v>0</v>
      </c>
      <c r="D2696" t="inlineStr">
        <is>
          <t>double_bonds</t>
        </is>
      </c>
      <c r="E2696"/>
      <c r="F2696"/>
      <c r="G2696" t="inlineStr">
        <is>
          <t>lipid shorthand annotation</t>
        </is>
      </c>
      <c r="H2696" t="inlineStr">
        <is>
          <t>S003_AVANTI_PHASE</t>
        </is>
      </c>
      <c r="I2696" t="inlineStr">
        <is>
          <t>curated</t>
        </is>
      </c>
      <c r="J2696">
        <v>0.86</v>
      </c>
      <c r="K2696"/>
    </row>
    <row r="2697">
      <c r="A2697" t="inlineStr">
        <is>
          <t>LIP_PEG_DSG</t>
        </is>
      </c>
      <c r="B2697" t="inlineStr">
        <is>
          <t>tail_2_carbons</t>
        </is>
      </c>
      <c r="C2697">
        <v>18</v>
      </c>
      <c r="D2697" t="inlineStr">
        <is>
          <t>count</t>
        </is>
      </c>
      <c r="E2697"/>
      <c r="F2697"/>
      <c r="G2697" t="inlineStr">
        <is>
          <t>lipid shorthand annotation</t>
        </is>
      </c>
      <c r="H2697" t="inlineStr">
        <is>
          <t>S003_AVANTI_PHASE</t>
        </is>
      </c>
      <c r="I2697" t="inlineStr">
        <is>
          <t>curated</t>
        </is>
      </c>
      <c r="J2697">
        <v>0.86</v>
      </c>
      <c r="K2697"/>
    </row>
    <row r="2698">
      <c r="A2698" t="inlineStr">
        <is>
          <t>LIP_PEG_DSG</t>
        </is>
      </c>
      <c r="B2698" t="inlineStr">
        <is>
          <t>tail_2_unsaturation</t>
        </is>
      </c>
      <c r="C2698">
        <v>0</v>
      </c>
      <c r="D2698" t="inlineStr">
        <is>
          <t>double_bonds</t>
        </is>
      </c>
      <c r="E2698"/>
      <c r="F2698"/>
      <c r="G2698" t="inlineStr">
        <is>
          <t>lipid shorthand annotation</t>
        </is>
      </c>
      <c r="H2698" t="inlineStr">
        <is>
          <t>S003_AVANTI_PHASE</t>
        </is>
      </c>
      <c r="I2698" t="inlineStr">
        <is>
          <t>curated</t>
        </is>
      </c>
      <c r="J2698">
        <v>0.86</v>
      </c>
      <c r="K2698"/>
    </row>
    <row r="2699">
      <c r="A2699" t="inlineStr">
        <is>
          <t>LIP_PEG_DSG</t>
        </is>
      </c>
      <c r="B2699" t="inlineStr">
        <is>
          <t>number_of_tails</t>
        </is>
      </c>
      <c r="C2699">
        <v>2</v>
      </c>
      <c r="D2699" t="inlineStr">
        <is>
          <t>count</t>
        </is>
      </c>
      <c r="E2699"/>
      <c r="F2699"/>
      <c r="G2699" t="inlineStr">
        <is>
          <t>lipid shorthand annotation</t>
        </is>
      </c>
      <c r="H2699" t="inlineStr">
        <is>
          <t>S003_AVANTI_PHASE</t>
        </is>
      </c>
      <c r="I2699" t="inlineStr">
        <is>
          <t>curated</t>
        </is>
      </c>
      <c r="J2699">
        <v>0.86</v>
      </c>
      <c r="K2699"/>
    </row>
    <row r="2700">
      <c r="A2700" t="inlineStr">
        <is>
          <t>LIP_PEG_DSG</t>
        </is>
      </c>
      <c r="B2700" t="inlineStr">
        <is>
          <t>critical_packing_notes</t>
        </is>
      </c>
      <c r="C2700" t="inlineStr">
        <is>
          <t>bilayer-forming cylindrical lipid</t>
        </is>
      </c>
      <c r="D2700"/>
      <c r="E2700"/>
      <c r="F2700"/>
      <c r="G2700" t="inlineStr">
        <is>
          <t>CPP heuristic</t>
        </is>
      </c>
      <c r="H2700" t="inlineStr">
        <is>
          <t>S014_AULTON</t>
        </is>
      </c>
      <c r="I2700" t="inlineStr">
        <is>
          <t>curated</t>
        </is>
      </c>
      <c r="J2700">
        <v>0.65</v>
      </c>
      <c r="K2700"/>
    </row>
    <row r="2701">
      <c r="A2701" t="inlineStr">
        <is>
          <t>LIP_PEG_DSG</t>
        </is>
      </c>
      <c r="B2701" t="inlineStr">
        <is>
          <t>membrane_rigidity_contribution</t>
        </is>
      </c>
      <c r="C2701" t="inlineStr">
        <is>
          <t>moderate</t>
        </is>
      </c>
      <c r="D2701"/>
      <c r="E2701"/>
      <c r="F2701"/>
      <c r="G2701" t="inlineStr">
        <is>
          <t>Tm and unsaturation heuristic</t>
        </is>
      </c>
      <c r="H2701" t="inlineStr">
        <is>
          <t>S003_AVANTI_PHASE</t>
        </is>
      </c>
      <c r="I2701" t="inlineStr">
        <is>
          <t>curated</t>
        </is>
      </c>
      <c r="J2701">
        <v>0.65</v>
      </c>
      <c r="K2701"/>
    </row>
    <row r="2702">
      <c r="A2702" t="inlineStr">
        <is>
          <t>LIP_PEG_DSG</t>
        </is>
      </c>
      <c r="B2702" t="inlineStr">
        <is>
          <t>fusogenic_flag</t>
        </is>
      </c>
      <c r="C2702" t="inlineStr">
        <is>
          <t>no</t>
        </is>
      </c>
      <c r="D2702"/>
      <c r="E2702"/>
      <c r="F2702"/>
      <c r="G2702" t="inlineStr">
        <is>
          <t>role annotation</t>
        </is>
      </c>
      <c r="H2702" t="inlineStr">
        <is>
          <t>S014_AULTON</t>
        </is>
      </c>
      <c r="I2702" t="inlineStr">
        <is>
          <t>curated</t>
        </is>
      </c>
      <c r="J2702">
        <v>0.7</v>
      </c>
      <c r="K2702"/>
    </row>
    <row r="2703">
      <c r="A2703" t="inlineStr">
        <is>
          <t>LIP_PEG_DSG</t>
        </is>
      </c>
      <c r="B2703" t="inlineStr">
        <is>
          <t>PEGylated_flag</t>
        </is>
      </c>
      <c r="C2703" t="inlineStr">
        <is>
          <t>yes</t>
        </is>
      </c>
      <c r="D2703"/>
      <c r="E2703"/>
      <c r="F2703"/>
      <c r="G2703" t="inlineStr">
        <is>
          <t>role annotation</t>
        </is>
      </c>
      <c r="H2703" t="inlineStr">
        <is>
          <t>S014_AULTON</t>
        </is>
      </c>
      <c r="I2703" t="inlineStr">
        <is>
          <t>curated</t>
        </is>
      </c>
      <c r="J2703">
        <v>0.85</v>
      </c>
      <c r="K2703"/>
    </row>
    <row r="2704">
      <c r="A2704" t="inlineStr">
        <is>
          <t>LIP_PEG_DSG</t>
        </is>
      </c>
      <c r="B2704" t="inlineStr">
        <is>
          <t>ionizable_flag</t>
        </is>
      </c>
      <c r="C2704" t="inlineStr">
        <is>
          <t>no</t>
        </is>
      </c>
      <c r="D2704"/>
      <c r="E2704"/>
      <c r="F2704"/>
      <c r="G2704" t="inlineStr">
        <is>
          <t>role annotation</t>
        </is>
      </c>
      <c r="H2704" t="inlineStr">
        <is>
          <t>S014_AULTON</t>
        </is>
      </c>
      <c r="I2704" t="inlineStr">
        <is>
          <t>curated</t>
        </is>
      </c>
      <c r="J2704">
        <v>0.85</v>
      </c>
      <c r="K2704"/>
    </row>
    <row r="2705">
      <c r="A2705" t="inlineStr">
        <is>
          <t>LIP_PEG_DSG</t>
        </is>
      </c>
      <c r="B2705" t="inlineStr">
        <is>
          <t>route_suitability</t>
        </is>
      </c>
      <c r="C2705" t="inlineStr">
        <is>
          <t>liposome/LNP; route depends on purity, grade, residual solvents/endotoxin</t>
        </is>
      </c>
      <c r="D2705"/>
      <c r="E2705"/>
      <c r="F2705"/>
      <c r="G2705" t="inlineStr">
        <is>
          <t>route precedent caution</t>
        </is>
      </c>
      <c r="H2705" t="inlineStr">
        <is>
          <t>S008_FDA_IID</t>
        </is>
      </c>
      <c r="I2705" t="inlineStr">
        <is>
          <t>curated</t>
        </is>
      </c>
      <c r="J2705">
        <v>0.55</v>
      </c>
      <c r="K2705"/>
    </row>
    <row r="2706">
      <c r="A2706" t="inlineStr">
        <is>
          <t>LIP_PEG_DSG</t>
        </is>
      </c>
      <c r="B2706" t="inlineStr">
        <is>
          <t>storage_notes</t>
        </is>
      </c>
      <c r="C2706" t="inlineStr">
        <is>
          <t>store cold, dry, inert gas; protect unsaturated/ionizable lipids from oxidation/hydrolysis</t>
        </is>
      </c>
      <c r="D2706"/>
      <c r="E2706"/>
      <c r="F2706"/>
      <c r="G2706" t="inlineStr">
        <is>
          <t>supplier stability convention</t>
        </is>
      </c>
      <c r="H2706" t="inlineStr">
        <is>
          <t>S003_AVANTI_PHASE</t>
        </is>
      </c>
      <c r="I2706" t="inlineStr">
        <is>
          <t>curated</t>
        </is>
      </c>
      <c r="J2706">
        <v>0.7</v>
      </c>
      <c r="K2706"/>
    </row>
    <row r="2707">
      <c r="A2707" t="inlineStr">
        <is>
          <t>LIP_PEG_DSG</t>
        </is>
      </c>
      <c r="B2707" t="inlineStr">
        <is>
          <t>Hansen_delta_D</t>
        </is>
      </c>
      <c r="C2707">
        <v>17.5</v>
      </c>
      <c r="D2707" t="inlineStr">
        <is>
          <t>MPa^0.5</t>
        </is>
      </c>
      <c r="E2707"/>
      <c r="F2707"/>
      <c r="G2707" t="inlineStr">
        <is>
          <t>heuristic group-contribution/nearest-neighbour</t>
        </is>
      </c>
      <c r="H2707" t="inlineStr">
        <is>
          <t>S013_EST_HSP_HEURISTIC</t>
        </is>
      </c>
      <c r="I2707" t="inlineStr">
        <is>
          <t>estimated</t>
        </is>
      </c>
      <c r="J2707">
        <v>0.38</v>
      </c>
      <c r="K2707" t="inlineStr">
        <is>
          <t>Provisional HSP for screening; replace with experimental/literature value before model lock.</t>
        </is>
      </c>
    </row>
    <row r="2708">
      <c r="A2708" t="inlineStr">
        <is>
          <t>LIP_PEG_DSG</t>
        </is>
      </c>
      <c r="B2708" t="inlineStr">
        <is>
          <t>Hansen_delta_P</t>
        </is>
      </c>
      <c r="C2708">
        <v>7.5</v>
      </c>
      <c r="D2708" t="inlineStr">
        <is>
          <t>MPa^0.5</t>
        </is>
      </c>
      <c r="E2708"/>
      <c r="F2708"/>
      <c r="G2708" t="inlineStr">
        <is>
          <t>heuristic group-contribution/nearest-neighbour</t>
        </is>
      </c>
      <c r="H2708" t="inlineStr">
        <is>
          <t>S013_EST_HSP_HEURISTIC</t>
        </is>
      </c>
      <c r="I2708" t="inlineStr">
        <is>
          <t>estimated</t>
        </is>
      </c>
      <c r="J2708">
        <v>0.38</v>
      </c>
      <c r="K2708" t="inlineStr">
        <is>
          <t>Provisional HSP for screening; replace with experimental/literature value before model lock.</t>
        </is>
      </c>
    </row>
    <row r="2709">
      <c r="A2709" t="inlineStr">
        <is>
          <t>LIP_PEG_DSG</t>
        </is>
      </c>
      <c r="B2709" t="inlineStr">
        <is>
          <t>Hansen_delta_H</t>
        </is>
      </c>
      <c r="C2709">
        <v>8.0</v>
      </c>
      <c r="D2709" t="inlineStr">
        <is>
          <t>MPa^0.5</t>
        </is>
      </c>
      <c r="E2709"/>
      <c r="F2709"/>
      <c r="G2709" t="inlineStr">
        <is>
          <t>heuristic group-contribution/nearest-neighbour</t>
        </is>
      </c>
      <c r="H2709" t="inlineStr">
        <is>
          <t>S013_EST_HSP_HEURISTIC</t>
        </is>
      </c>
      <c r="I2709" t="inlineStr">
        <is>
          <t>estimated</t>
        </is>
      </c>
      <c r="J2709">
        <v>0.38</v>
      </c>
      <c r="K2709" t="inlineStr">
        <is>
          <t>Provisional HSP for screening; replace with experimental/literature value before model lock.</t>
        </is>
      </c>
    </row>
    <row r="2710">
      <c r="A2710" t="inlineStr">
        <is>
          <t>LIP_PEG_DSG</t>
        </is>
      </c>
      <c r="B2710" t="inlineStr">
        <is>
          <t>Hildebrand_delta_T</t>
        </is>
      </c>
      <c r="C2710">
        <v>20.65</v>
      </c>
      <c r="D2710" t="inlineStr">
        <is>
          <t>MPa^0.5</t>
        </is>
      </c>
      <c r="E2710"/>
      <c r="F2710"/>
      <c r="G2710" t="inlineStr">
        <is>
          <t>sqrt(deltaD^2+deltaP^2+deltaH^2)</t>
        </is>
      </c>
      <c r="H2710" t="inlineStr">
        <is>
          <t>S012_CALCULATED</t>
        </is>
      </c>
      <c r="I2710" t="inlineStr">
        <is>
          <t>calculated</t>
        </is>
      </c>
      <c r="J2710">
        <v>0.43</v>
      </c>
      <c r="K2710" t="inlineStr">
        <is>
          <t>Derived from stored Hansen components.</t>
        </is>
      </c>
    </row>
    <row r="2711">
      <c r="A2711" t="inlineStr">
        <is>
          <t>LIP_PEG_DSG</t>
        </is>
      </c>
      <c r="B2711" t="inlineStr">
        <is>
          <t>HSP_radius_R0</t>
        </is>
      </c>
      <c r="C2711">
        <v>8.0</v>
      </c>
      <c r="D2711" t="inlineStr">
        <is>
          <t>MPa^0.5</t>
        </is>
      </c>
      <c r="E2711"/>
      <c r="F2711"/>
      <c r="G2711" t="inlineStr">
        <is>
          <t>literature/heuristic solubility sphere</t>
        </is>
      </c>
      <c r="H2711" t="inlineStr">
        <is>
          <t>S013_EST_HSP_HEURISTIC</t>
        </is>
      </c>
      <c r="I2711" t="inlineStr">
        <is>
          <t>estimated</t>
        </is>
      </c>
      <c r="J2711">
        <v>0.38</v>
      </c>
      <c r="K2711" t="inlineStr">
        <is>
          <t>Screening radius only unless experimentally determined.</t>
        </is>
      </c>
    </row>
    <row r="2712">
      <c r="A2712" t="inlineStr">
        <is>
          <t>LIP_PEG_DSG</t>
        </is>
      </c>
      <c r="B2712" t="inlineStr">
        <is>
          <t>molar_volume_cm3_mol</t>
        </is>
      </c>
      <c r="C2712">
        <v>2788.0</v>
      </c>
      <c r="D2712" t="inlineStr">
        <is>
          <t>cm3/mol</t>
        </is>
      </c>
      <c r="E2712"/>
      <c r="F2712"/>
      <c r="G2712" t="inlineStr">
        <is>
          <t>MW/density estimate</t>
        </is>
      </c>
      <c r="H2712" t="inlineStr">
        <is>
          <t>S012_CALCULATED</t>
        </is>
      </c>
      <c r="I2712" t="inlineStr">
        <is>
          <t>estimated</t>
        </is>
      </c>
      <c r="J2712">
        <v>0.42</v>
      </c>
      <c r="K2712" t="inlineStr">
        <is>
          <t>Estimated from MW/density; replace with measured molar volume or density-specific grade data.</t>
        </is>
      </c>
    </row>
    <row r="2713">
      <c r="A2713" t="inlineStr">
        <is>
          <t>LIP_PEG_DSG</t>
        </is>
      </c>
      <c r="B2713" t="inlineStr">
        <is>
          <t>headgroup_area_nm2</t>
        </is>
      </c>
      <c r="C2713">
        <v>0.7</v>
      </c>
      <c r="D2713" t="inlineStr">
        <is>
          <t>nm2</t>
        </is>
      </c>
      <c r="E2713"/>
      <c r="F2713"/>
      <c r="G2713" t="inlineStr">
        <is>
          <t>literature/MD heuristic</t>
        </is>
      </c>
      <c r="H2713" t="inlineStr">
        <is>
          <t>S013_EST_HSP_HEURISTIC</t>
        </is>
      </c>
      <c r="I2713" t="inlineStr">
        <is>
          <t>estimated</t>
        </is>
      </c>
      <c r="J2713">
        <v>0.35</v>
      </c>
      <c r="K2713" t="inlineStr">
        <is>
          <t>Area per lipid varies with phase, temperature, cholesterol, hydration, and force field.</t>
        </is>
      </c>
    </row>
    <row r="2714">
      <c r="A2714" t="inlineStr">
        <is>
          <t>LIP_PEG_DPPE</t>
        </is>
      </c>
      <c r="B2714" t="inlineStr">
        <is>
          <t>molecular_weight_g_mol</t>
        </is>
      </c>
      <c r="C2714">
        <v>2750</v>
      </c>
      <c r="D2714" t="inlineStr">
        <is>
          <t>g/mol</t>
        </is>
      </c>
      <c r="E2714"/>
      <c r="F2714"/>
      <c r="G2714" t="inlineStr">
        <is>
          <t>LIPID MAPS/supplier formula or average grade MW</t>
        </is>
      </c>
      <c r="H2714" t="inlineStr">
        <is>
          <t>S004_LIPIDMAPS</t>
        </is>
      </c>
      <c r="I2714" t="inlineStr">
        <is>
          <t>database-derived</t>
        </is>
      </c>
      <c r="J2714">
        <v>0.78</v>
      </c>
      <c r="K2714"/>
    </row>
    <row r="2715">
      <c r="A2715" t="inlineStr">
        <is>
          <t>LIP_PEG_DPPE</t>
        </is>
      </c>
      <c r="B2715" t="inlineStr">
        <is>
          <t>lipid_class</t>
        </is>
      </c>
      <c r="C2715" t="inlineStr">
        <is>
          <t>PEGylated lipid</t>
        </is>
      </c>
      <c r="D2715"/>
      <c r="E2715"/>
      <c r="F2715"/>
      <c r="G2715" t="inlineStr">
        <is>
          <t>lipid class annotation</t>
        </is>
      </c>
      <c r="H2715" t="inlineStr">
        <is>
          <t>S003_AVANTI_PHASE</t>
        </is>
      </c>
      <c r="I2715" t="inlineStr">
        <is>
          <t>curated</t>
        </is>
      </c>
      <c r="J2715">
        <v>0.85</v>
      </c>
      <c r="K2715"/>
    </row>
    <row r="2716">
      <c r="A2716" t="inlineStr">
        <is>
          <t>LIP_PEG_DPPE</t>
        </is>
      </c>
      <c r="B2716" t="inlineStr">
        <is>
          <t>headgroup_type</t>
        </is>
      </c>
      <c r="C2716" t="inlineStr">
        <is>
          <t>PEG-lipid</t>
        </is>
      </c>
      <c r="D2716"/>
      <c r="E2716"/>
      <c r="F2716"/>
      <c r="G2716" t="inlineStr">
        <is>
          <t>headgroup annotation</t>
        </is>
      </c>
      <c r="H2716" t="inlineStr">
        <is>
          <t>S003_AVANTI_PHASE</t>
        </is>
      </c>
      <c r="I2716" t="inlineStr">
        <is>
          <t>curated</t>
        </is>
      </c>
      <c r="J2716">
        <v>0.85</v>
      </c>
      <c r="K2716"/>
    </row>
    <row r="2717">
      <c r="A2717" t="inlineStr">
        <is>
          <t>LIP_PEG_DPPE</t>
        </is>
      </c>
      <c r="B2717" t="inlineStr">
        <is>
          <t>charge_type</t>
        </is>
      </c>
      <c r="C2717" t="inlineStr">
        <is>
          <t>neutral</t>
        </is>
      </c>
      <c r="D2717"/>
      <c r="E2717"/>
      <c r="F2717"/>
      <c r="G2717" t="inlineStr">
        <is>
          <t>nominal at pH 7.4</t>
        </is>
      </c>
      <c r="H2717" t="inlineStr">
        <is>
          <t>S003_AVANTI_PHASE</t>
        </is>
      </c>
      <c r="I2717" t="inlineStr">
        <is>
          <t>curated</t>
        </is>
      </c>
      <c r="J2717">
        <v>0.85</v>
      </c>
      <c r="K2717"/>
    </row>
    <row r="2718">
      <c r="A2718" t="inlineStr">
        <is>
          <t>LIP_PEG_DPPE</t>
        </is>
      </c>
      <c r="B2718" t="inlineStr">
        <is>
          <t>formal_charge</t>
        </is>
      </c>
      <c r="C2718">
        <v>0</v>
      </c>
      <c r="D2718" t="inlineStr">
        <is>
          <t>e</t>
        </is>
      </c>
      <c r="E2718"/>
      <c r="F2718"/>
      <c r="G2718" t="inlineStr">
        <is>
          <t>nominal at pH 7.4</t>
        </is>
      </c>
      <c r="H2718" t="inlineStr">
        <is>
          <t>S003_AVANTI_PHASE</t>
        </is>
      </c>
      <c r="I2718" t="inlineStr">
        <is>
          <t>curated</t>
        </is>
      </c>
      <c r="J2718">
        <v>0.85</v>
      </c>
      <c r="K2718"/>
    </row>
    <row r="2719">
      <c r="A2719" t="inlineStr">
        <is>
          <t>LIP_PEG_DPPE</t>
        </is>
      </c>
      <c r="B2719" t="inlineStr">
        <is>
          <t>tail_1_carbons</t>
        </is>
      </c>
      <c r="C2719">
        <v>16</v>
      </c>
      <c r="D2719" t="inlineStr">
        <is>
          <t>count</t>
        </is>
      </c>
      <c r="E2719"/>
      <c r="F2719"/>
      <c r="G2719" t="inlineStr">
        <is>
          <t>lipid shorthand annotation</t>
        </is>
      </c>
      <c r="H2719" t="inlineStr">
        <is>
          <t>S003_AVANTI_PHASE</t>
        </is>
      </c>
      <c r="I2719" t="inlineStr">
        <is>
          <t>curated</t>
        </is>
      </c>
      <c r="J2719">
        <v>0.86</v>
      </c>
      <c r="K2719"/>
    </row>
    <row r="2720">
      <c r="A2720" t="inlineStr">
        <is>
          <t>LIP_PEG_DPPE</t>
        </is>
      </c>
      <c r="B2720" t="inlineStr">
        <is>
          <t>tail_1_unsaturation</t>
        </is>
      </c>
      <c r="C2720">
        <v>0</v>
      </c>
      <c r="D2720" t="inlineStr">
        <is>
          <t>double_bonds</t>
        </is>
      </c>
      <c r="E2720"/>
      <c r="F2720"/>
      <c r="G2720" t="inlineStr">
        <is>
          <t>lipid shorthand annotation</t>
        </is>
      </c>
      <c r="H2720" t="inlineStr">
        <is>
          <t>S003_AVANTI_PHASE</t>
        </is>
      </c>
      <c r="I2720" t="inlineStr">
        <is>
          <t>curated</t>
        </is>
      </c>
      <c r="J2720">
        <v>0.86</v>
      </c>
      <c r="K2720"/>
    </row>
    <row r="2721">
      <c r="A2721" t="inlineStr">
        <is>
          <t>LIP_PEG_DPPE</t>
        </is>
      </c>
      <c r="B2721" t="inlineStr">
        <is>
          <t>tail_2_carbons</t>
        </is>
      </c>
      <c r="C2721">
        <v>16</v>
      </c>
      <c r="D2721" t="inlineStr">
        <is>
          <t>count</t>
        </is>
      </c>
      <c r="E2721"/>
      <c r="F2721"/>
      <c r="G2721" t="inlineStr">
        <is>
          <t>lipid shorthand annotation</t>
        </is>
      </c>
      <c r="H2721" t="inlineStr">
        <is>
          <t>S003_AVANTI_PHASE</t>
        </is>
      </c>
      <c r="I2721" t="inlineStr">
        <is>
          <t>curated</t>
        </is>
      </c>
      <c r="J2721">
        <v>0.86</v>
      </c>
      <c r="K2721"/>
    </row>
    <row r="2722">
      <c r="A2722" t="inlineStr">
        <is>
          <t>LIP_PEG_DPPE</t>
        </is>
      </c>
      <c r="B2722" t="inlineStr">
        <is>
          <t>tail_2_unsaturation</t>
        </is>
      </c>
      <c r="C2722">
        <v>0</v>
      </c>
      <c r="D2722" t="inlineStr">
        <is>
          <t>double_bonds</t>
        </is>
      </c>
      <c r="E2722"/>
      <c r="F2722"/>
      <c r="G2722" t="inlineStr">
        <is>
          <t>lipid shorthand annotation</t>
        </is>
      </c>
      <c r="H2722" t="inlineStr">
        <is>
          <t>S003_AVANTI_PHASE</t>
        </is>
      </c>
      <c r="I2722" t="inlineStr">
        <is>
          <t>curated</t>
        </is>
      </c>
      <c r="J2722">
        <v>0.86</v>
      </c>
      <c r="K2722"/>
    </row>
    <row r="2723">
      <c r="A2723" t="inlineStr">
        <is>
          <t>LIP_PEG_DPPE</t>
        </is>
      </c>
      <c r="B2723" t="inlineStr">
        <is>
          <t>number_of_tails</t>
        </is>
      </c>
      <c r="C2723">
        <v>2</v>
      </c>
      <c r="D2723" t="inlineStr">
        <is>
          <t>count</t>
        </is>
      </c>
      <c r="E2723"/>
      <c r="F2723"/>
      <c r="G2723" t="inlineStr">
        <is>
          <t>lipid shorthand annotation</t>
        </is>
      </c>
      <c r="H2723" t="inlineStr">
        <is>
          <t>S003_AVANTI_PHASE</t>
        </is>
      </c>
      <c r="I2723" t="inlineStr">
        <is>
          <t>curated</t>
        </is>
      </c>
      <c r="J2723">
        <v>0.86</v>
      </c>
      <c r="K2723"/>
    </row>
    <row r="2724">
      <c r="A2724" t="inlineStr">
        <is>
          <t>LIP_PEG_DPPE</t>
        </is>
      </c>
      <c r="B2724" t="inlineStr">
        <is>
          <t>critical_packing_notes</t>
        </is>
      </c>
      <c r="C2724" t="inlineStr">
        <is>
          <t>bilayer-forming cylindrical lipid</t>
        </is>
      </c>
      <c r="D2724"/>
      <c r="E2724"/>
      <c r="F2724"/>
      <c r="G2724" t="inlineStr">
        <is>
          <t>CPP heuristic</t>
        </is>
      </c>
      <c r="H2724" t="inlineStr">
        <is>
          <t>S014_AULTON</t>
        </is>
      </c>
      <c r="I2724" t="inlineStr">
        <is>
          <t>curated</t>
        </is>
      </c>
      <c r="J2724">
        <v>0.65</v>
      </c>
      <c r="K2724"/>
    </row>
    <row r="2725">
      <c r="A2725" t="inlineStr">
        <is>
          <t>LIP_PEG_DPPE</t>
        </is>
      </c>
      <c r="B2725" t="inlineStr">
        <is>
          <t>membrane_rigidity_contribution</t>
        </is>
      </c>
      <c r="C2725" t="inlineStr">
        <is>
          <t>moderate</t>
        </is>
      </c>
      <c r="D2725"/>
      <c r="E2725"/>
      <c r="F2725"/>
      <c r="G2725" t="inlineStr">
        <is>
          <t>Tm and unsaturation heuristic</t>
        </is>
      </c>
      <c r="H2725" t="inlineStr">
        <is>
          <t>S003_AVANTI_PHASE</t>
        </is>
      </c>
      <c r="I2725" t="inlineStr">
        <is>
          <t>curated</t>
        </is>
      </c>
      <c r="J2725">
        <v>0.65</v>
      </c>
      <c r="K2725"/>
    </row>
    <row r="2726">
      <c r="A2726" t="inlineStr">
        <is>
          <t>LIP_PEG_DPPE</t>
        </is>
      </c>
      <c r="B2726" t="inlineStr">
        <is>
          <t>fusogenic_flag</t>
        </is>
      </c>
      <c r="C2726" t="inlineStr">
        <is>
          <t>no</t>
        </is>
      </c>
      <c r="D2726"/>
      <c r="E2726"/>
      <c r="F2726"/>
      <c r="G2726" t="inlineStr">
        <is>
          <t>role annotation</t>
        </is>
      </c>
      <c r="H2726" t="inlineStr">
        <is>
          <t>S014_AULTON</t>
        </is>
      </c>
      <c r="I2726" t="inlineStr">
        <is>
          <t>curated</t>
        </is>
      </c>
      <c r="J2726">
        <v>0.7</v>
      </c>
      <c r="K2726"/>
    </row>
    <row r="2727">
      <c r="A2727" t="inlineStr">
        <is>
          <t>LIP_PEG_DPPE</t>
        </is>
      </c>
      <c r="B2727" t="inlineStr">
        <is>
          <t>PEGylated_flag</t>
        </is>
      </c>
      <c r="C2727" t="inlineStr">
        <is>
          <t>yes</t>
        </is>
      </c>
      <c r="D2727"/>
      <c r="E2727"/>
      <c r="F2727"/>
      <c r="G2727" t="inlineStr">
        <is>
          <t>role annotation</t>
        </is>
      </c>
      <c r="H2727" t="inlineStr">
        <is>
          <t>S014_AULTON</t>
        </is>
      </c>
      <c r="I2727" t="inlineStr">
        <is>
          <t>curated</t>
        </is>
      </c>
      <c r="J2727">
        <v>0.85</v>
      </c>
      <c r="K2727"/>
    </row>
    <row r="2728">
      <c r="A2728" t="inlineStr">
        <is>
          <t>LIP_PEG_DPPE</t>
        </is>
      </c>
      <c r="B2728" t="inlineStr">
        <is>
          <t>ionizable_flag</t>
        </is>
      </c>
      <c r="C2728" t="inlineStr">
        <is>
          <t>no</t>
        </is>
      </c>
      <c r="D2728"/>
      <c r="E2728"/>
      <c r="F2728"/>
      <c r="G2728" t="inlineStr">
        <is>
          <t>role annotation</t>
        </is>
      </c>
      <c r="H2728" t="inlineStr">
        <is>
          <t>S014_AULTON</t>
        </is>
      </c>
      <c r="I2728" t="inlineStr">
        <is>
          <t>curated</t>
        </is>
      </c>
      <c r="J2728">
        <v>0.85</v>
      </c>
      <c r="K2728"/>
    </row>
    <row r="2729">
      <c r="A2729" t="inlineStr">
        <is>
          <t>LIP_PEG_DPPE</t>
        </is>
      </c>
      <c r="B2729" t="inlineStr">
        <is>
          <t>route_suitability</t>
        </is>
      </c>
      <c r="C2729" t="inlineStr">
        <is>
          <t>liposome/LNP; route depends on purity, grade, residual solvents/endotoxin</t>
        </is>
      </c>
      <c r="D2729"/>
      <c r="E2729"/>
      <c r="F2729"/>
      <c r="G2729" t="inlineStr">
        <is>
          <t>route precedent caution</t>
        </is>
      </c>
      <c r="H2729" t="inlineStr">
        <is>
          <t>S008_FDA_IID</t>
        </is>
      </c>
      <c r="I2729" t="inlineStr">
        <is>
          <t>curated</t>
        </is>
      </c>
      <c r="J2729">
        <v>0.55</v>
      </c>
      <c r="K2729"/>
    </row>
    <row r="2730">
      <c r="A2730" t="inlineStr">
        <is>
          <t>LIP_PEG_DPPE</t>
        </is>
      </c>
      <c r="B2730" t="inlineStr">
        <is>
          <t>storage_notes</t>
        </is>
      </c>
      <c r="C2730" t="inlineStr">
        <is>
          <t>store cold, dry, inert gas; protect unsaturated/ionizable lipids from oxidation/hydrolysis</t>
        </is>
      </c>
      <c r="D2730"/>
      <c r="E2730"/>
      <c r="F2730"/>
      <c r="G2730" t="inlineStr">
        <is>
          <t>supplier stability convention</t>
        </is>
      </c>
      <c r="H2730" t="inlineStr">
        <is>
          <t>S003_AVANTI_PHASE</t>
        </is>
      </c>
      <c r="I2730" t="inlineStr">
        <is>
          <t>curated</t>
        </is>
      </c>
      <c r="J2730">
        <v>0.7</v>
      </c>
      <c r="K2730"/>
    </row>
    <row r="2731">
      <c r="A2731" t="inlineStr">
        <is>
          <t>LIP_PEG_DPPE</t>
        </is>
      </c>
      <c r="B2731" t="inlineStr">
        <is>
          <t>Hansen_delta_D</t>
        </is>
      </c>
      <c r="C2731">
        <v>17.5</v>
      </c>
      <c r="D2731" t="inlineStr">
        <is>
          <t>MPa^0.5</t>
        </is>
      </c>
      <c r="E2731"/>
      <c r="F2731"/>
      <c r="G2731" t="inlineStr">
        <is>
          <t>heuristic group-contribution/nearest-neighbour</t>
        </is>
      </c>
      <c r="H2731" t="inlineStr">
        <is>
          <t>S013_EST_HSP_HEURISTIC</t>
        </is>
      </c>
      <c r="I2731" t="inlineStr">
        <is>
          <t>estimated</t>
        </is>
      </c>
      <c r="J2731">
        <v>0.38</v>
      </c>
      <c r="K2731" t="inlineStr">
        <is>
          <t>Provisional HSP for screening; replace with experimental/literature value before model lock.</t>
        </is>
      </c>
    </row>
    <row r="2732">
      <c r="A2732" t="inlineStr">
        <is>
          <t>LIP_PEG_DPPE</t>
        </is>
      </c>
      <c r="B2732" t="inlineStr">
        <is>
          <t>Hansen_delta_P</t>
        </is>
      </c>
      <c r="C2732">
        <v>7.5</v>
      </c>
      <c r="D2732" t="inlineStr">
        <is>
          <t>MPa^0.5</t>
        </is>
      </c>
      <c r="E2732"/>
      <c r="F2732"/>
      <c r="G2732" t="inlineStr">
        <is>
          <t>heuristic group-contribution/nearest-neighbour</t>
        </is>
      </c>
      <c r="H2732" t="inlineStr">
        <is>
          <t>S013_EST_HSP_HEURISTIC</t>
        </is>
      </c>
      <c r="I2732" t="inlineStr">
        <is>
          <t>estimated</t>
        </is>
      </c>
      <c r="J2732">
        <v>0.38</v>
      </c>
      <c r="K2732" t="inlineStr">
        <is>
          <t>Provisional HSP for screening; replace with experimental/literature value before model lock.</t>
        </is>
      </c>
    </row>
    <row r="2733">
      <c r="A2733" t="inlineStr">
        <is>
          <t>LIP_PEG_DPPE</t>
        </is>
      </c>
      <c r="B2733" t="inlineStr">
        <is>
          <t>Hansen_delta_H</t>
        </is>
      </c>
      <c r="C2733">
        <v>8.0</v>
      </c>
      <c r="D2733" t="inlineStr">
        <is>
          <t>MPa^0.5</t>
        </is>
      </c>
      <c r="E2733"/>
      <c r="F2733"/>
      <c r="G2733" t="inlineStr">
        <is>
          <t>heuristic group-contribution/nearest-neighbour</t>
        </is>
      </c>
      <c r="H2733" t="inlineStr">
        <is>
          <t>S013_EST_HSP_HEURISTIC</t>
        </is>
      </c>
      <c r="I2733" t="inlineStr">
        <is>
          <t>estimated</t>
        </is>
      </c>
      <c r="J2733">
        <v>0.38</v>
      </c>
      <c r="K2733" t="inlineStr">
        <is>
          <t>Provisional HSP for screening; replace with experimental/literature value before model lock.</t>
        </is>
      </c>
    </row>
    <row r="2734">
      <c r="A2734" t="inlineStr">
        <is>
          <t>LIP_PEG_DPPE</t>
        </is>
      </c>
      <c r="B2734" t="inlineStr">
        <is>
          <t>Hildebrand_delta_T</t>
        </is>
      </c>
      <c r="C2734">
        <v>20.65</v>
      </c>
      <c r="D2734" t="inlineStr">
        <is>
          <t>MPa^0.5</t>
        </is>
      </c>
      <c r="E2734"/>
      <c r="F2734"/>
      <c r="G2734" t="inlineStr">
        <is>
          <t>sqrt(deltaD^2+deltaP^2+deltaH^2)</t>
        </is>
      </c>
      <c r="H2734" t="inlineStr">
        <is>
          <t>S012_CALCULATED</t>
        </is>
      </c>
      <c r="I2734" t="inlineStr">
        <is>
          <t>calculated</t>
        </is>
      </c>
      <c r="J2734">
        <v>0.43</v>
      </c>
      <c r="K2734" t="inlineStr">
        <is>
          <t>Derived from stored Hansen components.</t>
        </is>
      </c>
    </row>
    <row r="2735">
      <c r="A2735" t="inlineStr">
        <is>
          <t>LIP_PEG_DPPE</t>
        </is>
      </c>
      <c r="B2735" t="inlineStr">
        <is>
          <t>HSP_radius_R0</t>
        </is>
      </c>
      <c r="C2735">
        <v>8.0</v>
      </c>
      <c r="D2735" t="inlineStr">
        <is>
          <t>MPa^0.5</t>
        </is>
      </c>
      <c r="E2735"/>
      <c r="F2735"/>
      <c r="G2735" t="inlineStr">
        <is>
          <t>literature/heuristic solubility sphere</t>
        </is>
      </c>
      <c r="H2735" t="inlineStr">
        <is>
          <t>S013_EST_HSP_HEURISTIC</t>
        </is>
      </c>
      <c r="I2735" t="inlineStr">
        <is>
          <t>estimated</t>
        </is>
      </c>
      <c r="J2735">
        <v>0.38</v>
      </c>
      <c r="K2735" t="inlineStr">
        <is>
          <t>Screening radius only unless experimentally determined.</t>
        </is>
      </c>
    </row>
    <row r="2736">
      <c r="A2736" t="inlineStr">
        <is>
          <t>LIP_PEG_DPPE</t>
        </is>
      </c>
      <c r="B2736" t="inlineStr">
        <is>
          <t>molar_volume_cm3_mol</t>
        </is>
      </c>
      <c r="C2736">
        <v>2750.0</v>
      </c>
      <c r="D2736" t="inlineStr">
        <is>
          <t>cm3/mol</t>
        </is>
      </c>
      <c r="E2736"/>
      <c r="F2736"/>
      <c r="G2736" t="inlineStr">
        <is>
          <t>MW/density estimate</t>
        </is>
      </c>
      <c r="H2736" t="inlineStr">
        <is>
          <t>S012_CALCULATED</t>
        </is>
      </c>
      <c r="I2736" t="inlineStr">
        <is>
          <t>estimated</t>
        </is>
      </c>
      <c r="J2736">
        <v>0.42</v>
      </c>
      <c r="K2736" t="inlineStr">
        <is>
          <t>Estimated from MW/density; replace with measured molar volume or density-specific grade data.</t>
        </is>
      </c>
    </row>
    <row r="2737">
      <c r="A2737" t="inlineStr">
        <is>
          <t>LIP_PEG_DPPE</t>
        </is>
      </c>
      <c r="B2737" t="inlineStr">
        <is>
          <t>headgroup_area_nm2</t>
        </is>
      </c>
      <c r="C2737">
        <v>0.7</v>
      </c>
      <c r="D2737" t="inlineStr">
        <is>
          <t>nm2</t>
        </is>
      </c>
      <c r="E2737"/>
      <c r="F2737"/>
      <c r="G2737" t="inlineStr">
        <is>
          <t>literature/MD heuristic</t>
        </is>
      </c>
      <c r="H2737" t="inlineStr">
        <is>
          <t>S013_EST_HSP_HEURISTIC</t>
        </is>
      </c>
      <c r="I2737" t="inlineStr">
        <is>
          <t>estimated</t>
        </is>
      </c>
      <c r="J2737">
        <v>0.35</v>
      </c>
      <c r="K2737" t="inlineStr">
        <is>
          <t>Area per lipid varies with phase, temperature, cholesterol, hydration, and force field.</t>
        </is>
      </c>
    </row>
    <row r="2738">
      <c r="A2738" t="inlineStr">
        <is>
          <t>LIP_DOTAP</t>
        </is>
      </c>
      <c r="B2738" t="inlineStr">
        <is>
          <t>molecular_weight_g_mol</t>
        </is>
      </c>
      <c r="C2738">
        <v>698.5</v>
      </c>
      <c r="D2738" t="inlineStr">
        <is>
          <t>g/mol</t>
        </is>
      </c>
      <c r="E2738"/>
      <c r="F2738"/>
      <c r="G2738" t="inlineStr">
        <is>
          <t>LIPID MAPS/supplier formula or average grade MW</t>
        </is>
      </c>
      <c r="H2738" t="inlineStr">
        <is>
          <t>S004_LIPIDMAPS</t>
        </is>
      </c>
      <c r="I2738" t="inlineStr">
        <is>
          <t>database-derived</t>
        </is>
      </c>
      <c r="J2738">
        <v>0.78</v>
      </c>
      <c r="K2738"/>
    </row>
    <row r="2739">
      <c r="A2739" t="inlineStr">
        <is>
          <t>LIP_DOTAP</t>
        </is>
      </c>
      <c r="B2739" t="inlineStr">
        <is>
          <t>lipid_class</t>
        </is>
      </c>
      <c r="C2739" t="inlineStr">
        <is>
          <t>cationic lipid</t>
        </is>
      </c>
      <c r="D2739"/>
      <c r="E2739"/>
      <c r="F2739"/>
      <c r="G2739" t="inlineStr">
        <is>
          <t>lipid class annotation</t>
        </is>
      </c>
      <c r="H2739" t="inlineStr">
        <is>
          <t>S003_AVANTI_PHASE</t>
        </is>
      </c>
      <c r="I2739" t="inlineStr">
        <is>
          <t>curated</t>
        </is>
      </c>
      <c r="J2739">
        <v>0.85</v>
      </c>
      <c r="K2739"/>
    </row>
    <row r="2740">
      <c r="A2740" t="inlineStr">
        <is>
          <t>LIP_DOTAP</t>
        </is>
      </c>
      <c r="B2740" t="inlineStr">
        <is>
          <t>headgroup_type</t>
        </is>
      </c>
      <c r="C2740" t="inlineStr">
        <is>
          <t>quaternary ammonium</t>
        </is>
      </c>
      <c r="D2740"/>
      <c r="E2740"/>
      <c r="F2740"/>
      <c r="G2740" t="inlineStr">
        <is>
          <t>headgroup annotation</t>
        </is>
      </c>
      <c r="H2740" t="inlineStr">
        <is>
          <t>S003_AVANTI_PHASE</t>
        </is>
      </c>
      <c r="I2740" t="inlineStr">
        <is>
          <t>curated</t>
        </is>
      </c>
      <c r="J2740">
        <v>0.85</v>
      </c>
      <c r="K2740"/>
    </row>
    <row r="2741">
      <c r="A2741" t="inlineStr">
        <is>
          <t>LIP_DOTAP</t>
        </is>
      </c>
      <c r="B2741" t="inlineStr">
        <is>
          <t>charge_type</t>
        </is>
      </c>
      <c r="C2741" t="inlineStr">
        <is>
          <t>cationic</t>
        </is>
      </c>
      <c r="D2741"/>
      <c r="E2741"/>
      <c r="F2741"/>
      <c r="G2741" t="inlineStr">
        <is>
          <t>nominal at pH 7.4</t>
        </is>
      </c>
      <c r="H2741" t="inlineStr">
        <is>
          <t>S003_AVANTI_PHASE</t>
        </is>
      </c>
      <c r="I2741" t="inlineStr">
        <is>
          <t>curated</t>
        </is>
      </c>
      <c r="J2741">
        <v>0.85</v>
      </c>
      <c r="K2741"/>
    </row>
    <row r="2742">
      <c r="A2742" t="inlineStr">
        <is>
          <t>LIP_DOTAP</t>
        </is>
      </c>
      <c r="B2742" t="inlineStr">
        <is>
          <t>formal_charge</t>
        </is>
      </c>
      <c r="C2742">
        <v>1</v>
      </c>
      <c r="D2742" t="inlineStr">
        <is>
          <t>e</t>
        </is>
      </c>
      <c r="E2742"/>
      <c r="F2742"/>
      <c r="G2742" t="inlineStr">
        <is>
          <t>nominal at pH 7.4</t>
        </is>
      </c>
      <c r="H2742" t="inlineStr">
        <is>
          <t>S003_AVANTI_PHASE</t>
        </is>
      </c>
      <c r="I2742" t="inlineStr">
        <is>
          <t>curated</t>
        </is>
      </c>
      <c r="J2742">
        <v>0.85</v>
      </c>
      <c r="K2742"/>
    </row>
    <row r="2743">
      <c r="A2743" t="inlineStr">
        <is>
          <t>LIP_DOTAP</t>
        </is>
      </c>
      <c r="B2743" t="inlineStr">
        <is>
          <t>tail_1_carbons</t>
        </is>
      </c>
      <c r="C2743">
        <v>18</v>
      </c>
      <c r="D2743" t="inlineStr">
        <is>
          <t>count</t>
        </is>
      </c>
      <c r="E2743"/>
      <c r="F2743"/>
      <c r="G2743" t="inlineStr">
        <is>
          <t>lipid shorthand annotation</t>
        </is>
      </c>
      <c r="H2743" t="inlineStr">
        <is>
          <t>S003_AVANTI_PHASE</t>
        </is>
      </c>
      <c r="I2743" t="inlineStr">
        <is>
          <t>curated</t>
        </is>
      </c>
      <c r="J2743">
        <v>0.86</v>
      </c>
      <c r="K2743"/>
    </row>
    <row r="2744">
      <c r="A2744" t="inlineStr">
        <is>
          <t>LIP_DOTAP</t>
        </is>
      </c>
      <c r="B2744" t="inlineStr">
        <is>
          <t>tail_1_unsaturation</t>
        </is>
      </c>
      <c r="C2744">
        <v>1</v>
      </c>
      <c r="D2744" t="inlineStr">
        <is>
          <t>double_bonds</t>
        </is>
      </c>
      <c r="E2744"/>
      <c r="F2744"/>
      <c r="G2744" t="inlineStr">
        <is>
          <t>lipid shorthand annotation</t>
        </is>
      </c>
      <c r="H2744" t="inlineStr">
        <is>
          <t>S003_AVANTI_PHASE</t>
        </is>
      </c>
      <c r="I2744" t="inlineStr">
        <is>
          <t>curated</t>
        </is>
      </c>
      <c r="J2744">
        <v>0.86</v>
      </c>
      <c r="K2744"/>
    </row>
    <row r="2745">
      <c r="A2745" t="inlineStr">
        <is>
          <t>LIP_DOTAP</t>
        </is>
      </c>
      <c r="B2745" t="inlineStr">
        <is>
          <t>tail_2_carbons</t>
        </is>
      </c>
      <c r="C2745">
        <v>18</v>
      </c>
      <c r="D2745" t="inlineStr">
        <is>
          <t>count</t>
        </is>
      </c>
      <c r="E2745"/>
      <c r="F2745"/>
      <c r="G2745" t="inlineStr">
        <is>
          <t>lipid shorthand annotation</t>
        </is>
      </c>
      <c r="H2745" t="inlineStr">
        <is>
          <t>S003_AVANTI_PHASE</t>
        </is>
      </c>
      <c r="I2745" t="inlineStr">
        <is>
          <t>curated</t>
        </is>
      </c>
      <c r="J2745">
        <v>0.86</v>
      </c>
      <c r="K2745"/>
    </row>
    <row r="2746">
      <c r="A2746" t="inlineStr">
        <is>
          <t>LIP_DOTAP</t>
        </is>
      </c>
      <c r="B2746" t="inlineStr">
        <is>
          <t>tail_2_unsaturation</t>
        </is>
      </c>
      <c r="C2746">
        <v>1</v>
      </c>
      <c r="D2746" t="inlineStr">
        <is>
          <t>double_bonds</t>
        </is>
      </c>
      <c r="E2746"/>
      <c r="F2746"/>
      <c r="G2746" t="inlineStr">
        <is>
          <t>lipid shorthand annotation</t>
        </is>
      </c>
      <c r="H2746" t="inlineStr">
        <is>
          <t>S003_AVANTI_PHASE</t>
        </is>
      </c>
      <c r="I2746" t="inlineStr">
        <is>
          <t>curated</t>
        </is>
      </c>
      <c r="J2746">
        <v>0.86</v>
      </c>
      <c r="K2746"/>
    </row>
    <row r="2747">
      <c r="A2747" t="inlineStr">
        <is>
          <t>LIP_DOTAP</t>
        </is>
      </c>
      <c r="B2747" t="inlineStr">
        <is>
          <t>number_of_tails</t>
        </is>
      </c>
      <c r="C2747">
        <v>2</v>
      </c>
      <c r="D2747" t="inlineStr">
        <is>
          <t>count</t>
        </is>
      </c>
      <c r="E2747"/>
      <c r="F2747"/>
      <c r="G2747" t="inlineStr">
        <is>
          <t>lipid shorthand annotation</t>
        </is>
      </c>
      <c r="H2747" t="inlineStr">
        <is>
          <t>S003_AVANTI_PHASE</t>
        </is>
      </c>
      <c r="I2747" t="inlineStr">
        <is>
          <t>curated</t>
        </is>
      </c>
      <c r="J2747">
        <v>0.86</v>
      </c>
      <c r="K2747"/>
    </row>
    <row r="2748">
      <c r="A2748" t="inlineStr">
        <is>
          <t>LIP_DOTAP</t>
        </is>
      </c>
      <c r="B2748" t="inlineStr">
        <is>
          <t>critical_packing_notes</t>
        </is>
      </c>
      <c r="C2748" t="inlineStr">
        <is>
          <t>bilayer-forming cylindrical lipid</t>
        </is>
      </c>
      <c r="D2748"/>
      <c r="E2748"/>
      <c r="F2748"/>
      <c r="G2748" t="inlineStr">
        <is>
          <t>CPP heuristic</t>
        </is>
      </c>
      <c r="H2748" t="inlineStr">
        <is>
          <t>S014_AULTON</t>
        </is>
      </c>
      <c r="I2748" t="inlineStr">
        <is>
          <t>curated</t>
        </is>
      </c>
      <c r="J2748">
        <v>0.65</v>
      </c>
      <c r="K2748"/>
    </row>
    <row r="2749">
      <c r="A2749" t="inlineStr">
        <is>
          <t>LIP_DOTAP</t>
        </is>
      </c>
      <c r="B2749" t="inlineStr">
        <is>
          <t>membrane_rigidity_contribution</t>
        </is>
      </c>
      <c r="C2749" t="inlineStr">
        <is>
          <t>fluidizing</t>
        </is>
      </c>
      <c r="D2749"/>
      <c r="E2749"/>
      <c r="F2749"/>
      <c r="G2749" t="inlineStr">
        <is>
          <t>Tm and unsaturation heuristic</t>
        </is>
      </c>
      <c r="H2749" t="inlineStr">
        <is>
          <t>S003_AVANTI_PHASE</t>
        </is>
      </c>
      <c r="I2749" t="inlineStr">
        <is>
          <t>curated</t>
        </is>
      </c>
      <c r="J2749">
        <v>0.65</v>
      </c>
      <c r="K2749"/>
    </row>
    <row r="2750">
      <c r="A2750" t="inlineStr">
        <is>
          <t>LIP_DOTAP</t>
        </is>
      </c>
      <c r="B2750" t="inlineStr">
        <is>
          <t>fusogenic_flag</t>
        </is>
      </c>
      <c r="C2750" t="inlineStr">
        <is>
          <t>no</t>
        </is>
      </c>
      <c r="D2750"/>
      <c r="E2750"/>
      <c r="F2750"/>
      <c r="G2750" t="inlineStr">
        <is>
          <t>role annotation</t>
        </is>
      </c>
      <c r="H2750" t="inlineStr">
        <is>
          <t>S014_AULTON</t>
        </is>
      </c>
      <c r="I2750" t="inlineStr">
        <is>
          <t>curated</t>
        </is>
      </c>
      <c r="J2750">
        <v>0.7</v>
      </c>
      <c r="K2750"/>
    </row>
    <row r="2751">
      <c r="A2751" t="inlineStr">
        <is>
          <t>LIP_DOTAP</t>
        </is>
      </c>
      <c r="B2751" t="inlineStr">
        <is>
          <t>PEGylated_flag</t>
        </is>
      </c>
      <c r="C2751" t="inlineStr">
        <is>
          <t>no</t>
        </is>
      </c>
      <c r="D2751"/>
      <c r="E2751"/>
      <c r="F2751"/>
      <c r="G2751" t="inlineStr">
        <is>
          <t>role annotation</t>
        </is>
      </c>
      <c r="H2751" t="inlineStr">
        <is>
          <t>S014_AULTON</t>
        </is>
      </c>
      <c r="I2751" t="inlineStr">
        <is>
          <t>curated</t>
        </is>
      </c>
      <c r="J2751">
        <v>0.85</v>
      </c>
      <c r="K2751"/>
    </row>
    <row r="2752">
      <c r="A2752" t="inlineStr">
        <is>
          <t>LIP_DOTAP</t>
        </is>
      </c>
      <c r="B2752" t="inlineStr">
        <is>
          <t>ionizable_flag</t>
        </is>
      </c>
      <c r="C2752" t="inlineStr">
        <is>
          <t>no</t>
        </is>
      </c>
      <c r="D2752"/>
      <c r="E2752"/>
      <c r="F2752"/>
      <c r="G2752" t="inlineStr">
        <is>
          <t>role annotation</t>
        </is>
      </c>
      <c r="H2752" t="inlineStr">
        <is>
          <t>S014_AULTON</t>
        </is>
      </c>
      <c r="I2752" t="inlineStr">
        <is>
          <t>curated</t>
        </is>
      </c>
      <c r="J2752">
        <v>0.85</v>
      </c>
      <c r="K2752"/>
    </row>
    <row r="2753">
      <c r="A2753" t="inlineStr">
        <is>
          <t>LIP_DOTAP</t>
        </is>
      </c>
      <c r="B2753" t="inlineStr">
        <is>
          <t>route_suitability</t>
        </is>
      </c>
      <c r="C2753" t="inlineStr">
        <is>
          <t>liposome/LNP; route depends on purity, grade, residual solvents/endotoxin</t>
        </is>
      </c>
      <c r="D2753"/>
      <c r="E2753"/>
      <c r="F2753"/>
      <c r="G2753" t="inlineStr">
        <is>
          <t>route precedent caution</t>
        </is>
      </c>
      <c r="H2753" t="inlineStr">
        <is>
          <t>S008_FDA_IID</t>
        </is>
      </c>
      <c r="I2753" t="inlineStr">
        <is>
          <t>curated</t>
        </is>
      </c>
      <c r="J2753">
        <v>0.55</v>
      </c>
      <c r="K2753"/>
    </row>
    <row r="2754">
      <c r="A2754" t="inlineStr">
        <is>
          <t>LIP_DOTAP</t>
        </is>
      </c>
      <c r="B2754" t="inlineStr">
        <is>
          <t>storage_notes</t>
        </is>
      </c>
      <c r="C2754" t="inlineStr">
        <is>
          <t>store cold, dry, inert gas; protect unsaturated/ionizable lipids from oxidation/hydrolysis</t>
        </is>
      </c>
      <c r="D2754"/>
      <c r="E2754"/>
      <c r="F2754"/>
      <c r="G2754" t="inlineStr">
        <is>
          <t>supplier stability convention</t>
        </is>
      </c>
      <c r="H2754" t="inlineStr">
        <is>
          <t>S003_AVANTI_PHASE</t>
        </is>
      </c>
      <c r="I2754" t="inlineStr">
        <is>
          <t>curated</t>
        </is>
      </c>
      <c r="J2754">
        <v>0.7</v>
      </c>
      <c r="K2754"/>
    </row>
    <row r="2755">
      <c r="A2755" t="inlineStr">
        <is>
          <t>LIP_DOTAP</t>
        </is>
      </c>
      <c r="B2755" t="inlineStr">
        <is>
          <t>Hansen_delta_D</t>
        </is>
      </c>
      <c r="C2755">
        <v>17.5</v>
      </c>
      <c r="D2755" t="inlineStr">
        <is>
          <t>MPa^0.5</t>
        </is>
      </c>
      <c r="E2755"/>
      <c r="F2755"/>
      <c r="G2755" t="inlineStr">
        <is>
          <t>heuristic group-contribution/nearest-neighbour</t>
        </is>
      </c>
      <c r="H2755" t="inlineStr">
        <is>
          <t>S013_EST_HSP_HEURISTIC</t>
        </is>
      </c>
      <c r="I2755" t="inlineStr">
        <is>
          <t>estimated</t>
        </is>
      </c>
      <c r="J2755">
        <v>0.38</v>
      </c>
      <c r="K2755" t="inlineStr">
        <is>
          <t>Provisional HSP for screening; replace with experimental/literature value before model lock.</t>
        </is>
      </c>
    </row>
    <row r="2756">
      <c r="A2756" t="inlineStr">
        <is>
          <t>LIP_DOTAP</t>
        </is>
      </c>
      <c r="B2756" t="inlineStr">
        <is>
          <t>Hansen_delta_P</t>
        </is>
      </c>
      <c r="C2756">
        <v>7.5</v>
      </c>
      <c r="D2756" t="inlineStr">
        <is>
          <t>MPa^0.5</t>
        </is>
      </c>
      <c r="E2756"/>
      <c r="F2756"/>
      <c r="G2756" t="inlineStr">
        <is>
          <t>heuristic group-contribution/nearest-neighbour</t>
        </is>
      </c>
      <c r="H2756" t="inlineStr">
        <is>
          <t>S013_EST_HSP_HEURISTIC</t>
        </is>
      </c>
      <c r="I2756" t="inlineStr">
        <is>
          <t>estimated</t>
        </is>
      </c>
      <c r="J2756">
        <v>0.38</v>
      </c>
      <c r="K2756" t="inlineStr">
        <is>
          <t>Provisional HSP for screening; replace with experimental/literature value before model lock.</t>
        </is>
      </c>
    </row>
    <row r="2757">
      <c r="A2757" t="inlineStr">
        <is>
          <t>LIP_DOTAP</t>
        </is>
      </c>
      <c r="B2757" t="inlineStr">
        <is>
          <t>Hansen_delta_H</t>
        </is>
      </c>
      <c r="C2757">
        <v>10.0</v>
      </c>
      <c r="D2757" t="inlineStr">
        <is>
          <t>MPa^0.5</t>
        </is>
      </c>
      <c r="E2757"/>
      <c r="F2757"/>
      <c r="G2757" t="inlineStr">
        <is>
          <t>heuristic group-contribution/nearest-neighbour</t>
        </is>
      </c>
      <c r="H2757" t="inlineStr">
        <is>
          <t>S013_EST_HSP_HEURISTIC</t>
        </is>
      </c>
      <c r="I2757" t="inlineStr">
        <is>
          <t>estimated</t>
        </is>
      </c>
      <c r="J2757">
        <v>0.38</v>
      </c>
      <c r="K2757" t="inlineStr">
        <is>
          <t>Provisional HSP for screening; replace with experimental/literature value before model lock.</t>
        </is>
      </c>
    </row>
    <row r="2758">
      <c r="A2758" t="inlineStr">
        <is>
          <t>LIP_DOTAP</t>
        </is>
      </c>
      <c r="B2758" t="inlineStr">
        <is>
          <t>Hildebrand_delta_T</t>
        </is>
      </c>
      <c r="C2758">
        <v>21.51</v>
      </c>
      <c r="D2758" t="inlineStr">
        <is>
          <t>MPa^0.5</t>
        </is>
      </c>
      <c r="E2758"/>
      <c r="F2758"/>
      <c r="G2758" t="inlineStr">
        <is>
          <t>sqrt(deltaD^2+deltaP^2+deltaH^2)</t>
        </is>
      </c>
      <c r="H2758" t="inlineStr">
        <is>
          <t>S012_CALCULATED</t>
        </is>
      </c>
      <c r="I2758" t="inlineStr">
        <is>
          <t>calculated</t>
        </is>
      </c>
      <c r="J2758">
        <v>0.43</v>
      </c>
      <c r="K2758" t="inlineStr">
        <is>
          <t>Derived from stored Hansen components.</t>
        </is>
      </c>
    </row>
    <row r="2759">
      <c r="A2759" t="inlineStr">
        <is>
          <t>LIP_DOTAP</t>
        </is>
      </c>
      <c r="B2759" t="inlineStr">
        <is>
          <t>HSP_radius_R0</t>
        </is>
      </c>
      <c r="C2759">
        <v>8.0</v>
      </c>
      <c r="D2759" t="inlineStr">
        <is>
          <t>MPa^0.5</t>
        </is>
      </c>
      <c r="E2759"/>
      <c r="F2759"/>
      <c r="G2759" t="inlineStr">
        <is>
          <t>literature/heuristic solubility sphere</t>
        </is>
      </c>
      <c r="H2759" t="inlineStr">
        <is>
          <t>S013_EST_HSP_HEURISTIC</t>
        </is>
      </c>
      <c r="I2759" t="inlineStr">
        <is>
          <t>estimated</t>
        </is>
      </c>
      <c r="J2759">
        <v>0.38</v>
      </c>
      <c r="K2759" t="inlineStr">
        <is>
          <t>Screening radius only unless experimentally determined.</t>
        </is>
      </c>
    </row>
    <row r="2760">
      <c r="A2760" t="inlineStr">
        <is>
          <t>LIP_DOTAP</t>
        </is>
      </c>
      <c r="B2760" t="inlineStr">
        <is>
          <t>molar_volume_cm3_mol</t>
        </is>
      </c>
      <c r="C2760">
        <v>698.5</v>
      </c>
      <c r="D2760" t="inlineStr">
        <is>
          <t>cm3/mol</t>
        </is>
      </c>
      <c r="E2760"/>
      <c r="F2760"/>
      <c r="G2760" t="inlineStr">
        <is>
          <t>MW/density estimate</t>
        </is>
      </c>
      <c r="H2760" t="inlineStr">
        <is>
          <t>S012_CALCULATED</t>
        </is>
      </c>
      <c r="I2760" t="inlineStr">
        <is>
          <t>estimated</t>
        </is>
      </c>
      <c r="J2760">
        <v>0.42</v>
      </c>
      <c r="K2760" t="inlineStr">
        <is>
          <t>Estimated from MW/density; replace with measured molar volume or density-specific grade data.</t>
        </is>
      </c>
    </row>
    <row r="2761">
      <c r="A2761" t="inlineStr">
        <is>
          <t>LIP_DOTAP</t>
        </is>
      </c>
      <c r="B2761" t="inlineStr">
        <is>
          <t>headgroup_area_nm2</t>
        </is>
      </c>
      <c r="C2761">
        <v>0.62</v>
      </c>
      <c r="D2761" t="inlineStr">
        <is>
          <t>nm2</t>
        </is>
      </c>
      <c r="E2761"/>
      <c r="F2761"/>
      <c r="G2761" t="inlineStr">
        <is>
          <t>literature/MD heuristic</t>
        </is>
      </c>
      <c r="H2761" t="inlineStr">
        <is>
          <t>S013_EST_HSP_HEURISTIC</t>
        </is>
      </c>
      <c r="I2761" t="inlineStr">
        <is>
          <t>estimated</t>
        </is>
      </c>
      <c r="J2761">
        <v>0.35</v>
      </c>
      <c r="K2761" t="inlineStr">
        <is>
          <t>Area per lipid varies with phase, temperature, cholesterol, hydration, and force field.</t>
        </is>
      </c>
    </row>
    <row r="2762">
      <c r="A2762" t="inlineStr">
        <is>
          <t>LIP_DOTMA</t>
        </is>
      </c>
      <c r="B2762" t="inlineStr">
        <is>
          <t>molecular_weight_g_mol</t>
        </is>
      </c>
      <c r="C2762">
        <v>670.5</v>
      </c>
      <c r="D2762" t="inlineStr">
        <is>
          <t>g/mol</t>
        </is>
      </c>
      <c r="E2762"/>
      <c r="F2762"/>
      <c r="G2762" t="inlineStr">
        <is>
          <t>LIPID MAPS/supplier formula or average grade MW</t>
        </is>
      </c>
      <c r="H2762" t="inlineStr">
        <is>
          <t>S004_LIPIDMAPS</t>
        </is>
      </c>
      <c r="I2762" t="inlineStr">
        <is>
          <t>database-derived</t>
        </is>
      </c>
      <c r="J2762">
        <v>0.78</v>
      </c>
      <c r="K2762"/>
    </row>
    <row r="2763">
      <c r="A2763" t="inlineStr">
        <is>
          <t>LIP_DOTMA</t>
        </is>
      </c>
      <c r="B2763" t="inlineStr">
        <is>
          <t>lipid_class</t>
        </is>
      </c>
      <c r="C2763" t="inlineStr">
        <is>
          <t>cationic lipid</t>
        </is>
      </c>
      <c r="D2763"/>
      <c r="E2763"/>
      <c r="F2763"/>
      <c r="G2763" t="inlineStr">
        <is>
          <t>lipid class annotation</t>
        </is>
      </c>
      <c r="H2763" t="inlineStr">
        <is>
          <t>S003_AVANTI_PHASE</t>
        </is>
      </c>
      <c r="I2763" t="inlineStr">
        <is>
          <t>curated</t>
        </is>
      </c>
      <c r="J2763">
        <v>0.85</v>
      </c>
      <c r="K2763"/>
    </row>
    <row r="2764">
      <c r="A2764" t="inlineStr">
        <is>
          <t>LIP_DOTMA</t>
        </is>
      </c>
      <c r="B2764" t="inlineStr">
        <is>
          <t>headgroup_type</t>
        </is>
      </c>
      <c r="C2764" t="inlineStr">
        <is>
          <t>quaternary ammonium</t>
        </is>
      </c>
      <c r="D2764"/>
      <c r="E2764"/>
      <c r="F2764"/>
      <c r="G2764" t="inlineStr">
        <is>
          <t>headgroup annotation</t>
        </is>
      </c>
      <c r="H2764" t="inlineStr">
        <is>
          <t>S003_AVANTI_PHASE</t>
        </is>
      </c>
      <c r="I2764" t="inlineStr">
        <is>
          <t>curated</t>
        </is>
      </c>
      <c r="J2764">
        <v>0.85</v>
      </c>
      <c r="K2764"/>
    </row>
    <row r="2765">
      <c r="A2765" t="inlineStr">
        <is>
          <t>LIP_DOTMA</t>
        </is>
      </c>
      <c r="B2765" t="inlineStr">
        <is>
          <t>charge_type</t>
        </is>
      </c>
      <c r="C2765" t="inlineStr">
        <is>
          <t>cationic</t>
        </is>
      </c>
      <c r="D2765"/>
      <c r="E2765"/>
      <c r="F2765"/>
      <c r="G2765" t="inlineStr">
        <is>
          <t>nominal at pH 7.4</t>
        </is>
      </c>
      <c r="H2765" t="inlineStr">
        <is>
          <t>S003_AVANTI_PHASE</t>
        </is>
      </c>
      <c r="I2765" t="inlineStr">
        <is>
          <t>curated</t>
        </is>
      </c>
      <c r="J2765">
        <v>0.85</v>
      </c>
      <c r="K2765"/>
    </row>
    <row r="2766">
      <c r="A2766" t="inlineStr">
        <is>
          <t>LIP_DOTMA</t>
        </is>
      </c>
      <c r="B2766" t="inlineStr">
        <is>
          <t>formal_charge</t>
        </is>
      </c>
      <c r="C2766">
        <v>1</v>
      </c>
      <c r="D2766" t="inlineStr">
        <is>
          <t>e</t>
        </is>
      </c>
      <c r="E2766"/>
      <c r="F2766"/>
      <c r="G2766" t="inlineStr">
        <is>
          <t>nominal at pH 7.4</t>
        </is>
      </c>
      <c r="H2766" t="inlineStr">
        <is>
          <t>S003_AVANTI_PHASE</t>
        </is>
      </c>
      <c r="I2766" t="inlineStr">
        <is>
          <t>curated</t>
        </is>
      </c>
      <c r="J2766">
        <v>0.85</v>
      </c>
      <c r="K2766"/>
    </row>
    <row r="2767">
      <c r="A2767" t="inlineStr">
        <is>
          <t>LIP_DOTMA</t>
        </is>
      </c>
      <c r="B2767" t="inlineStr">
        <is>
          <t>tail_1_carbons</t>
        </is>
      </c>
      <c r="C2767">
        <v>18</v>
      </c>
      <c r="D2767" t="inlineStr">
        <is>
          <t>count</t>
        </is>
      </c>
      <c r="E2767"/>
      <c r="F2767"/>
      <c r="G2767" t="inlineStr">
        <is>
          <t>lipid shorthand annotation</t>
        </is>
      </c>
      <c r="H2767" t="inlineStr">
        <is>
          <t>S003_AVANTI_PHASE</t>
        </is>
      </c>
      <c r="I2767" t="inlineStr">
        <is>
          <t>curated</t>
        </is>
      </c>
      <c r="J2767">
        <v>0.86</v>
      </c>
      <c r="K2767"/>
    </row>
    <row r="2768">
      <c r="A2768" t="inlineStr">
        <is>
          <t>LIP_DOTMA</t>
        </is>
      </c>
      <c r="B2768" t="inlineStr">
        <is>
          <t>tail_1_unsaturation</t>
        </is>
      </c>
      <c r="C2768">
        <v>1</v>
      </c>
      <c r="D2768" t="inlineStr">
        <is>
          <t>double_bonds</t>
        </is>
      </c>
      <c r="E2768"/>
      <c r="F2768"/>
      <c r="G2768" t="inlineStr">
        <is>
          <t>lipid shorthand annotation</t>
        </is>
      </c>
      <c r="H2768" t="inlineStr">
        <is>
          <t>S003_AVANTI_PHASE</t>
        </is>
      </c>
      <c r="I2768" t="inlineStr">
        <is>
          <t>curated</t>
        </is>
      </c>
      <c r="J2768">
        <v>0.86</v>
      </c>
      <c r="K2768"/>
    </row>
    <row r="2769">
      <c r="A2769" t="inlineStr">
        <is>
          <t>LIP_DOTMA</t>
        </is>
      </c>
      <c r="B2769" t="inlineStr">
        <is>
          <t>tail_2_carbons</t>
        </is>
      </c>
      <c r="C2769">
        <v>18</v>
      </c>
      <c r="D2769" t="inlineStr">
        <is>
          <t>count</t>
        </is>
      </c>
      <c r="E2769"/>
      <c r="F2769"/>
      <c r="G2769" t="inlineStr">
        <is>
          <t>lipid shorthand annotation</t>
        </is>
      </c>
      <c r="H2769" t="inlineStr">
        <is>
          <t>S003_AVANTI_PHASE</t>
        </is>
      </c>
      <c r="I2769" t="inlineStr">
        <is>
          <t>curated</t>
        </is>
      </c>
      <c r="J2769">
        <v>0.86</v>
      </c>
      <c r="K2769"/>
    </row>
    <row r="2770">
      <c r="A2770" t="inlineStr">
        <is>
          <t>LIP_DOTMA</t>
        </is>
      </c>
      <c r="B2770" t="inlineStr">
        <is>
          <t>tail_2_unsaturation</t>
        </is>
      </c>
      <c r="C2770">
        <v>1</v>
      </c>
      <c r="D2770" t="inlineStr">
        <is>
          <t>double_bonds</t>
        </is>
      </c>
      <c r="E2770"/>
      <c r="F2770"/>
      <c r="G2770" t="inlineStr">
        <is>
          <t>lipid shorthand annotation</t>
        </is>
      </c>
      <c r="H2770" t="inlineStr">
        <is>
          <t>S003_AVANTI_PHASE</t>
        </is>
      </c>
      <c r="I2770" t="inlineStr">
        <is>
          <t>curated</t>
        </is>
      </c>
      <c r="J2770">
        <v>0.86</v>
      </c>
      <c r="K2770"/>
    </row>
    <row r="2771">
      <c r="A2771" t="inlineStr">
        <is>
          <t>LIP_DOTMA</t>
        </is>
      </c>
      <c r="B2771" t="inlineStr">
        <is>
          <t>number_of_tails</t>
        </is>
      </c>
      <c r="C2771">
        <v>2</v>
      </c>
      <c r="D2771" t="inlineStr">
        <is>
          <t>count</t>
        </is>
      </c>
      <c r="E2771"/>
      <c r="F2771"/>
      <c r="G2771" t="inlineStr">
        <is>
          <t>lipid shorthand annotation</t>
        </is>
      </c>
      <c r="H2771" t="inlineStr">
        <is>
          <t>S003_AVANTI_PHASE</t>
        </is>
      </c>
      <c r="I2771" t="inlineStr">
        <is>
          <t>curated</t>
        </is>
      </c>
      <c r="J2771">
        <v>0.86</v>
      </c>
      <c r="K2771"/>
    </row>
    <row r="2772">
      <c r="A2772" t="inlineStr">
        <is>
          <t>LIP_DOTMA</t>
        </is>
      </c>
      <c r="B2772" t="inlineStr">
        <is>
          <t>critical_packing_notes</t>
        </is>
      </c>
      <c r="C2772" t="inlineStr">
        <is>
          <t>bilayer-forming cylindrical lipid</t>
        </is>
      </c>
      <c r="D2772"/>
      <c r="E2772"/>
      <c r="F2772"/>
      <c r="G2772" t="inlineStr">
        <is>
          <t>CPP heuristic</t>
        </is>
      </c>
      <c r="H2772" t="inlineStr">
        <is>
          <t>S014_AULTON</t>
        </is>
      </c>
      <c r="I2772" t="inlineStr">
        <is>
          <t>curated</t>
        </is>
      </c>
      <c r="J2772">
        <v>0.65</v>
      </c>
      <c r="K2772"/>
    </row>
    <row r="2773">
      <c r="A2773" t="inlineStr">
        <is>
          <t>LIP_DOTMA</t>
        </is>
      </c>
      <c r="B2773" t="inlineStr">
        <is>
          <t>membrane_rigidity_contribution</t>
        </is>
      </c>
      <c r="C2773" t="inlineStr">
        <is>
          <t>fluidizing</t>
        </is>
      </c>
      <c r="D2773"/>
      <c r="E2773"/>
      <c r="F2773"/>
      <c r="G2773" t="inlineStr">
        <is>
          <t>Tm and unsaturation heuristic</t>
        </is>
      </c>
      <c r="H2773" t="inlineStr">
        <is>
          <t>S003_AVANTI_PHASE</t>
        </is>
      </c>
      <c r="I2773" t="inlineStr">
        <is>
          <t>curated</t>
        </is>
      </c>
      <c r="J2773">
        <v>0.65</v>
      </c>
      <c r="K2773"/>
    </row>
    <row r="2774">
      <c r="A2774" t="inlineStr">
        <is>
          <t>LIP_DOTMA</t>
        </is>
      </c>
      <c r="B2774" t="inlineStr">
        <is>
          <t>fusogenic_flag</t>
        </is>
      </c>
      <c r="C2774" t="inlineStr">
        <is>
          <t>no</t>
        </is>
      </c>
      <c r="D2774"/>
      <c r="E2774"/>
      <c r="F2774"/>
      <c r="G2774" t="inlineStr">
        <is>
          <t>role annotation</t>
        </is>
      </c>
      <c r="H2774" t="inlineStr">
        <is>
          <t>S014_AULTON</t>
        </is>
      </c>
      <c r="I2774" t="inlineStr">
        <is>
          <t>curated</t>
        </is>
      </c>
      <c r="J2774">
        <v>0.7</v>
      </c>
      <c r="K2774"/>
    </row>
    <row r="2775">
      <c r="A2775" t="inlineStr">
        <is>
          <t>LIP_DOTMA</t>
        </is>
      </c>
      <c r="B2775" t="inlineStr">
        <is>
          <t>PEGylated_flag</t>
        </is>
      </c>
      <c r="C2775" t="inlineStr">
        <is>
          <t>no</t>
        </is>
      </c>
      <c r="D2775"/>
      <c r="E2775"/>
      <c r="F2775"/>
      <c r="G2775" t="inlineStr">
        <is>
          <t>role annotation</t>
        </is>
      </c>
      <c r="H2775" t="inlineStr">
        <is>
          <t>S014_AULTON</t>
        </is>
      </c>
      <c r="I2775" t="inlineStr">
        <is>
          <t>curated</t>
        </is>
      </c>
      <c r="J2775">
        <v>0.85</v>
      </c>
      <c r="K2775"/>
    </row>
    <row r="2776">
      <c r="A2776" t="inlineStr">
        <is>
          <t>LIP_DOTMA</t>
        </is>
      </c>
      <c r="B2776" t="inlineStr">
        <is>
          <t>ionizable_flag</t>
        </is>
      </c>
      <c r="C2776" t="inlineStr">
        <is>
          <t>no</t>
        </is>
      </c>
      <c r="D2776"/>
      <c r="E2776"/>
      <c r="F2776"/>
      <c r="G2776" t="inlineStr">
        <is>
          <t>role annotation</t>
        </is>
      </c>
      <c r="H2776" t="inlineStr">
        <is>
          <t>S014_AULTON</t>
        </is>
      </c>
      <c r="I2776" t="inlineStr">
        <is>
          <t>curated</t>
        </is>
      </c>
      <c r="J2776">
        <v>0.85</v>
      </c>
      <c r="K2776"/>
    </row>
    <row r="2777">
      <c r="A2777" t="inlineStr">
        <is>
          <t>LIP_DOTMA</t>
        </is>
      </c>
      <c r="B2777" t="inlineStr">
        <is>
          <t>route_suitability</t>
        </is>
      </c>
      <c r="C2777" t="inlineStr">
        <is>
          <t>liposome/LNP; route depends on purity, grade, residual solvents/endotoxin</t>
        </is>
      </c>
      <c r="D2777"/>
      <c r="E2777"/>
      <c r="F2777"/>
      <c r="G2777" t="inlineStr">
        <is>
          <t>route precedent caution</t>
        </is>
      </c>
      <c r="H2777" t="inlineStr">
        <is>
          <t>S008_FDA_IID</t>
        </is>
      </c>
      <c r="I2777" t="inlineStr">
        <is>
          <t>curated</t>
        </is>
      </c>
      <c r="J2777">
        <v>0.55</v>
      </c>
      <c r="K2777"/>
    </row>
    <row r="2778">
      <c r="A2778" t="inlineStr">
        <is>
          <t>LIP_DOTMA</t>
        </is>
      </c>
      <c r="B2778" t="inlineStr">
        <is>
          <t>storage_notes</t>
        </is>
      </c>
      <c r="C2778" t="inlineStr">
        <is>
          <t>store cold, dry, inert gas; protect unsaturated/ionizable lipids from oxidation/hydrolysis</t>
        </is>
      </c>
      <c r="D2778"/>
      <c r="E2778"/>
      <c r="F2778"/>
      <c r="G2778" t="inlineStr">
        <is>
          <t>supplier stability convention</t>
        </is>
      </c>
      <c r="H2778" t="inlineStr">
        <is>
          <t>S003_AVANTI_PHASE</t>
        </is>
      </c>
      <c r="I2778" t="inlineStr">
        <is>
          <t>curated</t>
        </is>
      </c>
      <c r="J2778">
        <v>0.7</v>
      </c>
      <c r="K2778"/>
    </row>
    <row r="2779">
      <c r="A2779" t="inlineStr">
        <is>
          <t>LIP_DOTMA</t>
        </is>
      </c>
      <c r="B2779" t="inlineStr">
        <is>
          <t>Hansen_delta_D</t>
        </is>
      </c>
      <c r="C2779">
        <v>17.5</v>
      </c>
      <c r="D2779" t="inlineStr">
        <is>
          <t>MPa^0.5</t>
        </is>
      </c>
      <c r="E2779"/>
      <c r="F2779"/>
      <c r="G2779" t="inlineStr">
        <is>
          <t>heuristic group-contribution/nearest-neighbour</t>
        </is>
      </c>
      <c r="H2779" t="inlineStr">
        <is>
          <t>S013_EST_HSP_HEURISTIC</t>
        </is>
      </c>
      <c r="I2779" t="inlineStr">
        <is>
          <t>estimated</t>
        </is>
      </c>
      <c r="J2779">
        <v>0.38</v>
      </c>
      <c r="K2779" t="inlineStr">
        <is>
          <t>Provisional HSP for screening; replace with experimental/literature value before model lock.</t>
        </is>
      </c>
    </row>
    <row r="2780">
      <c r="A2780" t="inlineStr">
        <is>
          <t>LIP_DOTMA</t>
        </is>
      </c>
      <c r="B2780" t="inlineStr">
        <is>
          <t>Hansen_delta_P</t>
        </is>
      </c>
      <c r="C2780">
        <v>7.5</v>
      </c>
      <c r="D2780" t="inlineStr">
        <is>
          <t>MPa^0.5</t>
        </is>
      </c>
      <c r="E2780"/>
      <c r="F2780"/>
      <c r="G2780" t="inlineStr">
        <is>
          <t>heuristic group-contribution/nearest-neighbour</t>
        </is>
      </c>
      <c r="H2780" t="inlineStr">
        <is>
          <t>S013_EST_HSP_HEURISTIC</t>
        </is>
      </c>
      <c r="I2780" t="inlineStr">
        <is>
          <t>estimated</t>
        </is>
      </c>
      <c r="J2780">
        <v>0.38</v>
      </c>
      <c r="K2780" t="inlineStr">
        <is>
          <t>Provisional HSP for screening; replace with experimental/literature value before model lock.</t>
        </is>
      </c>
    </row>
    <row r="2781">
      <c r="A2781" t="inlineStr">
        <is>
          <t>LIP_DOTMA</t>
        </is>
      </c>
      <c r="B2781" t="inlineStr">
        <is>
          <t>Hansen_delta_H</t>
        </is>
      </c>
      <c r="C2781">
        <v>10.0</v>
      </c>
      <c r="D2781" t="inlineStr">
        <is>
          <t>MPa^0.5</t>
        </is>
      </c>
      <c r="E2781"/>
      <c r="F2781"/>
      <c r="G2781" t="inlineStr">
        <is>
          <t>heuristic group-contribution/nearest-neighbour</t>
        </is>
      </c>
      <c r="H2781" t="inlineStr">
        <is>
          <t>S013_EST_HSP_HEURISTIC</t>
        </is>
      </c>
      <c r="I2781" t="inlineStr">
        <is>
          <t>estimated</t>
        </is>
      </c>
      <c r="J2781">
        <v>0.38</v>
      </c>
      <c r="K2781" t="inlineStr">
        <is>
          <t>Provisional HSP for screening; replace with experimental/literature value before model lock.</t>
        </is>
      </c>
    </row>
    <row r="2782">
      <c r="A2782" t="inlineStr">
        <is>
          <t>LIP_DOTMA</t>
        </is>
      </c>
      <c r="B2782" t="inlineStr">
        <is>
          <t>Hildebrand_delta_T</t>
        </is>
      </c>
      <c r="C2782">
        <v>21.51</v>
      </c>
      <c r="D2782" t="inlineStr">
        <is>
          <t>MPa^0.5</t>
        </is>
      </c>
      <c r="E2782"/>
      <c r="F2782"/>
      <c r="G2782" t="inlineStr">
        <is>
          <t>sqrt(deltaD^2+deltaP^2+deltaH^2)</t>
        </is>
      </c>
      <c r="H2782" t="inlineStr">
        <is>
          <t>S012_CALCULATED</t>
        </is>
      </c>
      <c r="I2782" t="inlineStr">
        <is>
          <t>calculated</t>
        </is>
      </c>
      <c r="J2782">
        <v>0.43</v>
      </c>
      <c r="K2782" t="inlineStr">
        <is>
          <t>Derived from stored Hansen components.</t>
        </is>
      </c>
    </row>
    <row r="2783">
      <c r="A2783" t="inlineStr">
        <is>
          <t>LIP_DOTMA</t>
        </is>
      </c>
      <c r="B2783" t="inlineStr">
        <is>
          <t>HSP_radius_R0</t>
        </is>
      </c>
      <c r="C2783">
        <v>8.0</v>
      </c>
      <c r="D2783" t="inlineStr">
        <is>
          <t>MPa^0.5</t>
        </is>
      </c>
      <c r="E2783"/>
      <c r="F2783"/>
      <c r="G2783" t="inlineStr">
        <is>
          <t>literature/heuristic solubility sphere</t>
        </is>
      </c>
      <c r="H2783" t="inlineStr">
        <is>
          <t>S013_EST_HSP_HEURISTIC</t>
        </is>
      </c>
      <c r="I2783" t="inlineStr">
        <is>
          <t>estimated</t>
        </is>
      </c>
      <c r="J2783">
        <v>0.38</v>
      </c>
      <c r="K2783" t="inlineStr">
        <is>
          <t>Screening radius only unless experimentally determined.</t>
        </is>
      </c>
    </row>
    <row r="2784">
      <c r="A2784" t="inlineStr">
        <is>
          <t>LIP_DOTMA</t>
        </is>
      </c>
      <c r="B2784" t="inlineStr">
        <is>
          <t>molar_volume_cm3_mol</t>
        </is>
      </c>
      <c r="C2784">
        <v>670.5</v>
      </c>
      <c r="D2784" t="inlineStr">
        <is>
          <t>cm3/mol</t>
        </is>
      </c>
      <c r="E2784"/>
      <c r="F2784"/>
      <c r="G2784" t="inlineStr">
        <is>
          <t>MW/density estimate</t>
        </is>
      </c>
      <c r="H2784" t="inlineStr">
        <is>
          <t>S012_CALCULATED</t>
        </is>
      </c>
      <c r="I2784" t="inlineStr">
        <is>
          <t>estimated</t>
        </is>
      </c>
      <c r="J2784">
        <v>0.42</v>
      </c>
      <c r="K2784" t="inlineStr">
        <is>
          <t>Estimated from MW/density; replace with measured molar volume or density-specific grade data.</t>
        </is>
      </c>
    </row>
    <row r="2785">
      <c r="A2785" t="inlineStr">
        <is>
          <t>LIP_DOTMA</t>
        </is>
      </c>
      <c r="B2785" t="inlineStr">
        <is>
          <t>headgroup_area_nm2</t>
        </is>
      </c>
      <c r="C2785">
        <v>0.62</v>
      </c>
      <c r="D2785" t="inlineStr">
        <is>
          <t>nm2</t>
        </is>
      </c>
      <c r="E2785"/>
      <c r="F2785"/>
      <c r="G2785" t="inlineStr">
        <is>
          <t>literature/MD heuristic</t>
        </is>
      </c>
      <c r="H2785" t="inlineStr">
        <is>
          <t>S013_EST_HSP_HEURISTIC</t>
        </is>
      </c>
      <c r="I2785" t="inlineStr">
        <is>
          <t>estimated</t>
        </is>
      </c>
      <c r="J2785">
        <v>0.35</v>
      </c>
      <c r="K2785" t="inlineStr">
        <is>
          <t>Area per lipid varies with phase, temperature, cholesterol, hydration, and force field.</t>
        </is>
      </c>
    </row>
    <row r="2786">
      <c r="A2786" t="inlineStr">
        <is>
          <t>LIP_DDAB</t>
        </is>
      </c>
      <c r="B2786" t="inlineStr">
        <is>
          <t>molecular_weight_g_mol</t>
        </is>
      </c>
      <c r="C2786">
        <v>630.95</v>
      </c>
      <c r="D2786" t="inlineStr">
        <is>
          <t>g/mol</t>
        </is>
      </c>
      <c r="E2786"/>
      <c r="F2786"/>
      <c r="G2786" t="inlineStr">
        <is>
          <t>LIPID MAPS/supplier formula or average grade MW</t>
        </is>
      </c>
      <c r="H2786" t="inlineStr">
        <is>
          <t>S004_LIPIDMAPS</t>
        </is>
      </c>
      <c r="I2786" t="inlineStr">
        <is>
          <t>database-derived</t>
        </is>
      </c>
      <c r="J2786">
        <v>0.78</v>
      </c>
      <c r="K2786"/>
    </row>
    <row r="2787">
      <c r="A2787" t="inlineStr">
        <is>
          <t>LIP_DDAB</t>
        </is>
      </c>
      <c r="B2787" t="inlineStr">
        <is>
          <t>lipid_class</t>
        </is>
      </c>
      <c r="C2787" t="inlineStr">
        <is>
          <t>cationic lipid</t>
        </is>
      </c>
      <c r="D2787"/>
      <c r="E2787"/>
      <c r="F2787"/>
      <c r="G2787" t="inlineStr">
        <is>
          <t>lipid class annotation</t>
        </is>
      </c>
      <c r="H2787" t="inlineStr">
        <is>
          <t>S003_AVANTI_PHASE</t>
        </is>
      </c>
      <c r="I2787" t="inlineStr">
        <is>
          <t>curated</t>
        </is>
      </c>
      <c r="J2787">
        <v>0.85</v>
      </c>
      <c r="K2787"/>
    </row>
    <row r="2788">
      <c r="A2788" t="inlineStr">
        <is>
          <t>LIP_DDAB</t>
        </is>
      </c>
      <c r="B2788" t="inlineStr">
        <is>
          <t>headgroup_type</t>
        </is>
      </c>
      <c r="C2788" t="inlineStr">
        <is>
          <t>quaternary ammonium</t>
        </is>
      </c>
      <c r="D2788"/>
      <c r="E2788"/>
      <c r="F2788"/>
      <c r="G2788" t="inlineStr">
        <is>
          <t>headgroup annotation</t>
        </is>
      </c>
      <c r="H2788" t="inlineStr">
        <is>
          <t>S003_AVANTI_PHASE</t>
        </is>
      </c>
      <c r="I2788" t="inlineStr">
        <is>
          <t>curated</t>
        </is>
      </c>
      <c r="J2788">
        <v>0.85</v>
      </c>
      <c r="K2788"/>
    </row>
    <row r="2789">
      <c r="A2789" t="inlineStr">
        <is>
          <t>LIP_DDAB</t>
        </is>
      </c>
      <c r="B2789" t="inlineStr">
        <is>
          <t>charge_type</t>
        </is>
      </c>
      <c r="C2789" t="inlineStr">
        <is>
          <t>cationic</t>
        </is>
      </c>
      <c r="D2789"/>
      <c r="E2789"/>
      <c r="F2789"/>
      <c r="G2789" t="inlineStr">
        <is>
          <t>nominal at pH 7.4</t>
        </is>
      </c>
      <c r="H2789" t="inlineStr">
        <is>
          <t>S003_AVANTI_PHASE</t>
        </is>
      </c>
      <c r="I2789" t="inlineStr">
        <is>
          <t>curated</t>
        </is>
      </c>
      <c r="J2789">
        <v>0.85</v>
      </c>
      <c r="K2789"/>
    </row>
    <row r="2790">
      <c r="A2790" t="inlineStr">
        <is>
          <t>LIP_DDAB</t>
        </is>
      </c>
      <c r="B2790" t="inlineStr">
        <is>
          <t>formal_charge</t>
        </is>
      </c>
      <c r="C2790">
        <v>1</v>
      </c>
      <c r="D2790" t="inlineStr">
        <is>
          <t>e</t>
        </is>
      </c>
      <c r="E2790"/>
      <c r="F2790"/>
      <c r="G2790" t="inlineStr">
        <is>
          <t>nominal at pH 7.4</t>
        </is>
      </c>
      <c r="H2790" t="inlineStr">
        <is>
          <t>S003_AVANTI_PHASE</t>
        </is>
      </c>
      <c r="I2790" t="inlineStr">
        <is>
          <t>curated</t>
        </is>
      </c>
      <c r="J2790">
        <v>0.85</v>
      </c>
      <c r="K2790"/>
    </row>
    <row r="2791">
      <c r="A2791" t="inlineStr">
        <is>
          <t>LIP_DDAB</t>
        </is>
      </c>
      <c r="B2791" t="inlineStr">
        <is>
          <t>tail_1_carbons</t>
        </is>
      </c>
      <c r="C2791">
        <v>12</v>
      </c>
      <c r="D2791" t="inlineStr">
        <is>
          <t>count</t>
        </is>
      </c>
      <c r="E2791"/>
      <c r="F2791"/>
      <c r="G2791" t="inlineStr">
        <is>
          <t>lipid shorthand annotation</t>
        </is>
      </c>
      <c r="H2791" t="inlineStr">
        <is>
          <t>S003_AVANTI_PHASE</t>
        </is>
      </c>
      <c r="I2791" t="inlineStr">
        <is>
          <t>curated</t>
        </is>
      </c>
      <c r="J2791">
        <v>0.86</v>
      </c>
      <c r="K2791"/>
    </row>
    <row r="2792">
      <c r="A2792" t="inlineStr">
        <is>
          <t>LIP_DDAB</t>
        </is>
      </c>
      <c r="B2792" t="inlineStr">
        <is>
          <t>tail_1_unsaturation</t>
        </is>
      </c>
      <c r="C2792">
        <v>0</v>
      </c>
      <c r="D2792" t="inlineStr">
        <is>
          <t>double_bonds</t>
        </is>
      </c>
      <c r="E2792"/>
      <c r="F2792"/>
      <c r="G2792" t="inlineStr">
        <is>
          <t>lipid shorthand annotation</t>
        </is>
      </c>
      <c r="H2792" t="inlineStr">
        <is>
          <t>S003_AVANTI_PHASE</t>
        </is>
      </c>
      <c r="I2792" t="inlineStr">
        <is>
          <t>curated</t>
        </is>
      </c>
      <c r="J2792">
        <v>0.86</v>
      </c>
      <c r="K2792"/>
    </row>
    <row r="2793">
      <c r="A2793" t="inlineStr">
        <is>
          <t>LIP_DDAB</t>
        </is>
      </c>
      <c r="B2793" t="inlineStr">
        <is>
          <t>tail_2_carbons</t>
        </is>
      </c>
      <c r="C2793">
        <v>12</v>
      </c>
      <c r="D2793" t="inlineStr">
        <is>
          <t>count</t>
        </is>
      </c>
      <c r="E2793"/>
      <c r="F2793"/>
      <c r="G2793" t="inlineStr">
        <is>
          <t>lipid shorthand annotation</t>
        </is>
      </c>
      <c r="H2793" t="inlineStr">
        <is>
          <t>S003_AVANTI_PHASE</t>
        </is>
      </c>
      <c r="I2793" t="inlineStr">
        <is>
          <t>curated</t>
        </is>
      </c>
      <c r="J2793">
        <v>0.86</v>
      </c>
      <c r="K2793"/>
    </row>
    <row r="2794">
      <c r="A2794" t="inlineStr">
        <is>
          <t>LIP_DDAB</t>
        </is>
      </c>
      <c r="B2794" t="inlineStr">
        <is>
          <t>tail_2_unsaturation</t>
        </is>
      </c>
      <c r="C2794">
        <v>0</v>
      </c>
      <c r="D2794" t="inlineStr">
        <is>
          <t>double_bonds</t>
        </is>
      </c>
      <c r="E2794"/>
      <c r="F2794"/>
      <c r="G2794" t="inlineStr">
        <is>
          <t>lipid shorthand annotation</t>
        </is>
      </c>
      <c r="H2794" t="inlineStr">
        <is>
          <t>S003_AVANTI_PHASE</t>
        </is>
      </c>
      <c r="I2794" t="inlineStr">
        <is>
          <t>curated</t>
        </is>
      </c>
      <c r="J2794">
        <v>0.86</v>
      </c>
      <c r="K2794"/>
    </row>
    <row r="2795">
      <c r="A2795" t="inlineStr">
        <is>
          <t>LIP_DDAB</t>
        </is>
      </c>
      <c r="B2795" t="inlineStr">
        <is>
          <t>number_of_tails</t>
        </is>
      </c>
      <c r="C2795">
        <v>2</v>
      </c>
      <c r="D2795" t="inlineStr">
        <is>
          <t>count</t>
        </is>
      </c>
      <c r="E2795"/>
      <c r="F2795"/>
      <c r="G2795" t="inlineStr">
        <is>
          <t>lipid shorthand annotation</t>
        </is>
      </c>
      <c r="H2795" t="inlineStr">
        <is>
          <t>S003_AVANTI_PHASE</t>
        </is>
      </c>
      <c r="I2795" t="inlineStr">
        <is>
          <t>curated</t>
        </is>
      </c>
      <c r="J2795">
        <v>0.86</v>
      </c>
      <c r="K2795"/>
    </row>
    <row r="2796">
      <c r="A2796" t="inlineStr">
        <is>
          <t>LIP_DDAB</t>
        </is>
      </c>
      <c r="B2796" t="inlineStr">
        <is>
          <t>critical_packing_notes</t>
        </is>
      </c>
      <c r="C2796" t="inlineStr">
        <is>
          <t>bilayer-forming cylindrical lipid</t>
        </is>
      </c>
      <c r="D2796"/>
      <c r="E2796"/>
      <c r="F2796"/>
      <c r="G2796" t="inlineStr">
        <is>
          <t>CPP heuristic</t>
        </is>
      </c>
      <c r="H2796" t="inlineStr">
        <is>
          <t>S014_AULTON</t>
        </is>
      </c>
      <c r="I2796" t="inlineStr">
        <is>
          <t>curated</t>
        </is>
      </c>
      <c r="J2796">
        <v>0.65</v>
      </c>
      <c r="K2796"/>
    </row>
    <row r="2797">
      <c r="A2797" t="inlineStr">
        <is>
          <t>LIP_DDAB</t>
        </is>
      </c>
      <c r="B2797" t="inlineStr">
        <is>
          <t>membrane_rigidity_contribution</t>
        </is>
      </c>
      <c r="C2797" t="inlineStr">
        <is>
          <t>moderate</t>
        </is>
      </c>
      <c r="D2797"/>
      <c r="E2797"/>
      <c r="F2797"/>
      <c r="G2797" t="inlineStr">
        <is>
          <t>Tm and unsaturation heuristic</t>
        </is>
      </c>
      <c r="H2797" t="inlineStr">
        <is>
          <t>S003_AVANTI_PHASE</t>
        </is>
      </c>
      <c r="I2797" t="inlineStr">
        <is>
          <t>curated</t>
        </is>
      </c>
      <c r="J2797">
        <v>0.65</v>
      </c>
      <c r="K2797"/>
    </row>
    <row r="2798">
      <c r="A2798" t="inlineStr">
        <is>
          <t>LIP_DDAB</t>
        </is>
      </c>
      <c r="B2798" t="inlineStr">
        <is>
          <t>fusogenic_flag</t>
        </is>
      </c>
      <c r="C2798" t="inlineStr">
        <is>
          <t>no</t>
        </is>
      </c>
      <c r="D2798"/>
      <c r="E2798"/>
      <c r="F2798"/>
      <c r="G2798" t="inlineStr">
        <is>
          <t>role annotation</t>
        </is>
      </c>
      <c r="H2798" t="inlineStr">
        <is>
          <t>S014_AULTON</t>
        </is>
      </c>
      <c r="I2798" t="inlineStr">
        <is>
          <t>curated</t>
        </is>
      </c>
      <c r="J2798">
        <v>0.7</v>
      </c>
      <c r="K2798"/>
    </row>
    <row r="2799">
      <c r="A2799" t="inlineStr">
        <is>
          <t>LIP_DDAB</t>
        </is>
      </c>
      <c r="B2799" t="inlineStr">
        <is>
          <t>PEGylated_flag</t>
        </is>
      </c>
      <c r="C2799" t="inlineStr">
        <is>
          <t>no</t>
        </is>
      </c>
      <c r="D2799"/>
      <c r="E2799"/>
      <c r="F2799"/>
      <c r="G2799" t="inlineStr">
        <is>
          <t>role annotation</t>
        </is>
      </c>
      <c r="H2799" t="inlineStr">
        <is>
          <t>S014_AULTON</t>
        </is>
      </c>
      <c r="I2799" t="inlineStr">
        <is>
          <t>curated</t>
        </is>
      </c>
      <c r="J2799">
        <v>0.85</v>
      </c>
      <c r="K2799"/>
    </row>
    <row r="2800">
      <c r="A2800" t="inlineStr">
        <is>
          <t>LIP_DDAB</t>
        </is>
      </c>
      <c r="B2800" t="inlineStr">
        <is>
          <t>ionizable_flag</t>
        </is>
      </c>
      <c r="C2800" t="inlineStr">
        <is>
          <t>no</t>
        </is>
      </c>
      <c r="D2800"/>
      <c r="E2800"/>
      <c r="F2800"/>
      <c r="G2800" t="inlineStr">
        <is>
          <t>role annotation</t>
        </is>
      </c>
      <c r="H2800" t="inlineStr">
        <is>
          <t>S014_AULTON</t>
        </is>
      </c>
      <c r="I2800" t="inlineStr">
        <is>
          <t>curated</t>
        </is>
      </c>
      <c r="J2800">
        <v>0.85</v>
      </c>
      <c r="K2800"/>
    </row>
    <row r="2801">
      <c r="A2801" t="inlineStr">
        <is>
          <t>LIP_DDAB</t>
        </is>
      </c>
      <c r="B2801" t="inlineStr">
        <is>
          <t>route_suitability</t>
        </is>
      </c>
      <c r="C2801" t="inlineStr">
        <is>
          <t>liposome/LNP; route depends on purity, grade, residual solvents/endotoxin</t>
        </is>
      </c>
      <c r="D2801"/>
      <c r="E2801"/>
      <c r="F2801"/>
      <c r="G2801" t="inlineStr">
        <is>
          <t>route precedent caution</t>
        </is>
      </c>
      <c r="H2801" t="inlineStr">
        <is>
          <t>S008_FDA_IID</t>
        </is>
      </c>
      <c r="I2801" t="inlineStr">
        <is>
          <t>curated</t>
        </is>
      </c>
      <c r="J2801">
        <v>0.55</v>
      </c>
      <c r="K2801"/>
    </row>
    <row r="2802">
      <c r="A2802" t="inlineStr">
        <is>
          <t>LIP_DDAB</t>
        </is>
      </c>
      <c r="B2802" t="inlineStr">
        <is>
          <t>storage_notes</t>
        </is>
      </c>
      <c r="C2802" t="inlineStr">
        <is>
          <t>store cold, dry, inert gas; protect unsaturated/ionizable lipids from oxidation/hydrolysis</t>
        </is>
      </c>
      <c r="D2802"/>
      <c r="E2802"/>
      <c r="F2802"/>
      <c r="G2802" t="inlineStr">
        <is>
          <t>supplier stability convention</t>
        </is>
      </c>
      <c r="H2802" t="inlineStr">
        <is>
          <t>S003_AVANTI_PHASE</t>
        </is>
      </c>
      <c r="I2802" t="inlineStr">
        <is>
          <t>curated</t>
        </is>
      </c>
      <c r="J2802">
        <v>0.7</v>
      </c>
      <c r="K2802"/>
    </row>
    <row r="2803">
      <c r="A2803" t="inlineStr">
        <is>
          <t>LIP_DDAB</t>
        </is>
      </c>
      <c r="B2803" t="inlineStr">
        <is>
          <t>Hansen_delta_D</t>
        </is>
      </c>
      <c r="C2803">
        <v>17.5</v>
      </c>
      <c r="D2803" t="inlineStr">
        <is>
          <t>MPa^0.5</t>
        </is>
      </c>
      <c r="E2803"/>
      <c r="F2803"/>
      <c r="G2803" t="inlineStr">
        <is>
          <t>heuristic group-contribution/nearest-neighbour</t>
        </is>
      </c>
      <c r="H2803" t="inlineStr">
        <is>
          <t>S013_EST_HSP_HEURISTIC</t>
        </is>
      </c>
      <c r="I2803" t="inlineStr">
        <is>
          <t>estimated</t>
        </is>
      </c>
      <c r="J2803">
        <v>0.38</v>
      </c>
      <c r="K2803" t="inlineStr">
        <is>
          <t>Provisional HSP for screening; replace with experimental/literature value before model lock.</t>
        </is>
      </c>
    </row>
    <row r="2804">
      <c r="A2804" t="inlineStr">
        <is>
          <t>LIP_DDAB</t>
        </is>
      </c>
      <c r="B2804" t="inlineStr">
        <is>
          <t>Hansen_delta_P</t>
        </is>
      </c>
      <c r="C2804">
        <v>7.5</v>
      </c>
      <c r="D2804" t="inlineStr">
        <is>
          <t>MPa^0.5</t>
        </is>
      </c>
      <c r="E2804"/>
      <c r="F2804"/>
      <c r="G2804" t="inlineStr">
        <is>
          <t>heuristic group-contribution/nearest-neighbour</t>
        </is>
      </c>
      <c r="H2804" t="inlineStr">
        <is>
          <t>S013_EST_HSP_HEURISTIC</t>
        </is>
      </c>
      <c r="I2804" t="inlineStr">
        <is>
          <t>estimated</t>
        </is>
      </c>
      <c r="J2804">
        <v>0.38</v>
      </c>
      <c r="K2804" t="inlineStr">
        <is>
          <t>Provisional HSP for screening; replace with experimental/literature value before model lock.</t>
        </is>
      </c>
    </row>
    <row r="2805">
      <c r="A2805" t="inlineStr">
        <is>
          <t>LIP_DDAB</t>
        </is>
      </c>
      <c r="B2805" t="inlineStr">
        <is>
          <t>Hansen_delta_H</t>
        </is>
      </c>
      <c r="C2805">
        <v>10.0</v>
      </c>
      <c r="D2805" t="inlineStr">
        <is>
          <t>MPa^0.5</t>
        </is>
      </c>
      <c r="E2805"/>
      <c r="F2805"/>
      <c r="G2805" t="inlineStr">
        <is>
          <t>heuristic group-contribution/nearest-neighbour</t>
        </is>
      </c>
      <c r="H2805" t="inlineStr">
        <is>
          <t>S013_EST_HSP_HEURISTIC</t>
        </is>
      </c>
      <c r="I2805" t="inlineStr">
        <is>
          <t>estimated</t>
        </is>
      </c>
      <c r="J2805">
        <v>0.38</v>
      </c>
      <c r="K2805" t="inlineStr">
        <is>
          <t>Provisional HSP for screening; replace with experimental/literature value before model lock.</t>
        </is>
      </c>
    </row>
    <row r="2806">
      <c r="A2806" t="inlineStr">
        <is>
          <t>LIP_DDAB</t>
        </is>
      </c>
      <c r="B2806" t="inlineStr">
        <is>
          <t>Hildebrand_delta_T</t>
        </is>
      </c>
      <c r="C2806">
        <v>21.51</v>
      </c>
      <c r="D2806" t="inlineStr">
        <is>
          <t>MPa^0.5</t>
        </is>
      </c>
      <c r="E2806"/>
      <c r="F2806"/>
      <c r="G2806" t="inlineStr">
        <is>
          <t>sqrt(deltaD^2+deltaP^2+deltaH^2)</t>
        </is>
      </c>
      <c r="H2806" t="inlineStr">
        <is>
          <t>S012_CALCULATED</t>
        </is>
      </c>
      <c r="I2806" t="inlineStr">
        <is>
          <t>calculated</t>
        </is>
      </c>
      <c r="J2806">
        <v>0.43</v>
      </c>
      <c r="K2806" t="inlineStr">
        <is>
          <t>Derived from stored Hansen components.</t>
        </is>
      </c>
    </row>
    <row r="2807">
      <c r="A2807" t="inlineStr">
        <is>
          <t>LIP_DDAB</t>
        </is>
      </c>
      <c r="B2807" t="inlineStr">
        <is>
          <t>HSP_radius_R0</t>
        </is>
      </c>
      <c r="C2807">
        <v>8.0</v>
      </c>
      <c r="D2807" t="inlineStr">
        <is>
          <t>MPa^0.5</t>
        </is>
      </c>
      <c r="E2807"/>
      <c r="F2807"/>
      <c r="G2807" t="inlineStr">
        <is>
          <t>literature/heuristic solubility sphere</t>
        </is>
      </c>
      <c r="H2807" t="inlineStr">
        <is>
          <t>S013_EST_HSP_HEURISTIC</t>
        </is>
      </c>
      <c r="I2807" t="inlineStr">
        <is>
          <t>estimated</t>
        </is>
      </c>
      <c r="J2807">
        <v>0.38</v>
      </c>
      <c r="K2807" t="inlineStr">
        <is>
          <t>Screening radius only unless experimentally determined.</t>
        </is>
      </c>
    </row>
    <row r="2808">
      <c r="A2808" t="inlineStr">
        <is>
          <t>LIP_DDAB</t>
        </is>
      </c>
      <c r="B2808" t="inlineStr">
        <is>
          <t>molar_volume_cm3_mol</t>
        </is>
      </c>
      <c r="C2808">
        <v>630.95</v>
      </c>
      <c r="D2808" t="inlineStr">
        <is>
          <t>cm3/mol</t>
        </is>
      </c>
      <c r="E2808"/>
      <c r="F2808"/>
      <c r="G2808" t="inlineStr">
        <is>
          <t>MW/density estimate</t>
        </is>
      </c>
      <c r="H2808" t="inlineStr">
        <is>
          <t>S012_CALCULATED</t>
        </is>
      </c>
      <c r="I2808" t="inlineStr">
        <is>
          <t>estimated</t>
        </is>
      </c>
      <c r="J2808">
        <v>0.42</v>
      </c>
      <c r="K2808" t="inlineStr">
        <is>
          <t>Estimated from MW/density; replace with measured molar volume or density-specific grade data.</t>
        </is>
      </c>
    </row>
    <row r="2809">
      <c r="A2809" t="inlineStr">
        <is>
          <t>LIP_DDAB</t>
        </is>
      </c>
      <c r="B2809" t="inlineStr">
        <is>
          <t>headgroup_area_nm2</t>
        </is>
      </c>
      <c r="C2809">
        <v>0.62</v>
      </c>
      <c r="D2809" t="inlineStr">
        <is>
          <t>nm2</t>
        </is>
      </c>
      <c r="E2809"/>
      <c r="F2809"/>
      <c r="G2809" t="inlineStr">
        <is>
          <t>literature/MD heuristic</t>
        </is>
      </c>
      <c r="H2809" t="inlineStr">
        <is>
          <t>S013_EST_HSP_HEURISTIC</t>
        </is>
      </c>
      <c r="I2809" t="inlineStr">
        <is>
          <t>estimated</t>
        </is>
      </c>
      <c r="J2809">
        <v>0.35</v>
      </c>
      <c r="K2809" t="inlineStr">
        <is>
          <t>Area per lipid varies with phase, temperature, cholesterol, hydration, and force field.</t>
        </is>
      </c>
    </row>
    <row r="2810">
      <c r="A2810" t="inlineStr">
        <is>
          <t>LIP_DC_CHOL</t>
        </is>
      </c>
      <c r="B2810" t="inlineStr">
        <is>
          <t>molecular_weight_g_mol</t>
        </is>
      </c>
      <c r="C2810">
        <v>537.3</v>
      </c>
      <c r="D2810" t="inlineStr">
        <is>
          <t>g/mol</t>
        </is>
      </c>
      <c r="E2810"/>
      <c r="F2810"/>
      <c r="G2810" t="inlineStr">
        <is>
          <t>LIPID MAPS/supplier formula or average grade MW</t>
        </is>
      </c>
      <c r="H2810" t="inlineStr">
        <is>
          <t>S004_LIPIDMAPS</t>
        </is>
      </c>
      <c r="I2810" t="inlineStr">
        <is>
          <t>database-derived</t>
        </is>
      </c>
      <c r="J2810">
        <v>0.78</v>
      </c>
      <c r="K2810"/>
    </row>
    <row r="2811">
      <c r="A2811" t="inlineStr">
        <is>
          <t>LIP_DC_CHOL</t>
        </is>
      </c>
      <c r="B2811" t="inlineStr">
        <is>
          <t>lipid_class</t>
        </is>
      </c>
      <c r="C2811" t="inlineStr">
        <is>
          <t>cationic cholesterol derivative</t>
        </is>
      </c>
      <c r="D2811"/>
      <c r="E2811"/>
      <c r="F2811"/>
      <c r="G2811" t="inlineStr">
        <is>
          <t>lipid class annotation</t>
        </is>
      </c>
      <c r="H2811" t="inlineStr">
        <is>
          <t>S003_AVANTI_PHASE</t>
        </is>
      </c>
      <c r="I2811" t="inlineStr">
        <is>
          <t>curated</t>
        </is>
      </c>
      <c r="J2811">
        <v>0.85</v>
      </c>
      <c r="K2811"/>
    </row>
    <row r="2812">
      <c r="A2812" t="inlineStr">
        <is>
          <t>LIP_DC_CHOL</t>
        </is>
      </c>
      <c r="B2812" t="inlineStr">
        <is>
          <t>headgroup_type</t>
        </is>
      </c>
      <c r="C2812" t="inlineStr">
        <is>
          <t>tertiary amine sterol</t>
        </is>
      </c>
      <c r="D2812"/>
      <c r="E2812"/>
      <c r="F2812"/>
      <c r="G2812" t="inlineStr">
        <is>
          <t>headgroup annotation</t>
        </is>
      </c>
      <c r="H2812" t="inlineStr">
        <is>
          <t>S003_AVANTI_PHASE</t>
        </is>
      </c>
      <c r="I2812" t="inlineStr">
        <is>
          <t>curated</t>
        </is>
      </c>
      <c r="J2812">
        <v>0.85</v>
      </c>
      <c r="K2812"/>
    </row>
    <row r="2813">
      <c r="A2813" t="inlineStr">
        <is>
          <t>LIP_DC_CHOL</t>
        </is>
      </c>
      <c r="B2813" t="inlineStr">
        <is>
          <t>charge_type</t>
        </is>
      </c>
      <c r="C2813" t="inlineStr">
        <is>
          <t>cationic</t>
        </is>
      </c>
      <c r="D2813"/>
      <c r="E2813"/>
      <c r="F2813"/>
      <c r="G2813" t="inlineStr">
        <is>
          <t>nominal at pH 7.4</t>
        </is>
      </c>
      <c r="H2813" t="inlineStr">
        <is>
          <t>S003_AVANTI_PHASE</t>
        </is>
      </c>
      <c r="I2813" t="inlineStr">
        <is>
          <t>curated</t>
        </is>
      </c>
      <c r="J2813">
        <v>0.85</v>
      </c>
      <c r="K2813"/>
    </row>
    <row r="2814">
      <c r="A2814" t="inlineStr">
        <is>
          <t>LIP_DC_CHOL</t>
        </is>
      </c>
      <c r="B2814" t="inlineStr">
        <is>
          <t>formal_charge</t>
        </is>
      </c>
      <c r="C2814">
        <v>1</v>
      </c>
      <c r="D2814" t="inlineStr">
        <is>
          <t>e</t>
        </is>
      </c>
      <c r="E2814"/>
      <c r="F2814"/>
      <c r="G2814" t="inlineStr">
        <is>
          <t>nominal at pH 7.4</t>
        </is>
      </c>
      <c r="H2814" t="inlineStr">
        <is>
          <t>S003_AVANTI_PHASE</t>
        </is>
      </c>
      <c r="I2814" t="inlineStr">
        <is>
          <t>curated</t>
        </is>
      </c>
      <c r="J2814">
        <v>0.85</v>
      </c>
      <c r="K2814"/>
    </row>
    <row r="2815">
      <c r="A2815" t="inlineStr">
        <is>
          <t>LIP_DC_CHOL</t>
        </is>
      </c>
      <c r="B2815" t="inlineStr">
        <is>
          <t>tail_1_carbons</t>
        </is>
      </c>
      <c r="C2815">
        <v>27</v>
      </c>
      <c r="D2815" t="inlineStr">
        <is>
          <t>count</t>
        </is>
      </c>
      <c r="E2815"/>
      <c r="F2815"/>
      <c r="G2815" t="inlineStr">
        <is>
          <t>lipid shorthand annotation</t>
        </is>
      </c>
      <c r="H2815" t="inlineStr">
        <is>
          <t>S003_AVANTI_PHASE</t>
        </is>
      </c>
      <c r="I2815" t="inlineStr">
        <is>
          <t>curated</t>
        </is>
      </c>
      <c r="J2815">
        <v>0.86</v>
      </c>
      <c r="K2815"/>
    </row>
    <row r="2816">
      <c r="A2816" t="inlineStr">
        <is>
          <t>LIP_DC_CHOL</t>
        </is>
      </c>
      <c r="B2816" t="inlineStr">
        <is>
          <t>tail_1_unsaturation</t>
        </is>
      </c>
      <c r="C2816">
        <v>0</v>
      </c>
      <c r="D2816" t="inlineStr">
        <is>
          <t>double_bonds</t>
        </is>
      </c>
      <c r="E2816"/>
      <c r="F2816"/>
      <c r="G2816" t="inlineStr">
        <is>
          <t>lipid shorthand annotation</t>
        </is>
      </c>
      <c r="H2816" t="inlineStr">
        <is>
          <t>S003_AVANTI_PHASE</t>
        </is>
      </c>
      <c r="I2816" t="inlineStr">
        <is>
          <t>curated</t>
        </is>
      </c>
      <c r="J2816">
        <v>0.86</v>
      </c>
      <c r="K2816"/>
    </row>
    <row r="2817">
      <c r="A2817" t="inlineStr">
        <is>
          <t>LIP_DC_CHOL</t>
        </is>
      </c>
      <c r="B2817" t="inlineStr">
        <is>
          <t>tail_2_carbons</t>
        </is>
      </c>
      <c r="C2817">
        <v>0</v>
      </c>
      <c r="D2817" t="inlineStr">
        <is>
          <t>count</t>
        </is>
      </c>
      <c r="E2817"/>
      <c r="F2817"/>
      <c r="G2817" t="inlineStr">
        <is>
          <t>lipid shorthand annotation</t>
        </is>
      </c>
      <c r="H2817" t="inlineStr">
        <is>
          <t>S003_AVANTI_PHASE</t>
        </is>
      </c>
      <c r="I2817" t="inlineStr">
        <is>
          <t>curated</t>
        </is>
      </c>
      <c r="J2817">
        <v>0.86</v>
      </c>
      <c r="K2817"/>
    </row>
    <row r="2818">
      <c r="A2818" t="inlineStr">
        <is>
          <t>LIP_DC_CHOL</t>
        </is>
      </c>
      <c r="B2818" t="inlineStr">
        <is>
          <t>tail_2_unsaturation</t>
        </is>
      </c>
      <c r="C2818">
        <v>0</v>
      </c>
      <c r="D2818" t="inlineStr">
        <is>
          <t>double_bonds</t>
        </is>
      </c>
      <c r="E2818"/>
      <c r="F2818"/>
      <c r="G2818" t="inlineStr">
        <is>
          <t>lipid shorthand annotation</t>
        </is>
      </c>
      <c r="H2818" t="inlineStr">
        <is>
          <t>S003_AVANTI_PHASE</t>
        </is>
      </c>
      <c r="I2818" t="inlineStr">
        <is>
          <t>curated</t>
        </is>
      </c>
      <c r="J2818">
        <v>0.86</v>
      </c>
      <c r="K2818"/>
    </row>
    <row r="2819">
      <c r="A2819" t="inlineStr">
        <is>
          <t>LIP_DC_CHOL</t>
        </is>
      </c>
      <c r="B2819" t="inlineStr">
        <is>
          <t>number_of_tails</t>
        </is>
      </c>
      <c r="C2819">
        <v>1</v>
      </c>
      <c r="D2819" t="inlineStr">
        <is>
          <t>count</t>
        </is>
      </c>
      <c r="E2819"/>
      <c r="F2819"/>
      <c r="G2819" t="inlineStr">
        <is>
          <t>lipid shorthand annotation</t>
        </is>
      </c>
      <c r="H2819" t="inlineStr">
        <is>
          <t>S003_AVANTI_PHASE</t>
        </is>
      </c>
      <c r="I2819" t="inlineStr">
        <is>
          <t>curated</t>
        </is>
      </c>
      <c r="J2819">
        <v>0.86</v>
      </c>
      <c r="K2819"/>
    </row>
    <row r="2820">
      <c r="A2820" t="inlineStr">
        <is>
          <t>LIP_DC_CHOL</t>
        </is>
      </c>
      <c r="B2820" t="inlineStr">
        <is>
          <t>critical_packing_notes</t>
        </is>
      </c>
      <c r="C2820" t="inlineStr">
        <is>
          <t>shape depends on head/tail and ionization</t>
        </is>
      </c>
      <c r="D2820"/>
      <c r="E2820"/>
      <c r="F2820"/>
      <c r="G2820" t="inlineStr">
        <is>
          <t>CPP heuristic</t>
        </is>
      </c>
      <c r="H2820" t="inlineStr">
        <is>
          <t>S014_AULTON</t>
        </is>
      </c>
      <c r="I2820" t="inlineStr">
        <is>
          <t>curated</t>
        </is>
      </c>
      <c r="J2820">
        <v>0.65</v>
      </c>
      <c r="K2820"/>
    </row>
    <row r="2821">
      <c r="A2821" t="inlineStr">
        <is>
          <t>LIP_DC_CHOL</t>
        </is>
      </c>
      <c r="B2821" t="inlineStr">
        <is>
          <t>membrane_rigidity_contribution</t>
        </is>
      </c>
      <c r="C2821" t="inlineStr">
        <is>
          <t>moderate</t>
        </is>
      </c>
      <c r="D2821"/>
      <c r="E2821"/>
      <c r="F2821"/>
      <c r="G2821" t="inlineStr">
        <is>
          <t>Tm and unsaturation heuristic</t>
        </is>
      </c>
      <c r="H2821" t="inlineStr">
        <is>
          <t>S003_AVANTI_PHASE</t>
        </is>
      </c>
      <c r="I2821" t="inlineStr">
        <is>
          <t>curated</t>
        </is>
      </c>
      <c r="J2821">
        <v>0.65</v>
      </c>
      <c r="K2821"/>
    </row>
    <row r="2822">
      <c r="A2822" t="inlineStr">
        <is>
          <t>LIP_DC_CHOL</t>
        </is>
      </c>
      <c r="B2822" t="inlineStr">
        <is>
          <t>fusogenic_flag</t>
        </is>
      </c>
      <c r="C2822" t="inlineStr">
        <is>
          <t>no</t>
        </is>
      </c>
      <c r="D2822"/>
      <c r="E2822"/>
      <c r="F2822"/>
      <c r="G2822" t="inlineStr">
        <is>
          <t>role annotation</t>
        </is>
      </c>
      <c r="H2822" t="inlineStr">
        <is>
          <t>S014_AULTON</t>
        </is>
      </c>
      <c r="I2822" t="inlineStr">
        <is>
          <t>curated</t>
        </is>
      </c>
      <c r="J2822">
        <v>0.7</v>
      </c>
      <c r="K2822"/>
    </row>
    <row r="2823">
      <c r="A2823" t="inlineStr">
        <is>
          <t>LIP_DC_CHOL</t>
        </is>
      </c>
      <c r="B2823" t="inlineStr">
        <is>
          <t>PEGylated_flag</t>
        </is>
      </c>
      <c r="C2823" t="inlineStr">
        <is>
          <t>no</t>
        </is>
      </c>
      <c r="D2823"/>
      <c r="E2823"/>
      <c r="F2823"/>
      <c r="G2823" t="inlineStr">
        <is>
          <t>role annotation</t>
        </is>
      </c>
      <c r="H2823" t="inlineStr">
        <is>
          <t>S014_AULTON</t>
        </is>
      </c>
      <c r="I2823" t="inlineStr">
        <is>
          <t>curated</t>
        </is>
      </c>
      <c r="J2823">
        <v>0.85</v>
      </c>
      <c r="K2823"/>
    </row>
    <row r="2824">
      <c r="A2824" t="inlineStr">
        <is>
          <t>LIP_DC_CHOL</t>
        </is>
      </c>
      <c r="B2824" t="inlineStr">
        <is>
          <t>ionizable_flag</t>
        </is>
      </c>
      <c r="C2824" t="inlineStr">
        <is>
          <t>no</t>
        </is>
      </c>
      <c r="D2824"/>
      <c r="E2824"/>
      <c r="F2824"/>
      <c r="G2824" t="inlineStr">
        <is>
          <t>role annotation</t>
        </is>
      </c>
      <c r="H2824" t="inlineStr">
        <is>
          <t>S014_AULTON</t>
        </is>
      </c>
      <c r="I2824" t="inlineStr">
        <is>
          <t>curated</t>
        </is>
      </c>
      <c r="J2824">
        <v>0.85</v>
      </c>
      <c r="K2824"/>
    </row>
    <row r="2825">
      <c r="A2825" t="inlineStr">
        <is>
          <t>LIP_DC_CHOL</t>
        </is>
      </c>
      <c r="B2825" t="inlineStr">
        <is>
          <t>route_suitability</t>
        </is>
      </c>
      <c r="C2825" t="inlineStr">
        <is>
          <t>liposome/LNP; route depends on purity, grade, residual solvents/endotoxin</t>
        </is>
      </c>
      <c r="D2825"/>
      <c r="E2825"/>
      <c r="F2825"/>
      <c r="G2825" t="inlineStr">
        <is>
          <t>route precedent caution</t>
        </is>
      </c>
      <c r="H2825" t="inlineStr">
        <is>
          <t>S008_FDA_IID</t>
        </is>
      </c>
      <c r="I2825" t="inlineStr">
        <is>
          <t>curated</t>
        </is>
      </c>
      <c r="J2825">
        <v>0.55</v>
      </c>
      <c r="K2825"/>
    </row>
    <row r="2826">
      <c r="A2826" t="inlineStr">
        <is>
          <t>LIP_DC_CHOL</t>
        </is>
      </c>
      <c r="B2826" t="inlineStr">
        <is>
          <t>storage_notes</t>
        </is>
      </c>
      <c r="C2826" t="inlineStr">
        <is>
          <t>store cold, dry, inert gas; protect unsaturated/ionizable lipids from oxidation/hydrolysis</t>
        </is>
      </c>
      <c r="D2826"/>
      <c r="E2826"/>
      <c r="F2826"/>
      <c r="G2826" t="inlineStr">
        <is>
          <t>supplier stability convention</t>
        </is>
      </c>
      <c r="H2826" t="inlineStr">
        <is>
          <t>S003_AVANTI_PHASE</t>
        </is>
      </c>
      <c r="I2826" t="inlineStr">
        <is>
          <t>curated</t>
        </is>
      </c>
      <c r="J2826">
        <v>0.7</v>
      </c>
      <c r="K2826"/>
    </row>
    <row r="2827">
      <c r="A2827" t="inlineStr">
        <is>
          <t>LIP_DC_CHOL</t>
        </is>
      </c>
      <c r="B2827" t="inlineStr">
        <is>
          <t>Hansen_delta_D</t>
        </is>
      </c>
      <c r="C2827">
        <v>17.5</v>
      </c>
      <c r="D2827" t="inlineStr">
        <is>
          <t>MPa^0.5</t>
        </is>
      </c>
      <c r="E2827"/>
      <c r="F2827"/>
      <c r="G2827" t="inlineStr">
        <is>
          <t>heuristic group-contribution/nearest-neighbour</t>
        </is>
      </c>
      <c r="H2827" t="inlineStr">
        <is>
          <t>S013_EST_HSP_HEURISTIC</t>
        </is>
      </c>
      <c r="I2827" t="inlineStr">
        <is>
          <t>estimated</t>
        </is>
      </c>
      <c r="J2827">
        <v>0.38</v>
      </c>
      <c r="K2827" t="inlineStr">
        <is>
          <t>Provisional HSP for screening; replace with experimental/literature value before model lock.</t>
        </is>
      </c>
    </row>
    <row r="2828">
      <c r="A2828" t="inlineStr">
        <is>
          <t>LIP_DC_CHOL</t>
        </is>
      </c>
      <c r="B2828" t="inlineStr">
        <is>
          <t>Hansen_delta_P</t>
        </is>
      </c>
      <c r="C2828">
        <v>7.5</v>
      </c>
      <c r="D2828" t="inlineStr">
        <is>
          <t>MPa^0.5</t>
        </is>
      </c>
      <c r="E2828"/>
      <c r="F2828"/>
      <c r="G2828" t="inlineStr">
        <is>
          <t>heuristic group-contribution/nearest-neighbour</t>
        </is>
      </c>
      <c r="H2828" t="inlineStr">
        <is>
          <t>S013_EST_HSP_HEURISTIC</t>
        </is>
      </c>
      <c r="I2828" t="inlineStr">
        <is>
          <t>estimated</t>
        </is>
      </c>
      <c r="J2828">
        <v>0.38</v>
      </c>
      <c r="K2828" t="inlineStr">
        <is>
          <t>Provisional HSP for screening; replace with experimental/literature value before model lock.</t>
        </is>
      </c>
    </row>
    <row r="2829">
      <c r="A2829" t="inlineStr">
        <is>
          <t>LIP_DC_CHOL</t>
        </is>
      </c>
      <c r="B2829" t="inlineStr">
        <is>
          <t>Hansen_delta_H</t>
        </is>
      </c>
      <c r="C2829">
        <v>10.0</v>
      </c>
      <c r="D2829" t="inlineStr">
        <is>
          <t>MPa^0.5</t>
        </is>
      </c>
      <c r="E2829"/>
      <c r="F2829"/>
      <c r="G2829" t="inlineStr">
        <is>
          <t>heuristic group-contribution/nearest-neighbour</t>
        </is>
      </c>
      <c r="H2829" t="inlineStr">
        <is>
          <t>S013_EST_HSP_HEURISTIC</t>
        </is>
      </c>
      <c r="I2829" t="inlineStr">
        <is>
          <t>estimated</t>
        </is>
      </c>
      <c r="J2829">
        <v>0.38</v>
      </c>
      <c r="K2829" t="inlineStr">
        <is>
          <t>Provisional HSP for screening; replace with experimental/literature value before model lock.</t>
        </is>
      </c>
    </row>
    <row r="2830">
      <c r="A2830" t="inlineStr">
        <is>
          <t>LIP_DC_CHOL</t>
        </is>
      </c>
      <c r="B2830" t="inlineStr">
        <is>
          <t>Hildebrand_delta_T</t>
        </is>
      </c>
      <c r="C2830">
        <v>21.51</v>
      </c>
      <c r="D2830" t="inlineStr">
        <is>
          <t>MPa^0.5</t>
        </is>
      </c>
      <c r="E2830"/>
      <c r="F2830"/>
      <c r="G2830" t="inlineStr">
        <is>
          <t>sqrt(deltaD^2+deltaP^2+deltaH^2)</t>
        </is>
      </c>
      <c r="H2830" t="inlineStr">
        <is>
          <t>S012_CALCULATED</t>
        </is>
      </c>
      <c r="I2830" t="inlineStr">
        <is>
          <t>calculated</t>
        </is>
      </c>
      <c r="J2830">
        <v>0.43</v>
      </c>
      <c r="K2830" t="inlineStr">
        <is>
          <t>Derived from stored Hansen components.</t>
        </is>
      </c>
    </row>
    <row r="2831">
      <c r="A2831" t="inlineStr">
        <is>
          <t>LIP_DC_CHOL</t>
        </is>
      </c>
      <c r="B2831" t="inlineStr">
        <is>
          <t>HSP_radius_R0</t>
        </is>
      </c>
      <c r="C2831">
        <v>8.0</v>
      </c>
      <c r="D2831" t="inlineStr">
        <is>
          <t>MPa^0.5</t>
        </is>
      </c>
      <c r="E2831"/>
      <c r="F2831"/>
      <c r="G2831" t="inlineStr">
        <is>
          <t>literature/heuristic solubility sphere</t>
        </is>
      </c>
      <c r="H2831" t="inlineStr">
        <is>
          <t>S013_EST_HSP_HEURISTIC</t>
        </is>
      </c>
      <c r="I2831" t="inlineStr">
        <is>
          <t>estimated</t>
        </is>
      </c>
      <c r="J2831">
        <v>0.38</v>
      </c>
      <c r="K2831" t="inlineStr">
        <is>
          <t>Screening radius only unless experimentally determined.</t>
        </is>
      </c>
    </row>
    <row r="2832">
      <c r="A2832" t="inlineStr">
        <is>
          <t>LIP_DC_CHOL</t>
        </is>
      </c>
      <c r="B2832" t="inlineStr">
        <is>
          <t>molar_volume_cm3_mol</t>
        </is>
      </c>
      <c r="C2832">
        <v>537.3</v>
      </c>
      <c r="D2832" t="inlineStr">
        <is>
          <t>cm3/mol</t>
        </is>
      </c>
      <c r="E2832"/>
      <c r="F2832"/>
      <c r="G2832" t="inlineStr">
        <is>
          <t>MW/density estimate</t>
        </is>
      </c>
      <c r="H2832" t="inlineStr">
        <is>
          <t>S012_CALCULATED</t>
        </is>
      </c>
      <c r="I2832" t="inlineStr">
        <is>
          <t>estimated</t>
        </is>
      </c>
      <c r="J2832">
        <v>0.42</v>
      </c>
      <c r="K2832" t="inlineStr">
        <is>
          <t>Estimated from MW/density; replace with measured molar volume or density-specific grade data.</t>
        </is>
      </c>
    </row>
    <row r="2833">
      <c r="A2833" t="inlineStr">
        <is>
          <t>LIP_DC_CHOL</t>
        </is>
      </c>
      <c r="B2833" t="inlineStr">
        <is>
          <t>headgroup_area_nm2</t>
        </is>
      </c>
      <c r="C2833">
        <v>0.62</v>
      </c>
      <c r="D2833" t="inlineStr">
        <is>
          <t>nm2</t>
        </is>
      </c>
      <c r="E2833"/>
      <c r="F2833"/>
      <c r="G2833" t="inlineStr">
        <is>
          <t>literature/MD heuristic</t>
        </is>
      </c>
      <c r="H2833" t="inlineStr">
        <is>
          <t>S013_EST_HSP_HEURISTIC</t>
        </is>
      </c>
      <c r="I2833" t="inlineStr">
        <is>
          <t>estimated</t>
        </is>
      </c>
      <c r="J2833">
        <v>0.35</v>
      </c>
      <c r="K2833" t="inlineStr">
        <is>
          <t>Area per lipid varies with phase, temperature, cholesterol, hydration, and force field.</t>
        </is>
      </c>
    </row>
    <row r="2834">
      <c r="A2834" t="inlineStr">
        <is>
          <t>LIP_DODAP</t>
        </is>
      </c>
      <c r="B2834" t="inlineStr">
        <is>
          <t>molecular_weight_g_mol</t>
        </is>
      </c>
      <c r="C2834">
        <v>698.5</v>
      </c>
      <c r="D2834" t="inlineStr">
        <is>
          <t>g/mol</t>
        </is>
      </c>
      <c r="E2834"/>
      <c r="F2834"/>
      <c r="G2834" t="inlineStr">
        <is>
          <t>LIPID MAPS/supplier formula or average grade MW</t>
        </is>
      </c>
      <c r="H2834" t="inlineStr">
        <is>
          <t>S004_LIPIDMAPS</t>
        </is>
      </c>
      <c r="I2834" t="inlineStr">
        <is>
          <t>database-derived</t>
        </is>
      </c>
      <c r="J2834">
        <v>0.78</v>
      </c>
      <c r="K2834"/>
    </row>
    <row r="2835">
      <c r="A2835" t="inlineStr">
        <is>
          <t>LIP_DODAP</t>
        </is>
      </c>
      <c r="B2835" t="inlineStr">
        <is>
          <t>lipid_class</t>
        </is>
      </c>
      <c r="C2835" t="inlineStr">
        <is>
          <t>ionizable lipid</t>
        </is>
      </c>
      <c r="D2835"/>
      <c r="E2835"/>
      <c r="F2835"/>
      <c r="G2835" t="inlineStr">
        <is>
          <t>lipid class annotation</t>
        </is>
      </c>
      <c r="H2835" t="inlineStr">
        <is>
          <t>S003_AVANTI_PHASE</t>
        </is>
      </c>
      <c r="I2835" t="inlineStr">
        <is>
          <t>curated</t>
        </is>
      </c>
      <c r="J2835">
        <v>0.85</v>
      </c>
      <c r="K2835"/>
    </row>
    <row r="2836">
      <c r="A2836" t="inlineStr">
        <is>
          <t>LIP_DODAP</t>
        </is>
      </c>
      <c r="B2836" t="inlineStr">
        <is>
          <t>headgroup_type</t>
        </is>
      </c>
      <c r="C2836" t="inlineStr">
        <is>
          <t>tertiary amine lipid</t>
        </is>
      </c>
      <c r="D2836"/>
      <c r="E2836"/>
      <c r="F2836"/>
      <c r="G2836" t="inlineStr">
        <is>
          <t>headgroup annotation</t>
        </is>
      </c>
      <c r="H2836" t="inlineStr">
        <is>
          <t>S003_AVANTI_PHASE</t>
        </is>
      </c>
      <c r="I2836" t="inlineStr">
        <is>
          <t>curated</t>
        </is>
      </c>
      <c r="J2836">
        <v>0.85</v>
      </c>
      <c r="K2836"/>
    </row>
    <row r="2837">
      <c r="A2837" t="inlineStr">
        <is>
          <t>LIP_DODAP</t>
        </is>
      </c>
      <c r="B2837" t="inlineStr">
        <is>
          <t>charge_type</t>
        </is>
      </c>
      <c r="C2837" t="inlineStr">
        <is>
          <t>pH-dependent cationic/neutral</t>
        </is>
      </c>
      <c r="D2837"/>
      <c r="E2837"/>
      <c r="F2837"/>
      <c r="G2837" t="inlineStr">
        <is>
          <t>nominal at pH 7.4</t>
        </is>
      </c>
      <c r="H2837" t="inlineStr">
        <is>
          <t>S003_AVANTI_PHASE</t>
        </is>
      </c>
      <c r="I2837" t="inlineStr">
        <is>
          <t>curated</t>
        </is>
      </c>
      <c r="J2837">
        <v>0.85</v>
      </c>
      <c r="K2837"/>
    </row>
    <row r="2838">
      <c r="A2838" t="inlineStr">
        <is>
          <t>LIP_DODAP</t>
        </is>
      </c>
      <c r="B2838" t="inlineStr">
        <is>
          <t>formal_charge</t>
        </is>
      </c>
      <c r="C2838">
        <v>0</v>
      </c>
      <c r="D2838" t="inlineStr">
        <is>
          <t>e</t>
        </is>
      </c>
      <c r="E2838"/>
      <c r="F2838"/>
      <c r="G2838" t="inlineStr">
        <is>
          <t>nominal at pH 7.4</t>
        </is>
      </c>
      <c r="H2838" t="inlineStr">
        <is>
          <t>S003_AVANTI_PHASE</t>
        </is>
      </c>
      <c r="I2838" t="inlineStr">
        <is>
          <t>curated</t>
        </is>
      </c>
      <c r="J2838">
        <v>0.85</v>
      </c>
      <c r="K2838"/>
    </row>
    <row r="2839">
      <c r="A2839" t="inlineStr">
        <is>
          <t>LIP_DODAP</t>
        </is>
      </c>
      <c r="B2839" t="inlineStr">
        <is>
          <t>tail_1_carbons</t>
        </is>
      </c>
      <c r="C2839">
        <v>18</v>
      </c>
      <c r="D2839" t="inlineStr">
        <is>
          <t>count</t>
        </is>
      </c>
      <c r="E2839"/>
      <c r="F2839"/>
      <c r="G2839" t="inlineStr">
        <is>
          <t>lipid shorthand annotation</t>
        </is>
      </c>
      <c r="H2839" t="inlineStr">
        <is>
          <t>S003_AVANTI_PHASE</t>
        </is>
      </c>
      <c r="I2839" t="inlineStr">
        <is>
          <t>curated</t>
        </is>
      </c>
      <c r="J2839">
        <v>0.86</v>
      </c>
      <c r="K2839"/>
    </row>
    <row r="2840">
      <c r="A2840" t="inlineStr">
        <is>
          <t>LIP_DODAP</t>
        </is>
      </c>
      <c r="B2840" t="inlineStr">
        <is>
          <t>tail_1_unsaturation</t>
        </is>
      </c>
      <c r="C2840">
        <v>1</v>
      </c>
      <c r="D2840" t="inlineStr">
        <is>
          <t>double_bonds</t>
        </is>
      </c>
      <c r="E2840"/>
      <c r="F2840"/>
      <c r="G2840" t="inlineStr">
        <is>
          <t>lipid shorthand annotation</t>
        </is>
      </c>
      <c r="H2840" t="inlineStr">
        <is>
          <t>S003_AVANTI_PHASE</t>
        </is>
      </c>
      <c r="I2840" t="inlineStr">
        <is>
          <t>curated</t>
        </is>
      </c>
      <c r="J2840">
        <v>0.86</v>
      </c>
      <c r="K2840"/>
    </row>
    <row r="2841">
      <c r="A2841" t="inlineStr">
        <is>
          <t>LIP_DODAP</t>
        </is>
      </c>
      <c r="B2841" t="inlineStr">
        <is>
          <t>tail_2_carbons</t>
        </is>
      </c>
      <c r="C2841">
        <v>18</v>
      </c>
      <c r="D2841" t="inlineStr">
        <is>
          <t>count</t>
        </is>
      </c>
      <c r="E2841"/>
      <c r="F2841"/>
      <c r="G2841" t="inlineStr">
        <is>
          <t>lipid shorthand annotation</t>
        </is>
      </c>
      <c r="H2841" t="inlineStr">
        <is>
          <t>S003_AVANTI_PHASE</t>
        </is>
      </c>
      <c r="I2841" t="inlineStr">
        <is>
          <t>curated</t>
        </is>
      </c>
      <c r="J2841">
        <v>0.86</v>
      </c>
      <c r="K2841"/>
    </row>
    <row r="2842">
      <c r="A2842" t="inlineStr">
        <is>
          <t>LIP_DODAP</t>
        </is>
      </c>
      <c r="B2842" t="inlineStr">
        <is>
          <t>tail_2_unsaturation</t>
        </is>
      </c>
      <c r="C2842">
        <v>1</v>
      </c>
      <c r="D2842" t="inlineStr">
        <is>
          <t>double_bonds</t>
        </is>
      </c>
      <c r="E2842"/>
      <c r="F2842"/>
      <c r="G2842" t="inlineStr">
        <is>
          <t>lipid shorthand annotation</t>
        </is>
      </c>
      <c r="H2842" t="inlineStr">
        <is>
          <t>S003_AVANTI_PHASE</t>
        </is>
      </c>
      <c r="I2842" t="inlineStr">
        <is>
          <t>curated</t>
        </is>
      </c>
      <c r="J2842">
        <v>0.86</v>
      </c>
      <c r="K2842"/>
    </row>
    <row r="2843">
      <c r="A2843" t="inlineStr">
        <is>
          <t>LIP_DODAP</t>
        </is>
      </c>
      <c r="B2843" t="inlineStr">
        <is>
          <t>number_of_tails</t>
        </is>
      </c>
      <c r="C2843">
        <v>2</v>
      </c>
      <c r="D2843" t="inlineStr">
        <is>
          <t>count</t>
        </is>
      </c>
      <c r="E2843"/>
      <c r="F2843"/>
      <c r="G2843" t="inlineStr">
        <is>
          <t>lipid shorthand annotation</t>
        </is>
      </c>
      <c r="H2843" t="inlineStr">
        <is>
          <t>S003_AVANTI_PHASE</t>
        </is>
      </c>
      <c r="I2843" t="inlineStr">
        <is>
          <t>curated</t>
        </is>
      </c>
      <c r="J2843">
        <v>0.86</v>
      </c>
      <c r="K2843"/>
    </row>
    <row r="2844">
      <c r="A2844" t="inlineStr">
        <is>
          <t>LIP_DODAP</t>
        </is>
      </c>
      <c r="B2844" t="inlineStr">
        <is>
          <t>critical_packing_notes</t>
        </is>
      </c>
      <c r="C2844" t="inlineStr">
        <is>
          <t>bilayer-forming cylindrical lipid</t>
        </is>
      </c>
      <c r="D2844"/>
      <c r="E2844"/>
      <c r="F2844"/>
      <c r="G2844" t="inlineStr">
        <is>
          <t>CPP heuristic</t>
        </is>
      </c>
      <c r="H2844" t="inlineStr">
        <is>
          <t>S014_AULTON</t>
        </is>
      </c>
      <c r="I2844" t="inlineStr">
        <is>
          <t>curated</t>
        </is>
      </c>
      <c r="J2844">
        <v>0.65</v>
      </c>
      <c r="K2844"/>
    </row>
    <row r="2845">
      <c r="A2845" t="inlineStr">
        <is>
          <t>LIP_DODAP</t>
        </is>
      </c>
      <c r="B2845" t="inlineStr">
        <is>
          <t>membrane_rigidity_contribution</t>
        </is>
      </c>
      <c r="C2845" t="inlineStr">
        <is>
          <t>fluidizing</t>
        </is>
      </c>
      <c r="D2845"/>
      <c r="E2845"/>
      <c r="F2845"/>
      <c r="G2845" t="inlineStr">
        <is>
          <t>Tm and unsaturation heuristic</t>
        </is>
      </c>
      <c r="H2845" t="inlineStr">
        <is>
          <t>S003_AVANTI_PHASE</t>
        </is>
      </c>
      <c r="I2845" t="inlineStr">
        <is>
          <t>curated</t>
        </is>
      </c>
      <c r="J2845">
        <v>0.65</v>
      </c>
      <c r="K2845"/>
    </row>
    <row r="2846">
      <c r="A2846" t="inlineStr">
        <is>
          <t>LIP_DODAP</t>
        </is>
      </c>
      <c r="B2846" t="inlineStr">
        <is>
          <t>fusogenic_flag</t>
        </is>
      </c>
      <c r="C2846" t="inlineStr">
        <is>
          <t>no</t>
        </is>
      </c>
      <c r="D2846"/>
      <c r="E2846"/>
      <c r="F2846"/>
      <c r="G2846" t="inlineStr">
        <is>
          <t>role annotation</t>
        </is>
      </c>
      <c r="H2846" t="inlineStr">
        <is>
          <t>S014_AULTON</t>
        </is>
      </c>
      <c r="I2846" t="inlineStr">
        <is>
          <t>curated</t>
        </is>
      </c>
      <c r="J2846">
        <v>0.7</v>
      </c>
      <c r="K2846"/>
    </row>
    <row r="2847">
      <c r="A2847" t="inlineStr">
        <is>
          <t>LIP_DODAP</t>
        </is>
      </c>
      <c r="B2847" t="inlineStr">
        <is>
          <t>PEGylated_flag</t>
        </is>
      </c>
      <c r="C2847" t="inlineStr">
        <is>
          <t>no</t>
        </is>
      </c>
      <c r="D2847"/>
      <c r="E2847"/>
      <c r="F2847"/>
      <c r="G2847" t="inlineStr">
        <is>
          <t>role annotation</t>
        </is>
      </c>
      <c r="H2847" t="inlineStr">
        <is>
          <t>S014_AULTON</t>
        </is>
      </c>
      <c r="I2847" t="inlineStr">
        <is>
          <t>curated</t>
        </is>
      </c>
      <c r="J2847">
        <v>0.85</v>
      </c>
      <c r="K2847"/>
    </row>
    <row r="2848">
      <c r="A2848" t="inlineStr">
        <is>
          <t>LIP_DODAP</t>
        </is>
      </c>
      <c r="B2848" t="inlineStr">
        <is>
          <t>ionizable_flag</t>
        </is>
      </c>
      <c r="C2848" t="inlineStr">
        <is>
          <t>yes</t>
        </is>
      </c>
      <c r="D2848"/>
      <c r="E2848"/>
      <c r="F2848"/>
      <c r="G2848" t="inlineStr">
        <is>
          <t>role annotation</t>
        </is>
      </c>
      <c r="H2848" t="inlineStr">
        <is>
          <t>S014_AULTON</t>
        </is>
      </c>
      <c r="I2848" t="inlineStr">
        <is>
          <t>curated</t>
        </is>
      </c>
      <c r="J2848">
        <v>0.85</v>
      </c>
      <c r="K2848"/>
    </row>
    <row r="2849">
      <c r="A2849" t="inlineStr">
        <is>
          <t>LIP_DODAP</t>
        </is>
      </c>
      <c r="B2849" t="inlineStr">
        <is>
          <t>route_suitability</t>
        </is>
      </c>
      <c r="C2849" t="inlineStr">
        <is>
          <t>liposome/LNP; route depends on purity, grade, residual solvents/endotoxin</t>
        </is>
      </c>
      <c r="D2849"/>
      <c r="E2849"/>
      <c r="F2849"/>
      <c r="G2849" t="inlineStr">
        <is>
          <t>route precedent caution</t>
        </is>
      </c>
      <c r="H2849" t="inlineStr">
        <is>
          <t>S008_FDA_IID</t>
        </is>
      </c>
      <c r="I2849" t="inlineStr">
        <is>
          <t>curated</t>
        </is>
      </c>
      <c r="J2849">
        <v>0.55</v>
      </c>
      <c r="K2849"/>
    </row>
    <row r="2850">
      <c r="A2850" t="inlineStr">
        <is>
          <t>LIP_DODAP</t>
        </is>
      </c>
      <c r="B2850" t="inlineStr">
        <is>
          <t>storage_notes</t>
        </is>
      </c>
      <c r="C2850" t="inlineStr">
        <is>
          <t>store cold, dry, inert gas; protect unsaturated/ionizable lipids from oxidation/hydrolysis</t>
        </is>
      </c>
      <c r="D2850"/>
      <c r="E2850"/>
      <c r="F2850"/>
      <c r="G2850" t="inlineStr">
        <is>
          <t>supplier stability convention</t>
        </is>
      </c>
      <c r="H2850" t="inlineStr">
        <is>
          <t>S003_AVANTI_PHASE</t>
        </is>
      </c>
      <c r="I2850" t="inlineStr">
        <is>
          <t>curated</t>
        </is>
      </c>
      <c r="J2850">
        <v>0.7</v>
      </c>
      <c r="K2850"/>
    </row>
    <row r="2851">
      <c r="A2851" t="inlineStr">
        <is>
          <t>LIP_DODAP</t>
        </is>
      </c>
      <c r="B2851" t="inlineStr">
        <is>
          <t>pKa_if_ionizable</t>
        </is>
      </c>
      <c r="C2851">
        <v>6.6</v>
      </c>
      <c r="D2851"/>
      <c r="E2851"/>
      <c r="F2851"/>
      <c r="G2851" t="inlineStr">
        <is>
          <t>apparent lipid pKa; formulation-dependent</t>
        </is>
      </c>
      <c r="H2851" t="inlineStr">
        <is>
          <t>S003_AVANTI_PHASE</t>
        </is>
      </c>
      <c r="I2851" t="inlineStr">
        <is>
          <t>literature</t>
        </is>
      </c>
      <c r="J2851">
        <v>0.6</v>
      </c>
      <c r="K2851"/>
    </row>
    <row r="2852">
      <c r="A2852" t="inlineStr">
        <is>
          <t>LIP_DODAP</t>
        </is>
      </c>
      <c r="B2852" t="inlineStr">
        <is>
          <t>Hansen_delta_D</t>
        </is>
      </c>
      <c r="C2852">
        <v>17.5</v>
      </c>
      <c r="D2852" t="inlineStr">
        <is>
          <t>MPa^0.5</t>
        </is>
      </c>
      <c r="E2852"/>
      <c r="F2852"/>
      <c r="G2852" t="inlineStr">
        <is>
          <t>heuristic group-contribution/nearest-neighbour</t>
        </is>
      </c>
      <c r="H2852" t="inlineStr">
        <is>
          <t>S013_EST_HSP_HEURISTIC</t>
        </is>
      </c>
      <c r="I2852" t="inlineStr">
        <is>
          <t>estimated</t>
        </is>
      </c>
      <c r="J2852">
        <v>0.38</v>
      </c>
      <c r="K2852" t="inlineStr">
        <is>
          <t>Provisional HSP for screening; replace with experimental/literature value before model lock.</t>
        </is>
      </c>
    </row>
    <row r="2853">
      <c r="A2853" t="inlineStr">
        <is>
          <t>LIP_DODAP</t>
        </is>
      </c>
      <c r="B2853" t="inlineStr">
        <is>
          <t>Hansen_delta_P</t>
        </is>
      </c>
      <c r="C2853">
        <v>7.5</v>
      </c>
      <c r="D2853" t="inlineStr">
        <is>
          <t>MPa^0.5</t>
        </is>
      </c>
      <c r="E2853"/>
      <c r="F2853"/>
      <c r="G2853" t="inlineStr">
        <is>
          <t>heuristic group-contribution/nearest-neighbour</t>
        </is>
      </c>
      <c r="H2853" t="inlineStr">
        <is>
          <t>S013_EST_HSP_HEURISTIC</t>
        </is>
      </c>
      <c r="I2853" t="inlineStr">
        <is>
          <t>estimated</t>
        </is>
      </c>
      <c r="J2853">
        <v>0.38</v>
      </c>
      <c r="K2853" t="inlineStr">
        <is>
          <t>Provisional HSP for screening; replace with experimental/literature value before model lock.</t>
        </is>
      </c>
    </row>
    <row r="2854">
      <c r="A2854" t="inlineStr">
        <is>
          <t>LIP_DODAP</t>
        </is>
      </c>
      <c r="B2854" t="inlineStr">
        <is>
          <t>Hansen_delta_H</t>
        </is>
      </c>
      <c r="C2854">
        <v>10.0</v>
      </c>
      <c r="D2854" t="inlineStr">
        <is>
          <t>MPa^0.5</t>
        </is>
      </c>
      <c r="E2854"/>
      <c r="F2854"/>
      <c r="G2854" t="inlineStr">
        <is>
          <t>heuristic group-contribution/nearest-neighbour</t>
        </is>
      </c>
      <c r="H2854" t="inlineStr">
        <is>
          <t>S013_EST_HSP_HEURISTIC</t>
        </is>
      </c>
      <c r="I2854" t="inlineStr">
        <is>
          <t>estimated</t>
        </is>
      </c>
      <c r="J2854">
        <v>0.38</v>
      </c>
      <c r="K2854" t="inlineStr">
        <is>
          <t>Provisional HSP for screening; replace with experimental/literature value before model lock.</t>
        </is>
      </c>
    </row>
    <row r="2855">
      <c r="A2855" t="inlineStr">
        <is>
          <t>LIP_DODAP</t>
        </is>
      </c>
      <c r="B2855" t="inlineStr">
        <is>
          <t>Hildebrand_delta_T</t>
        </is>
      </c>
      <c r="C2855">
        <v>21.51</v>
      </c>
      <c r="D2855" t="inlineStr">
        <is>
          <t>MPa^0.5</t>
        </is>
      </c>
      <c r="E2855"/>
      <c r="F2855"/>
      <c r="G2855" t="inlineStr">
        <is>
          <t>sqrt(deltaD^2+deltaP^2+deltaH^2)</t>
        </is>
      </c>
      <c r="H2855" t="inlineStr">
        <is>
          <t>S012_CALCULATED</t>
        </is>
      </c>
      <c r="I2855" t="inlineStr">
        <is>
          <t>calculated</t>
        </is>
      </c>
      <c r="J2855">
        <v>0.43</v>
      </c>
      <c r="K2855" t="inlineStr">
        <is>
          <t>Derived from stored Hansen components.</t>
        </is>
      </c>
    </row>
    <row r="2856">
      <c r="A2856" t="inlineStr">
        <is>
          <t>LIP_DODAP</t>
        </is>
      </c>
      <c r="B2856" t="inlineStr">
        <is>
          <t>HSP_radius_R0</t>
        </is>
      </c>
      <c r="C2856">
        <v>8.0</v>
      </c>
      <c r="D2856" t="inlineStr">
        <is>
          <t>MPa^0.5</t>
        </is>
      </c>
      <c r="E2856"/>
      <c r="F2856"/>
      <c r="G2856" t="inlineStr">
        <is>
          <t>literature/heuristic solubility sphere</t>
        </is>
      </c>
      <c r="H2856" t="inlineStr">
        <is>
          <t>S013_EST_HSP_HEURISTIC</t>
        </is>
      </c>
      <c r="I2856" t="inlineStr">
        <is>
          <t>estimated</t>
        </is>
      </c>
      <c r="J2856">
        <v>0.38</v>
      </c>
      <c r="K2856" t="inlineStr">
        <is>
          <t>Screening radius only unless experimentally determined.</t>
        </is>
      </c>
    </row>
    <row r="2857">
      <c r="A2857" t="inlineStr">
        <is>
          <t>LIP_DODAP</t>
        </is>
      </c>
      <c r="B2857" t="inlineStr">
        <is>
          <t>molar_volume_cm3_mol</t>
        </is>
      </c>
      <c r="C2857">
        <v>698.5</v>
      </c>
      <c r="D2857" t="inlineStr">
        <is>
          <t>cm3/mol</t>
        </is>
      </c>
      <c r="E2857"/>
      <c r="F2857"/>
      <c r="G2857" t="inlineStr">
        <is>
          <t>MW/density estimate</t>
        </is>
      </c>
      <c r="H2857" t="inlineStr">
        <is>
          <t>S012_CALCULATED</t>
        </is>
      </c>
      <c r="I2857" t="inlineStr">
        <is>
          <t>estimated</t>
        </is>
      </c>
      <c r="J2857">
        <v>0.42</v>
      </c>
      <c r="K2857" t="inlineStr">
        <is>
          <t>Estimated from MW/density; replace with measured molar volume or density-specific grade data.</t>
        </is>
      </c>
    </row>
    <row r="2858">
      <c r="A2858" t="inlineStr">
        <is>
          <t>LIP_DODAP</t>
        </is>
      </c>
      <c r="B2858" t="inlineStr">
        <is>
          <t>headgroup_area_nm2</t>
        </is>
      </c>
      <c r="C2858">
        <v>0.62</v>
      </c>
      <c r="D2858" t="inlineStr">
        <is>
          <t>nm2</t>
        </is>
      </c>
      <c r="E2858"/>
      <c r="F2858"/>
      <c r="G2858" t="inlineStr">
        <is>
          <t>literature/MD heuristic</t>
        </is>
      </c>
      <c r="H2858" t="inlineStr">
        <is>
          <t>S013_EST_HSP_HEURISTIC</t>
        </is>
      </c>
      <c r="I2858" t="inlineStr">
        <is>
          <t>estimated</t>
        </is>
      </c>
      <c r="J2858">
        <v>0.35</v>
      </c>
      <c r="K2858" t="inlineStr">
        <is>
          <t>Area per lipid varies with phase, temperature, cholesterol, hydration, and force field.</t>
        </is>
      </c>
    </row>
    <row r="2859">
      <c r="A2859" t="inlineStr">
        <is>
          <t>LIP_DLIN_MC3_DMA</t>
        </is>
      </c>
      <c r="B2859" t="inlineStr">
        <is>
          <t>molecular_weight_g_mol</t>
        </is>
      </c>
      <c r="C2859">
        <v>642.1</v>
      </c>
      <c r="D2859" t="inlineStr">
        <is>
          <t>g/mol</t>
        </is>
      </c>
      <c r="E2859"/>
      <c r="F2859"/>
      <c r="G2859" t="inlineStr">
        <is>
          <t>LIPID MAPS/supplier formula or average grade MW</t>
        </is>
      </c>
      <c r="H2859" t="inlineStr">
        <is>
          <t>S004_LIPIDMAPS</t>
        </is>
      </c>
      <c r="I2859" t="inlineStr">
        <is>
          <t>database-derived</t>
        </is>
      </c>
      <c r="J2859">
        <v>0.78</v>
      </c>
      <c r="K2859"/>
    </row>
    <row r="2860">
      <c r="A2860" t="inlineStr">
        <is>
          <t>LIP_DLIN_MC3_DMA</t>
        </is>
      </c>
      <c r="B2860" t="inlineStr">
        <is>
          <t>lipid_class</t>
        </is>
      </c>
      <c r="C2860" t="inlineStr">
        <is>
          <t>ionizable lipid</t>
        </is>
      </c>
      <c r="D2860"/>
      <c r="E2860"/>
      <c r="F2860"/>
      <c r="G2860" t="inlineStr">
        <is>
          <t>lipid class annotation</t>
        </is>
      </c>
      <c r="H2860" t="inlineStr">
        <is>
          <t>S003_AVANTI_PHASE</t>
        </is>
      </c>
      <c r="I2860" t="inlineStr">
        <is>
          <t>curated</t>
        </is>
      </c>
      <c r="J2860">
        <v>0.85</v>
      </c>
      <c r="K2860"/>
    </row>
    <row r="2861">
      <c r="A2861" t="inlineStr">
        <is>
          <t>LIP_DLIN_MC3_DMA</t>
        </is>
      </c>
      <c r="B2861" t="inlineStr">
        <is>
          <t>headgroup_type</t>
        </is>
      </c>
      <c r="C2861" t="inlineStr">
        <is>
          <t>tertiary amine lipid</t>
        </is>
      </c>
      <c r="D2861"/>
      <c r="E2861"/>
      <c r="F2861"/>
      <c r="G2861" t="inlineStr">
        <is>
          <t>headgroup annotation</t>
        </is>
      </c>
      <c r="H2861" t="inlineStr">
        <is>
          <t>S003_AVANTI_PHASE</t>
        </is>
      </c>
      <c r="I2861" t="inlineStr">
        <is>
          <t>curated</t>
        </is>
      </c>
      <c r="J2861">
        <v>0.85</v>
      </c>
      <c r="K2861"/>
    </row>
    <row r="2862">
      <c r="A2862" t="inlineStr">
        <is>
          <t>LIP_DLIN_MC3_DMA</t>
        </is>
      </c>
      <c r="B2862" t="inlineStr">
        <is>
          <t>charge_type</t>
        </is>
      </c>
      <c r="C2862" t="inlineStr">
        <is>
          <t>pH-dependent cationic/neutral</t>
        </is>
      </c>
      <c r="D2862"/>
      <c r="E2862"/>
      <c r="F2862"/>
      <c r="G2862" t="inlineStr">
        <is>
          <t>nominal at pH 7.4</t>
        </is>
      </c>
      <c r="H2862" t="inlineStr">
        <is>
          <t>S003_AVANTI_PHASE</t>
        </is>
      </c>
      <c r="I2862" t="inlineStr">
        <is>
          <t>curated</t>
        </is>
      </c>
      <c r="J2862">
        <v>0.85</v>
      </c>
      <c r="K2862"/>
    </row>
    <row r="2863">
      <c r="A2863" t="inlineStr">
        <is>
          <t>LIP_DLIN_MC3_DMA</t>
        </is>
      </c>
      <c r="B2863" t="inlineStr">
        <is>
          <t>formal_charge</t>
        </is>
      </c>
      <c r="C2863">
        <v>0</v>
      </c>
      <c r="D2863" t="inlineStr">
        <is>
          <t>e</t>
        </is>
      </c>
      <c r="E2863"/>
      <c r="F2863"/>
      <c r="G2863" t="inlineStr">
        <is>
          <t>nominal at pH 7.4</t>
        </is>
      </c>
      <c r="H2863" t="inlineStr">
        <is>
          <t>S003_AVANTI_PHASE</t>
        </is>
      </c>
      <c r="I2863" t="inlineStr">
        <is>
          <t>curated</t>
        </is>
      </c>
      <c r="J2863">
        <v>0.85</v>
      </c>
      <c r="K2863"/>
    </row>
    <row r="2864">
      <c r="A2864" t="inlineStr">
        <is>
          <t>LIP_DLIN_MC3_DMA</t>
        </is>
      </c>
      <c r="B2864" t="inlineStr">
        <is>
          <t>tail_1_carbons</t>
        </is>
      </c>
      <c r="C2864">
        <v>18</v>
      </c>
      <c r="D2864" t="inlineStr">
        <is>
          <t>count</t>
        </is>
      </c>
      <c r="E2864"/>
      <c r="F2864"/>
      <c r="G2864" t="inlineStr">
        <is>
          <t>lipid shorthand annotation</t>
        </is>
      </c>
      <c r="H2864" t="inlineStr">
        <is>
          <t>S003_AVANTI_PHASE</t>
        </is>
      </c>
      <c r="I2864" t="inlineStr">
        <is>
          <t>curated</t>
        </is>
      </c>
      <c r="J2864">
        <v>0.86</v>
      </c>
      <c r="K2864"/>
    </row>
    <row r="2865">
      <c r="A2865" t="inlineStr">
        <is>
          <t>LIP_DLIN_MC3_DMA</t>
        </is>
      </c>
      <c r="B2865" t="inlineStr">
        <is>
          <t>tail_1_unsaturation</t>
        </is>
      </c>
      <c r="C2865">
        <v>2</v>
      </c>
      <c r="D2865" t="inlineStr">
        <is>
          <t>double_bonds</t>
        </is>
      </c>
      <c r="E2865"/>
      <c r="F2865"/>
      <c r="G2865" t="inlineStr">
        <is>
          <t>lipid shorthand annotation</t>
        </is>
      </c>
      <c r="H2865" t="inlineStr">
        <is>
          <t>S003_AVANTI_PHASE</t>
        </is>
      </c>
      <c r="I2865" t="inlineStr">
        <is>
          <t>curated</t>
        </is>
      </c>
      <c r="J2865">
        <v>0.86</v>
      </c>
      <c r="K2865"/>
    </row>
    <row r="2866">
      <c r="A2866" t="inlineStr">
        <is>
          <t>LIP_DLIN_MC3_DMA</t>
        </is>
      </c>
      <c r="B2866" t="inlineStr">
        <is>
          <t>tail_2_carbons</t>
        </is>
      </c>
      <c r="C2866">
        <v>18</v>
      </c>
      <c r="D2866" t="inlineStr">
        <is>
          <t>count</t>
        </is>
      </c>
      <c r="E2866"/>
      <c r="F2866"/>
      <c r="G2866" t="inlineStr">
        <is>
          <t>lipid shorthand annotation</t>
        </is>
      </c>
      <c r="H2866" t="inlineStr">
        <is>
          <t>S003_AVANTI_PHASE</t>
        </is>
      </c>
      <c r="I2866" t="inlineStr">
        <is>
          <t>curated</t>
        </is>
      </c>
      <c r="J2866">
        <v>0.86</v>
      </c>
      <c r="K2866"/>
    </row>
    <row r="2867">
      <c r="A2867" t="inlineStr">
        <is>
          <t>LIP_DLIN_MC3_DMA</t>
        </is>
      </c>
      <c r="B2867" t="inlineStr">
        <is>
          <t>tail_2_unsaturation</t>
        </is>
      </c>
      <c r="C2867">
        <v>2</v>
      </c>
      <c r="D2867" t="inlineStr">
        <is>
          <t>double_bonds</t>
        </is>
      </c>
      <c r="E2867"/>
      <c r="F2867"/>
      <c r="G2867" t="inlineStr">
        <is>
          <t>lipid shorthand annotation</t>
        </is>
      </c>
      <c r="H2867" t="inlineStr">
        <is>
          <t>S003_AVANTI_PHASE</t>
        </is>
      </c>
      <c r="I2867" t="inlineStr">
        <is>
          <t>curated</t>
        </is>
      </c>
      <c r="J2867">
        <v>0.86</v>
      </c>
      <c r="K2867"/>
    </row>
    <row r="2868">
      <c r="A2868" t="inlineStr">
        <is>
          <t>LIP_DLIN_MC3_DMA</t>
        </is>
      </c>
      <c r="B2868" t="inlineStr">
        <is>
          <t>number_of_tails</t>
        </is>
      </c>
      <c r="C2868">
        <v>2</v>
      </c>
      <c r="D2868" t="inlineStr">
        <is>
          <t>count</t>
        </is>
      </c>
      <c r="E2868"/>
      <c r="F2868"/>
      <c r="G2868" t="inlineStr">
        <is>
          <t>lipid shorthand annotation</t>
        </is>
      </c>
      <c r="H2868" t="inlineStr">
        <is>
          <t>S003_AVANTI_PHASE</t>
        </is>
      </c>
      <c r="I2868" t="inlineStr">
        <is>
          <t>curated</t>
        </is>
      </c>
      <c r="J2868">
        <v>0.86</v>
      </c>
      <c r="K2868"/>
    </row>
    <row r="2869">
      <c r="A2869" t="inlineStr">
        <is>
          <t>LIP_DLIN_MC3_DMA</t>
        </is>
      </c>
      <c r="B2869" t="inlineStr">
        <is>
          <t>critical_packing_notes</t>
        </is>
      </c>
      <c r="C2869" t="inlineStr">
        <is>
          <t>bilayer-forming cylindrical lipid</t>
        </is>
      </c>
      <c r="D2869"/>
      <c r="E2869"/>
      <c r="F2869"/>
      <c r="G2869" t="inlineStr">
        <is>
          <t>CPP heuristic</t>
        </is>
      </c>
      <c r="H2869" t="inlineStr">
        <is>
          <t>S014_AULTON</t>
        </is>
      </c>
      <c r="I2869" t="inlineStr">
        <is>
          <t>curated</t>
        </is>
      </c>
      <c r="J2869">
        <v>0.65</v>
      </c>
      <c r="K2869"/>
    </row>
    <row r="2870">
      <c r="A2870" t="inlineStr">
        <is>
          <t>LIP_DLIN_MC3_DMA</t>
        </is>
      </c>
      <c r="B2870" t="inlineStr">
        <is>
          <t>membrane_rigidity_contribution</t>
        </is>
      </c>
      <c r="C2870" t="inlineStr">
        <is>
          <t>fluidizing</t>
        </is>
      </c>
      <c r="D2870"/>
      <c r="E2870"/>
      <c r="F2870"/>
      <c r="G2870" t="inlineStr">
        <is>
          <t>Tm and unsaturation heuristic</t>
        </is>
      </c>
      <c r="H2870" t="inlineStr">
        <is>
          <t>S003_AVANTI_PHASE</t>
        </is>
      </c>
      <c r="I2870" t="inlineStr">
        <is>
          <t>curated</t>
        </is>
      </c>
      <c r="J2870">
        <v>0.65</v>
      </c>
      <c r="K2870"/>
    </row>
    <row r="2871">
      <c r="A2871" t="inlineStr">
        <is>
          <t>LIP_DLIN_MC3_DMA</t>
        </is>
      </c>
      <c r="B2871" t="inlineStr">
        <is>
          <t>fusogenic_flag</t>
        </is>
      </c>
      <c r="C2871" t="inlineStr">
        <is>
          <t>no</t>
        </is>
      </c>
      <c r="D2871"/>
      <c r="E2871"/>
      <c r="F2871"/>
      <c r="G2871" t="inlineStr">
        <is>
          <t>role annotation</t>
        </is>
      </c>
      <c r="H2871" t="inlineStr">
        <is>
          <t>S014_AULTON</t>
        </is>
      </c>
      <c r="I2871" t="inlineStr">
        <is>
          <t>curated</t>
        </is>
      </c>
      <c r="J2871">
        <v>0.7</v>
      </c>
      <c r="K2871"/>
    </row>
    <row r="2872">
      <c r="A2872" t="inlineStr">
        <is>
          <t>LIP_DLIN_MC3_DMA</t>
        </is>
      </c>
      <c r="B2872" t="inlineStr">
        <is>
          <t>PEGylated_flag</t>
        </is>
      </c>
      <c r="C2872" t="inlineStr">
        <is>
          <t>no</t>
        </is>
      </c>
      <c r="D2872"/>
      <c r="E2872"/>
      <c r="F2872"/>
      <c r="G2872" t="inlineStr">
        <is>
          <t>role annotation</t>
        </is>
      </c>
      <c r="H2872" t="inlineStr">
        <is>
          <t>S014_AULTON</t>
        </is>
      </c>
      <c r="I2872" t="inlineStr">
        <is>
          <t>curated</t>
        </is>
      </c>
      <c r="J2872">
        <v>0.85</v>
      </c>
      <c r="K2872"/>
    </row>
    <row r="2873">
      <c r="A2873" t="inlineStr">
        <is>
          <t>LIP_DLIN_MC3_DMA</t>
        </is>
      </c>
      <c r="B2873" t="inlineStr">
        <is>
          <t>ionizable_flag</t>
        </is>
      </c>
      <c r="C2873" t="inlineStr">
        <is>
          <t>yes</t>
        </is>
      </c>
      <c r="D2873"/>
      <c r="E2873"/>
      <c r="F2873"/>
      <c r="G2873" t="inlineStr">
        <is>
          <t>role annotation</t>
        </is>
      </c>
      <c r="H2873" t="inlineStr">
        <is>
          <t>S014_AULTON</t>
        </is>
      </c>
      <c r="I2873" t="inlineStr">
        <is>
          <t>curated</t>
        </is>
      </c>
      <c r="J2873">
        <v>0.85</v>
      </c>
      <c r="K2873"/>
    </row>
    <row r="2874">
      <c r="A2874" t="inlineStr">
        <is>
          <t>LIP_DLIN_MC3_DMA</t>
        </is>
      </c>
      <c r="B2874" t="inlineStr">
        <is>
          <t>route_suitability</t>
        </is>
      </c>
      <c r="C2874" t="inlineStr">
        <is>
          <t>liposome/LNP; route depends on purity, grade, residual solvents/endotoxin</t>
        </is>
      </c>
      <c r="D2874"/>
      <c r="E2874"/>
      <c r="F2874"/>
      <c r="G2874" t="inlineStr">
        <is>
          <t>route precedent caution</t>
        </is>
      </c>
      <c r="H2874" t="inlineStr">
        <is>
          <t>S008_FDA_IID</t>
        </is>
      </c>
      <c r="I2874" t="inlineStr">
        <is>
          <t>curated</t>
        </is>
      </c>
      <c r="J2874">
        <v>0.55</v>
      </c>
      <c r="K2874"/>
    </row>
    <row r="2875">
      <c r="A2875" t="inlineStr">
        <is>
          <t>LIP_DLIN_MC3_DMA</t>
        </is>
      </c>
      <c r="B2875" t="inlineStr">
        <is>
          <t>storage_notes</t>
        </is>
      </c>
      <c r="C2875" t="inlineStr">
        <is>
          <t>store cold, dry, inert gas; protect unsaturated/ionizable lipids from oxidation/hydrolysis</t>
        </is>
      </c>
      <c r="D2875"/>
      <c r="E2875"/>
      <c r="F2875"/>
      <c r="G2875" t="inlineStr">
        <is>
          <t>supplier stability convention</t>
        </is>
      </c>
      <c r="H2875" t="inlineStr">
        <is>
          <t>S003_AVANTI_PHASE</t>
        </is>
      </c>
      <c r="I2875" t="inlineStr">
        <is>
          <t>curated</t>
        </is>
      </c>
      <c r="J2875">
        <v>0.7</v>
      </c>
      <c r="K2875"/>
    </row>
    <row r="2876">
      <c r="A2876" t="inlineStr">
        <is>
          <t>LIP_DLIN_MC3_DMA</t>
        </is>
      </c>
      <c r="B2876" t="inlineStr">
        <is>
          <t>pKa_if_ionizable</t>
        </is>
      </c>
      <c r="C2876">
        <v>6.4</v>
      </c>
      <c r="D2876"/>
      <c r="E2876"/>
      <c r="F2876"/>
      <c r="G2876" t="inlineStr">
        <is>
          <t>apparent lipid pKa; formulation-dependent</t>
        </is>
      </c>
      <c r="H2876" t="inlineStr">
        <is>
          <t>S003_AVANTI_PHASE</t>
        </is>
      </c>
      <c r="I2876" t="inlineStr">
        <is>
          <t>literature</t>
        </is>
      </c>
      <c r="J2876">
        <v>0.6</v>
      </c>
      <c r="K2876"/>
    </row>
    <row r="2877">
      <c r="A2877" t="inlineStr">
        <is>
          <t>LIP_DLIN_MC3_DMA</t>
        </is>
      </c>
      <c r="B2877" t="inlineStr">
        <is>
          <t>Hansen_delta_D</t>
        </is>
      </c>
      <c r="C2877">
        <v>17.5</v>
      </c>
      <c r="D2877" t="inlineStr">
        <is>
          <t>MPa^0.5</t>
        </is>
      </c>
      <c r="E2877"/>
      <c r="F2877"/>
      <c r="G2877" t="inlineStr">
        <is>
          <t>heuristic group-contribution/nearest-neighbour</t>
        </is>
      </c>
      <c r="H2877" t="inlineStr">
        <is>
          <t>S013_EST_HSP_HEURISTIC</t>
        </is>
      </c>
      <c r="I2877" t="inlineStr">
        <is>
          <t>estimated</t>
        </is>
      </c>
      <c r="J2877">
        <v>0.38</v>
      </c>
      <c r="K2877" t="inlineStr">
        <is>
          <t>Provisional HSP for screening; replace with experimental/literature value before model lock.</t>
        </is>
      </c>
    </row>
    <row r="2878">
      <c r="A2878" t="inlineStr">
        <is>
          <t>LIP_DLIN_MC3_DMA</t>
        </is>
      </c>
      <c r="B2878" t="inlineStr">
        <is>
          <t>Hansen_delta_P</t>
        </is>
      </c>
      <c r="C2878">
        <v>7.5</v>
      </c>
      <c r="D2878" t="inlineStr">
        <is>
          <t>MPa^0.5</t>
        </is>
      </c>
      <c r="E2878"/>
      <c r="F2878"/>
      <c r="G2878" t="inlineStr">
        <is>
          <t>heuristic group-contribution/nearest-neighbour</t>
        </is>
      </c>
      <c r="H2878" t="inlineStr">
        <is>
          <t>S013_EST_HSP_HEURISTIC</t>
        </is>
      </c>
      <c r="I2878" t="inlineStr">
        <is>
          <t>estimated</t>
        </is>
      </c>
      <c r="J2878">
        <v>0.38</v>
      </c>
      <c r="K2878" t="inlineStr">
        <is>
          <t>Provisional HSP for screening; replace with experimental/literature value before model lock.</t>
        </is>
      </c>
    </row>
    <row r="2879">
      <c r="A2879" t="inlineStr">
        <is>
          <t>LIP_DLIN_MC3_DMA</t>
        </is>
      </c>
      <c r="B2879" t="inlineStr">
        <is>
          <t>Hansen_delta_H</t>
        </is>
      </c>
      <c r="C2879">
        <v>10.0</v>
      </c>
      <c r="D2879" t="inlineStr">
        <is>
          <t>MPa^0.5</t>
        </is>
      </c>
      <c r="E2879"/>
      <c r="F2879"/>
      <c r="G2879" t="inlineStr">
        <is>
          <t>heuristic group-contribution/nearest-neighbour</t>
        </is>
      </c>
      <c r="H2879" t="inlineStr">
        <is>
          <t>S013_EST_HSP_HEURISTIC</t>
        </is>
      </c>
      <c r="I2879" t="inlineStr">
        <is>
          <t>estimated</t>
        </is>
      </c>
      <c r="J2879">
        <v>0.38</v>
      </c>
      <c r="K2879" t="inlineStr">
        <is>
          <t>Provisional HSP for screening; replace with experimental/literature value before model lock.</t>
        </is>
      </c>
    </row>
    <row r="2880">
      <c r="A2880" t="inlineStr">
        <is>
          <t>LIP_DLIN_MC3_DMA</t>
        </is>
      </c>
      <c r="B2880" t="inlineStr">
        <is>
          <t>Hildebrand_delta_T</t>
        </is>
      </c>
      <c r="C2880">
        <v>21.51</v>
      </c>
      <c r="D2880" t="inlineStr">
        <is>
          <t>MPa^0.5</t>
        </is>
      </c>
      <c r="E2880"/>
      <c r="F2880"/>
      <c r="G2880" t="inlineStr">
        <is>
          <t>sqrt(deltaD^2+deltaP^2+deltaH^2)</t>
        </is>
      </c>
      <c r="H2880" t="inlineStr">
        <is>
          <t>S012_CALCULATED</t>
        </is>
      </c>
      <c r="I2880" t="inlineStr">
        <is>
          <t>calculated</t>
        </is>
      </c>
      <c r="J2880">
        <v>0.43</v>
      </c>
      <c r="K2880" t="inlineStr">
        <is>
          <t>Derived from stored Hansen components.</t>
        </is>
      </c>
    </row>
    <row r="2881">
      <c r="A2881" t="inlineStr">
        <is>
          <t>LIP_DLIN_MC3_DMA</t>
        </is>
      </c>
      <c r="B2881" t="inlineStr">
        <is>
          <t>HSP_radius_R0</t>
        </is>
      </c>
      <c r="C2881">
        <v>8.0</v>
      </c>
      <c r="D2881" t="inlineStr">
        <is>
          <t>MPa^0.5</t>
        </is>
      </c>
      <c r="E2881"/>
      <c r="F2881"/>
      <c r="G2881" t="inlineStr">
        <is>
          <t>literature/heuristic solubility sphere</t>
        </is>
      </c>
      <c r="H2881" t="inlineStr">
        <is>
          <t>S013_EST_HSP_HEURISTIC</t>
        </is>
      </c>
      <c r="I2881" t="inlineStr">
        <is>
          <t>estimated</t>
        </is>
      </c>
      <c r="J2881">
        <v>0.38</v>
      </c>
      <c r="K2881" t="inlineStr">
        <is>
          <t>Screening radius only unless experimentally determined.</t>
        </is>
      </c>
    </row>
    <row r="2882">
      <c r="A2882" t="inlineStr">
        <is>
          <t>LIP_DLIN_MC3_DMA</t>
        </is>
      </c>
      <c r="B2882" t="inlineStr">
        <is>
          <t>molar_volume_cm3_mol</t>
        </is>
      </c>
      <c r="C2882">
        <v>642.1</v>
      </c>
      <c r="D2882" t="inlineStr">
        <is>
          <t>cm3/mol</t>
        </is>
      </c>
      <c r="E2882"/>
      <c r="F2882"/>
      <c r="G2882" t="inlineStr">
        <is>
          <t>MW/density estimate</t>
        </is>
      </c>
      <c r="H2882" t="inlineStr">
        <is>
          <t>S012_CALCULATED</t>
        </is>
      </c>
      <c r="I2882" t="inlineStr">
        <is>
          <t>estimated</t>
        </is>
      </c>
      <c r="J2882">
        <v>0.42</v>
      </c>
      <c r="K2882" t="inlineStr">
        <is>
          <t>Estimated from MW/density; replace with measured molar volume or density-specific grade data.</t>
        </is>
      </c>
    </row>
    <row r="2883">
      <c r="A2883" t="inlineStr">
        <is>
          <t>LIP_DLIN_MC3_DMA</t>
        </is>
      </c>
      <c r="B2883" t="inlineStr">
        <is>
          <t>headgroup_area_nm2</t>
        </is>
      </c>
      <c r="C2883">
        <v>0.62</v>
      </c>
      <c r="D2883" t="inlineStr">
        <is>
          <t>nm2</t>
        </is>
      </c>
      <c r="E2883"/>
      <c r="F2883"/>
      <c r="G2883" t="inlineStr">
        <is>
          <t>literature/MD heuristic</t>
        </is>
      </c>
      <c r="H2883" t="inlineStr">
        <is>
          <t>S013_EST_HSP_HEURISTIC</t>
        </is>
      </c>
      <c r="I2883" t="inlineStr">
        <is>
          <t>estimated</t>
        </is>
      </c>
      <c r="J2883">
        <v>0.35</v>
      </c>
      <c r="K2883" t="inlineStr">
        <is>
          <t>Area per lipid varies with phase, temperature, cholesterol, hydration, and force field.</t>
        </is>
      </c>
    </row>
    <row r="2884">
      <c r="A2884" t="inlineStr">
        <is>
          <t>LIP_SM_102</t>
        </is>
      </c>
      <c r="B2884" t="inlineStr">
        <is>
          <t>molecular_weight_g_mol</t>
        </is>
      </c>
      <c r="C2884">
        <v>710.0</v>
      </c>
      <c r="D2884" t="inlineStr">
        <is>
          <t>g/mol</t>
        </is>
      </c>
      <c r="E2884"/>
      <c r="F2884"/>
      <c r="G2884" t="inlineStr">
        <is>
          <t>LIPID MAPS/supplier formula or average grade MW</t>
        </is>
      </c>
      <c r="H2884" t="inlineStr">
        <is>
          <t>S004_LIPIDMAPS</t>
        </is>
      </c>
      <c r="I2884" t="inlineStr">
        <is>
          <t>database-derived</t>
        </is>
      </c>
      <c r="J2884">
        <v>0.78</v>
      </c>
      <c r="K2884"/>
    </row>
    <row r="2885">
      <c r="A2885" t="inlineStr">
        <is>
          <t>LIP_SM_102</t>
        </is>
      </c>
      <c r="B2885" t="inlineStr">
        <is>
          <t>lipid_class</t>
        </is>
      </c>
      <c r="C2885" t="inlineStr">
        <is>
          <t>ionizable lipid</t>
        </is>
      </c>
      <c r="D2885"/>
      <c r="E2885"/>
      <c r="F2885"/>
      <c r="G2885" t="inlineStr">
        <is>
          <t>lipid class annotation</t>
        </is>
      </c>
      <c r="H2885" t="inlineStr">
        <is>
          <t>S003_AVANTI_PHASE</t>
        </is>
      </c>
      <c r="I2885" t="inlineStr">
        <is>
          <t>curated</t>
        </is>
      </c>
      <c r="J2885">
        <v>0.85</v>
      </c>
      <c r="K2885"/>
    </row>
    <row r="2886">
      <c r="A2886" t="inlineStr">
        <is>
          <t>LIP_SM_102</t>
        </is>
      </c>
      <c r="B2886" t="inlineStr">
        <is>
          <t>headgroup_type</t>
        </is>
      </c>
      <c r="C2886" t="inlineStr">
        <is>
          <t>tertiary amine lipid</t>
        </is>
      </c>
      <c r="D2886"/>
      <c r="E2886"/>
      <c r="F2886"/>
      <c r="G2886" t="inlineStr">
        <is>
          <t>headgroup annotation</t>
        </is>
      </c>
      <c r="H2886" t="inlineStr">
        <is>
          <t>S003_AVANTI_PHASE</t>
        </is>
      </c>
      <c r="I2886" t="inlineStr">
        <is>
          <t>curated</t>
        </is>
      </c>
      <c r="J2886">
        <v>0.85</v>
      </c>
      <c r="K2886"/>
    </row>
    <row r="2887">
      <c r="A2887" t="inlineStr">
        <is>
          <t>LIP_SM_102</t>
        </is>
      </c>
      <c r="B2887" t="inlineStr">
        <is>
          <t>charge_type</t>
        </is>
      </c>
      <c r="C2887" t="inlineStr">
        <is>
          <t>pH-dependent cationic/neutral</t>
        </is>
      </c>
      <c r="D2887"/>
      <c r="E2887"/>
      <c r="F2887"/>
      <c r="G2887" t="inlineStr">
        <is>
          <t>nominal at pH 7.4</t>
        </is>
      </c>
      <c r="H2887" t="inlineStr">
        <is>
          <t>S003_AVANTI_PHASE</t>
        </is>
      </c>
      <c r="I2887" t="inlineStr">
        <is>
          <t>curated</t>
        </is>
      </c>
      <c r="J2887">
        <v>0.85</v>
      </c>
      <c r="K2887"/>
    </row>
    <row r="2888">
      <c r="A2888" t="inlineStr">
        <is>
          <t>LIP_SM_102</t>
        </is>
      </c>
      <c r="B2888" t="inlineStr">
        <is>
          <t>formal_charge</t>
        </is>
      </c>
      <c r="C2888">
        <v>0</v>
      </c>
      <c r="D2888" t="inlineStr">
        <is>
          <t>e</t>
        </is>
      </c>
      <c r="E2888"/>
      <c r="F2888"/>
      <c r="G2888" t="inlineStr">
        <is>
          <t>nominal at pH 7.4</t>
        </is>
      </c>
      <c r="H2888" t="inlineStr">
        <is>
          <t>S003_AVANTI_PHASE</t>
        </is>
      </c>
      <c r="I2888" t="inlineStr">
        <is>
          <t>curated</t>
        </is>
      </c>
      <c r="J2888">
        <v>0.85</v>
      </c>
      <c r="K2888"/>
    </row>
    <row r="2889">
      <c r="A2889" t="inlineStr">
        <is>
          <t>LIP_SM_102</t>
        </is>
      </c>
      <c r="B2889" t="inlineStr">
        <is>
          <t>tail_1_carbons</t>
        </is>
      </c>
      <c r="C2889">
        <v>18</v>
      </c>
      <c r="D2889" t="inlineStr">
        <is>
          <t>count</t>
        </is>
      </c>
      <c r="E2889"/>
      <c r="F2889"/>
      <c r="G2889" t="inlineStr">
        <is>
          <t>lipid shorthand annotation</t>
        </is>
      </c>
      <c r="H2889" t="inlineStr">
        <is>
          <t>S003_AVANTI_PHASE</t>
        </is>
      </c>
      <c r="I2889" t="inlineStr">
        <is>
          <t>curated</t>
        </is>
      </c>
      <c r="J2889">
        <v>0.86</v>
      </c>
      <c r="K2889"/>
    </row>
    <row r="2890">
      <c r="A2890" t="inlineStr">
        <is>
          <t>LIP_SM_102</t>
        </is>
      </c>
      <c r="B2890" t="inlineStr">
        <is>
          <t>tail_1_unsaturation</t>
        </is>
      </c>
      <c r="C2890">
        <v>1</v>
      </c>
      <c r="D2890" t="inlineStr">
        <is>
          <t>double_bonds</t>
        </is>
      </c>
      <c r="E2890"/>
      <c r="F2890"/>
      <c r="G2890" t="inlineStr">
        <is>
          <t>lipid shorthand annotation</t>
        </is>
      </c>
      <c r="H2890" t="inlineStr">
        <is>
          <t>S003_AVANTI_PHASE</t>
        </is>
      </c>
      <c r="I2890" t="inlineStr">
        <is>
          <t>curated</t>
        </is>
      </c>
      <c r="J2890">
        <v>0.86</v>
      </c>
      <c r="K2890"/>
    </row>
    <row r="2891">
      <c r="A2891" t="inlineStr">
        <is>
          <t>LIP_SM_102</t>
        </is>
      </c>
      <c r="B2891" t="inlineStr">
        <is>
          <t>tail_2_carbons</t>
        </is>
      </c>
      <c r="C2891">
        <v>18</v>
      </c>
      <c r="D2891" t="inlineStr">
        <is>
          <t>count</t>
        </is>
      </c>
      <c r="E2891"/>
      <c r="F2891"/>
      <c r="G2891" t="inlineStr">
        <is>
          <t>lipid shorthand annotation</t>
        </is>
      </c>
      <c r="H2891" t="inlineStr">
        <is>
          <t>S003_AVANTI_PHASE</t>
        </is>
      </c>
      <c r="I2891" t="inlineStr">
        <is>
          <t>curated</t>
        </is>
      </c>
      <c r="J2891">
        <v>0.86</v>
      </c>
      <c r="K2891"/>
    </row>
    <row r="2892">
      <c r="A2892" t="inlineStr">
        <is>
          <t>LIP_SM_102</t>
        </is>
      </c>
      <c r="B2892" t="inlineStr">
        <is>
          <t>tail_2_unsaturation</t>
        </is>
      </c>
      <c r="C2892">
        <v>1</v>
      </c>
      <c r="D2892" t="inlineStr">
        <is>
          <t>double_bonds</t>
        </is>
      </c>
      <c r="E2892"/>
      <c r="F2892"/>
      <c r="G2892" t="inlineStr">
        <is>
          <t>lipid shorthand annotation</t>
        </is>
      </c>
      <c r="H2892" t="inlineStr">
        <is>
          <t>S003_AVANTI_PHASE</t>
        </is>
      </c>
      <c r="I2892" t="inlineStr">
        <is>
          <t>curated</t>
        </is>
      </c>
      <c r="J2892">
        <v>0.86</v>
      </c>
      <c r="K2892"/>
    </row>
    <row r="2893">
      <c r="A2893" t="inlineStr">
        <is>
          <t>LIP_SM_102</t>
        </is>
      </c>
      <c r="B2893" t="inlineStr">
        <is>
          <t>number_of_tails</t>
        </is>
      </c>
      <c r="C2893">
        <v>2</v>
      </c>
      <c r="D2893" t="inlineStr">
        <is>
          <t>count</t>
        </is>
      </c>
      <c r="E2893"/>
      <c r="F2893"/>
      <c r="G2893" t="inlineStr">
        <is>
          <t>lipid shorthand annotation</t>
        </is>
      </c>
      <c r="H2893" t="inlineStr">
        <is>
          <t>S003_AVANTI_PHASE</t>
        </is>
      </c>
      <c r="I2893" t="inlineStr">
        <is>
          <t>curated</t>
        </is>
      </c>
      <c r="J2893">
        <v>0.86</v>
      </c>
      <c r="K2893"/>
    </row>
    <row r="2894">
      <c r="A2894" t="inlineStr">
        <is>
          <t>LIP_SM_102</t>
        </is>
      </c>
      <c r="B2894" t="inlineStr">
        <is>
          <t>critical_packing_notes</t>
        </is>
      </c>
      <c r="C2894" t="inlineStr">
        <is>
          <t>bilayer-forming cylindrical lipid</t>
        </is>
      </c>
      <c r="D2894"/>
      <c r="E2894"/>
      <c r="F2894"/>
      <c r="G2894" t="inlineStr">
        <is>
          <t>CPP heuristic</t>
        </is>
      </c>
      <c r="H2894" t="inlineStr">
        <is>
          <t>S014_AULTON</t>
        </is>
      </c>
      <c r="I2894" t="inlineStr">
        <is>
          <t>curated</t>
        </is>
      </c>
      <c r="J2894">
        <v>0.65</v>
      </c>
      <c r="K2894"/>
    </row>
    <row r="2895">
      <c r="A2895" t="inlineStr">
        <is>
          <t>LIP_SM_102</t>
        </is>
      </c>
      <c r="B2895" t="inlineStr">
        <is>
          <t>membrane_rigidity_contribution</t>
        </is>
      </c>
      <c r="C2895" t="inlineStr">
        <is>
          <t>fluidizing</t>
        </is>
      </c>
      <c r="D2895"/>
      <c r="E2895"/>
      <c r="F2895"/>
      <c r="G2895" t="inlineStr">
        <is>
          <t>Tm and unsaturation heuristic</t>
        </is>
      </c>
      <c r="H2895" t="inlineStr">
        <is>
          <t>S003_AVANTI_PHASE</t>
        </is>
      </c>
      <c r="I2895" t="inlineStr">
        <is>
          <t>curated</t>
        </is>
      </c>
      <c r="J2895">
        <v>0.65</v>
      </c>
      <c r="K2895"/>
    </row>
    <row r="2896">
      <c r="A2896" t="inlineStr">
        <is>
          <t>LIP_SM_102</t>
        </is>
      </c>
      <c r="B2896" t="inlineStr">
        <is>
          <t>fusogenic_flag</t>
        </is>
      </c>
      <c r="C2896" t="inlineStr">
        <is>
          <t>no</t>
        </is>
      </c>
      <c r="D2896"/>
      <c r="E2896"/>
      <c r="F2896"/>
      <c r="G2896" t="inlineStr">
        <is>
          <t>role annotation</t>
        </is>
      </c>
      <c r="H2896" t="inlineStr">
        <is>
          <t>S014_AULTON</t>
        </is>
      </c>
      <c r="I2896" t="inlineStr">
        <is>
          <t>curated</t>
        </is>
      </c>
      <c r="J2896">
        <v>0.7</v>
      </c>
      <c r="K2896"/>
    </row>
    <row r="2897">
      <c r="A2897" t="inlineStr">
        <is>
          <t>LIP_SM_102</t>
        </is>
      </c>
      <c r="B2897" t="inlineStr">
        <is>
          <t>PEGylated_flag</t>
        </is>
      </c>
      <c r="C2897" t="inlineStr">
        <is>
          <t>no</t>
        </is>
      </c>
      <c r="D2897"/>
      <c r="E2897"/>
      <c r="F2897"/>
      <c r="G2897" t="inlineStr">
        <is>
          <t>role annotation</t>
        </is>
      </c>
      <c r="H2897" t="inlineStr">
        <is>
          <t>S014_AULTON</t>
        </is>
      </c>
      <c r="I2897" t="inlineStr">
        <is>
          <t>curated</t>
        </is>
      </c>
      <c r="J2897">
        <v>0.85</v>
      </c>
      <c r="K2897"/>
    </row>
    <row r="2898">
      <c r="A2898" t="inlineStr">
        <is>
          <t>LIP_SM_102</t>
        </is>
      </c>
      <c r="B2898" t="inlineStr">
        <is>
          <t>ionizable_flag</t>
        </is>
      </c>
      <c r="C2898" t="inlineStr">
        <is>
          <t>yes</t>
        </is>
      </c>
      <c r="D2898"/>
      <c r="E2898"/>
      <c r="F2898"/>
      <c r="G2898" t="inlineStr">
        <is>
          <t>role annotation</t>
        </is>
      </c>
      <c r="H2898" t="inlineStr">
        <is>
          <t>S014_AULTON</t>
        </is>
      </c>
      <c r="I2898" t="inlineStr">
        <is>
          <t>curated</t>
        </is>
      </c>
      <c r="J2898">
        <v>0.85</v>
      </c>
      <c r="K2898"/>
    </row>
    <row r="2899">
      <c r="A2899" t="inlineStr">
        <is>
          <t>LIP_SM_102</t>
        </is>
      </c>
      <c r="B2899" t="inlineStr">
        <is>
          <t>route_suitability</t>
        </is>
      </c>
      <c r="C2899" t="inlineStr">
        <is>
          <t>liposome/LNP; route depends on purity, grade, residual solvents/endotoxin</t>
        </is>
      </c>
      <c r="D2899"/>
      <c r="E2899"/>
      <c r="F2899"/>
      <c r="G2899" t="inlineStr">
        <is>
          <t>route precedent caution</t>
        </is>
      </c>
      <c r="H2899" t="inlineStr">
        <is>
          <t>S008_FDA_IID</t>
        </is>
      </c>
      <c r="I2899" t="inlineStr">
        <is>
          <t>curated</t>
        </is>
      </c>
      <c r="J2899">
        <v>0.55</v>
      </c>
      <c r="K2899"/>
    </row>
    <row r="2900">
      <c r="A2900" t="inlineStr">
        <is>
          <t>LIP_SM_102</t>
        </is>
      </c>
      <c r="B2900" t="inlineStr">
        <is>
          <t>storage_notes</t>
        </is>
      </c>
      <c r="C2900" t="inlineStr">
        <is>
          <t>store cold, dry, inert gas; protect unsaturated/ionizable lipids from oxidation/hydrolysis</t>
        </is>
      </c>
      <c r="D2900"/>
      <c r="E2900"/>
      <c r="F2900"/>
      <c r="G2900" t="inlineStr">
        <is>
          <t>supplier stability convention</t>
        </is>
      </c>
      <c r="H2900" t="inlineStr">
        <is>
          <t>S003_AVANTI_PHASE</t>
        </is>
      </c>
      <c r="I2900" t="inlineStr">
        <is>
          <t>curated</t>
        </is>
      </c>
      <c r="J2900">
        <v>0.7</v>
      </c>
      <c r="K2900"/>
    </row>
    <row r="2901">
      <c r="A2901" t="inlineStr">
        <is>
          <t>LIP_SM_102</t>
        </is>
      </c>
      <c r="B2901" t="inlineStr">
        <is>
          <t>pKa_if_ionizable</t>
        </is>
      </c>
      <c r="C2901">
        <v>6.7</v>
      </c>
      <c r="D2901"/>
      <c r="E2901"/>
      <c r="F2901"/>
      <c r="G2901" t="inlineStr">
        <is>
          <t>apparent lipid pKa; formulation-dependent</t>
        </is>
      </c>
      <c r="H2901" t="inlineStr">
        <is>
          <t>S003_AVANTI_PHASE</t>
        </is>
      </c>
      <c r="I2901" t="inlineStr">
        <is>
          <t>literature</t>
        </is>
      </c>
      <c r="J2901">
        <v>0.6</v>
      </c>
      <c r="K2901"/>
    </row>
    <row r="2902">
      <c r="A2902" t="inlineStr">
        <is>
          <t>LIP_SM_102</t>
        </is>
      </c>
      <c r="B2902" t="inlineStr">
        <is>
          <t>Hansen_delta_D</t>
        </is>
      </c>
      <c r="C2902">
        <v>17.5</v>
      </c>
      <c r="D2902" t="inlineStr">
        <is>
          <t>MPa^0.5</t>
        </is>
      </c>
      <c r="E2902"/>
      <c r="F2902"/>
      <c r="G2902" t="inlineStr">
        <is>
          <t>heuristic group-contribution/nearest-neighbour</t>
        </is>
      </c>
      <c r="H2902" t="inlineStr">
        <is>
          <t>S013_EST_HSP_HEURISTIC</t>
        </is>
      </c>
      <c r="I2902" t="inlineStr">
        <is>
          <t>estimated</t>
        </is>
      </c>
      <c r="J2902">
        <v>0.38</v>
      </c>
      <c r="K2902" t="inlineStr">
        <is>
          <t>Provisional HSP for screening; replace with experimental/literature value before model lock.</t>
        </is>
      </c>
    </row>
    <row r="2903">
      <c r="A2903" t="inlineStr">
        <is>
          <t>LIP_SM_102</t>
        </is>
      </c>
      <c r="B2903" t="inlineStr">
        <is>
          <t>Hansen_delta_P</t>
        </is>
      </c>
      <c r="C2903">
        <v>7.5</v>
      </c>
      <c r="D2903" t="inlineStr">
        <is>
          <t>MPa^0.5</t>
        </is>
      </c>
      <c r="E2903"/>
      <c r="F2903"/>
      <c r="G2903" t="inlineStr">
        <is>
          <t>heuristic group-contribution/nearest-neighbour</t>
        </is>
      </c>
      <c r="H2903" t="inlineStr">
        <is>
          <t>S013_EST_HSP_HEURISTIC</t>
        </is>
      </c>
      <c r="I2903" t="inlineStr">
        <is>
          <t>estimated</t>
        </is>
      </c>
      <c r="J2903">
        <v>0.38</v>
      </c>
      <c r="K2903" t="inlineStr">
        <is>
          <t>Provisional HSP for screening; replace with experimental/literature value before model lock.</t>
        </is>
      </c>
    </row>
    <row r="2904">
      <c r="A2904" t="inlineStr">
        <is>
          <t>LIP_SM_102</t>
        </is>
      </c>
      <c r="B2904" t="inlineStr">
        <is>
          <t>Hansen_delta_H</t>
        </is>
      </c>
      <c r="C2904">
        <v>10.0</v>
      </c>
      <c r="D2904" t="inlineStr">
        <is>
          <t>MPa^0.5</t>
        </is>
      </c>
      <c r="E2904"/>
      <c r="F2904"/>
      <c r="G2904" t="inlineStr">
        <is>
          <t>heuristic group-contribution/nearest-neighbour</t>
        </is>
      </c>
      <c r="H2904" t="inlineStr">
        <is>
          <t>S013_EST_HSP_HEURISTIC</t>
        </is>
      </c>
      <c r="I2904" t="inlineStr">
        <is>
          <t>estimated</t>
        </is>
      </c>
      <c r="J2904">
        <v>0.38</v>
      </c>
      <c r="K2904" t="inlineStr">
        <is>
          <t>Provisional HSP for screening; replace with experimental/literature value before model lock.</t>
        </is>
      </c>
    </row>
    <row r="2905">
      <c r="A2905" t="inlineStr">
        <is>
          <t>LIP_SM_102</t>
        </is>
      </c>
      <c r="B2905" t="inlineStr">
        <is>
          <t>Hildebrand_delta_T</t>
        </is>
      </c>
      <c r="C2905">
        <v>21.51</v>
      </c>
      <c r="D2905" t="inlineStr">
        <is>
          <t>MPa^0.5</t>
        </is>
      </c>
      <c r="E2905"/>
      <c r="F2905"/>
      <c r="G2905" t="inlineStr">
        <is>
          <t>sqrt(deltaD^2+deltaP^2+deltaH^2)</t>
        </is>
      </c>
      <c r="H2905" t="inlineStr">
        <is>
          <t>S012_CALCULATED</t>
        </is>
      </c>
      <c r="I2905" t="inlineStr">
        <is>
          <t>calculated</t>
        </is>
      </c>
      <c r="J2905">
        <v>0.43</v>
      </c>
      <c r="K2905" t="inlineStr">
        <is>
          <t>Derived from stored Hansen components.</t>
        </is>
      </c>
    </row>
    <row r="2906">
      <c r="A2906" t="inlineStr">
        <is>
          <t>LIP_SM_102</t>
        </is>
      </c>
      <c r="B2906" t="inlineStr">
        <is>
          <t>HSP_radius_R0</t>
        </is>
      </c>
      <c r="C2906">
        <v>8.0</v>
      </c>
      <c r="D2906" t="inlineStr">
        <is>
          <t>MPa^0.5</t>
        </is>
      </c>
      <c r="E2906"/>
      <c r="F2906"/>
      <c r="G2906" t="inlineStr">
        <is>
          <t>literature/heuristic solubility sphere</t>
        </is>
      </c>
      <c r="H2906" t="inlineStr">
        <is>
          <t>S013_EST_HSP_HEURISTIC</t>
        </is>
      </c>
      <c r="I2906" t="inlineStr">
        <is>
          <t>estimated</t>
        </is>
      </c>
      <c r="J2906">
        <v>0.38</v>
      </c>
      <c r="K2906" t="inlineStr">
        <is>
          <t>Screening radius only unless experimentally determined.</t>
        </is>
      </c>
    </row>
    <row r="2907">
      <c r="A2907" t="inlineStr">
        <is>
          <t>LIP_SM_102</t>
        </is>
      </c>
      <c r="B2907" t="inlineStr">
        <is>
          <t>molar_volume_cm3_mol</t>
        </is>
      </c>
      <c r="C2907">
        <v>710.0</v>
      </c>
      <c r="D2907" t="inlineStr">
        <is>
          <t>cm3/mol</t>
        </is>
      </c>
      <c r="E2907"/>
      <c r="F2907"/>
      <c r="G2907" t="inlineStr">
        <is>
          <t>MW/density estimate</t>
        </is>
      </c>
      <c r="H2907" t="inlineStr">
        <is>
          <t>S012_CALCULATED</t>
        </is>
      </c>
      <c r="I2907" t="inlineStr">
        <is>
          <t>estimated</t>
        </is>
      </c>
      <c r="J2907">
        <v>0.42</v>
      </c>
      <c r="K2907" t="inlineStr">
        <is>
          <t>Estimated from MW/density; replace with measured molar volume or density-specific grade data.</t>
        </is>
      </c>
    </row>
    <row r="2908">
      <c r="A2908" t="inlineStr">
        <is>
          <t>LIP_SM_102</t>
        </is>
      </c>
      <c r="B2908" t="inlineStr">
        <is>
          <t>headgroup_area_nm2</t>
        </is>
      </c>
      <c r="C2908">
        <v>0.62</v>
      </c>
      <c r="D2908" t="inlineStr">
        <is>
          <t>nm2</t>
        </is>
      </c>
      <c r="E2908"/>
      <c r="F2908"/>
      <c r="G2908" t="inlineStr">
        <is>
          <t>literature/MD heuristic</t>
        </is>
      </c>
      <c r="H2908" t="inlineStr">
        <is>
          <t>S013_EST_HSP_HEURISTIC</t>
        </is>
      </c>
      <c r="I2908" t="inlineStr">
        <is>
          <t>estimated</t>
        </is>
      </c>
      <c r="J2908">
        <v>0.35</v>
      </c>
      <c r="K2908" t="inlineStr">
        <is>
          <t>Area per lipid varies with phase, temperature, cholesterol, hydration, and force field.</t>
        </is>
      </c>
    </row>
    <row r="2909">
      <c r="A2909" t="inlineStr">
        <is>
          <t>LIP_ALC_0315</t>
        </is>
      </c>
      <c r="B2909" t="inlineStr">
        <is>
          <t>molecular_weight_g_mol</t>
        </is>
      </c>
      <c r="C2909">
        <v>766.2</v>
      </c>
      <c r="D2909" t="inlineStr">
        <is>
          <t>g/mol</t>
        </is>
      </c>
      <c r="E2909"/>
      <c r="F2909"/>
      <c r="G2909" t="inlineStr">
        <is>
          <t>LIPID MAPS/supplier formula or average grade MW</t>
        </is>
      </c>
      <c r="H2909" t="inlineStr">
        <is>
          <t>S004_LIPIDMAPS</t>
        </is>
      </c>
      <c r="I2909" t="inlineStr">
        <is>
          <t>database-derived</t>
        </is>
      </c>
      <c r="J2909">
        <v>0.78</v>
      </c>
      <c r="K2909"/>
    </row>
    <row r="2910">
      <c r="A2910" t="inlineStr">
        <is>
          <t>LIP_ALC_0315</t>
        </is>
      </c>
      <c r="B2910" t="inlineStr">
        <is>
          <t>lipid_class</t>
        </is>
      </c>
      <c r="C2910" t="inlineStr">
        <is>
          <t>ionizable lipid</t>
        </is>
      </c>
      <c r="D2910"/>
      <c r="E2910"/>
      <c r="F2910"/>
      <c r="G2910" t="inlineStr">
        <is>
          <t>lipid class annotation</t>
        </is>
      </c>
      <c r="H2910" t="inlineStr">
        <is>
          <t>S003_AVANTI_PHASE</t>
        </is>
      </c>
      <c r="I2910" t="inlineStr">
        <is>
          <t>curated</t>
        </is>
      </c>
      <c r="J2910">
        <v>0.85</v>
      </c>
      <c r="K2910"/>
    </row>
    <row r="2911">
      <c r="A2911" t="inlineStr">
        <is>
          <t>LIP_ALC_0315</t>
        </is>
      </c>
      <c r="B2911" t="inlineStr">
        <is>
          <t>headgroup_type</t>
        </is>
      </c>
      <c r="C2911" t="inlineStr">
        <is>
          <t>tertiary amine lipid</t>
        </is>
      </c>
      <c r="D2911"/>
      <c r="E2911"/>
      <c r="F2911"/>
      <c r="G2911" t="inlineStr">
        <is>
          <t>headgroup annotation</t>
        </is>
      </c>
      <c r="H2911" t="inlineStr">
        <is>
          <t>S003_AVANTI_PHASE</t>
        </is>
      </c>
      <c r="I2911" t="inlineStr">
        <is>
          <t>curated</t>
        </is>
      </c>
      <c r="J2911">
        <v>0.85</v>
      </c>
      <c r="K2911"/>
    </row>
    <row r="2912">
      <c r="A2912" t="inlineStr">
        <is>
          <t>LIP_ALC_0315</t>
        </is>
      </c>
      <c r="B2912" t="inlineStr">
        <is>
          <t>charge_type</t>
        </is>
      </c>
      <c r="C2912" t="inlineStr">
        <is>
          <t>pH-dependent cationic/neutral</t>
        </is>
      </c>
      <c r="D2912"/>
      <c r="E2912"/>
      <c r="F2912"/>
      <c r="G2912" t="inlineStr">
        <is>
          <t>nominal at pH 7.4</t>
        </is>
      </c>
      <c r="H2912" t="inlineStr">
        <is>
          <t>S003_AVANTI_PHASE</t>
        </is>
      </c>
      <c r="I2912" t="inlineStr">
        <is>
          <t>curated</t>
        </is>
      </c>
      <c r="J2912">
        <v>0.85</v>
      </c>
      <c r="K2912"/>
    </row>
    <row r="2913">
      <c r="A2913" t="inlineStr">
        <is>
          <t>LIP_ALC_0315</t>
        </is>
      </c>
      <c r="B2913" t="inlineStr">
        <is>
          <t>formal_charge</t>
        </is>
      </c>
      <c r="C2913">
        <v>0</v>
      </c>
      <c r="D2913" t="inlineStr">
        <is>
          <t>e</t>
        </is>
      </c>
      <c r="E2913"/>
      <c r="F2913"/>
      <c r="G2913" t="inlineStr">
        <is>
          <t>nominal at pH 7.4</t>
        </is>
      </c>
      <c r="H2913" t="inlineStr">
        <is>
          <t>S003_AVANTI_PHASE</t>
        </is>
      </c>
      <c r="I2913" t="inlineStr">
        <is>
          <t>curated</t>
        </is>
      </c>
      <c r="J2913">
        <v>0.85</v>
      </c>
      <c r="K2913"/>
    </row>
    <row r="2914">
      <c r="A2914" t="inlineStr">
        <is>
          <t>LIP_ALC_0315</t>
        </is>
      </c>
      <c r="B2914" t="inlineStr">
        <is>
          <t>tail_1_carbons</t>
        </is>
      </c>
      <c r="C2914">
        <v>18</v>
      </c>
      <c r="D2914" t="inlineStr">
        <is>
          <t>count</t>
        </is>
      </c>
      <c r="E2914"/>
      <c r="F2914"/>
      <c r="G2914" t="inlineStr">
        <is>
          <t>lipid shorthand annotation</t>
        </is>
      </c>
      <c r="H2914" t="inlineStr">
        <is>
          <t>S003_AVANTI_PHASE</t>
        </is>
      </c>
      <c r="I2914" t="inlineStr">
        <is>
          <t>curated</t>
        </is>
      </c>
      <c r="J2914">
        <v>0.86</v>
      </c>
      <c r="K2914"/>
    </row>
    <row r="2915">
      <c r="A2915" t="inlineStr">
        <is>
          <t>LIP_ALC_0315</t>
        </is>
      </c>
      <c r="B2915" t="inlineStr">
        <is>
          <t>tail_1_unsaturation</t>
        </is>
      </c>
      <c r="C2915">
        <v>1</v>
      </c>
      <c r="D2915" t="inlineStr">
        <is>
          <t>double_bonds</t>
        </is>
      </c>
      <c r="E2915"/>
      <c r="F2915"/>
      <c r="G2915" t="inlineStr">
        <is>
          <t>lipid shorthand annotation</t>
        </is>
      </c>
      <c r="H2915" t="inlineStr">
        <is>
          <t>S003_AVANTI_PHASE</t>
        </is>
      </c>
      <c r="I2915" t="inlineStr">
        <is>
          <t>curated</t>
        </is>
      </c>
      <c r="J2915">
        <v>0.86</v>
      </c>
      <c r="K2915"/>
    </row>
    <row r="2916">
      <c r="A2916" t="inlineStr">
        <is>
          <t>LIP_ALC_0315</t>
        </is>
      </c>
      <c r="B2916" t="inlineStr">
        <is>
          <t>tail_2_carbons</t>
        </is>
      </c>
      <c r="C2916">
        <v>18</v>
      </c>
      <c r="D2916" t="inlineStr">
        <is>
          <t>count</t>
        </is>
      </c>
      <c r="E2916"/>
      <c r="F2916"/>
      <c r="G2916" t="inlineStr">
        <is>
          <t>lipid shorthand annotation</t>
        </is>
      </c>
      <c r="H2916" t="inlineStr">
        <is>
          <t>S003_AVANTI_PHASE</t>
        </is>
      </c>
      <c r="I2916" t="inlineStr">
        <is>
          <t>curated</t>
        </is>
      </c>
      <c r="J2916">
        <v>0.86</v>
      </c>
      <c r="K2916"/>
    </row>
    <row r="2917">
      <c r="A2917" t="inlineStr">
        <is>
          <t>LIP_ALC_0315</t>
        </is>
      </c>
      <c r="B2917" t="inlineStr">
        <is>
          <t>tail_2_unsaturation</t>
        </is>
      </c>
      <c r="C2917">
        <v>1</v>
      </c>
      <c r="D2917" t="inlineStr">
        <is>
          <t>double_bonds</t>
        </is>
      </c>
      <c r="E2917"/>
      <c r="F2917"/>
      <c r="G2917" t="inlineStr">
        <is>
          <t>lipid shorthand annotation</t>
        </is>
      </c>
      <c r="H2917" t="inlineStr">
        <is>
          <t>S003_AVANTI_PHASE</t>
        </is>
      </c>
      <c r="I2917" t="inlineStr">
        <is>
          <t>curated</t>
        </is>
      </c>
      <c r="J2917">
        <v>0.86</v>
      </c>
      <c r="K2917"/>
    </row>
    <row r="2918">
      <c r="A2918" t="inlineStr">
        <is>
          <t>LIP_ALC_0315</t>
        </is>
      </c>
      <c r="B2918" t="inlineStr">
        <is>
          <t>number_of_tails</t>
        </is>
      </c>
      <c r="C2918">
        <v>2</v>
      </c>
      <c r="D2918" t="inlineStr">
        <is>
          <t>count</t>
        </is>
      </c>
      <c r="E2918"/>
      <c r="F2918"/>
      <c r="G2918" t="inlineStr">
        <is>
          <t>lipid shorthand annotation</t>
        </is>
      </c>
      <c r="H2918" t="inlineStr">
        <is>
          <t>S003_AVANTI_PHASE</t>
        </is>
      </c>
      <c r="I2918" t="inlineStr">
        <is>
          <t>curated</t>
        </is>
      </c>
      <c r="J2918">
        <v>0.86</v>
      </c>
      <c r="K2918"/>
    </row>
    <row r="2919">
      <c r="A2919" t="inlineStr">
        <is>
          <t>LIP_ALC_0315</t>
        </is>
      </c>
      <c r="B2919" t="inlineStr">
        <is>
          <t>critical_packing_notes</t>
        </is>
      </c>
      <c r="C2919" t="inlineStr">
        <is>
          <t>bilayer-forming cylindrical lipid</t>
        </is>
      </c>
      <c r="D2919"/>
      <c r="E2919"/>
      <c r="F2919"/>
      <c r="G2919" t="inlineStr">
        <is>
          <t>CPP heuristic</t>
        </is>
      </c>
      <c r="H2919" t="inlineStr">
        <is>
          <t>S014_AULTON</t>
        </is>
      </c>
      <c r="I2919" t="inlineStr">
        <is>
          <t>curated</t>
        </is>
      </c>
      <c r="J2919">
        <v>0.65</v>
      </c>
      <c r="K2919"/>
    </row>
    <row r="2920">
      <c r="A2920" t="inlineStr">
        <is>
          <t>LIP_ALC_0315</t>
        </is>
      </c>
      <c r="B2920" t="inlineStr">
        <is>
          <t>membrane_rigidity_contribution</t>
        </is>
      </c>
      <c r="C2920" t="inlineStr">
        <is>
          <t>fluidizing</t>
        </is>
      </c>
      <c r="D2920"/>
      <c r="E2920"/>
      <c r="F2920"/>
      <c r="G2920" t="inlineStr">
        <is>
          <t>Tm and unsaturation heuristic</t>
        </is>
      </c>
      <c r="H2920" t="inlineStr">
        <is>
          <t>S003_AVANTI_PHASE</t>
        </is>
      </c>
      <c r="I2920" t="inlineStr">
        <is>
          <t>curated</t>
        </is>
      </c>
      <c r="J2920">
        <v>0.65</v>
      </c>
      <c r="K2920"/>
    </row>
    <row r="2921">
      <c r="A2921" t="inlineStr">
        <is>
          <t>LIP_ALC_0315</t>
        </is>
      </c>
      <c r="B2921" t="inlineStr">
        <is>
          <t>fusogenic_flag</t>
        </is>
      </c>
      <c r="C2921" t="inlineStr">
        <is>
          <t>no</t>
        </is>
      </c>
      <c r="D2921"/>
      <c r="E2921"/>
      <c r="F2921"/>
      <c r="G2921" t="inlineStr">
        <is>
          <t>role annotation</t>
        </is>
      </c>
      <c r="H2921" t="inlineStr">
        <is>
          <t>S014_AULTON</t>
        </is>
      </c>
      <c r="I2921" t="inlineStr">
        <is>
          <t>curated</t>
        </is>
      </c>
      <c r="J2921">
        <v>0.7</v>
      </c>
      <c r="K2921"/>
    </row>
    <row r="2922">
      <c r="A2922" t="inlineStr">
        <is>
          <t>LIP_ALC_0315</t>
        </is>
      </c>
      <c r="B2922" t="inlineStr">
        <is>
          <t>PEGylated_flag</t>
        </is>
      </c>
      <c r="C2922" t="inlineStr">
        <is>
          <t>no</t>
        </is>
      </c>
      <c r="D2922"/>
      <c r="E2922"/>
      <c r="F2922"/>
      <c r="G2922" t="inlineStr">
        <is>
          <t>role annotation</t>
        </is>
      </c>
      <c r="H2922" t="inlineStr">
        <is>
          <t>S014_AULTON</t>
        </is>
      </c>
      <c r="I2922" t="inlineStr">
        <is>
          <t>curated</t>
        </is>
      </c>
      <c r="J2922">
        <v>0.85</v>
      </c>
      <c r="K2922"/>
    </row>
    <row r="2923">
      <c r="A2923" t="inlineStr">
        <is>
          <t>LIP_ALC_0315</t>
        </is>
      </c>
      <c r="B2923" t="inlineStr">
        <is>
          <t>ionizable_flag</t>
        </is>
      </c>
      <c r="C2923" t="inlineStr">
        <is>
          <t>yes</t>
        </is>
      </c>
      <c r="D2923"/>
      <c r="E2923"/>
      <c r="F2923"/>
      <c r="G2923" t="inlineStr">
        <is>
          <t>role annotation</t>
        </is>
      </c>
      <c r="H2923" t="inlineStr">
        <is>
          <t>S014_AULTON</t>
        </is>
      </c>
      <c r="I2923" t="inlineStr">
        <is>
          <t>curated</t>
        </is>
      </c>
      <c r="J2923">
        <v>0.85</v>
      </c>
      <c r="K2923"/>
    </row>
    <row r="2924">
      <c r="A2924" t="inlineStr">
        <is>
          <t>LIP_ALC_0315</t>
        </is>
      </c>
      <c r="B2924" t="inlineStr">
        <is>
          <t>route_suitability</t>
        </is>
      </c>
      <c r="C2924" t="inlineStr">
        <is>
          <t>liposome/LNP; route depends on purity, grade, residual solvents/endotoxin</t>
        </is>
      </c>
      <c r="D2924"/>
      <c r="E2924"/>
      <c r="F2924"/>
      <c r="G2924" t="inlineStr">
        <is>
          <t>route precedent caution</t>
        </is>
      </c>
      <c r="H2924" t="inlineStr">
        <is>
          <t>S008_FDA_IID</t>
        </is>
      </c>
      <c r="I2924" t="inlineStr">
        <is>
          <t>curated</t>
        </is>
      </c>
      <c r="J2924">
        <v>0.55</v>
      </c>
      <c r="K2924"/>
    </row>
    <row r="2925">
      <c r="A2925" t="inlineStr">
        <is>
          <t>LIP_ALC_0315</t>
        </is>
      </c>
      <c r="B2925" t="inlineStr">
        <is>
          <t>storage_notes</t>
        </is>
      </c>
      <c r="C2925" t="inlineStr">
        <is>
          <t>store cold, dry, inert gas; protect unsaturated/ionizable lipids from oxidation/hydrolysis</t>
        </is>
      </c>
      <c r="D2925"/>
      <c r="E2925"/>
      <c r="F2925"/>
      <c r="G2925" t="inlineStr">
        <is>
          <t>supplier stability convention</t>
        </is>
      </c>
      <c r="H2925" t="inlineStr">
        <is>
          <t>S003_AVANTI_PHASE</t>
        </is>
      </c>
      <c r="I2925" t="inlineStr">
        <is>
          <t>curated</t>
        </is>
      </c>
      <c r="J2925">
        <v>0.7</v>
      </c>
      <c r="K2925"/>
    </row>
    <row r="2926">
      <c r="A2926" t="inlineStr">
        <is>
          <t>LIP_ALC_0315</t>
        </is>
      </c>
      <c r="B2926" t="inlineStr">
        <is>
          <t>pKa_if_ionizable</t>
        </is>
      </c>
      <c r="C2926">
        <v>6.1</v>
      </c>
      <c r="D2926"/>
      <c r="E2926"/>
      <c r="F2926"/>
      <c r="G2926" t="inlineStr">
        <is>
          <t>apparent lipid pKa; formulation-dependent</t>
        </is>
      </c>
      <c r="H2926" t="inlineStr">
        <is>
          <t>S003_AVANTI_PHASE</t>
        </is>
      </c>
      <c r="I2926" t="inlineStr">
        <is>
          <t>literature</t>
        </is>
      </c>
      <c r="J2926">
        <v>0.6</v>
      </c>
      <c r="K2926"/>
    </row>
    <row r="2927">
      <c r="A2927" t="inlineStr">
        <is>
          <t>LIP_ALC_0315</t>
        </is>
      </c>
      <c r="B2927" t="inlineStr">
        <is>
          <t>Hansen_delta_D</t>
        </is>
      </c>
      <c r="C2927">
        <v>17.5</v>
      </c>
      <c r="D2927" t="inlineStr">
        <is>
          <t>MPa^0.5</t>
        </is>
      </c>
      <c r="E2927"/>
      <c r="F2927"/>
      <c r="G2927" t="inlineStr">
        <is>
          <t>heuristic group-contribution/nearest-neighbour</t>
        </is>
      </c>
      <c r="H2927" t="inlineStr">
        <is>
          <t>S013_EST_HSP_HEURISTIC</t>
        </is>
      </c>
      <c r="I2927" t="inlineStr">
        <is>
          <t>estimated</t>
        </is>
      </c>
      <c r="J2927">
        <v>0.38</v>
      </c>
      <c r="K2927" t="inlineStr">
        <is>
          <t>Provisional HSP for screening; replace with experimental/literature value before model lock.</t>
        </is>
      </c>
    </row>
    <row r="2928">
      <c r="A2928" t="inlineStr">
        <is>
          <t>LIP_ALC_0315</t>
        </is>
      </c>
      <c r="B2928" t="inlineStr">
        <is>
          <t>Hansen_delta_P</t>
        </is>
      </c>
      <c r="C2928">
        <v>7.5</v>
      </c>
      <c r="D2928" t="inlineStr">
        <is>
          <t>MPa^0.5</t>
        </is>
      </c>
      <c r="E2928"/>
      <c r="F2928"/>
      <c r="G2928" t="inlineStr">
        <is>
          <t>heuristic group-contribution/nearest-neighbour</t>
        </is>
      </c>
      <c r="H2928" t="inlineStr">
        <is>
          <t>S013_EST_HSP_HEURISTIC</t>
        </is>
      </c>
      <c r="I2928" t="inlineStr">
        <is>
          <t>estimated</t>
        </is>
      </c>
      <c r="J2928">
        <v>0.38</v>
      </c>
      <c r="K2928" t="inlineStr">
        <is>
          <t>Provisional HSP for screening; replace with experimental/literature value before model lock.</t>
        </is>
      </c>
    </row>
    <row r="2929">
      <c r="A2929" t="inlineStr">
        <is>
          <t>LIP_ALC_0315</t>
        </is>
      </c>
      <c r="B2929" t="inlineStr">
        <is>
          <t>Hansen_delta_H</t>
        </is>
      </c>
      <c r="C2929">
        <v>10.0</v>
      </c>
      <c r="D2929" t="inlineStr">
        <is>
          <t>MPa^0.5</t>
        </is>
      </c>
      <c r="E2929"/>
      <c r="F2929"/>
      <c r="G2929" t="inlineStr">
        <is>
          <t>heuristic group-contribution/nearest-neighbour</t>
        </is>
      </c>
      <c r="H2929" t="inlineStr">
        <is>
          <t>S013_EST_HSP_HEURISTIC</t>
        </is>
      </c>
      <c r="I2929" t="inlineStr">
        <is>
          <t>estimated</t>
        </is>
      </c>
      <c r="J2929">
        <v>0.38</v>
      </c>
      <c r="K2929" t="inlineStr">
        <is>
          <t>Provisional HSP for screening; replace with experimental/literature value before model lock.</t>
        </is>
      </c>
    </row>
    <row r="2930">
      <c r="A2930" t="inlineStr">
        <is>
          <t>LIP_ALC_0315</t>
        </is>
      </c>
      <c r="B2930" t="inlineStr">
        <is>
          <t>Hildebrand_delta_T</t>
        </is>
      </c>
      <c r="C2930">
        <v>21.51</v>
      </c>
      <c r="D2930" t="inlineStr">
        <is>
          <t>MPa^0.5</t>
        </is>
      </c>
      <c r="E2930"/>
      <c r="F2930"/>
      <c r="G2930" t="inlineStr">
        <is>
          <t>sqrt(deltaD^2+deltaP^2+deltaH^2)</t>
        </is>
      </c>
      <c r="H2930" t="inlineStr">
        <is>
          <t>S012_CALCULATED</t>
        </is>
      </c>
      <c r="I2930" t="inlineStr">
        <is>
          <t>calculated</t>
        </is>
      </c>
      <c r="J2930">
        <v>0.43</v>
      </c>
      <c r="K2930" t="inlineStr">
        <is>
          <t>Derived from stored Hansen components.</t>
        </is>
      </c>
    </row>
    <row r="2931">
      <c r="A2931" t="inlineStr">
        <is>
          <t>LIP_ALC_0315</t>
        </is>
      </c>
      <c r="B2931" t="inlineStr">
        <is>
          <t>HSP_radius_R0</t>
        </is>
      </c>
      <c r="C2931">
        <v>8.0</v>
      </c>
      <c r="D2931" t="inlineStr">
        <is>
          <t>MPa^0.5</t>
        </is>
      </c>
      <c r="E2931"/>
      <c r="F2931"/>
      <c r="G2931" t="inlineStr">
        <is>
          <t>literature/heuristic solubility sphere</t>
        </is>
      </c>
      <c r="H2931" t="inlineStr">
        <is>
          <t>S013_EST_HSP_HEURISTIC</t>
        </is>
      </c>
      <c r="I2931" t="inlineStr">
        <is>
          <t>estimated</t>
        </is>
      </c>
      <c r="J2931">
        <v>0.38</v>
      </c>
      <c r="K2931" t="inlineStr">
        <is>
          <t>Screening radius only unless experimentally determined.</t>
        </is>
      </c>
    </row>
    <row r="2932">
      <c r="A2932" t="inlineStr">
        <is>
          <t>LIP_ALC_0315</t>
        </is>
      </c>
      <c r="B2932" t="inlineStr">
        <is>
          <t>molar_volume_cm3_mol</t>
        </is>
      </c>
      <c r="C2932">
        <v>766.2</v>
      </c>
      <c r="D2932" t="inlineStr">
        <is>
          <t>cm3/mol</t>
        </is>
      </c>
      <c r="E2932"/>
      <c r="F2932"/>
      <c r="G2932" t="inlineStr">
        <is>
          <t>MW/density estimate</t>
        </is>
      </c>
      <c r="H2932" t="inlineStr">
        <is>
          <t>S012_CALCULATED</t>
        </is>
      </c>
      <c r="I2932" t="inlineStr">
        <is>
          <t>estimated</t>
        </is>
      </c>
      <c r="J2932">
        <v>0.42</v>
      </c>
      <c r="K2932" t="inlineStr">
        <is>
          <t>Estimated from MW/density; replace with measured molar volume or density-specific grade data.</t>
        </is>
      </c>
    </row>
    <row r="2933">
      <c r="A2933" t="inlineStr">
        <is>
          <t>LIP_ALC_0315</t>
        </is>
      </c>
      <c r="B2933" t="inlineStr">
        <is>
          <t>headgroup_area_nm2</t>
        </is>
      </c>
      <c r="C2933">
        <v>0.62</v>
      </c>
      <c r="D2933" t="inlineStr">
        <is>
          <t>nm2</t>
        </is>
      </c>
      <c r="E2933"/>
      <c r="F2933"/>
      <c r="G2933" t="inlineStr">
        <is>
          <t>literature/MD heuristic</t>
        </is>
      </c>
      <c r="H2933" t="inlineStr">
        <is>
          <t>S013_EST_HSP_HEURISTIC</t>
        </is>
      </c>
      <c r="I2933" t="inlineStr">
        <is>
          <t>estimated</t>
        </is>
      </c>
      <c r="J2933">
        <v>0.35</v>
      </c>
      <c r="K2933" t="inlineStr">
        <is>
          <t>Area per lipid varies with phase, temperature, cholesterol, hydration, and force field.</t>
        </is>
      </c>
    </row>
    <row r="2934">
      <c r="A2934" t="inlineStr">
        <is>
          <t>LIP_DLIN_KC2_DMA</t>
        </is>
      </c>
      <c r="B2934" t="inlineStr">
        <is>
          <t>molecular_weight_g_mol</t>
        </is>
      </c>
      <c r="C2934">
        <v>642.1</v>
      </c>
      <c r="D2934" t="inlineStr">
        <is>
          <t>g/mol</t>
        </is>
      </c>
      <c r="E2934"/>
      <c r="F2934"/>
      <c r="G2934" t="inlineStr">
        <is>
          <t>LIPID MAPS/supplier formula or average grade MW</t>
        </is>
      </c>
      <c r="H2934" t="inlineStr">
        <is>
          <t>S004_LIPIDMAPS</t>
        </is>
      </c>
      <c r="I2934" t="inlineStr">
        <is>
          <t>database-derived</t>
        </is>
      </c>
      <c r="J2934">
        <v>0.78</v>
      </c>
      <c r="K2934"/>
    </row>
    <row r="2935">
      <c r="A2935" t="inlineStr">
        <is>
          <t>LIP_DLIN_KC2_DMA</t>
        </is>
      </c>
      <c r="B2935" t="inlineStr">
        <is>
          <t>lipid_class</t>
        </is>
      </c>
      <c r="C2935" t="inlineStr">
        <is>
          <t>ionizable lipid</t>
        </is>
      </c>
      <c r="D2935"/>
      <c r="E2935"/>
      <c r="F2935"/>
      <c r="G2935" t="inlineStr">
        <is>
          <t>lipid class annotation</t>
        </is>
      </c>
      <c r="H2935" t="inlineStr">
        <is>
          <t>S003_AVANTI_PHASE</t>
        </is>
      </c>
      <c r="I2935" t="inlineStr">
        <is>
          <t>curated</t>
        </is>
      </c>
      <c r="J2935">
        <v>0.85</v>
      </c>
      <c r="K2935"/>
    </row>
    <row r="2936">
      <c r="A2936" t="inlineStr">
        <is>
          <t>LIP_DLIN_KC2_DMA</t>
        </is>
      </c>
      <c r="B2936" t="inlineStr">
        <is>
          <t>headgroup_type</t>
        </is>
      </c>
      <c r="C2936" t="inlineStr">
        <is>
          <t>tertiary amine lipid</t>
        </is>
      </c>
      <c r="D2936"/>
      <c r="E2936"/>
      <c r="F2936"/>
      <c r="G2936" t="inlineStr">
        <is>
          <t>headgroup annotation</t>
        </is>
      </c>
      <c r="H2936" t="inlineStr">
        <is>
          <t>S003_AVANTI_PHASE</t>
        </is>
      </c>
      <c r="I2936" t="inlineStr">
        <is>
          <t>curated</t>
        </is>
      </c>
      <c r="J2936">
        <v>0.85</v>
      </c>
      <c r="K2936"/>
    </row>
    <row r="2937">
      <c r="A2937" t="inlineStr">
        <is>
          <t>LIP_DLIN_KC2_DMA</t>
        </is>
      </c>
      <c r="B2937" t="inlineStr">
        <is>
          <t>charge_type</t>
        </is>
      </c>
      <c r="C2937" t="inlineStr">
        <is>
          <t>pH-dependent cationic/neutral</t>
        </is>
      </c>
      <c r="D2937"/>
      <c r="E2937"/>
      <c r="F2937"/>
      <c r="G2937" t="inlineStr">
        <is>
          <t>nominal at pH 7.4</t>
        </is>
      </c>
      <c r="H2937" t="inlineStr">
        <is>
          <t>S003_AVANTI_PHASE</t>
        </is>
      </c>
      <c r="I2937" t="inlineStr">
        <is>
          <t>curated</t>
        </is>
      </c>
      <c r="J2937">
        <v>0.85</v>
      </c>
      <c r="K2937"/>
    </row>
    <row r="2938">
      <c r="A2938" t="inlineStr">
        <is>
          <t>LIP_DLIN_KC2_DMA</t>
        </is>
      </c>
      <c r="B2938" t="inlineStr">
        <is>
          <t>formal_charge</t>
        </is>
      </c>
      <c r="C2938">
        <v>0</v>
      </c>
      <c r="D2938" t="inlineStr">
        <is>
          <t>e</t>
        </is>
      </c>
      <c r="E2938"/>
      <c r="F2938"/>
      <c r="G2938" t="inlineStr">
        <is>
          <t>nominal at pH 7.4</t>
        </is>
      </c>
      <c r="H2938" t="inlineStr">
        <is>
          <t>S003_AVANTI_PHASE</t>
        </is>
      </c>
      <c r="I2938" t="inlineStr">
        <is>
          <t>curated</t>
        </is>
      </c>
      <c r="J2938">
        <v>0.85</v>
      </c>
      <c r="K2938"/>
    </row>
    <row r="2939">
      <c r="A2939" t="inlineStr">
        <is>
          <t>LIP_DLIN_KC2_DMA</t>
        </is>
      </c>
      <c r="B2939" t="inlineStr">
        <is>
          <t>tail_1_carbons</t>
        </is>
      </c>
      <c r="C2939">
        <v>18</v>
      </c>
      <c r="D2939" t="inlineStr">
        <is>
          <t>count</t>
        </is>
      </c>
      <c r="E2939"/>
      <c r="F2939"/>
      <c r="G2939" t="inlineStr">
        <is>
          <t>lipid shorthand annotation</t>
        </is>
      </c>
      <c r="H2939" t="inlineStr">
        <is>
          <t>S003_AVANTI_PHASE</t>
        </is>
      </c>
      <c r="I2939" t="inlineStr">
        <is>
          <t>curated</t>
        </is>
      </c>
      <c r="J2939">
        <v>0.86</v>
      </c>
      <c r="K2939"/>
    </row>
    <row r="2940">
      <c r="A2940" t="inlineStr">
        <is>
          <t>LIP_DLIN_KC2_DMA</t>
        </is>
      </c>
      <c r="B2940" t="inlineStr">
        <is>
          <t>tail_1_unsaturation</t>
        </is>
      </c>
      <c r="C2940">
        <v>2</v>
      </c>
      <c r="D2940" t="inlineStr">
        <is>
          <t>double_bonds</t>
        </is>
      </c>
      <c r="E2940"/>
      <c r="F2940"/>
      <c r="G2940" t="inlineStr">
        <is>
          <t>lipid shorthand annotation</t>
        </is>
      </c>
      <c r="H2940" t="inlineStr">
        <is>
          <t>S003_AVANTI_PHASE</t>
        </is>
      </c>
      <c r="I2940" t="inlineStr">
        <is>
          <t>curated</t>
        </is>
      </c>
      <c r="J2940">
        <v>0.86</v>
      </c>
      <c r="K2940"/>
    </row>
    <row r="2941">
      <c r="A2941" t="inlineStr">
        <is>
          <t>LIP_DLIN_KC2_DMA</t>
        </is>
      </c>
      <c r="B2941" t="inlineStr">
        <is>
          <t>tail_2_carbons</t>
        </is>
      </c>
      <c r="C2941">
        <v>18</v>
      </c>
      <c r="D2941" t="inlineStr">
        <is>
          <t>count</t>
        </is>
      </c>
      <c r="E2941"/>
      <c r="F2941"/>
      <c r="G2941" t="inlineStr">
        <is>
          <t>lipid shorthand annotation</t>
        </is>
      </c>
      <c r="H2941" t="inlineStr">
        <is>
          <t>S003_AVANTI_PHASE</t>
        </is>
      </c>
      <c r="I2941" t="inlineStr">
        <is>
          <t>curated</t>
        </is>
      </c>
      <c r="J2941">
        <v>0.86</v>
      </c>
      <c r="K2941"/>
    </row>
    <row r="2942">
      <c r="A2942" t="inlineStr">
        <is>
          <t>LIP_DLIN_KC2_DMA</t>
        </is>
      </c>
      <c r="B2942" t="inlineStr">
        <is>
          <t>tail_2_unsaturation</t>
        </is>
      </c>
      <c r="C2942">
        <v>2</v>
      </c>
      <c r="D2942" t="inlineStr">
        <is>
          <t>double_bonds</t>
        </is>
      </c>
      <c r="E2942"/>
      <c r="F2942"/>
      <c r="G2942" t="inlineStr">
        <is>
          <t>lipid shorthand annotation</t>
        </is>
      </c>
      <c r="H2942" t="inlineStr">
        <is>
          <t>S003_AVANTI_PHASE</t>
        </is>
      </c>
      <c r="I2942" t="inlineStr">
        <is>
          <t>curated</t>
        </is>
      </c>
      <c r="J2942">
        <v>0.86</v>
      </c>
      <c r="K2942"/>
    </row>
    <row r="2943">
      <c r="A2943" t="inlineStr">
        <is>
          <t>LIP_DLIN_KC2_DMA</t>
        </is>
      </c>
      <c r="B2943" t="inlineStr">
        <is>
          <t>number_of_tails</t>
        </is>
      </c>
      <c r="C2943">
        <v>2</v>
      </c>
      <c r="D2943" t="inlineStr">
        <is>
          <t>count</t>
        </is>
      </c>
      <c r="E2943"/>
      <c r="F2943"/>
      <c r="G2943" t="inlineStr">
        <is>
          <t>lipid shorthand annotation</t>
        </is>
      </c>
      <c r="H2943" t="inlineStr">
        <is>
          <t>S003_AVANTI_PHASE</t>
        </is>
      </c>
      <c r="I2943" t="inlineStr">
        <is>
          <t>curated</t>
        </is>
      </c>
      <c r="J2943">
        <v>0.86</v>
      </c>
      <c r="K2943"/>
    </row>
    <row r="2944">
      <c r="A2944" t="inlineStr">
        <is>
          <t>LIP_DLIN_KC2_DMA</t>
        </is>
      </c>
      <c r="B2944" t="inlineStr">
        <is>
          <t>critical_packing_notes</t>
        </is>
      </c>
      <c r="C2944" t="inlineStr">
        <is>
          <t>bilayer-forming cylindrical lipid</t>
        </is>
      </c>
      <c r="D2944"/>
      <c r="E2944"/>
      <c r="F2944"/>
      <c r="G2944" t="inlineStr">
        <is>
          <t>CPP heuristic</t>
        </is>
      </c>
      <c r="H2944" t="inlineStr">
        <is>
          <t>S014_AULTON</t>
        </is>
      </c>
      <c r="I2944" t="inlineStr">
        <is>
          <t>curated</t>
        </is>
      </c>
      <c r="J2944">
        <v>0.65</v>
      </c>
      <c r="K2944"/>
    </row>
    <row r="2945">
      <c r="A2945" t="inlineStr">
        <is>
          <t>LIP_DLIN_KC2_DMA</t>
        </is>
      </c>
      <c r="B2945" t="inlineStr">
        <is>
          <t>membrane_rigidity_contribution</t>
        </is>
      </c>
      <c r="C2945" t="inlineStr">
        <is>
          <t>fluidizing</t>
        </is>
      </c>
      <c r="D2945"/>
      <c r="E2945"/>
      <c r="F2945"/>
      <c r="G2945" t="inlineStr">
        <is>
          <t>Tm and unsaturation heuristic</t>
        </is>
      </c>
      <c r="H2945" t="inlineStr">
        <is>
          <t>S003_AVANTI_PHASE</t>
        </is>
      </c>
      <c r="I2945" t="inlineStr">
        <is>
          <t>curated</t>
        </is>
      </c>
      <c r="J2945">
        <v>0.65</v>
      </c>
      <c r="K2945"/>
    </row>
    <row r="2946">
      <c r="A2946" t="inlineStr">
        <is>
          <t>LIP_DLIN_KC2_DMA</t>
        </is>
      </c>
      <c r="B2946" t="inlineStr">
        <is>
          <t>fusogenic_flag</t>
        </is>
      </c>
      <c r="C2946" t="inlineStr">
        <is>
          <t>no</t>
        </is>
      </c>
      <c r="D2946"/>
      <c r="E2946"/>
      <c r="F2946"/>
      <c r="G2946" t="inlineStr">
        <is>
          <t>role annotation</t>
        </is>
      </c>
      <c r="H2946" t="inlineStr">
        <is>
          <t>S014_AULTON</t>
        </is>
      </c>
      <c r="I2946" t="inlineStr">
        <is>
          <t>curated</t>
        </is>
      </c>
      <c r="J2946">
        <v>0.7</v>
      </c>
      <c r="K2946"/>
    </row>
    <row r="2947">
      <c r="A2947" t="inlineStr">
        <is>
          <t>LIP_DLIN_KC2_DMA</t>
        </is>
      </c>
      <c r="B2947" t="inlineStr">
        <is>
          <t>PEGylated_flag</t>
        </is>
      </c>
      <c r="C2947" t="inlineStr">
        <is>
          <t>no</t>
        </is>
      </c>
      <c r="D2947"/>
      <c r="E2947"/>
      <c r="F2947"/>
      <c r="G2947" t="inlineStr">
        <is>
          <t>role annotation</t>
        </is>
      </c>
      <c r="H2947" t="inlineStr">
        <is>
          <t>S014_AULTON</t>
        </is>
      </c>
      <c r="I2947" t="inlineStr">
        <is>
          <t>curated</t>
        </is>
      </c>
      <c r="J2947">
        <v>0.85</v>
      </c>
      <c r="K2947"/>
    </row>
    <row r="2948">
      <c r="A2948" t="inlineStr">
        <is>
          <t>LIP_DLIN_KC2_DMA</t>
        </is>
      </c>
      <c r="B2948" t="inlineStr">
        <is>
          <t>ionizable_flag</t>
        </is>
      </c>
      <c r="C2948" t="inlineStr">
        <is>
          <t>yes</t>
        </is>
      </c>
      <c r="D2948"/>
      <c r="E2948"/>
      <c r="F2948"/>
      <c r="G2948" t="inlineStr">
        <is>
          <t>role annotation</t>
        </is>
      </c>
      <c r="H2948" t="inlineStr">
        <is>
          <t>S014_AULTON</t>
        </is>
      </c>
      <c r="I2948" t="inlineStr">
        <is>
          <t>curated</t>
        </is>
      </c>
      <c r="J2948">
        <v>0.85</v>
      </c>
      <c r="K2948"/>
    </row>
    <row r="2949">
      <c r="A2949" t="inlineStr">
        <is>
          <t>LIP_DLIN_KC2_DMA</t>
        </is>
      </c>
      <c r="B2949" t="inlineStr">
        <is>
          <t>route_suitability</t>
        </is>
      </c>
      <c r="C2949" t="inlineStr">
        <is>
          <t>liposome/LNP; route depends on purity, grade, residual solvents/endotoxin</t>
        </is>
      </c>
      <c r="D2949"/>
      <c r="E2949"/>
      <c r="F2949"/>
      <c r="G2949" t="inlineStr">
        <is>
          <t>route precedent caution</t>
        </is>
      </c>
      <c r="H2949" t="inlineStr">
        <is>
          <t>S008_FDA_IID</t>
        </is>
      </c>
      <c r="I2949" t="inlineStr">
        <is>
          <t>curated</t>
        </is>
      </c>
      <c r="J2949">
        <v>0.55</v>
      </c>
      <c r="K2949"/>
    </row>
    <row r="2950">
      <c r="A2950" t="inlineStr">
        <is>
          <t>LIP_DLIN_KC2_DMA</t>
        </is>
      </c>
      <c r="B2950" t="inlineStr">
        <is>
          <t>storage_notes</t>
        </is>
      </c>
      <c r="C2950" t="inlineStr">
        <is>
          <t>store cold, dry, inert gas; protect unsaturated/ionizable lipids from oxidation/hydrolysis</t>
        </is>
      </c>
      <c r="D2950"/>
      <c r="E2950"/>
      <c r="F2950"/>
      <c r="G2950" t="inlineStr">
        <is>
          <t>supplier stability convention</t>
        </is>
      </c>
      <c r="H2950" t="inlineStr">
        <is>
          <t>S003_AVANTI_PHASE</t>
        </is>
      </c>
      <c r="I2950" t="inlineStr">
        <is>
          <t>curated</t>
        </is>
      </c>
      <c r="J2950">
        <v>0.7</v>
      </c>
      <c r="K2950"/>
    </row>
    <row r="2951">
      <c r="A2951" t="inlineStr">
        <is>
          <t>LIP_DLIN_KC2_DMA</t>
        </is>
      </c>
      <c r="B2951" t="inlineStr">
        <is>
          <t>pKa_if_ionizable</t>
        </is>
      </c>
      <c r="C2951">
        <v>6.7</v>
      </c>
      <c r="D2951"/>
      <c r="E2951"/>
      <c r="F2951"/>
      <c r="G2951" t="inlineStr">
        <is>
          <t>apparent lipid pKa; formulation-dependent</t>
        </is>
      </c>
      <c r="H2951" t="inlineStr">
        <is>
          <t>S003_AVANTI_PHASE</t>
        </is>
      </c>
      <c r="I2951" t="inlineStr">
        <is>
          <t>literature</t>
        </is>
      </c>
      <c r="J2951">
        <v>0.6</v>
      </c>
      <c r="K2951"/>
    </row>
    <row r="2952">
      <c r="A2952" t="inlineStr">
        <is>
          <t>LIP_DLIN_KC2_DMA</t>
        </is>
      </c>
      <c r="B2952" t="inlineStr">
        <is>
          <t>Hansen_delta_D</t>
        </is>
      </c>
      <c r="C2952">
        <v>17.5</v>
      </c>
      <c r="D2952" t="inlineStr">
        <is>
          <t>MPa^0.5</t>
        </is>
      </c>
      <c r="E2952"/>
      <c r="F2952"/>
      <c r="G2952" t="inlineStr">
        <is>
          <t>heuristic group-contribution/nearest-neighbour</t>
        </is>
      </c>
      <c r="H2952" t="inlineStr">
        <is>
          <t>S013_EST_HSP_HEURISTIC</t>
        </is>
      </c>
      <c r="I2952" t="inlineStr">
        <is>
          <t>estimated</t>
        </is>
      </c>
      <c r="J2952">
        <v>0.38</v>
      </c>
      <c r="K2952" t="inlineStr">
        <is>
          <t>Provisional HSP for screening; replace with experimental/literature value before model lock.</t>
        </is>
      </c>
    </row>
    <row r="2953">
      <c r="A2953" t="inlineStr">
        <is>
          <t>LIP_DLIN_KC2_DMA</t>
        </is>
      </c>
      <c r="B2953" t="inlineStr">
        <is>
          <t>Hansen_delta_P</t>
        </is>
      </c>
      <c r="C2953">
        <v>7.5</v>
      </c>
      <c r="D2953" t="inlineStr">
        <is>
          <t>MPa^0.5</t>
        </is>
      </c>
      <c r="E2953"/>
      <c r="F2953"/>
      <c r="G2953" t="inlineStr">
        <is>
          <t>heuristic group-contribution/nearest-neighbour</t>
        </is>
      </c>
      <c r="H2953" t="inlineStr">
        <is>
          <t>S013_EST_HSP_HEURISTIC</t>
        </is>
      </c>
      <c r="I2953" t="inlineStr">
        <is>
          <t>estimated</t>
        </is>
      </c>
      <c r="J2953">
        <v>0.38</v>
      </c>
      <c r="K2953" t="inlineStr">
        <is>
          <t>Provisional HSP for screening; replace with experimental/literature value before model lock.</t>
        </is>
      </c>
    </row>
    <row r="2954">
      <c r="A2954" t="inlineStr">
        <is>
          <t>LIP_DLIN_KC2_DMA</t>
        </is>
      </c>
      <c r="B2954" t="inlineStr">
        <is>
          <t>Hansen_delta_H</t>
        </is>
      </c>
      <c r="C2954">
        <v>10.0</v>
      </c>
      <c r="D2954" t="inlineStr">
        <is>
          <t>MPa^0.5</t>
        </is>
      </c>
      <c r="E2954"/>
      <c r="F2954"/>
      <c r="G2954" t="inlineStr">
        <is>
          <t>heuristic group-contribution/nearest-neighbour</t>
        </is>
      </c>
      <c r="H2954" t="inlineStr">
        <is>
          <t>S013_EST_HSP_HEURISTIC</t>
        </is>
      </c>
      <c r="I2954" t="inlineStr">
        <is>
          <t>estimated</t>
        </is>
      </c>
      <c r="J2954">
        <v>0.38</v>
      </c>
      <c r="K2954" t="inlineStr">
        <is>
          <t>Provisional HSP for screening; replace with experimental/literature value before model lock.</t>
        </is>
      </c>
    </row>
    <row r="2955">
      <c r="A2955" t="inlineStr">
        <is>
          <t>LIP_DLIN_KC2_DMA</t>
        </is>
      </c>
      <c r="B2955" t="inlineStr">
        <is>
          <t>Hildebrand_delta_T</t>
        </is>
      </c>
      <c r="C2955">
        <v>21.51</v>
      </c>
      <c r="D2955" t="inlineStr">
        <is>
          <t>MPa^0.5</t>
        </is>
      </c>
      <c r="E2955"/>
      <c r="F2955"/>
      <c r="G2955" t="inlineStr">
        <is>
          <t>sqrt(deltaD^2+deltaP^2+deltaH^2)</t>
        </is>
      </c>
      <c r="H2955" t="inlineStr">
        <is>
          <t>S012_CALCULATED</t>
        </is>
      </c>
      <c r="I2955" t="inlineStr">
        <is>
          <t>calculated</t>
        </is>
      </c>
      <c r="J2955">
        <v>0.43</v>
      </c>
      <c r="K2955" t="inlineStr">
        <is>
          <t>Derived from stored Hansen components.</t>
        </is>
      </c>
    </row>
    <row r="2956">
      <c r="A2956" t="inlineStr">
        <is>
          <t>LIP_DLIN_KC2_DMA</t>
        </is>
      </c>
      <c r="B2956" t="inlineStr">
        <is>
          <t>HSP_radius_R0</t>
        </is>
      </c>
      <c r="C2956">
        <v>8.0</v>
      </c>
      <c r="D2956" t="inlineStr">
        <is>
          <t>MPa^0.5</t>
        </is>
      </c>
      <c r="E2956"/>
      <c r="F2956"/>
      <c r="G2956" t="inlineStr">
        <is>
          <t>literature/heuristic solubility sphere</t>
        </is>
      </c>
      <c r="H2956" t="inlineStr">
        <is>
          <t>S013_EST_HSP_HEURISTIC</t>
        </is>
      </c>
      <c r="I2956" t="inlineStr">
        <is>
          <t>estimated</t>
        </is>
      </c>
      <c r="J2956">
        <v>0.38</v>
      </c>
      <c r="K2956" t="inlineStr">
        <is>
          <t>Screening radius only unless experimentally determined.</t>
        </is>
      </c>
    </row>
    <row r="2957">
      <c r="A2957" t="inlineStr">
        <is>
          <t>LIP_DLIN_KC2_DMA</t>
        </is>
      </c>
      <c r="B2957" t="inlineStr">
        <is>
          <t>molar_volume_cm3_mol</t>
        </is>
      </c>
      <c r="C2957">
        <v>642.1</v>
      </c>
      <c r="D2957" t="inlineStr">
        <is>
          <t>cm3/mol</t>
        </is>
      </c>
      <c r="E2957"/>
      <c r="F2957"/>
      <c r="G2957" t="inlineStr">
        <is>
          <t>MW/density estimate</t>
        </is>
      </c>
      <c r="H2957" t="inlineStr">
        <is>
          <t>S012_CALCULATED</t>
        </is>
      </c>
      <c r="I2957" t="inlineStr">
        <is>
          <t>estimated</t>
        </is>
      </c>
      <c r="J2957">
        <v>0.42</v>
      </c>
      <c r="K2957" t="inlineStr">
        <is>
          <t>Estimated from MW/density; replace with measured molar volume or density-specific grade data.</t>
        </is>
      </c>
    </row>
    <row r="2958">
      <c r="A2958" t="inlineStr">
        <is>
          <t>LIP_DLIN_KC2_DMA</t>
        </is>
      </c>
      <c r="B2958" t="inlineStr">
        <is>
          <t>headgroup_area_nm2</t>
        </is>
      </c>
      <c r="C2958">
        <v>0.62</v>
      </c>
      <c r="D2958" t="inlineStr">
        <is>
          <t>nm2</t>
        </is>
      </c>
      <c r="E2958"/>
      <c r="F2958"/>
      <c r="G2958" t="inlineStr">
        <is>
          <t>literature/MD heuristic</t>
        </is>
      </c>
      <c r="H2958" t="inlineStr">
        <is>
          <t>S013_EST_HSP_HEURISTIC</t>
        </is>
      </c>
      <c r="I2958" t="inlineStr">
        <is>
          <t>estimated</t>
        </is>
      </c>
      <c r="J2958">
        <v>0.35</v>
      </c>
      <c r="K2958" t="inlineStr">
        <is>
          <t>Area per lipid varies with phase, temperature, cholesterol, hydration, and force field.</t>
        </is>
      </c>
    </row>
    <row r="2959">
      <c r="A2959" t="inlineStr">
        <is>
          <t>LIP_DODMA</t>
        </is>
      </c>
      <c r="B2959" t="inlineStr">
        <is>
          <t>molecular_weight_g_mol</t>
        </is>
      </c>
      <c r="C2959">
        <v>620.0</v>
      </c>
      <c r="D2959" t="inlineStr">
        <is>
          <t>g/mol</t>
        </is>
      </c>
      <c r="E2959"/>
      <c r="F2959"/>
      <c r="G2959" t="inlineStr">
        <is>
          <t>LIPID MAPS/supplier formula or average grade MW</t>
        </is>
      </c>
      <c r="H2959" t="inlineStr">
        <is>
          <t>S004_LIPIDMAPS</t>
        </is>
      </c>
      <c r="I2959" t="inlineStr">
        <is>
          <t>database-derived</t>
        </is>
      </c>
      <c r="J2959">
        <v>0.78</v>
      </c>
      <c r="K2959"/>
    </row>
    <row r="2960">
      <c r="A2960" t="inlineStr">
        <is>
          <t>LIP_DODMA</t>
        </is>
      </c>
      <c r="B2960" t="inlineStr">
        <is>
          <t>lipid_class</t>
        </is>
      </c>
      <c r="C2960" t="inlineStr">
        <is>
          <t>ionizable lipid</t>
        </is>
      </c>
      <c r="D2960"/>
      <c r="E2960"/>
      <c r="F2960"/>
      <c r="G2960" t="inlineStr">
        <is>
          <t>lipid class annotation</t>
        </is>
      </c>
      <c r="H2960" t="inlineStr">
        <is>
          <t>S003_AVANTI_PHASE</t>
        </is>
      </c>
      <c r="I2960" t="inlineStr">
        <is>
          <t>curated</t>
        </is>
      </c>
      <c r="J2960">
        <v>0.85</v>
      </c>
      <c r="K2960"/>
    </row>
    <row r="2961">
      <c r="A2961" t="inlineStr">
        <is>
          <t>LIP_DODMA</t>
        </is>
      </c>
      <c r="B2961" t="inlineStr">
        <is>
          <t>headgroup_type</t>
        </is>
      </c>
      <c r="C2961" t="inlineStr">
        <is>
          <t>tertiary amine lipid</t>
        </is>
      </c>
      <c r="D2961"/>
      <c r="E2961"/>
      <c r="F2961"/>
      <c r="G2961" t="inlineStr">
        <is>
          <t>headgroup annotation</t>
        </is>
      </c>
      <c r="H2961" t="inlineStr">
        <is>
          <t>S003_AVANTI_PHASE</t>
        </is>
      </c>
      <c r="I2961" t="inlineStr">
        <is>
          <t>curated</t>
        </is>
      </c>
      <c r="J2961">
        <v>0.85</v>
      </c>
      <c r="K2961"/>
    </row>
    <row r="2962">
      <c r="A2962" t="inlineStr">
        <is>
          <t>LIP_DODMA</t>
        </is>
      </c>
      <c r="B2962" t="inlineStr">
        <is>
          <t>charge_type</t>
        </is>
      </c>
      <c r="C2962" t="inlineStr">
        <is>
          <t>pH-dependent cationic/neutral</t>
        </is>
      </c>
      <c r="D2962"/>
      <c r="E2962"/>
      <c r="F2962"/>
      <c r="G2962" t="inlineStr">
        <is>
          <t>nominal at pH 7.4</t>
        </is>
      </c>
      <c r="H2962" t="inlineStr">
        <is>
          <t>S003_AVANTI_PHASE</t>
        </is>
      </c>
      <c r="I2962" t="inlineStr">
        <is>
          <t>curated</t>
        </is>
      </c>
      <c r="J2962">
        <v>0.85</v>
      </c>
      <c r="K2962"/>
    </row>
    <row r="2963">
      <c r="A2963" t="inlineStr">
        <is>
          <t>LIP_DODMA</t>
        </is>
      </c>
      <c r="B2963" t="inlineStr">
        <is>
          <t>formal_charge</t>
        </is>
      </c>
      <c r="C2963">
        <v>0</v>
      </c>
      <c r="D2963" t="inlineStr">
        <is>
          <t>e</t>
        </is>
      </c>
      <c r="E2963"/>
      <c r="F2963"/>
      <c r="G2963" t="inlineStr">
        <is>
          <t>nominal at pH 7.4</t>
        </is>
      </c>
      <c r="H2963" t="inlineStr">
        <is>
          <t>S003_AVANTI_PHASE</t>
        </is>
      </c>
      <c r="I2963" t="inlineStr">
        <is>
          <t>curated</t>
        </is>
      </c>
      <c r="J2963">
        <v>0.85</v>
      </c>
      <c r="K2963"/>
    </row>
    <row r="2964">
      <c r="A2964" t="inlineStr">
        <is>
          <t>LIP_DODMA</t>
        </is>
      </c>
      <c r="B2964" t="inlineStr">
        <is>
          <t>tail_1_carbons</t>
        </is>
      </c>
      <c r="C2964">
        <v>18</v>
      </c>
      <c r="D2964" t="inlineStr">
        <is>
          <t>count</t>
        </is>
      </c>
      <c r="E2964"/>
      <c r="F2964"/>
      <c r="G2964" t="inlineStr">
        <is>
          <t>lipid shorthand annotation</t>
        </is>
      </c>
      <c r="H2964" t="inlineStr">
        <is>
          <t>S003_AVANTI_PHASE</t>
        </is>
      </c>
      <c r="I2964" t="inlineStr">
        <is>
          <t>curated</t>
        </is>
      </c>
      <c r="J2964">
        <v>0.86</v>
      </c>
      <c r="K2964"/>
    </row>
    <row r="2965">
      <c r="A2965" t="inlineStr">
        <is>
          <t>LIP_DODMA</t>
        </is>
      </c>
      <c r="B2965" t="inlineStr">
        <is>
          <t>tail_1_unsaturation</t>
        </is>
      </c>
      <c r="C2965">
        <v>1</v>
      </c>
      <c r="D2965" t="inlineStr">
        <is>
          <t>double_bonds</t>
        </is>
      </c>
      <c r="E2965"/>
      <c r="F2965"/>
      <c r="G2965" t="inlineStr">
        <is>
          <t>lipid shorthand annotation</t>
        </is>
      </c>
      <c r="H2965" t="inlineStr">
        <is>
          <t>S003_AVANTI_PHASE</t>
        </is>
      </c>
      <c r="I2965" t="inlineStr">
        <is>
          <t>curated</t>
        </is>
      </c>
      <c r="J2965">
        <v>0.86</v>
      </c>
      <c r="K2965"/>
    </row>
    <row r="2966">
      <c r="A2966" t="inlineStr">
        <is>
          <t>LIP_DODMA</t>
        </is>
      </c>
      <c r="B2966" t="inlineStr">
        <is>
          <t>tail_2_carbons</t>
        </is>
      </c>
      <c r="C2966">
        <v>18</v>
      </c>
      <c r="D2966" t="inlineStr">
        <is>
          <t>count</t>
        </is>
      </c>
      <c r="E2966"/>
      <c r="F2966"/>
      <c r="G2966" t="inlineStr">
        <is>
          <t>lipid shorthand annotation</t>
        </is>
      </c>
      <c r="H2966" t="inlineStr">
        <is>
          <t>S003_AVANTI_PHASE</t>
        </is>
      </c>
      <c r="I2966" t="inlineStr">
        <is>
          <t>curated</t>
        </is>
      </c>
      <c r="J2966">
        <v>0.86</v>
      </c>
      <c r="K2966"/>
    </row>
    <row r="2967">
      <c r="A2967" t="inlineStr">
        <is>
          <t>LIP_DODMA</t>
        </is>
      </c>
      <c r="B2967" t="inlineStr">
        <is>
          <t>tail_2_unsaturation</t>
        </is>
      </c>
      <c r="C2967">
        <v>1</v>
      </c>
      <c r="D2967" t="inlineStr">
        <is>
          <t>double_bonds</t>
        </is>
      </c>
      <c r="E2967"/>
      <c r="F2967"/>
      <c r="G2967" t="inlineStr">
        <is>
          <t>lipid shorthand annotation</t>
        </is>
      </c>
      <c r="H2967" t="inlineStr">
        <is>
          <t>S003_AVANTI_PHASE</t>
        </is>
      </c>
      <c r="I2967" t="inlineStr">
        <is>
          <t>curated</t>
        </is>
      </c>
      <c r="J2967">
        <v>0.86</v>
      </c>
      <c r="K2967"/>
    </row>
    <row r="2968">
      <c r="A2968" t="inlineStr">
        <is>
          <t>LIP_DODMA</t>
        </is>
      </c>
      <c r="B2968" t="inlineStr">
        <is>
          <t>number_of_tails</t>
        </is>
      </c>
      <c r="C2968">
        <v>2</v>
      </c>
      <c r="D2968" t="inlineStr">
        <is>
          <t>count</t>
        </is>
      </c>
      <c r="E2968"/>
      <c r="F2968"/>
      <c r="G2968" t="inlineStr">
        <is>
          <t>lipid shorthand annotation</t>
        </is>
      </c>
      <c r="H2968" t="inlineStr">
        <is>
          <t>S003_AVANTI_PHASE</t>
        </is>
      </c>
      <c r="I2968" t="inlineStr">
        <is>
          <t>curated</t>
        </is>
      </c>
      <c r="J2968">
        <v>0.86</v>
      </c>
      <c r="K2968"/>
    </row>
    <row r="2969">
      <c r="A2969" t="inlineStr">
        <is>
          <t>LIP_DODMA</t>
        </is>
      </c>
      <c r="B2969" t="inlineStr">
        <is>
          <t>critical_packing_notes</t>
        </is>
      </c>
      <c r="C2969" t="inlineStr">
        <is>
          <t>bilayer-forming cylindrical lipid</t>
        </is>
      </c>
      <c r="D2969"/>
      <c r="E2969"/>
      <c r="F2969"/>
      <c r="G2969" t="inlineStr">
        <is>
          <t>CPP heuristic</t>
        </is>
      </c>
      <c r="H2969" t="inlineStr">
        <is>
          <t>S014_AULTON</t>
        </is>
      </c>
      <c r="I2969" t="inlineStr">
        <is>
          <t>curated</t>
        </is>
      </c>
      <c r="J2969">
        <v>0.65</v>
      </c>
      <c r="K2969"/>
    </row>
    <row r="2970">
      <c r="A2970" t="inlineStr">
        <is>
          <t>LIP_DODMA</t>
        </is>
      </c>
      <c r="B2970" t="inlineStr">
        <is>
          <t>membrane_rigidity_contribution</t>
        </is>
      </c>
      <c r="C2970" t="inlineStr">
        <is>
          <t>fluidizing</t>
        </is>
      </c>
      <c r="D2970"/>
      <c r="E2970"/>
      <c r="F2970"/>
      <c r="G2970" t="inlineStr">
        <is>
          <t>Tm and unsaturation heuristic</t>
        </is>
      </c>
      <c r="H2970" t="inlineStr">
        <is>
          <t>S003_AVANTI_PHASE</t>
        </is>
      </c>
      <c r="I2970" t="inlineStr">
        <is>
          <t>curated</t>
        </is>
      </c>
      <c r="J2970">
        <v>0.65</v>
      </c>
      <c r="K2970"/>
    </row>
    <row r="2971">
      <c r="A2971" t="inlineStr">
        <is>
          <t>LIP_DODMA</t>
        </is>
      </c>
      <c r="B2971" t="inlineStr">
        <is>
          <t>fusogenic_flag</t>
        </is>
      </c>
      <c r="C2971" t="inlineStr">
        <is>
          <t>no</t>
        </is>
      </c>
      <c r="D2971"/>
      <c r="E2971"/>
      <c r="F2971"/>
      <c r="G2971" t="inlineStr">
        <is>
          <t>role annotation</t>
        </is>
      </c>
      <c r="H2971" t="inlineStr">
        <is>
          <t>S014_AULTON</t>
        </is>
      </c>
      <c r="I2971" t="inlineStr">
        <is>
          <t>curated</t>
        </is>
      </c>
      <c r="J2971">
        <v>0.7</v>
      </c>
      <c r="K2971"/>
    </row>
    <row r="2972">
      <c r="A2972" t="inlineStr">
        <is>
          <t>LIP_DODMA</t>
        </is>
      </c>
      <c r="B2972" t="inlineStr">
        <is>
          <t>PEGylated_flag</t>
        </is>
      </c>
      <c r="C2972" t="inlineStr">
        <is>
          <t>no</t>
        </is>
      </c>
      <c r="D2972"/>
      <c r="E2972"/>
      <c r="F2972"/>
      <c r="G2972" t="inlineStr">
        <is>
          <t>role annotation</t>
        </is>
      </c>
      <c r="H2972" t="inlineStr">
        <is>
          <t>S014_AULTON</t>
        </is>
      </c>
      <c r="I2972" t="inlineStr">
        <is>
          <t>curated</t>
        </is>
      </c>
      <c r="J2972">
        <v>0.85</v>
      </c>
      <c r="K2972"/>
    </row>
    <row r="2973">
      <c r="A2973" t="inlineStr">
        <is>
          <t>LIP_DODMA</t>
        </is>
      </c>
      <c r="B2973" t="inlineStr">
        <is>
          <t>ionizable_flag</t>
        </is>
      </c>
      <c r="C2973" t="inlineStr">
        <is>
          <t>yes</t>
        </is>
      </c>
      <c r="D2973"/>
      <c r="E2973"/>
      <c r="F2973"/>
      <c r="G2973" t="inlineStr">
        <is>
          <t>role annotation</t>
        </is>
      </c>
      <c r="H2973" t="inlineStr">
        <is>
          <t>S014_AULTON</t>
        </is>
      </c>
      <c r="I2973" t="inlineStr">
        <is>
          <t>curated</t>
        </is>
      </c>
      <c r="J2973">
        <v>0.85</v>
      </c>
      <c r="K2973"/>
    </row>
    <row r="2974">
      <c r="A2974" t="inlineStr">
        <is>
          <t>LIP_DODMA</t>
        </is>
      </c>
      <c r="B2974" t="inlineStr">
        <is>
          <t>route_suitability</t>
        </is>
      </c>
      <c r="C2974" t="inlineStr">
        <is>
          <t>liposome/LNP; route depends on purity, grade, residual solvents/endotoxin</t>
        </is>
      </c>
      <c r="D2974"/>
      <c r="E2974"/>
      <c r="F2974"/>
      <c r="G2974" t="inlineStr">
        <is>
          <t>route precedent caution</t>
        </is>
      </c>
      <c r="H2974" t="inlineStr">
        <is>
          <t>S008_FDA_IID</t>
        </is>
      </c>
      <c r="I2974" t="inlineStr">
        <is>
          <t>curated</t>
        </is>
      </c>
      <c r="J2974">
        <v>0.55</v>
      </c>
      <c r="K2974"/>
    </row>
    <row r="2975">
      <c r="A2975" t="inlineStr">
        <is>
          <t>LIP_DODMA</t>
        </is>
      </c>
      <c r="B2975" t="inlineStr">
        <is>
          <t>storage_notes</t>
        </is>
      </c>
      <c r="C2975" t="inlineStr">
        <is>
          <t>store cold, dry, inert gas; protect unsaturated/ionizable lipids from oxidation/hydrolysis</t>
        </is>
      </c>
      <c r="D2975"/>
      <c r="E2975"/>
      <c r="F2975"/>
      <c r="G2975" t="inlineStr">
        <is>
          <t>supplier stability convention</t>
        </is>
      </c>
      <c r="H2975" t="inlineStr">
        <is>
          <t>S003_AVANTI_PHASE</t>
        </is>
      </c>
      <c r="I2975" t="inlineStr">
        <is>
          <t>curated</t>
        </is>
      </c>
      <c r="J2975">
        <v>0.7</v>
      </c>
      <c r="K2975"/>
    </row>
    <row r="2976">
      <c r="A2976" t="inlineStr">
        <is>
          <t>LIP_DODMA</t>
        </is>
      </c>
      <c r="B2976" t="inlineStr">
        <is>
          <t>pKa_if_ionizable</t>
        </is>
      </c>
      <c r="C2976">
        <v>6.5</v>
      </c>
      <c r="D2976"/>
      <c r="E2976"/>
      <c r="F2976"/>
      <c r="G2976" t="inlineStr">
        <is>
          <t>apparent lipid pKa; formulation-dependent</t>
        </is>
      </c>
      <c r="H2976" t="inlineStr">
        <is>
          <t>S003_AVANTI_PHASE</t>
        </is>
      </c>
      <c r="I2976" t="inlineStr">
        <is>
          <t>literature</t>
        </is>
      </c>
      <c r="J2976">
        <v>0.6</v>
      </c>
      <c r="K2976"/>
    </row>
    <row r="2977">
      <c r="A2977" t="inlineStr">
        <is>
          <t>LIP_DODMA</t>
        </is>
      </c>
      <c r="B2977" t="inlineStr">
        <is>
          <t>Hansen_delta_D</t>
        </is>
      </c>
      <c r="C2977">
        <v>17.5</v>
      </c>
      <c r="D2977" t="inlineStr">
        <is>
          <t>MPa^0.5</t>
        </is>
      </c>
      <c r="E2977"/>
      <c r="F2977"/>
      <c r="G2977" t="inlineStr">
        <is>
          <t>heuristic group-contribution/nearest-neighbour</t>
        </is>
      </c>
      <c r="H2977" t="inlineStr">
        <is>
          <t>S013_EST_HSP_HEURISTIC</t>
        </is>
      </c>
      <c r="I2977" t="inlineStr">
        <is>
          <t>estimated</t>
        </is>
      </c>
      <c r="J2977">
        <v>0.38</v>
      </c>
      <c r="K2977" t="inlineStr">
        <is>
          <t>Provisional HSP for screening; replace with experimental/literature value before model lock.</t>
        </is>
      </c>
    </row>
    <row r="2978">
      <c r="A2978" t="inlineStr">
        <is>
          <t>LIP_DODMA</t>
        </is>
      </c>
      <c r="B2978" t="inlineStr">
        <is>
          <t>Hansen_delta_P</t>
        </is>
      </c>
      <c r="C2978">
        <v>7.5</v>
      </c>
      <c r="D2978" t="inlineStr">
        <is>
          <t>MPa^0.5</t>
        </is>
      </c>
      <c r="E2978"/>
      <c r="F2978"/>
      <c r="G2978" t="inlineStr">
        <is>
          <t>heuristic group-contribution/nearest-neighbour</t>
        </is>
      </c>
      <c r="H2978" t="inlineStr">
        <is>
          <t>S013_EST_HSP_HEURISTIC</t>
        </is>
      </c>
      <c r="I2978" t="inlineStr">
        <is>
          <t>estimated</t>
        </is>
      </c>
      <c r="J2978">
        <v>0.38</v>
      </c>
      <c r="K2978" t="inlineStr">
        <is>
          <t>Provisional HSP for screening; replace with experimental/literature value before model lock.</t>
        </is>
      </c>
    </row>
    <row r="2979">
      <c r="A2979" t="inlineStr">
        <is>
          <t>LIP_DODMA</t>
        </is>
      </c>
      <c r="B2979" t="inlineStr">
        <is>
          <t>Hansen_delta_H</t>
        </is>
      </c>
      <c r="C2979">
        <v>10.0</v>
      </c>
      <c r="D2979" t="inlineStr">
        <is>
          <t>MPa^0.5</t>
        </is>
      </c>
      <c r="E2979"/>
      <c r="F2979"/>
      <c r="G2979" t="inlineStr">
        <is>
          <t>heuristic group-contribution/nearest-neighbour</t>
        </is>
      </c>
      <c r="H2979" t="inlineStr">
        <is>
          <t>S013_EST_HSP_HEURISTIC</t>
        </is>
      </c>
      <c r="I2979" t="inlineStr">
        <is>
          <t>estimated</t>
        </is>
      </c>
      <c r="J2979">
        <v>0.38</v>
      </c>
      <c r="K2979" t="inlineStr">
        <is>
          <t>Provisional HSP for screening; replace with experimental/literature value before model lock.</t>
        </is>
      </c>
    </row>
    <row r="2980">
      <c r="A2980" t="inlineStr">
        <is>
          <t>LIP_DODMA</t>
        </is>
      </c>
      <c r="B2980" t="inlineStr">
        <is>
          <t>Hildebrand_delta_T</t>
        </is>
      </c>
      <c r="C2980">
        <v>21.51</v>
      </c>
      <c r="D2980" t="inlineStr">
        <is>
          <t>MPa^0.5</t>
        </is>
      </c>
      <c r="E2980"/>
      <c r="F2980"/>
      <c r="G2980" t="inlineStr">
        <is>
          <t>sqrt(deltaD^2+deltaP^2+deltaH^2)</t>
        </is>
      </c>
      <c r="H2980" t="inlineStr">
        <is>
          <t>S012_CALCULATED</t>
        </is>
      </c>
      <c r="I2980" t="inlineStr">
        <is>
          <t>calculated</t>
        </is>
      </c>
      <c r="J2980">
        <v>0.43</v>
      </c>
      <c r="K2980" t="inlineStr">
        <is>
          <t>Derived from stored Hansen components.</t>
        </is>
      </c>
    </row>
    <row r="2981">
      <c r="A2981" t="inlineStr">
        <is>
          <t>LIP_DODMA</t>
        </is>
      </c>
      <c r="B2981" t="inlineStr">
        <is>
          <t>HSP_radius_R0</t>
        </is>
      </c>
      <c r="C2981">
        <v>8.0</v>
      </c>
      <c r="D2981" t="inlineStr">
        <is>
          <t>MPa^0.5</t>
        </is>
      </c>
      <c r="E2981"/>
      <c r="F2981"/>
      <c r="G2981" t="inlineStr">
        <is>
          <t>literature/heuristic solubility sphere</t>
        </is>
      </c>
      <c r="H2981" t="inlineStr">
        <is>
          <t>S013_EST_HSP_HEURISTIC</t>
        </is>
      </c>
      <c r="I2981" t="inlineStr">
        <is>
          <t>estimated</t>
        </is>
      </c>
      <c r="J2981">
        <v>0.38</v>
      </c>
      <c r="K2981" t="inlineStr">
        <is>
          <t>Screening radius only unless experimentally determined.</t>
        </is>
      </c>
    </row>
    <row r="2982">
      <c r="A2982" t="inlineStr">
        <is>
          <t>LIP_DODMA</t>
        </is>
      </c>
      <c r="B2982" t="inlineStr">
        <is>
          <t>molar_volume_cm3_mol</t>
        </is>
      </c>
      <c r="C2982">
        <v>620.0</v>
      </c>
      <c r="D2982" t="inlineStr">
        <is>
          <t>cm3/mol</t>
        </is>
      </c>
      <c r="E2982"/>
      <c r="F2982"/>
      <c r="G2982" t="inlineStr">
        <is>
          <t>MW/density estimate</t>
        </is>
      </c>
      <c r="H2982" t="inlineStr">
        <is>
          <t>S012_CALCULATED</t>
        </is>
      </c>
      <c r="I2982" t="inlineStr">
        <is>
          <t>estimated</t>
        </is>
      </c>
      <c r="J2982">
        <v>0.42</v>
      </c>
      <c r="K2982" t="inlineStr">
        <is>
          <t>Estimated from MW/density; replace with measured molar volume or density-specific grade data.</t>
        </is>
      </c>
    </row>
    <row r="2983">
      <c r="A2983" t="inlineStr">
        <is>
          <t>LIP_DODMA</t>
        </is>
      </c>
      <c r="B2983" t="inlineStr">
        <is>
          <t>headgroup_area_nm2</t>
        </is>
      </c>
      <c r="C2983">
        <v>0.62</v>
      </c>
      <c r="D2983" t="inlineStr">
        <is>
          <t>nm2</t>
        </is>
      </c>
      <c r="E2983"/>
      <c r="F2983"/>
      <c r="G2983" t="inlineStr">
        <is>
          <t>literature/MD heuristic</t>
        </is>
      </c>
      <c r="H2983" t="inlineStr">
        <is>
          <t>S013_EST_HSP_HEURISTIC</t>
        </is>
      </c>
      <c r="I2983" t="inlineStr">
        <is>
          <t>estimated</t>
        </is>
      </c>
      <c r="J2983">
        <v>0.35</v>
      </c>
      <c r="K2983" t="inlineStr">
        <is>
          <t>Area per lipid varies with phase, temperature, cholesterol, hydration, and force field.</t>
        </is>
      </c>
    </row>
    <row r="2984">
      <c r="A2984" t="inlineStr">
        <is>
          <t>LIP_SPHINGOMYELIN</t>
        </is>
      </c>
      <c r="B2984" t="inlineStr">
        <is>
          <t>molecular_weight_g_mol</t>
        </is>
      </c>
      <c r="C2984">
        <v>703</v>
      </c>
      <c r="D2984" t="inlineStr">
        <is>
          <t>g/mol</t>
        </is>
      </c>
      <c r="E2984"/>
      <c r="F2984"/>
      <c r="G2984" t="inlineStr">
        <is>
          <t>LIPID MAPS/supplier formula or average grade MW</t>
        </is>
      </c>
      <c r="H2984" t="inlineStr">
        <is>
          <t>S004_LIPIDMAPS</t>
        </is>
      </c>
      <c r="I2984" t="inlineStr">
        <is>
          <t>database-derived</t>
        </is>
      </c>
      <c r="J2984">
        <v>0.78</v>
      </c>
      <c r="K2984"/>
    </row>
    <row r="2985">
      <c r="A2985" t="inlineStr">
        <is>
          <t>LIP_SPHINGOMYELIN</t>
        </is>
      </c>
      <c r="B2985" t="inlineStr">
        <is>
          <t>lipid_class</t>
        </is>
      </c>
      <c r="C2985" t="inlineStr">
        <is>
          <t>sphingolipid</t>
        </is>
      </c>
      <c r="D2985"/>
      <c r="E2985"/>
      <c r="F2985"/>
      <c r="G2985" t="inlineStr">
        <is>
          <t>lipid class annotation</t>
        </is>
      </c>
      <c r="H2985" t="inlineStr">
        <is>
          <t>S003_AVANTI_PHASE</t>
        </is>
      </c>
      <c r="I2985" t="inlineStr">
        <is>
          <t>curated</t>
        </is>
      </c>
      <c r="J2985">
        <v>0.85</v>
      </c>
      <c r="K2985"/>
    </row>
    <row r="2986">
      <c r="A2986" t="inlineStr">
        <is>
          <t>LIP_SPHINGOMYELIN</t>
        </is>
      </c>
      <c r="B2986" t="inlineStr">
        <is>
          <t>headgroup_type</t>
        </is>
      </c>
      <c r="C2986" t="inlineStr">
        <is>
          <t>phosphocholine</t>
        </is>
      </c>
      <c r="D2986"/>
      <c r="E2986"/>
      <c r="F2986"/>
      <c r="G2986" t="inlineStr">
        <is>
          <t>headgroup annotation</t>
        </is>
      </c>
      <c r="H2986" t="inlineStr">
        <is>
          <t>S003_AVANTI_PHASE</t>
        </is>
      </c>
      <c r="I2986" t="inlineStr">
        <is>
          <t>curated</t>
        </is>
      </c>
      <c r="J2986">
        <v>0.85</v>
      </c>
      <c r="K2986"/>
    </row>
    <row r="2987">
      <c r="A2987" t="inlineStr">
        <is>
          <t>LIP_SPHINGOMYELIN</t>
        </is>
      </c>
      <c r="B2987" t="inlineStr">
        <is>
          <t>charge_type</t>
        </is>
      </c>
      <c r="C2987" t="inlineStr">
        <is>
          <t>neutral/zwitterionic</t>
        </is>
      </c>
      <c r="D2987"/>
      <c r="E2987"/>
      <c r="F2987"/>
      <c r="G2987" t="inlineStr">
        <is>
          <t>nominal at pH 7.4</t>
        </is>
      </c>
      <c r="H2987" t="inlineStr">
        <is>
          <t>S003_AVANTI_PHASE</t>
        </is>
      </c>
      <c r="I2987" t="inlineStr">
        <is>
          <t>curated</t>
        </is>
      </c>
      <c r="J2987">
        <v>0.85</v>
      </c>
      <c r="K2987"/>
    </row>
    <row r="2988">
      <c r="A2988" t="inlineStr">
        <is>
          <t>LIP_SPHINGOMYELIN</t>
        </is>
      </c>
      <c r="B2988" t="inlineStr">
        <is>
          <t>formal_charge</t>
        </is>
      </c>
      <c r="C2988">
        <v>0</v>
      </c>
      <c r="D2988" t="inlineStr">
        <is>
          <t>e</t>
        </is>
      </c>
      <c r="E2988"/>
      <c r="F2988"/>
      <c r="G2988" t="inlineStr">
        <is>
          <t>nominal at pH 7.4</t>
        </is>
      </c>
      <c r="H2988" t="inlineStr">
        <is>
          <t>S003_AVANTI_PHASE</t>
        </is>
      </c>
      <c r="I2988" t="inlineStr">
        <is>
          <t>curated</t>
        </is>
      </c>
      <c r="J2988">
        <v>0.85</v>
      </c>
      <c r="K2988"/>
    </row>
    <row r="2989">
      <c r="A2989" t="inlineStr">
        <is>
          <t>LIP_SPHINGOMYELIN</t>
        </is>
      </c>
      <c r="B2989" t="inlineStr">
        <is>
          <t>tail_1_carbons</t>
        </is>
      </c>
      <c r="C2989">
        <v>18</v>
      </c>
      <c r="D2989" t="inlineStr">
        <is>
          <t>count</t>
        </is>
      </c>
      <c r="E2989"/>
      <c r="F2989"/>
      <c r="G2989" t="inlineStr">
        <is>
          <t>lipid shorthand annotation</t>
        </is>
      </c>
      <c r="H2989" t="inlineStr">
        <is>
          <t>S003_AVANTI_PHASE</t>
        </is>
      </c>
      <c r="I2989" t="inlineStr">
        <is>
          <t>curated</t>
        </is>
      </c>
      <c r="J2989">
        <v>0.86</v>
      </c>
      <c r="K2989"/>
    </row>
    <row r="2990">
      <c r="A2990" t="inlineStr">
        <is>
          <t>LIP_SPHINGOMYELIN</t>
        </is>
      </c>
      <c r="B2990" t="inlineStr">
        <is>
          <t>tail_1_unsaturation</t>
        </is>
      </c>
      <c r="C2990">
        <v>0</v>
      </c>
      <c r="D2990" t="inlineStr">
        <is>
          <t>double_bonds</t>
        </is>
      </c>
      <c r="E2990"/>
      <c r="F2990"/>
      <c r="G2990" t="inlineStr">
        <is>
          <t>lipid shorthand annotation</t>
        </is>
      </c>
      <c r="H2990" t="inlineStr">
        <is>
          <t>S003_AVANTI_PHASE</t>
        </is>
      </c>
      <c r="I2990" t="inlineStr">
        <is>
          <t>curated</t>
        </is>
      </c>
      <c r="J2990">
        <v>0.86</v>
      </c>
      <c r="K2990"/>
    </row>
    <row r="2991">
      <c r="A2991" t="inlineStr">
        <is>
          <t>LIP_SPHINGOMYELIN</t>
        </is>
      </c>
      <c r="B2991" t="inlineStr">
        <is>
          <t>tail_2_carbons</t>
        </is>
      </c>
      <c r="C2991">
        <v>16</v>
      </c>
      <c r="D2991" t="inlineStr">
        <is>
          <t>count</t>
        </is>
      </c>
      <c r="E2991"/>
      <c r="F2991"/>
      <c r="G2991" t="inlineStr">
        <is>
          <t>lipid shorthand annotation</t>
        </is>
      </c>
      <c r="H2991" t="inlineStr">
        <is>
          <t>S003_AVANTI_PHASE</t>
        </is>
      </c>
      <c r="I2991" t="inlineStr">
        <is>
          <t>curated</t>
        </is>
      </c>
      <c r="J2991">
        <v>0.86</v>
      </c>
      <c r="K2991"/>
    </row>
    <row r="2992">
      <c r="A2992" t="inlineStr">
        <is>
          <t>LIP_SPHINGOMYELIN</t>
        </is>
      </c>
      <c r="B2992" t="inlineStr">
        <is>
          <t>tail_2_unsaturation</t>
        </is>
      </c>
      <c r="C2992">
        <v>0</v>
      </c>
      <c r="D2992" t="inlineStr">
        <is>
          <t>double_bonds</t>
        </is>
      </c>
      <c r="E2992"/>
      <c r="F2992"/>
      <c r="G2992" t="inlineStr">
        <is>
          <t>lipid shorthand annotation</t>
        </is>
      </c>
      <c r="H2992" t="inlineStr">
        <is>
          <t>S003_AVANTI_PHASE</t>
        </is>
      </c>
      <c r="I2992" t="inlineStr">
        <is>
          <t>curated</t>
        </is>
      </c>
      <c r="J2992">
        <v>0.86</v>
      </c>
      <c r="K2992"/>
    </row>
    <row r="2993">
      <c r="A2993" t="inlineStr">
        <is>
          <t>LIP_SPHINGOMYELIN</t>
        </is>
      </c>
      <c r="B2993" t="inlineStr">
        <is>
          <t>number_of_tails</t>
        </is>
      </c>
      <c r="C2993">
        <v>2</v>
      </c>
      <c r="D2993" t="inlineStr">
        <is>
          <t>count</t>
        </is>
      </c>
      <c r="E2993"/>
      <c r="F2993"/>
      <c r="G2993" t="inlineStr">
        <is>
          <t>lipid shorthand annotation</t>
        </is>
      </c>
      <c r="H2993" t="inlineStr">
        <is>
          <t>S003_AVANTI_PHASE</t>
        </is>
      </c>
      <c r="I2993" t="inlineStr">
        <is>
          <t>curated</t>
        </is>
      </c>
      <c r="J2993">
        <v>0.86</v>
      </c>
      <c r="K2993"/>
    </row>
    <row r="2994">
      <c r="A2994" t="inlineStr">
        <is>
          <t>LIP_SPHINGOMYELIN</t>
        </is>
      </c>
      <c r="B2994" t="inlineStr">
        <is>
          <t>critical_packing_notes</t>
        </is>
      </c>
      <c r="C2994" t="inlineStr">
        <is>
          <t>bilayer-forming cylindrical lipid</t>
        </is>
      </c>
      <c r="D2994"/>
      <c r="E2994"/>
      <c r="F2994"/>
      <c r="G2994" t="inlineStr">
        <is>
          <t>CPP heuristic</t>
        </is>
      </c>
      <c r="H2994" t="inlineStr">
        <is>
          <t>S014_AULTON</t>
        </is>
      </c>
      <c r="I2994" t="inlineStr">
        <is>
          <t>curated</t>
        </is>
      </c>
      <c r="J2994">
        <v>0.65</v>
      </c>
      <c r="K2994"/>
    </row>
    <row r="2995">
      <c r="A2995" t="inlineStr">
        <is>
          <t>LIP_SPHINGOMYELIN</t>
        </is>
      </c>
      <c r="B2995" t="inlineStr">
        <is>
          <t>membrane_rigidity_contribution</t>
        </is>
      </c>
      <c r="C2995" t="inlineStr">
        <is>
          <t>moderate</t>
        </is>
      </c>
      <c r="D2995"/>
      <c r="E2995"/>
      <c r="F2995"/>
      <c r="G2995" t="inlineStr">
        <is>
          <t>Tm and unsaturation heuristic</t>
        </is>
      </c>
      <c r="H2995" t="inlineStr">
        <is>
          <t>S003_AVANTI_PHASE</t>
        </is>
      </c>
      <c r="I2995" t="inlineStr">
        <is>
          <t>curated</t>
        </is>
      </c>
      <c r="J2995">
        <v>0.65</v>
      </c>
      <c r="K2995"/>
    </row>
    <row r="2996">
      <c r="A2996" t="inlineStr">
        <is>
          <t>LIP_SPHINGOMYELIN</t>
        </is>
      </c>
      <c r="B2996" t="inlineStr">
        <is>
          <t>fusogenic_flag</t>
        </is>
      </c>
      <c r="C2996" t="inlineStr">
        <is>
          <t>no</t>
        </is>
      </c>
      <c r="D2996"/>
      <c r="E2996"/>
      <c r="F2996"/>
      <c r="G2996" t="inlineStr">
        <is>
          <t>role annotation</t>
        </is>
      </c>
      <c r="H2996" t="inlineStr">
        <is>
          <t>S014_AULTON</t>
        </is>
      </c>
      <c r="I2996" t="inlineStr">
        <is>
          <t>curated</t>
        </is>
      </c>
      <c r="J2996">
        <v>0.7</v>
      </c>
      <c r="K2996"/>
    </row>
    <row r="2997">
      <c r="A2997" t="inlineStr">
        <is>
          <t>LIP_SPHINGOMYELIN</t>
        </is>
      </c>
      <c r="B2997" t="inlineStr">
        <is>
          <t>PEGylated_flag</t>
        </is>
      </c>
      <c r="C2997" t="inlineStr">
        <is>
          <t>no</t>
        </is>
      </c>
      <c r="D2997"/>
      <c r="E2997"/>
      <c r="F2997"/>
      <c r="G2997" t="inlineStr">
        <is>
          <t>role annotation</t>
        </is>
      </c>
      <c r="H2997" t="inlineStr">
        <is>
          <t>S014_AULTON</t>
        </is>
      </c>
      <c r="I2997" t="inlineStr">
        <is>
          <t>curated</t>
        </is>
      </c>
      <c r="J2997">
        <v>0.85</v>
      </c>
      <c r="K2997"/>
    </row>
    <row r="2998">
      <c r="A2998" t="inlineStr">
        <is>
          <t>LIP_SPHINGOMYELIN</t>
        </is>
      </c>
      <c r="B2998" t="inlineStr">
        <is>
          <t>ionizable_flag</t>
        </is>
      </c>
      <c r="C2998" t="inlineStr">
        <is>
          <t>no</t>
        </is>
      </c>
      <c r="D2998"/>
      <c r="E2998"/>
      <c r="F2998"/>
      <c r="G2998" t="inlineStr">
        <is>
          <t>role annotation</t>
        </is>
      </c>
      <c r="H2998" t="inlineStr">
        <is>
          <t>S014_AULTON</t>
        </is>
      </c>
      <c r="I2998" t="inlineStr">
        <is>
          <t>curated</t>
        </is>
      </c>
      <c r="J2998">
        <v>0.85</v>
      </c>
      <c r="K2998"/>
    </row>
    <row r="2999">
      <c r="A2999" t="inlineStr">
        <is>
          <t>LIP_SPHINGOMYELIN</t>
        </is>
      </c>
      <c r="B2999" t="inlineStr">
        <is>
          <t>route_suitability</t>
        </is>
      </c>
      <c r="C2999" t="inlineStr">
        <is>
          <t>liposome/LNP; route depends on purity, grade, residual solvents/endotoxin</t>
        </is>
      </c>
      <c r="D2999"/>
      <c r="E2999"/>
      <c r="F2999"/>
      <c r="G2999" t="inlineStr">
        <is>
          <t>route precedent caution</t>
        </is>
      </c>
      <c r="H2999" t="inlineStr">
        <is>
          <t>S008_FDA_IID</t>
        </is>
      </c>
      <c r="I2999" t="inlineStr">
        <is>
          <t>curated</t>
        </is>
      </c>
      <c r="J2999">
        <v>0.55</v>
      </c>
      <c r="K2999"/>
    </row>
    <row r="3000">
      <c r="A3000" t="inlineStr">
        <is>
          <t>LIP_SPHINGOMYELIN</t>
        </is>
      </c>
      <c r="B3000" t="inlineStr">
        <is>
          <t>storage_notes</t>
        </is>
      </c>
      <c r="C3000" t="inlineStr">
        <is>
          <t>store cold, dry, inert gas; protect unsaturated/ionizable lipids from oxidation/hydrolysis</t>
        </is>
      </c>
      <c r="D3000"/>
      <c r="E3000"/>
      <c r="F3000"/>
      <c r="G3000" t="inlineStr">
        <is>
          <t>supplier stability convention</t>
        </is>
      </c>
      <c r="H3000" t="inlineStr">
        <is>
          <t>S003_AVANTI_PHASE</t>
        </is>
      </c>
      <c r="I3000" t="inlineStr">
        <is>
          <t>curated</t>
        </is>
      </c>
      <c r="J3000">
        <v>0.7</v>
      </c>
      <c r="K3000"/>
    </row>
    <row r="3001">
      <c r="A3001" t="inlineStr">
        <is>
          <t>LIP_SPHINGOMYELIN</t>
        </is>
      </c>
      <c r="B3001" t="inlineStr">
        <is>
          <t>phase_transition_temperature_C</t>
        </is>
      </c>
      <c r="C3001">
        <v>37</v>
      </c>
      <c r="D3001" t="inlineStr">
        <is>
          <t>°C</t>
        </is>
      </c>
      <c r="E3001"/>
      <c r="F3001"/>
      <c r="G3001" t="inlineStr">
        <is>
          <t>main transition temperature, DSC/lipid supplier data</t>
        </is>
      </c>
      <c r="H3001" t="inlineStr">
        <is>
          <t>S003_AVANTI_PHASE</t>
        </is>
      </c>
      <c r="I3001" t="inlineStr">
        <is>
          <t>supplier-reported</t>
        </is>
      </c>
      <c r="J3001">
        <v>0.78</v>
      </c>
      <c r="K3001"/>
    </row>
    <row r="3002">
      <c r="A3002" t="inlineStr">
        <is>
          <t>LIP_SPHINGOMYELIN</t>
        </is>
      </c>
      <c r="B3002" t="inlineStr">
        <is>
          <t>Hansen_delta_D</t>
        </is>
      </c>
      <c r="C3002">
        <v>17.5</v>
      </c>
      <c r="D3002" t="inlineStr">
        <is>
          <t>MPa^0.5</t>
        </is>
      </c>
      <c r="E3002"/>
      <c r="F3002"/>
      <c r="G3002" t="inlineStr">
        <is>
          <t>heuristic group-contribution/nearest-neighbour</t>
        </is>
      </c>
      <c r="H3002" t="inlineStr">
        <is>
          <t>S013_EST_HSP_HEURISTIC</t>
        </is>
      </c>
      <c r="I3002" t="inlineStr">
        <is>
          <t>estimated</t>
        </is>
      </c>
      <c r="J3002">
        <v>0.38</v>
      </c>
      <c r="K3002" t="inlineStr">
        <is>
          <t>Provisional HSP for screening; replace with experimental/literature value before model lock.</t>
        </is>
      </c>
    </row>
    <row r="3003">
      <c r="A3003" t="inlineStr">
        <is>
          <t>LIP_SPHINGOMYELIN</t>
        </is>
      </c>
      <c r="B3003" t="inlineStr">
        <is>
          <t>Hansen_delta_P</t>
        </is>
      </c>
      <c r="C3003">
        <v>7.5</v>
      </c>
      <c r="D3003" t="inlineStr">
        <is>
          <t>MPa^0.5</t>
        </is>
      </c>
      <c r="E3003"/>
      <c r="F3003"/>
      <c r="G3003" t="inlineStr">
        <is>
          <t>heuristic group-contribution/nearest-neighbour</t>
        </is>
      </c>
      <c r="H3003" t="inlineStr">
        <is>
          <t>S013_EST_HSP_HEURISTIC</t>
        </is>
      </c>
      <c r="I3003" t="inlineStr">
        <is>
          <t>estimated</t>
        </is>
      </c>
      <c r="J3003">
        <v>0.38</v>
      </c>
      <c r="K3003" t="inlineStr">
        <is>
          <t>Provisional HSP for screening; replace with experimental/literature value before model lock.</t>
        </is>
      </c>
    </row>
    <row r="3004">
      <c r="A3004" t="inlineStr">
        <is>
          <t>LIP_SPHINGOMYELIN</t>
        </is>
      </c>
      <c r="B3004" t="inlineStr">
        <is>
          <t>Hansen_delta_H</t>
        </is>
      </c>
      <c r="C3004">
        <v>10.0</v>
      </c>
      <c r="D3004" t="inlineStr">
        <is>
          <t>MPa^0.5</t>
        </is>
      </c>
      <c r="E3004"/>
      <c r="F3004"/>
      <c r="G3004" t="inlineStr">
        <is>
          <t>heuristic group-contribution/nearest-neighbour</t>
        </is>
      </c>
      <c r="H3004" t="inlineStr">
        <is>
          <t>S013_EST_HSP_HEURISTIC</t>
        </is>
      </c>
      <c r="I3004" t="inlineStr">
        <is>
          <t>estimated</t>
        </is>
      </c>
      <c r="J3004">
        <v>0.38</v>
      </c>
      <c r="K3004" t="inlineStr">
        <is>
          <t>Provisional HSP for screening; replace with experimental/literature value before model lock.</t>
        </is>
      </c>
    </row>
    <row r="3005">
      <c r="A3005" t="inlineStr">
        <is>
          <t>LIP_SPHINGOMYELIN</t>
        </is>
      </c>
      <c r="B3005" t="inlineStr">
        <is>
          <t>Hildebrand_delta_T</t>
        </is>
      </c>
      <c r="C3005">
        <v>21.51</v>
      </c>
      <c r="D3005" t="inlineStr">
        <is>
          <t>MPa^0.5</t>
        </is>
      </c>
      <c r="E3005"/>
      <c r="F3005"/>
      <c r="G3005" t="inlineStr">
        <is>
          <t>sqrt(deltaD^2+deltaP^2+deltaH^2)</t>
        </is>
      </c>
      <c r="H3005" t="inlineStr">
        <is>
          <t>S012_CALCULATED</t>
        </is>
      </c>
      <c r="I3005" t="inlineStr">
        <is>
          <t>calculated</t>
        </is>
      </c>
      <c r="J3005">
        <v>0.43</v>
      </c>
      <c r="K3005" t="inlineStr">
        <is>
          <t>Derived from stored Hansen components.</t>
        </is>
      </c>
    </row>
    <row r="3006">
      <c r="A3006" t="inlineStr">
        <is>
          <t>LIP_SPHINGOMYELIN</t>
        </is>
      </c>
      <c r="B3006" t="inlineStr">
        <is>
          <t>HSP_radius_R0</t>
        </is>
      </c>
      <c r="C3006">
        <v>8.0</v>
      </c>
      <c r="D3006" t="inlineStr">
        <is>
          <t>MPa^0.5</t>
        </is>
      </c>
      <c r="E3006"/>
      <c r="F3006"/>
      <c r="G3006" t="inlineStr">
        <is>
          <t>literature/heuristic solubility sphere</t>
        </is>
      </c>
      <c r="H3006" t="inlineStr">
        <is>
          <t>S013_EST_HSP_HEURISTIC</t>
        </is>
      </c>
      <c r="I3006" t="inlineStr">
        <is>
          <t>estimated</t>
        </is>
      </c>
      <c r="J3006">
        <v>0.38</v>
      </c>
      <c r="K3006" t="inlineStr">
        <is>
          <t>Screening radius only unless experimentally determined.</t>
        </is>
      </c>
    </row>
    <row r="3007">
      <c r="A3007" t="inlineStr">
        <is>
          <t>LIP_SPHINGOMYELIN</t>
        </is>
      </c>
      <c r="B3007" t="inlineStr">
        <is>
          <t>molar_volume_cm3_mol</t>
        </is>
      </c>
      <c r="C3007">
        <v>703.0</v>
      </c>
      <c r="D3007" t="inlineStr">
        <is>
          <t>cm3/mol</t>
        </is>
      </c>
      <c r="E3007"/>
      <c r="F3007"/>
      <c r="G3007" t="inlineStr">
        <is>
          <t>MW/density estimate</t>
        </is>
      </c>
      <c r="H3007" t="inlineStr">
        <is>
          <t>S012_CALCULATED</t>
        </is>
      </c>
      <c r="I3007" t="inlineStr">
        <is>
          <t>estimated</t>
        </is>
      </c>
      <c r="J3007">
        <v>0.42</v>
      </c>
      <c r="K3007" t="inlineStr">
        <is>
          <t>Estimated from MW/density; replace with measured molar volume or density-specific grade data.</t>
        </is>
      </c>
    </row>
    <row r="3008">
      <c r="A3008" t="inlineStr">
        <is>
          <t>LIP_SPHINGOMYELIN</t>
        </is>
      </c>
      <c r="B3008" t="inlineStr">
        <is>
          <t>headgroup_area_nm2</t>
        </is>
      </c>
      <c r="C3008">
        <v>0.62</v>
      </c>
      <c r="D3008" t="inlineStr">
        <is>
          <t>nm2</t>
        </is>
      </c>
      <c r="E3008"/>
      <c r="F3008"/>
      <c r="G3008" t="inlineStr">
        <is>
          <t>literature/MD heuristic</t>
        </is>
      </c>
      <c r="H3008" t="inlineStr">
        <is>
          <t>S013_EST_HSP_HEURISTIC</t>
        </is>
      </c>
      <c r="I3008" t="inlineStr">
        <is>
          <t>estimated</t>
        </is>
      </c>
      <c r="J3008">
        <v>0.35</v>
      </c>
      <c r="K3008" t="inlineStr">
        <is>
          <t>Area per lipid varies with phase, temperature, cholesterol, hydration, and force field.</t>
        </is>
      </c>
    </row>
    <row r="3009">
      <c r="A3009" t="inlineStr">
        <is>
          <t>LIP_CERAMIDE</t>
        </is>
      </c>
      <c r="B3009" t="inlineStr">
        <is>
          <t>molecular_weight_g_mol</t>
        </is>
      </c>
      <c r="C3009">
        <v>537</v>
      </c>
      <c r="D3009" t="inlineStr">
        <is>
          <t>g/mol</t>
        </is>
      </c>
      <c r="E3009"/>
      <c r="F3009"/>
      <c r="G3009" t="inlineStr">
        <is>
          <t>LIPID MAPS/supplier formula or average grade MW</t>
        </is>
      </c>
      <c r="H3009" t="inlineStr">
        <is>
          <t>S004_LIPIDMAPS</t>
        </is>
      </c>
      <c r="I3009" t="inlineStr">
        <is>
          <t>database-derived</t>
        </is>
      </c>
      <c r="J3009">
        <v>0.78</v>
      </c>
      <c r="K3009"/>
    </row>
    <row r="3010">
      <c r="A3010" t="inlineStr">
        <is>
          <t>LIP_CERAMIDE</t>
        </is>
      </c>
      <c r="B3010" t="inlineStr">
        <is>
          <t>lipid_class</t>
        </is>
      </c>
      <c r="C3010" t="inlineStr">
        <is>
          <t>sphingolipid</t>
        </is>
      </c>
      <c r="D3010"/>
      <c r="E3010"/>
      <c r="F3010"/>
      <c r="G3010" t="inlineStr">
        <is>
          <t>lipid class annotation</t>
        </is>
      </c>
      <c r="H3010" t="inlineStr">
        <is>
          <t>S003_AVANTI_PHASE</t>
        </is>
      </c>
      <c r="I3010" t="inlineStr">
        <is>
          <t>curated</t>
        </is>
      </c>
      <c r="J3010">
        <v>0.85</v>
      </c>
      <c r="K3010"/>
    </row>
    <row r="3011">
      <c r="A3011" t="inlineStr">
        <is>
          <t>LIP_CERAMIDE</t>
        </is>
      </c>
      <c r="B3011" t="inlineStr">
        <is>
          <t>headgroup_type</t>
        </is>
      </c>
      <c r="C3011" t="inlineStr">
        <is>
          <t>amide/alcohol</t>
        </is>
      </c>
      <c r="D3011"/>
      <c r="E3011"/>
      <c r="F3011"/>
      <c r="G3011" t="inlineStr">
        <is>
          <t>headgroup annotation</t>
        </is>
      </c>
      <c r="H3011" t="inlineStr">
        <is>
          <t>S003_AVANTI_PHASE</t>
        </is>
      </c>
      <c r="I3011" t="inlineStr">
        <is>
          <t>curated</t>
        </is>
      </c>
      <c r="J3011">
        <v>0.85</v>
      </c>
      <c r="K3011"/>
    </row>
    <row r="3012">
      <c r="A3012" t="inlineStr">
        <is>
          <t>LIP_CERAMIDE</t>
        </is>
      </c>
      <c r="B3012" t="inlineStr">
        <is>
          <t>charge_type</t>
        </is>
      </c>
      <c r="C3012" t="inlineStr">
        <is>
          <t>neutral/zwitterionic</t>
        </is>
      </c>
      <c r="D3012"/>
      <c r="E3012"/>
      <c r="F3012"/>
      <c r="G3012" t="inlineStr">
        <is>
          <t>nominal at pH 7.4</t>
        </is>
      </c>
      <c r="H3012" t="inlineStr">
        <is>
          <t>S003_AVANTI_PHASE</t>
        </is>
      </c>
      <c r="I3012" t="inlineStr">
        <is>
          <t>curated</t>
        </is>
      </c>
      <c r="J3012">
        <v>0.85</v>
      </c>
      <c r="K3012"/>
    </row>
    <row r="3013">
      <c r="A3013" t="inlineStr">
        <is>
          <t>LIP_CERAMIDE</t>
        </is>
      </c>
      <c r="B3013" t="inlineStr">
        <is>
          <t>formal_charge</t>
        </is>
      </c>
      <c r="C3013">
        <v>0</v>
      </c>
      <c r="D3013" t="inlineStr">
        <is>
          <t>e</t>
        </is>
      </c>
      <c r="E3013"/>
      <c r="F3013"/>
      <c r="G3013" t="inlineStr">
        <is>
          <t>nominal at pH 7.4</t>
        </is>
      </c>
      <c r="H3013" t="inlineStr">
        <is>
          <t>S003_AVANTI_PHASE</t>
        </is>
      </c>
      <c r="I3013" t="inlineStr">
        <is>
          <t>curated</t>
        </is>
      </c>
      <c r="J3013">
        <v>0.85</v>
      </c>
      <c r="K3013"/>
    </row>
    <row r="3014">
      <c r="A3014" t="inlineStr">
        <is>
          <t>LIP_CERAMIDE</t>
        </is>
      </c>
      <c r="B3014" t="inlineStr">
        <is>
          <t>tail_1_carbons</t>
        </is>
      </c>
      <c r="C3014">
        <v>18</v>
      </c>
      <c r="D3014" t="inlineStr">
        <is>
          <t>count</t>
        </is>
      </c>
      <c r="E3014"/>
      <c r="F3014"/>
      <c r="G3014" t="inlineStr">
        <is>
          <t>lipid shorthand annotation</t>
        </is>
      </c>
      <c r="H3014" t="inlineStr">
        <is>
          <t>S003_AVANTI_PHASE</t>
        </is>
      </c>
      <c r="I3014" t="inlineStr">
        <is>
          <t>curated</t>
        </is>
      </c>
      <c r="J3014">
        <v>0.86</v>
      </c>
      <c r="K3014"/>
    </row>
    <row r="3015">
      <c r="A3015" t="inlineStr">
        <is>
          <t>LIP_CERAMIDE</t>
        </is>
      </c>
      <c r="B3015" t="inlineStr">
        <is>
          <t>tail_1_unsaturation</t>
        </is>
      </c>
      <c r="C3015">
        <v>0</v>
      </c>
      <c r="D3015" t="inlineStr">
        <is>
          <t>double_bonds</t>
        </is>
      </c>
      <c r="E3015"/>
      <c r="F3015"/>
      <c r="G3015" t="inlineStr">
        <is>
          <t>lipid shorthand annotation</t>
        </is>
      </c>
      <c r="H3015" t="inlineStr">
        <is>
          <t>S003_AVANTI_PHASE</t>
        </is>
      </c>
      <c r="I3015" t="inlineStr">
        <is>
          <t>curated</t>
        </is>
      </c>
      <c r="J3015">
        <v>0.86</v>
      </c>
      <c r="K3015"/>
    </row>
    <row r="3016">
      <c r="A3016" t="inlineStr">
        <is>
          <t>LIP_CERAMIDE</t>
        </is>
      </c>
      <c r="B3016" t="inlineStr">
        <is>
          <t>tail_2_carbons</t>
        </is>
      </c>
      <c r="C3016">
        <v>16</v>
      </c>
      <c r="D3016" t="inlineStr">
        <is>
          <t>count</t>
        </is>
      </c>
      <c r="E3016"/>
      <c r="F3016"/>
      <c r="G3016" t="inlineStr">
        <is>
          <t>lipid shorthand annotation</t>
        </is>
      </c>
      <c r="H3016" t="inlineStr">
        <is>
          <t>S003_AVANTI_PHASE</t>
        </is>
      </c>
      <c r="I3016" t="inlineStr">
        <is>
          <t>curated</t>
        </is>
      </c>
      <c r="J3016">
        <v>0.86</v>
      </c>
      <c r="K3016"/>
    </row>
    <row r="3017">
      <c r="A3017" t="inlineStr">
        <is>
          <t>LIP_CERAMIDE</t>
        </is>
      </c>
      <c r="B3017" t="inlineStr">
        <is>
          <t>tail_2_unsaturation</t>
        </is>
      </c>
      <c r="C3017">
        <v>0</v>
      </c>
      <c r="D3017" t="inlineStr">
        <is>
          <t>double_bonds</t>
        </is>
      </c>
      <c r="E3017"/>
      <c r="F3017"/>
      <c r="G3017" t="inlineStr">
        <is>
          <t>lipid shorthand annotation</t>
        </is>
      </c>
      <c r="H3017" t="inlineStr">
        <is>
          <t>S003_AVANTI_PHASE</t>
        </is>
      </c>
      <c r="I3017" t="inlineStr">
        <is>
          <t>curated</t>
        </is>
      </c>
      <c r="J3017">
        <v>0.86</v>
      </c>
      <c r="K3017"/>
    </row>
    <row r="3018">
      <c r="A3018" t="inlineStr">
        <is>
          <t>LIP_CERAMIDE</t>
        </is>
      </c>
      <c r="B3018" t="inlineStr">
        <is>
          <t>number_of_tails</t>
        </is>
      </c>
      <c r="C3018">
        <v>2</v>
      </c>
      <c r="D3018" t="inlineStr">
        <is>
          <t>count</t>
        </is>
      </c>
      <c r="E3018"/>
      <c r="F3018"/>
      <c r="G3018" t="inlineStr">
        <is>
          <t>lipid shorthand annotation</t>
        </is>
      </c>
      <c r="H3018" t="inlineStr">
        <is>
          <t>S003_AVANTI_PHASE</t>
        </is>
      </c>
      <c r="I3018" t="inlineStr">
        <is>
          <t>curated</t>
        </is>
      </c>
      <c r="J3018">
        <v>0.86</v>
      </c>
      <c r="K3018"/>
    </row>
    <row r="3019">
      <c r="A3019" t="inlineStr">
        <is>
          <t>LIP_CERAMIDE</t>
        </is>
      </c>
      <c r="B3019" t="inlineStr">
        <is>
          <t>critical_packing_notes</t>
        </is>
      </c>
      <c r="C3019" t="inlineStr">
        <is>
          <t>bilayer-forming cylindrical lipid</t>
        </is>
      </c>
      <c r="D3019"/>
      <c r="E3019"/>
      <c r="F3019"/>
      <c r="G3019" t="inlineStr">
        <is>
          <t>CPP heuristic</t>
        </is>
      </c>
      <c r="H3019" t="inlineStr">
        <is>
          <t>S014_AULTON</t>
        </is>
      </c>
      <c r="I3019" t="inlineStr">
        <is>
          <t>curated</t>
        </is>
      </c>
      <c r="J3019">
        <v>0.65</v>
      </c>
      <c r="K3019"/>
    </row>
    <row r="3020">
      <c r="A3020" t="inlineStr">
        <is>
          <t>LIP_CERAMIDE</t>
        </is>
      </c>
      <c r="B3020" t="inlineStr">
        <is>
          <t>membrane_rigidity_contribution</t>
        </is>
      </c>
      <c r="C3020" t="inlineStr">
        <is>
          <t>high</t>
        </is>
      </c>
      <c r="D3020"/>
      <c r="E3020"/>
      <c r="F3020"/>
      <c r="G3020" t="inlineStr">
        <is>
          <t>Tm and unsaturation heuristic</t>
        </is>
      </c>
      <c r="H3020" t="inlineStr">
        <is>
          <t>S003_AVANTI_PHASE</t>
        </is>
      </c>
      <c r="I3020" t="inlineStr">
        <is>
          <t>curated</t>
        </is>
      </c>
      <c r="J3020">
        <v>0.65</v>
      </c>
      <c r="K3020"/>
    </row>
    <row r="3021">
      <c r="A3021" t="inlineStr">
        <is>
          <t>LIP_CERAMIDE</t>
        </is>
      </c>
      <c r="B3021" t="inlineStr">
        <is>
          <t>fusogenic_flag</t>
        </is>
      </c>
      <c r="C3021" t="inlineStr">
        <is>
          <t>no</t>
        </is>
      </c>
      <c r="D3021"/>
      <c r="E3021"/>
      <c r="F3021"/>
      <c r="G3021" t="inlineStr">
        <is>
          <t>role annotation</t>
        </is>
      </c>
      <c r="H3021" t="inlineStr">
        <is>
          <t>S014_AULTON</t>
        </is>
      </c>
      <c r="I3021" t="inlineStr">
        <is>
          <t>curated</t>
        </is>
      </c>
      <c r="J3021">
        <v>0.7</v>
      </c>
      <c r="K3021"/>
    </row>
    <row r="3022">
      <c r="A3022" t="inlineStr">
        <is>
          <t>LIP_CERAMIDE</t>
        </is>
      </c>
      <c r="B3022" t="inlineStr">
        <is>
          <t>PEGylated_flag</t>
        </is>
      </c>
      <c r="C3022" t="inlineStr">
        <is>
          <t>no</t>
        </is>
      </c>
      <c r="D3022"/>
      <c r="E3022"/>
      <c r="F3022"/>
      <c r="G3022" t="inlineStr">
        <is>
          <t>role annotation</t>
        </is>
      </c>
      <c r="H3022" t="inlineStr">
        <is>
          <t>S014_AULTON</t>
        </is>
      </c>
      <c r="I3022" t="inlineStr">
        <is>
          <t>curated</t>
        </is>
      </c>
      <c r="J3022">
        <v>0.85</v>
      </c>
      <c r="K3022"/>
    </row>
    <row r="3023">
      <c r="A3023" t="inlineStr">
        <is>
          <t>LIP_CERAMIDE</t>
        </is>
      </c>
      <c r="B3023" t="inlineStr">
        <is>
          <t>ionizable_flag</t>
        </is>
      </c>
      <c r="C3023" t="inlineStr">
        <is>
          <t>no</t>
        </is>
      </c>
      <c r="D3023"/>
      <c r="E3023"/>
      <c r="F3023"/>
      <c r="G3023" t="inlineStr">
        <is>
          <t>role annotation</t>
        </is>
      </c>
      <c r="H3023" t="inlineStr">
        <is>
          <t>S014_AULTON</t>
        </is>
      </c>
      <c r="I3023" t="inlineStr">
        <is>
          <t>curated</t>
        </is>
      </c>
      <c r="J3023">
        <v>0.85</v>
      </c>
      <c r="K3023"/>
    </row>
    <row r="3024">
      <c r="A3024" t="inlineStr">
        <is>
          <t>LIP_CERAMIDE</t>
        </is>
      </c>
      <c r="B3024" t="inlineStr">
        <is>
          <t>route_suitability</t>
        </is>
      </c>
      <c r="C3024" t="inlineStr">
        <is>
          <t>liposome/LNP; route depends on purity, grade, residual solvents/endotoxin</t>
        </is>
      </c>
      <c r="D3024"/>
      <c r="E3024"/>
      <c r="F3024"/>
      <c r="G3024" t="inlineStr">
        <is>
          <t>route precedent caution</t>
        </is>
      </c>
      <c r="H3024" t="inlineStr">
        <is>
          <t>S008_FDA_IID</t>
        </is>
      </c>
      <c r="I3024" t="inlineStr">
        <is>
          <t>curated</t>
        </is>
      </c>
      <c r="J3024">
        <v>0.55</v>
      </c>
      <c r="K3024"/>
    </row>
    <row r="3025">
      <c r="A3025" t="inlineStr">
        <is>
          <t>LIP_CERAMIDE</t>
        </is>
      </c>
      <c r="B3025" t="inlineStr">
        <is>
          <t>storage_notes</t>
        </is>
      </c>
      <c r="C3025" t="inlineStr">
        <is>
          <t>store cold, dry, inert gas; protect unsaturated/ionizable lipids from oxidation/hydrolysis</t>
        </is>
      </c>
      <c r="D3025"/>
      <c r="E3025"/>
      <c r="F3025"/>
      <c r="G3025" t="inlineStr">
        <is>
          <t>supplier stability convention</t>
        </is>
      </c>
      <c r="H3025" t="inlineStr">
        <is>
          <t>S003_AVANTI_PHASE</t>
        </is>
      </c>
      <c r="I3025" t="inlineStr">
        <is>
          <t>curated</t>
        </is>
      </c>
      <c r="J3025">
        <v>0.7</v>
      </c>
      <c r="K3025"/>
    </row>
    <row r="3026">
      <c r="A3026" t="inlineStr">
        <is>
          <t>LIP_CERAMIDE</t>
        </is>
      </c>
      <c r="B3026" t="inlineStr">
        <is>
          <t>phase_transition_temperature_C</t>
        </is>
      </c>
      <c r="C3026">
        <v>90</v>
      </c>
      <c r="D3026" t="inlineStr">
        <is>
          <t>°C</t>
        </is>
      </c>
      <c r="E3026"/>
      <c r="F3026"/>
      <c r="G3026" t="inlineStr">
        <is>
          <t>main transition temperature, DSC/lipid supplier data</t>
        </is>
      </c>
      <c r="H3026" t="inlineStr">
        <is>
          <t>S003_AVANTI_PHASE</t>
        </is>
      </c>
      <c r="I3026" t="inlineStr">
        <is>
          <t>supplier-reported</t>
        </is>
      </c>
      <c r="J3026">
        <v>0.78</v>
      </c>
      <c r="K3026"/>
    </row>
    <row r="3027">
      <c r="A3027" t="inlineStr">
        <is>
          <t>LIP_CERAMIDE</t>
        </is>
      </c>
      <c r="B3027" t="inlineStr">
        <is>
          <t>Hansen_delta_D</t>
        </is>
      </c>
      <c r="C3027">
        <v>17.5</v>
      </c>
      <c r="D3027" t="inlineStr">
        <is>
          <t>MPa^0.5</t>
        </is>
      </c>
      <c r="E3027"/>
      <c r="F3027"/>
      <c r="G3027" t="inlineStr">
        <is>
          <t>heuristic group-contribution/nearest-neighbour</t>
        </is>
      </c>
      <c r="H3027" t="inlineStr">
        <is>
          <t>S013_EST_HSP_HEURISTIC</t>
        </is>
      </c>
      <c r="I3027" t="inlineStr">
        <is>
          <t>estimated</t>
        </is>
      </c>
      <c r="J3027">
        <v>0.38</v>
      </c>
      <c r="K3027" t="inlineStr">
        <is>
          <t>Provisional HSP for screening; replace with experimental/literature value before model lock.</t>
        </is>
      </c>
    </row>
    <row r="3028">
      <c r="A3028" t="inlineStr">
        <is>
          <t>LIP_CERAMIDE</t>
        </is>
      </c>
      <c r="B3028" t="inlineStr">
        <is>
          <t>Hansen_delta_P</t>
        </is>
      </c>
      <c r="C3028">
        <v>7.5</v>
      </c>
      <c r="D3028" t="inlineStr">
        <is>
          <t>MPa^0.5</t>
        </is>
      </c>
      <c r="E3028"/>
      <c r="F3028"/>
      <c r="G3028" t="inlineStr">
        <is>
          <t>heuristic group-contribution/nearest-neighbour</t>
        </is>
      </c>
      <c r="H3028" t="inlineStr">
        <is>
          <t>S013_EST_HSP_HEURISTIC</t>
        </is>
      </c>
      <c r="I3028" t="inlineStr">
        <is>
          <t>estimated</t>
        </is>
      </c>
      <c r="J3028">
        <v>0.38</v>
      </c>
      <c r="K3028" t="inlineStr">
        <is>
          <t>Provisional HSP for screening; replace with experimental/literature value before model lock.</t>
        </is>
      </c>
    </row>
    <row r="3029">
      <c r="A3029" t="inlineStr">
        <is>
          <t>LIP_CERAMIDE</t>
        </is>
      </c>
      <c r="B3029" t="inlineStr">
        <is>
          <t>Hansen_delta_H</t>
        </is>
      </c>
      <c r="C3029">
        <v>10.0</v>
      </c>
      <c r="D3029" t="inlineStr">
        <is>
          <t>MPa^0.5</t>
        </is>
      </c>
      <c r="E3029"/>
      <c r="F3029"/>
      <c r="G3029" t="inlineStr">
        <is>
          <t>heuristic group-contribution/nearest-neighbour</t>
        </is>
      </c>
      <c r="H3029" t="inlineStr">
        <is>
          <t>S013_EST_HSP_HEURISTIC</t>
        </is>
      </c>
      <c r="I3029" t="inlineStr">
        <is>
          <t>estimated</t>
        </is>
      </c>
      <c r="J3029">
        <v>0.38</v>
      </c>
      <c r="K3029" t="inlineStr">
        <is>
          <t>Provisional HSP for screening; replace with experimental/literature value before model lock.</t>
        </is>
      </c>
    </row>
    <row r="3030">
      <c r="A3030" t="inlineStr">
        <is>
          <t>LIP_CERAMIDE</t>
        </is>
      </c>
      <c r="B3030" t="inlineStr">
        <is>
          <t>Hildebrand_delta_T</t>
        </is>
      </c>
      <c r="C3030">
        <v>21.51</v>
      </c>
      <c r="D3030" t="inlineStr">
        <is>
          <t>MPa^0.5</t>
        </is>
      </c>
      <c r="E3030"/>
      <c r="F3030"/>
      <c r="G3030" t="inlineStr">
        <is>
          <t>sqrt(deltaD^2+deltaP^2+deltaH^2)</t>
        </is>
      </c>
      <c r="H3030" t="inlineStr">
        <is>
          <t>S012_CALCULATED</t>
        </is>
      </c>
      <c r="I3030" t="inlineStr">
        <is>
          <t>calculated</t>
        </is>
      </c>
      <c r="J3030">
        <v>0.43</v>
      </c>
      <c r="K3030" t="inlineStr">
        <is>
          <t>Derived from stored Hansen components.</t>
        </is>
      </c>
    </row>
    <row r="3031">
      <c r="A3031" t="inlineStr">
        <is>
          <t>LIP_CERAMIDE</t>
        </is>
      </c>
      <c r="B3031" t="inlineStr">
        <is>
          <t>HSP_radius_R0</t>
        </is>
      </c>
      <c r="C3031">
        <v>8.0</v>
      </c>
      <c r="D3031" t="inlineStr">
        <is>
          <t>MPa^0.5</t>
        </is>
      </c>
      <c r="E3031"/>
      <c r="F3031"/>
      <c r="G3031" t="inlineStr">
        <is>
          <t>literature/heuristic solubility sphere</t>
        </is>
      </c>
      <c r="H3031" t="inlineStr">
        <is>
          <t>S013_EST_HSP_HEURISTIC</t>
        </is>
      </c>
      <c r="I3031" t="inlineStr">
        <is>
          <t>estimated</t>
        </is>
      </c>
      <c r="J3031">
        <v>0.38</v>
      </c>
      <c r="K3031" t="inlineStr">
        <is>
          <t>Screening radius only unless experimentally determined.</t>
        </is>
      </c>
    </row>
    <row r="3032">
      <c r="A3032" t="inlineStr">
        <is>
          <t>LIP_CERAMIDE</t>
        </is>
      </c>
      <c r="B3032" t="inlineStr">
        <is>
          <t>molar_volume_cm3_mol</t>
        </is>
      </c>
      <c r="C3032">
        <v>537.0</v>
      </c>
      <c r="D3032" t="inlineStr">
        <is>
          <t>cm3/mol</t>
        </is>
      </c>
      <c r="E3032"/>
      <c r="F3032"/>
      <c r="G3032" t="inlineStr">
        <is>
          <t>MW/density estimate</t>
        </is>
      </c>
      <c r="H3032" t="inlineStr">
        <is>
          <t>S012_CALCULATED</t>
        </is>
      </c>
      <c r="I3032" t="inlineStr">
        <is>
          <t>estimated</t>
        </is>
      </c>
      <c r="J3032">
        <v>0.42</v>
      </c>
      <c r="K3032" t="inlineStr">
        <is>
          <t>Estimated from MW/density; replace with measured molar volume or density-specific grade data.</t>
        </is>
      </c>
    </row>
    <row r="3033">
      <c r="A3033" t="inlineStr">
        <is>
          <t>LIP_CERAMIDE</t>
        </is>
      </c>
      <c r="B3033" t="inlineStr">
        <is>
          <t>headgroup_area_nm2</t>
        </is>
      </c>
      <c r="C3033">
        <v>0.62</v>
      </c>
      <c r="D3033" t="inlineStr">
        <is>
          <t>nm2</t>
        </is>
      </c>
      <c r="E3033"/>
      <c r="F3033"/>
      <c r="G3033" t="inlineStr">
        <is>
          <t>literature/MD heuristic</t>
        </is>
      </c>
      <c r="H3033" t="inlineStr">
        <is>
          <t>S013_EST_HSP_HEURISTIC</t>
        </is>
      </c>
      <c r="I3033" t="inlineStr">
        <is>
          <t>estimated</t>
        </is>
      </c>
      <c r="J3033">
        <v>0.35</v>
      </c>
      <c r="K3033" t="inlineStr">
        <is>
          <t>Area per lipid varies with phase, temperature, cholesterol, hydration, and force field.</t>
        </is>
      </c>
    </row>
    <row r="3034">
      <c r="A3034" t="inlineStr">
        <is>
          <t>LIP_GLUCOSYLCERAMIDE</t>
        </is>
      </c>
      <c r="B3034" t="inlineStr">
        <is>
          <t>molecular_weight_g_mol</t>
        </is>
      </c>
      <c r="C3034">
        <v>700</v>
      </c>
      <c r="D3034" t="inlineStr">
        <is>
          <t>g/mol</t>
        </is>
      </c>
      <c r="E3034"/>
      <c r="F3034"/>
      <c r="G3034" t="inlineStr">
        <is>
          <t>LIPID MAPS/supplier formula or average grade MW</t>
        </is>
      </c>
      <c r="H3034" t="inlineStr">
        <is>
          <t>S004_LIPIDMAPS</t>
        </is>
      </c>
      <c r="I3034" t="inlineStr">
        <is>
          <t>database-derived</t>
        </is>
      </c>
      <c r="J3034">
        <v>0.78</v>
      </c>
      <c r="K3034"/>
    </row>
    <row r="3035">
      <c r="A3035" t="inlineStr">
        <is>
          <t>LIP_GLUCOSYLCERAMIDE</t>
        </is>
      </c>
      <c r="B3035" t="inlineStr">
        <is>
          <t>lipid_class</t>
        </is>
      </c>
      <c r="C3035" t="inlineStr">
        <is>
          <t>glycosphingolipid</t>
        </is>
      </c>
      <c r="D3035"/>
      <c r="E3035"/>
      <c r="F3035"/>
      <c r="G3035" t="inlineStr">
        <is>
          <t>lipid class annotation</t>
        </is>
      </c>
      <c r="H3035" t="inlineStr">
        <is>
          <t>S003_AVANTI_PHASE</t>
        </is>
      </c>
      <c r="I3035" t="inlineStr">
        <is>
          <t>curated</t>
        </is>
      </c>
      <c r="J3035">
        <v>0.85</v>
      </c>
      <c r="K3035"/>
    </row>
    <row r="3036">
      <c r="A3036" t="inlineStr">
        <is>
          <t>LIP_GLUCOSYLCERAMIDE</t>
        </is>
      </c>
      <c r="B3036" t="inlineStr">
        <is>
          <t>headgroup_type</t>
        </is>
      </c>
      <c r="C3036" t="inlineStr">
        <is>
          <t>glucose</t>
        </is>
      </c>
      <c r="D3036"/>
      <c r="E3036"/>
      <c r="F3036"/>
      <c r="G3036" t="inlineStr">
        <is>
          <t>headgroup annotation</t>
        </is>
      </c>
      <c r="H3036" t="inlineStr">
        <is>
          <t>S003_AVANTI_PHASE</t>
        </is>
      </c>
      <c r="I3036" t="inlineStr">
        <is>
          <t>curated</t>
        </is>
      </c>
      <c r="J3036">
        <v>0.85</v>
      </c>
      <c r="K3036"/>
    </row>
    <row r="3037">
      <c r="A3037" t="inlineStr">
        <is>
          <t>LIP_GLUCOSYLCERAMIDE</t>
        </is>
      </c>
      <c r="B3037" t="inlineStr">
        <is>
          <t>charge_type</t>
        </is>
      </c>
      <c r="C3037" t="inlineStr">
        <is>
          <t>neutral/zwitterionic</t>
        </is>
      </c>
      <c r="D3037"/>
      <c r="E3037"/>
      <c r="F3037"/>
      <c r="G3037" t="inlineStr">
        <is>
          <t>nominal at pH 7.4</t>
        </is>
      </c>
      <c r="H3037" t="inlineStr">
        <is>
          <t>S003_AVANTI_PHASE</t>
        </is>
      </c>
      <c r="I3037" t="inlineStr">
        <is>
          <t>curated</t>
        </is>
      </c>
      <c r="J3037">
        <v>0.85</v>
      </c>
      <c r="K3037"/>
    </row>
    <row r="3038">
      <c r="A3038" t="inlineStr">
        <is>
          <t>LIP_GLUCOSYLCERAMIDE</t>
        </is>
      </c>
      <c r="B3038" t="inlineStr">
        <is>
          <t>formal_charge</t>
        </is>
      </c>
      <c r="C3038">
        <v>0</v>
      </c>
      <c r="D3038" t="inlineStr">
        <is>
          <t>e</t>
        </is>
      </c>
      <c r="E3038"/>
      <c r="F3038"/>
      <c r="G3038" t="inlineStr">
        <is>
          <t>nominal at pH 7.4</t>
        </is>
      </c>
      <c r="H3038" t="inlineStr">
        <is>
          <t>S003_AVANTI_PHASE</t>
        </is>
      </c>
      <c r="I3038" t="inlineStr">
        <is>
          <t>curated</t>
        </is>
      </c>
      <c r="J3038">
        <v>0.85</v>
      </c>
      <c r="K3038"/>
    </row>
    <row r="3039">
      <c r="A3039" t="inlineStr">
        <is>
          <t>LIP_GLUCOSYLCERAMIDE</t>
        </is>
      </c>
      <c r="B3039" t="inlineStr">
        <is>
          <t>tail_1_carbons</t>
        </is>
      </c>
      <c r="C3039">
        <v>18</v>
      </c>
      <c r="D3039" t="inlineStr">
        <is>
          <t>count</t>
        </is>
      </c>
      <c r="E3039"/>
      <c r="F3039"/>
      <c r="G3039" t="inlineStr">
        <is>
          <t>lipid shorthand annotation</t>
        </is>
      </c>
      <c r="H3039" t="inlineStr">
        <is>
          <t>S003_AVANTI_PHASE</t>
        </is>
      </c>
      <c r="I3039" t="inlineStr">
        <is>
          <t>curated</t>
        </is>
      </c>
      <c r="J3039">
        <v>0.86</v>
      </c>
      <c r="K3039"/>
    </row>
    <row r="3040">
      <c r="A3040" t="inlineStr">
        <is>
          <t>LIP_GLUCOSYLCERAMIDE</t>
        </is>
      </c>
      <c r="B3040" t="inlineStr">
        <is>
          <t>tail_1_unsaturation</t>
        </is>
      </c>
      <c r="C3040">
        <v>0</v>
      </c>
      <c r="D3040" t="inlineStr">
        <is>
          <t>double_bonds</t>
        </is>
      </c>
      <c r="E3040"/>
      <c r="F3040"/>
      <c r="G3040" t="inlineStr">
        <is>
          <t>lipid shorthand annotation</t>
        </is>
      </c>
      <c r="H3040" t="inlineStr">
        <is>
          <t>S003_AVANTI_PHASE</t>
        </is>
      </c>
      <c r="I3040" t="inlineStr">
        <is>
          <t>curated</t>
        </is>
      </c>
      <c r="J3040">
        <v>0.86</v>
      </c>
      <c r="K3040"/>
    </row>
    <row r="3041">
      <c r="A3041" t="inlineStr">
        <is>
          <t>LIP_GLUCOSYLCERAMIDE</t>
        </is>
      </c>
      <c r="B3041" t="inlineStr">
        <is>
          <t>tail_2_carbons</t>
        </is>
      </c>
      <c r="C3041">
        <v>16</v>
      </c>
      <c r="D3041" t="inlineStr">
        <is>
          <t>count</t>
        </is>
      </c>
      <c r="E3041"/>
      <c r="F3041"/>
      <c r="G3041" t="inlineStr">
        <is>
          <t>lipid shorthand annotation</t>
        </is>
      </c>
      <c r="H3041" t="inlineStr">
        <is>
          <t>S003_AVANTI_PHASE</t>
        </is>
      </c>
      <c r="I3041" t="inlineStr">
        <is>
          <t>curated</t>
        </is>
      </c>
      <c r="J3041">
        <v>0.86</v>
      </c>
      <c r="K3041"/>
    </row>
    <row r="3042">
      <c r="A3042" t="inlineStr">
        <is>
          <t>LIP_GLUCOSYLCERAMIDE</t>
        </is>
      </c>
      <c r="B3042" t="inlineStr">
        <is>
          <t>tail_2_unsaturation</t>
        </is>
      </c>
      <c r="C3042">
        <v>0</v>
      </c>
      <c r="D3042" t="inlineStr">
        <is>
          <t>double_bonds</t>
        </is>
      </c>
      <c r="E3042"/>
      <c r="F3042"/>
      <c r="G3042" t="inlineStr">
        <is>
          <t>lipid shorthand annotation</t>
        </is>
      </c>
      <c r="H3042" t="inlineStr">
        <is>
          <t>S003_AVANTI_PHASE</t>
        </is>
      </c>
      <c r="I3042" t="inlineStr">
        <is>
          <t>curated</t>
        </is>
      </c>
      <c r="J3042">
        <v>0.86</v>
      </c>
      <c r="K3042"/>
    </row>
    <row r="3043">
      <c r="A3043" t="inlineStr">
        <is>
          <t>LIP_GLUCOSYLCERAMIDE</t>
        </is>
      </c>
      <c r="B3043" t="inlineStr">
        <is>
          <t>number_of_tails</t>
        </is>
      </c>
      <c r="C3043">
        <v>2</v>
      </c>
      <c r="D3043" t="inlineStr">
        <is>
          <t>count</t>
        </is>
      </c>
      <c r="E3043"/>
      <c r="F3043"/>
      <c r="G3043" t="inlineStr">
        <is>
          <t>lipid shorthand annotation</t>
        </is>
      </c>
      <c r="H3043" t="inlineStr">
        <is>
          <t>S003_AVANTI_PHASE</t>
        </is>
      </c>
      <c r="I3043" t="inlineStr">
        <is>
          <t>curated</t>
        </is>
      </c>
      <c r="J3043">
        <v>0.86</v>
      </c>
      <c r="K3043"/>
    </row>
    <row r="3044">
      <c r="A3044" t="inlineStr">
        <is>
          <t>LIP_GLUCOSYLCERAMIDE</t>
        </is>
      </c>
      <c r="B3044" t="inlineStr">
        <is>
          <t>critical_packing_notes</t>
        </is>
      </c>
      <c r="C3044" t="inlineStr">
        <is>
          <t>bilayer-forming cylindrical lipid</t>
        </is>
      </c>
      <c r="D3044"/>
      <c r="E3044"/>
      <c r="F3044"/>
      <c r="G3044" t="inlineStr">
        <is>
          <t>CPP heuristic</t>
        </is>
      </c>
      <c r="H3044" t="inlineStr">
        <is>
          <t>S014_AULTON</t>
        </is>
      </c>
      <c r="I3044" t="inlineStr">
        <is>
          <t>curated</t>
        </is>
      </c>
      <c r="J3044">
        <v>0.65</v>
      </c>
      <c r="K3044"/>
    </row>
    <row r="3045">
      <c r="A3045" t="inlineStr">
        <is>
          <t>LIP_GLUCOSYLCERAMIDE</t>
        </is>
      </c>
      <c r="B3045" t="inlineStr">
        <is>
          <t>membrane_rigidity_contribution</t>
        </is>
      </c>
      <c r="C3045" t="inlineStr">
        <is>
          <t>high</t>
        </is>
      </c>
      <c r="D3045"/>
      <c r="E3045"/>
      <c r="F3045"/>
      <c r="G3045" t="inlineStr">
        <is>
          <t>Tm and unsaturation heuristic</t>
        </is>
      </c>
      <c r="H3045" t="inlineStr">
        <is>
          <t>S003_AVANTI_PHASE</t>
        </is>
      </c>
      <c r="I3045" t="inlineStr">
        <is>
          <t>curated</t>
        </is>
      </c>
      <c r="J3045">
        <v>0.65</v>
      </c>
      <c r="K3045"/>
    </row>
    <row r="3046">
      <c r="A3046" t="inlineStr">
        <is>
          <t>LIP_GLUCOSYLCERAMIDE</t>
        </is>
      </c>
      <c r="B3046" t="inlineStr">
        <is>
          <t>fusogenic_flag</t>
        </is>
      </c>
      <c r="C3046" t="inlineStr">
        <is>
          <t>no</t>
        </is>
      </c>
      <c r="D3046"/>
      <c r="E3046"/>
      <c r="F3046"/>
      <c r="G3046" t="inlineStr">
        <is>
          <t>role annotation</t>
        </is>
      </c>
      <c r="H3046" t="inlineStr">
        <is>
          <t>S014_AULTON</t>
        </is>
      </c>
      <c r="I3046" t="inlineStr">
        <is>
          <t>curated</t>
        </is>
      </c>
      <c r="J3046">
        <v>0.7</v>
      </c>
      <c r="K3046"/>
    </row>
    <row r="3047">
      <c r="A3047" t="inlineStr">
        <is>
          <t>LIP_GLUCOSYLCERAMIDE</t>
        </is>
      </c>
      <c r="B3047" t="inlineStr">
        <is>
          <t>PEGylated_flag</t>
        </is>
      </c>
      <c r="C3047" t="inlineStr">
        <is>
          <t>no</t>
        </is>
      </c>
      <c r="D3047"/>
      <c r="E3047"/>
      <c r="F3047"/>
      <c r="G3047" t="inlineStr">
        <is>
          <t>role annotation</t>
        </is>
      </c>
      <c r="H3047" t="inlineStr">
        <is>
          <t>S014_AULTON</t>
        </is>
      </c>
      <c r="I3047" t="inlineStr">
        <is>
          <t>curated</t>
        </is>
      </c>
      <c r="J3047">
        <v>0.85</v>
      </c>
      <c r="K3047"/>
    </row>
    <row r="3048">
      <c r="A3048" t="inlineStr">
        <is>
          <t>LIP_GLUCOSYLCERAMIDE</t>
        </is>
      </c>
      <c r="B3048" t="inlineStr">
        <is>
          <t>ionizable_flag</t>
        </is>
      </c>
      <c r="C3048" t="inlineStr">
        <is>
          <t>no</t>
        </is>
      </c>
      <c r="D3048"/>
      <c r="E3048"/>
      <c r="F3048"/>
      <c r="G3048" t="inlineStr">
        <is>
          <t>role annotation</t>
        </is>
      </c>
      <c r="H3048" t="inlineStr">
        <is>
          <t>S014_AULTON</t>
        </is>
      </c>
      <c r="I3048" t="inlineStr">
        <is>
          <t>curated</t>
        </is>
      </c>
      <c r="J3048">
        <v>0.85</v>
      </c>
      <c r="K3048"/>
    </row>
    <row r="3049">
      <c r="A3049" t="inlineStr">
        <is>
          <t>LIP_GLUCOSYLCERAMIDE</t>
        </is>
      </c>
      <c r="B3049" t="inlineStr">
        <is>
          <t>route_suitability</t>
        </is>
      </c>
      <c r="C3049" t="inlineStr">
        <is>
          <t>liposome/LNP; route depends on purity, grade, residual solvents/endotoxin</t>
        </is>
      </c>
      <c r="D3049"/>
      <c r="E3049"/>
      <c r="F3049"/>
      <c r="G3049" t="inlineStr">
        <is>
          <t>route precedent caution</t>
        </is>
      </c>
      <c r="H3049" t="inlineStr">
        <is>
          <t>S008_FDA_IID</t>
        </is>
      </c>
      <c r="I3049" t="inlineStr">
        <is>
          <t>curated</t>
        </is>
      </c>
      <c r="J3049">
        <v>0.55</v>
      </c>
      <c r="K3049"/>
    </row>
    <row r="3050">
      <c r="A3050" t="inlineStr">
        <is>
          <t>LIP_GLUCOSYLCERAMIDE</t>
        </is>
      </c>
      <c r="B3050" t="inlineStr">
        <is>
          <t>storage_notes</t>
        </is>
      </c>
      <c r="C3050" t="inlineStr">
        <is>
          <t>store cold, dry, inert gas; protect unsaturated/ionizable lipids from oxidation/hydrolysis</t>
        </is>
      </c>
      <c r="D3050"/>
      <c r="E3050"/>
      <c r="F3050"/>
      <c r="G3050" t="inlineStr">
        <is>
          <t>supplier stability convention</t>
        </is>
      </c>
      <c r="H3050" t="inlineStr">
        <is>
          <t>S003_AVANTI_PHASE</t>
        </is>
      </c>
      <c r="I3050" t="inlineStr">
        <is>
          <t>curated</t>
        </is>
      </c>
      <c r="J3050">
        <v>0.7</v>
      </c>
      <c r="K3050"/>
    </row>
    <row r="3051">
      <c r="A3051" t="inlineStr">
        <is>
          <t>LIP_GLUCOSYLCERAMIDE</t>
        </is>
      </c>
      <c r="B3051" t="inlineStr">
        <is>
          <t>phase_transition_temperature_C</t>
        </is>
      </c>
      <c r="C3051">
        <v>70</v>
      </c>
      <c r="D3051" t="inlineStr">
        <is>
          <t>°C</t>
        </is>
      </c>
      <c r="E3051"/>
      <c r="F3051"/>
      <c r="G3051" t="inlineStr">
        <is>
          <t>main transition temperature, DSC/lipid supplier data</t>
        </is>
      </c>
      <c r="H3051" t="inlineStr">
        <is>
          <t>S003_AVANTI_PHASE</t>
        </is>
      </c>
      <c r="I3051" t="inlineStr">
        <is>
          <t>supplier-reported</t>
        </is>
      </c>
      <c r="J3051">
        <v>0.78</v>
      </c>
      <c r="K3051"/>
    </row>
    <row r="3052">
      <c r="A3052" t="inlineStr">
        <is>
          <t>LIP_GLUCOSYLCERAMIDE</t>
        </is>
      </c>
      <c r="B3052" t="inlineStr">
        <is>
          <t>Hansen_delta_D</t>
        </is>
      </c>
      <c r="C3052">
        <v>17.5</v>
      </c>
      <c r="D3052" t="inlineStr">
        <is>
          <t>MPa^0.5</t>
        </is>
      </c>
      <c r="E3052"/>
      <c r="F3052"/>
      <c r="G3052" t="inlineStr">
        <is>
          <t>heuristic group-contribution/nearest-neighbour</t>
        </is>
      </c>
      <c r="H3052" t="inlineStr">
        <is>
          <t>S013_EST_HSP_HEURISTIC</t>
        </is>
      </c>
      <c r="I3052" t="inlineStr">
        <is>
          <t>estimated</t>
        </is>
      </c>
      <c r="J3052">
        <v>0.38</v>
      </c>
      <c r="K3052" t="inlineStr">
        <is>
          <t>Provisional HSP for screening; replace with experimental/literature value before model lock.</t>
        </is>
      </c>
    </row>
    <row r="3053">
      <c r="A3053" t="inlineStr">
        <is>
          <t>LIP_GLUCOSYLCERAMIDE</t>
        </is>
      </c>
      <c r="B3053" t="inlineStr">
        <is>
          <t>Hansen_delta_P</t>
        </is>
      </c>
      <c r="C3053">
        <v>7.5</v>
      </c>
      <c r="D3053" t="inlineStr">
        <is>
          <t>MPa^0.5</t>
        </is>
      </c>
      <c r="E3053"/>
      <c r="F3053"/>
      <c r="G3053" t="inlineStr">
        <is>
          <t>heuristic group-contribution/nearest-neighbour</t>
        </is>
      </c>
      <c r="H3053" t="inlineStr">
        <is>
          <t>S013_EST_HSP_HEURISTIC</t>
        </is>
      </c>
      <c r="I3053" t="inlineStr">
        <is>
          <t>estimated</t>
        </is>
      </c>
      <c r="J3053">
        <v>0.38</v>
      </c>
      <c r="K3053" t="inlineStr">
        <is>
          <t>Provisional HSP for screening; replace with experimental/literature value before model lock.</t>
        </is>
      </c>
    </row>
    <row r="3054">
      <c r="A3054" t="inlineStr">
        <is>
          <t>LIP_GLUCOSYLCERAMIDE</t>
        </is>
      </c>
      <c r="B3054" t="inlineStr">
        <is>
          <t>Hansen_delta_H</t>
        </is>
      </c>
      <c r="C3054">
        <v>10.0</v>
      </c>
      <c r="D3054" t="inlineStr">
        <is>
          <t>MPa^0.5</t>
        </is>
      </c>
      <c r="E3054"/>
      <c r="F3054"/>
      <c r="G3054" t="inlineStr">
        <is>
          <t>heuristic group-contribution/nearest-neighbour</t>
        </is>
      </c>
      <c r="H3054" t="inlineStr">
        <is>
          <t>S013_EST_HSP_HEURISTIC</t>
        </is>
      </c>
      <c r="I3054" t="inlineStr">
        <is>
          <t>estimated</t>
        </is>
      </c>
      <c r="J3054">
        <v>0.38</v>
      </c>
      <c r="K3054" t="inlineStr">
        <is>
          <t>Provisional HSP for screening; replace with experimental/literature value before model lock.</t>
        </is>
      </c>
    </row>
    <row r="3055">
      <c r="A3055" t="inlineStr">
        <is>
          <t>LIP_GLUCOSYLCERAMIDE</t>
        </is>
      </c>
      <c r="B3055" t="inlineStr">
        <is>
          <t>Hildebrand_delta_T</t>
        </is>
      </c>
      <c r="C3055">
        <v>21.51</v>
      </c>
      <c r="D3055" t="inlineStr">
        <is>
          <t>MPa^0.5</t>
        </is>
      </c>
      <c r="E3055"/>
      <c r="F3055"/>
      <c r="G3055" t="inlineStr">
        <is>
          <t>sqrt(deltaD^2+deltaP^2+deltaH^2)</t>
        </is>
      </c>
      <c r="H3055" t="inlineStr">
        <is>
          <t>S012_CALCULATED</t>
        </is>
      </c>
      <c r="I3055" t="inlineStr">
        <is>
          <t>calculated</t>
        </is>
      </c>
      <c r="J3055">
        <v>0.43</v>
      </c>
      <c r="K3055" t="inlineStr">
        <is>
          <t>Derived from stored Hansen components.</t>
        </is>
      </c>
    </row>
    <row r="3056">
      <c r="A3056" t="inlineStr">
        <is>
          <t>LIP_GLUCOSYLCERAMIDE</t>
        </is>
      </c>
      <c r="B3056" t="inlineStr">
        <is>
          <t>HSP_radius_R0</t>
        </is>
      </c>
      <c r="C3056">
        <v>8.0</v>
      </c>
      <c r="D3056" t="inlineStr">
        <is>
          <t>MPa^0.5</t>
        </is>
      </c>
      <c r="E3056"/>
      <c r="F3056"/>
      <c r="G3056" t="inlineStr">
        <is>
          <t>literature/heuristic solubility sphere</t>
        </is>
      </c>
      <c r="H3056" t="inlineStr">
        <is>
          <t>S013_EST_HSP_HEURISTIC</t>
        </is>
      </c>
      <c r="I3056" t="inlineStr">
        <is>
          <t>estimated</t>
        </is>
      </c>
      <c r="J3056">
        <v>0.38</v>
      </c>
      <c r="K3056" t="inlineStr">
        <is>
          <t>Screening radius only unless experimentally determined.</t>
        </is>
      </c>
    </row>
    <row r="3057">
      <c r="A3057" t="inlineStr">
        <is>
          <t>LIP_GLUCOSYLCERAMIDE</t>
        </is>
      </c>
      <c r="B3057" t="inlineStr">
        <is>
          <t>molar_volume_cm3_mol</t>
        </is>
      </c>
      <c r="C3057">
        <v>700.0</v>
      </c>
      <c r="D3057" t="inlineStr">
        <is>
          <t>cm3/mol</t>
        </is>
      </c>
      <c r="E3057"/>
      <c r="F3057"/>
      <c r="G3057" t="inlineStr">
        <is>
          <t>MW/density estimate</t>
        </is>
      </c>
      <c r="H3057" t="inlineStr">
        <is>
          <t>S012_CALCULATED</t>
        </is>
      </c>
      <c r="I3057" t="inlineStr">
        <is>
          <t>estimated</t>
        </is>
      </c>
      <c r="J3057">
        <v>0.42</v>
      </c>
      <c r="K3057" t="inlineStr">
        <is>
          <t>Estimated from MW/density; replace with measured molar volume or density-specific grade data.</t>
        </is>
      </c>
    </row>
    <row r="3058">
      <c r="A3058" t="inlineStr">
        <is>
          <t>LIP_GLUCOSYLCERAMIDE</t>
        </is>
      </c>
      <c r="B3058" t="inlineStr">
        <is>
          <t>headgroup_area_nm2</t>
        </is>
      </c>
      <c r="C3058">
        <v>0.62</v>
      </c>
      <c r="D3058" t="inlineStr">
        <is>
          <t>nm2</t>
        </is>
      </c>
      <c r="E3058"/>
      <c r="F3058"/>
      <c r="G3058" t="inlineStr">
        <is>
          <t>literature/MD heuristic</t>
        </is>
      </c>
      <c r="H3058" t="inlineStr">
        <is>
          <t>S013_EST_HSP_HEURISTIC</t>
        </is>
      </c>
      <c r="I3058" t="inlineStr">
        <is>
          <t>estimated</t>
        </is>
      </c>
      <c r="J3058">
        <v>0.35</v>
      </c>
      <c r="K3058" t="inlineStr">
        <is>
          <t>Area per lipid varies with phase, temperature, cholesterol, hydration, and force field.</t>
        </is>
      </c>
    </row>
    <row r="3059">
      <c r="A3059" t="inlineStr">
        <is>
          <t>LIP_SAINT_LIPID_PLACEHOLDER</t>
        </is>
      </c>
      <c r="B3059" t="inlineStr">
        <is>
          <t>molecular_weight_g_mol</t>
        </is>
      </c>
      <c r="C3059">
        <v>0</v>
      </c>
      <c r="D3059" t="inlineStr">
        <is>
          <t>g/mol</t>
        </is>
      </c>
      <c r="E3059"/>
      <c r="F3059"/>
      <c r="G3059" t="inlineStr">
        <is>
          <t>LIPID MAPS/supplier formula or average grade MW</t>
        </is>
      </c>
      <c r="H3059" t="inlineStr">
        <is>
          <t>S000_USER_SPEC</t>
        </is>
      </c>
      <c r="I3059" t="inlineStr">
        <is>
          <t>unknown</t>
        </is>
      </c>
      <c r="J3059">
        <v>0.0</v>
      </c>
      <c r="K3059"/>
    </row>
    <row r="3060">
      <c r="A3060" t="inlineStr">
        <is>
          <t>LIP_SAINT_LIPID_PLACEHOLDER</t>
        </is>
      </c>
      <c r="B3060" t="inlineStr">
        <is>
          <t>lipid_class</t>
        </is>
      </c>
      <c r="C3060" t="inlineStr">
        <is>
          <t>SAINT-family cationic lipid</t>
        </is>
      </c>
      <c r="D3060"/>
      <c r="E3060"/>
      <c r="F3060"/>
      <c r="G3060" t="inlineStr">
        <is>
          <t>lipid class annotation</t>
        </is>
      </c>
      <c r="H3060" t="inlineStr">
        <is>
          <t>S000_USER_SPEC</t>
        </is>
      </c>
      <c r="I3060" t="inlineStr">
        <is>
          <t>curated</t>
        </is>
      </c>
      <c r="J3060">
        <v>0.85</v>
      </c>
      <c r="K3060"/>
    </row>
    <row r="3061">
      <c r="A3061" t="inlineStr">
        <is>
          <t>LIP_SAINT_LIPID_PLACEHOLDER</t>
        </is>
      </c>
      <c r="B3061" t="inlineStr">
        <is>
          <t>headgroup_type</t>
        </is>
      </c>
      <c r="C3061" t="inlineStr">
        <is>
          <t>cationic pyridinium/amine</t>
        </is>
      </c>
      <c r="D3061"/>
      <c r="E3061"/>
      <c r="F3061"/>
      <c r="G3061" t="inlineStr">
        <is>
          <t>headgroup annotation</t>
        </is>
      </c>
      <c r="H3061" t="inlineStr">
        <is>
          <t>S000_USER_SPEC</t>
        </is>
      </c>
      <c r="I3061" t="inlineStr">
        <is>
          <t>curated</t>
        </is>
      </c>
      <c r="J3061">
        <v>0.85</v>
      </c>
      <c r="K3061"/>
    </row>
    <row r="3062">
      <c r="A3062" t="inlineStr">
        <is>
          <t>LIP_SAINT_LIPID_PLACEHOLDER</t>
        </is>
      </c>
      <c r="B3062" t="inlineStr">
        <is>
          <t>charge_type</t>
        </is>
      </c>
      <c r="C3062" t="inlineStr">
        <is>
          <t>cationic</t>
        </is>
      </c>
      <c r="D3062"/>
      <c r="E3062"/>
      <c r="F3062"/>
      <c r="G3062" t="inlineStr">
        <is>
          <t>nominal at pH 7.4</t>
        </is>
      </c>
      <c r="H3062" t="inlineStr">
        <is>
          <t>S000_USER_SPEC</t>
        </is>
      </c>
      <c r="I3062" t="inlineStr">
        <is>
          <t>curated</t>
        </is>
      </c>
      <c r="J3062">
        <v>0.85</v>
      </c>
      <c r="K3062"/>
    </row>
    <row r="3063">
      <c r="A3063" t="inlineStr">
        <is>
          <t>LIP_SAINT_LIPID_PLACEHOLDER</t>
        </is>
      </c>
      <c r="B3063" t="inlineStr">
        <is>
          <t>formal_charge</t>
        </is>
      </c>
      <c r="C3063">
        <v>1</v>
      </c>
      <c r="D3063" t="inlineStr">
        <is>
          <t>e</t>
        </is>
      </c>
      <c r="E3063"/>
      <c r="F3063"/>
      <c r="G3063" t="inlineStr">
        <is>
          <t>nominal at pH 7.4</t>
        </is>
      </c>
      <c r="H3063" t="inlineStr">
        <is>
          <t>S000_USER_SPEC</t>
        </is>
      </c>
      <c r="I3063" t="inlineStr">
        <is>
          <t>curated</t>
        </is>
      </c>
      <c r="J3063">
        <v>0.85</v>
      </c>
      <c r="K3063"/>
    </row>
    <row r="3064">
      <c r="A3064" t="inlineStr">
        <is>
          <t>LIP_SAINT_LIPID_PLACEHOLDER</t>
        </is>
      </c>
      <c r="B3064" t="inlineStr">
        <is>
          <t>tail_1_carbons</t>
        </is>
      </c>
      <c r="C3064">
        <v>18</v>
      </c>
      <c r="D3064" t="inlineStr">
        <is>
          <t>count</t>
        </is>
      </c>
      <c r="E3064"/>
      <c r="F3064"/>
      <c r="G3064" t="inlineStr">
        <is>
          <t>lipid shorthand annotation</t>
        </is>
      </c>
      <c r="H3064" t="inlineStr">
        <is>
          <t>S000_USER_SPEC</t>
        </is>
      </c>
      <c r="I3064" t="inlineStr">
        <is>
          <t>curated</t>
        </is>
      </c>
      <c r="J3064">
        <v>0.86</v>
      </c>
      <c r="K3064"/>
    </row>
    <row r="3065">
      <c r="A3065" t="inlineStr">
        <is>
          <t>LIP_SAINT_LIPID_PLACEHOLDER</t>
        </is>
      </c>
      <c r="B3065" t="inlineStr">
        <is>
          <t>tail_1_unsaturation</t>
        </is>
      </c>
      <c r="C3065">
        <v>1</v>
      </c>
      <c r="D3065" t="inlineStr">
        <is>
          <t>double_bonds</t>
        </is>
      </c>
      <c r="E3065"/>
      <c r="F3065"/>
      <c r="G3065" t="inlineStr">
        <is>
          <t>lipid shorthand annotation</t>
        </is>
      </c>
      <c r="H3065" t="inlineStr">
        <is>
          <t>S000_USER_SPEC</t>
        </is>
      </c>
      <c r="I3065" t="inlineStr">
        <is>
          <t>curated</t>
        </is>
      </c>
      <c r="J3065">
        <v>0.86</v>
      </c>
      <c r="K3065"/>
    </row>
    <row r="3066">
      <c r="A3066" t="inlineStr">
        <is>
          <t>LIP_SAINT_LIPID_PLACEHOLDER</t>
        </is>
      </c>
      <c r="B3066" t="inlineStr">
        <is>
          <t>tail_2_carbons</t>
        </is>
      </c>
      <c r="C3066">
        <v>18</v>
      </c>
      <c r="D3066" t="inlineStr">
        <is>
          <t>count</t>
        </is>
      </c>
      <c r="E3066"/>
      <c r="F3066"/>
      <c r="G3066" t="inlineStr">
        <is>
          <t>lipid shorthand annotation</t>
        </is>
      </c>
      <c r="H3066" t="inlineStr">
        <is>
          <t>S000_USER_SPEC</t>
        </is>
      </c>
      <c r="I3066" t="inlineStr">
        <is>
          <t>curated</t>
        </is>
      </c>
      <c r="J3066">
        <v>0.86</v>
      </c>
      <c r="K3066"/>
    </row>
    <row r="3067">
      <c r="A3067" t="inlineStr">
        <is>
          <t>LIP_SAINT_LIPID_PLACEHOLDER</t>
        </is>
      </c>
      <c r="B3067" t="inlineStr">
        <is>
          <t>tail_2_unsaturation</t>
        </is>
      </c>
      <c r="C3067">
        <v>1</v>
      </c>
      <c r="D3067" t="inlineStr">
        <is>
          <t>double_bonds</t>
        </is>
      </c>
      <c r="E3067"/>
      <c r="F3067"/>
      <c r="G3067" t="inlineStr">
        <is>
          <t>lipid shorthand annotation</t>
        </is>
      </c>
      <c r="H3067" t="inlineStr">
        <is>
          <t>S000_USER_SPEC</t>
        </is>
      </c>
      <c r="I3067" t="inlineStr">
        <is>
          <t>curated</t>
        </is>
      </c>
      <c r="J3067">
        <v>0.86</v>
      </c>
      <c r="K3067"/>
    </row>
    <row r="3068">
      <c r="A3068" t="inlineStr">
        <is>
          <t>LIP_SAINT_LIPID_PLACEHOLDER</t>
        </is>
      </c>
      <c r="B3068" t="inlineStr">
        <is>
          <t>number_of_tails</t>
        </is>
      </c>
      <c r="C3068">
        <v>2</v>
      </c>
      <c r="D3068" t="inlineStr">
        <is>
          <t>count</t>
        </is>
      </c>
      <c r="E3068"/>
      <c r="F3068"/>
      <c r="G3068" t="inlineStr">
        <is>
          <t>lipid shorthand annotation</t>
        </is>
      </c>
      <c r="H3068" t="inlineStr">
        <is>
          <t>S000_USER_SPEC</t>
        </is>
      </c>
      <c r="I3068" t="inlineStr">
        <is>
          <t>curated</t>
        </is>
      </c>
      <c r="J3068">
        <v>0.86</v>
      </c>
      <c r="K3068"/>
    </row>
    <row r="3069">
      <c r="A3069" t="inlineStr">
        <is>
          <t>LIP_SAINT_LIPID_PLACEHOLDER</t>
        </is>
      </c>
      <c r="B3069" t="inlineStr">
        <is>
          <t>critical_packing_notes</t>
        </is>
      </c>
      <c r="C3069" t="inlineStr">
        <is>
          <t>bilayer-forming cylindrical lipid</t>
        </is>
      </c>
      <c r="D3069"/>
      <c r="E3069"/>
      <c r="F3069"/>
      <c r="G3069" t="inlineStr">
        <is>
          <t>CPP heuristic</t>
        </is>
      </c>
      <c r="H3069" t="inlineStr">
        <is>
          <t>S014_AULTON</t>
        </is>
      </c>
      <c r="I3069" t="inlineStr">
        <is>
          <t>curated</t>
        </is>
      </c>
      <c r="J3069">
        <v>0.65</v>
      </c>
      <c r="K3069"/>
    </row>
    <row r="3070">
      <c r="A3070" t="inlineStr">
        <is>
          <t>LIP_SAINT_LIPID_PLACEHOLDER</t>
        </is>
      </c>
      <c r="B3070" t="inlineStr">
        <is>
          <t>membrane_rigidity_contribution</t>
        </is>
      </c>
      <c r="C3070" t="inlineStr">
        <is>
          <t>fluidizing</t>
        </is>
      </c>
      <c r="D3070"/>
      <c r="E3070"/>
      <c r="F3070"/>
      <c r="G3070" t="inlineStr">
        <is>
          <t>Tm and unsaturation heuristic</t>
        </is>
      </c>
      <c r="H3070" t="inlineStr">
        <is>
          <t>S003_AVANTI_PHASE</t>
        </is>
      </c>
      <c r="I3070" t="inlineStr">
        <is>
          <t>curated</t>
        </is>
      </c>
      <c r="J3070">
        <v>0.65</v>
      </c>
      <c r="K3070"/>
    </row>
    <row r="3071">
      <c r="A3071" t="inlineStr">
        <is>
          <t>LIP_SAINT_LIPID_PLACEHOLDER</t>
        </is>
      </c>
      <c r="B3071" t="inlineStr">
        <is>
          <t>fusogenic_flag</t>
        </is>
      </c>
      <c r="C3071" t="inlineStr">
        <is>
          <t>no</t>
        </is>
      </c>
      <c r="D3071"/>
      <c r="E3071"/>
      <c r="F3071"/>
      <c r="G3071" t="inlineStr">
        <is>
          <t>role annotation</t>
        </is>
      </c>
      <c r="H3071" t="inlineStr">
        <is>
          <t>S014_AULTON</t>
        </is>
      </c>
      <c r="I3071" t="inlineStr">
        <is>
          <t>curated</t>
        </is>
      </c>
      <c r="J3071">
        <v>0.7</v>
      </c>
      <c r="K3071"/>
    </row>
    <row r="3072">
      <c r="A3072" t="inlineStr">
        <is>
          <t>LIP_SAINT_LIPID_PLACEHOLDER</t>
        </is>
      </c>
      <c r="B3072" t="inlineStr">
        <is>
          <t>PEGylated_flag</t>
        </is>
      </c>
      <c r="C3072" t="inlineStr">
        <is>
          <t>no</t>
        </is>
      </c>
      <c r="D3072"/>
      <c r="E3072"/>
      <c r="F3072"/>
      <c r="G3072" t="inlineStr">
        <is>
          <t>role annotation</t>
        </is>
      </c>
      <c r="H3072" t="inlineStr">
        <is>
          <t>S014_AULTON</t>
        </is>
      </c>
      <c r="I3072" t="inlineStr">
        <is>
          <t>curated</t>
        </is>
      </c>
      <c r="J3072">
        <v>0.85</v>
      </c>
      <c r="K3072"/>
    </row>
    <row r="3073">
      <c r="A3073" t="inlineStr">
        <is>
          <t>LIP_SAINT_LIPID_PLACEHOLDER</t>
        </is>
      </c>
      <c r="B3073" t="inlineStr">
        <is>
          <t>ionizable_flag</t>
        </is>
      </c>
      <c r="C3073" t="inlineStr">
        <is>
          <t>no</t>
        </is>
      </c>
      <c r="D3073"/>
      <c r="E3073"/>
      <c r="F3073"/>
      <c r="G3073" t="inlineStr">
        <is>
          <t>role annotation</t>
        </is>
      </c>
      <c r="H3073" t="inlineStr">
        <is>
          <t>S014_AULTON</t>
        </is>
      </c>
      <c r="I3073" t="inlineStr">
        <is>
          <t>curated</t>
        </is>
      </c>
      <c r="J3073">
        <v>0.85</v>
      </c>
      <c r="K3073"/>
    </row>
    <row r="3074">
      <c r="A3074" t="inlineStr">
        <is>
          <t>LIP_SAINT_LIPID_PLACEHOLDER</t>
        </is>
      </c>
      <c r="B3074" t="inlineStr">
        <is>
          <t>route_suitability</t>
        </is>
      </c>
      <c r="C3074" t="inlineStr">
        <is>
          <t>liposome/LNP; route depends on purity, grade, residual solvents/endotoxin</t>
        </is>
      </c>
      <c r="D3074"/>
      <c r="E3074"/>
      <c r="F3074"/>
      <c r="G3074" t="inlineStr">
        <is>
          <t>route precedent caution</t>
        </is>
      </c>
      <c r="H3074" t="inlineStr">
        <is>
          <t>S008_FDA_IID</t>
        </is>
      </c>
      <c r="I3074" t="inlineStr">
        <is>
          <t>curated</t>
        </is>
      </c>
      <c r="J3074">
        <v>0.55</v>
      </c>
      <c r="K3074"/>
    </row>
    <row r="3075">
      <c r="A3075" t="inlineStr">
        <is>
          <t>LIP_SAINT_LIPID_PLACEHOLDER</t>
        </is>
      </c>
      <c r="B3075" t="inlineStr">
        <is>
          <t>storage_notes</t>
        </is>
      </c>
      <c r="C3075" t="inlineStr">
        <is>
          <t>store cold, dry, inert gas; protect unsaturated/ionizable lipids from oxidation/hydrolysis</t>
        </is>
      </c>
      <c r="D3075"/>
      <c r="E3075"/>
      <c r="F3075"/>
      <c r="G3075" t="inlineStr">
        <is>
          <t>supplier stability convention</t>
        </is>
      </c>
      <c r="H3075" t="inlineStr">
        <is>
          <t>S003_AVANTI_PHASE</t>
        </is>
      </c>
      <c r="I3075" t="inlineStr">
        <is>
          <t>curated</t>
        </is>
      </c>
      <c r="J3075">
        <v>0.7</v>
      </c>
      <c r="K3075"/>
    </row>
    <row r="3076">
      <c r="A3076" t="inlineStr">
        <is>
          <t>LIP_SAINT_LIPID_PLACEHOLDER</t>
        </is>
      </c>
      <c r="B3076" t="inlineStr">
        <is>
          <t>Hansen_delta_D</t>
        </is>
      </c>
      <c r="C3076">
        <v>17.5</v>
      </c>
      <c r="D3076" t="inlineStr">
        <is>
          <t>MPa^0.5</t>
        </is>
      </c>
      <c r="E3076"/>
      <c r="F3076"/>
      <c r="G3076" t="inlineStr">
        <is>
          <t>heuristic group-contribution/nearest-neighbour</t>
        </is>
      </c>
      <c r="H3076" t="inlineStr">
        <is>
          <t>S013_EST_HSP_HEURISTIC</t>
        </is>
      </c>
      <c r="I3076" t="inlineStr">
        <is>
          <t>estimated</t>
        </is>
      </c>
      <c r="J3076">
        <v>0.38</v>
      </c>
      <c r="K3076" t="inlineStr">
        <is>
          <t>Provisional HSP for screening; replace with experimental/literature value before model lock.</t>
        </is>
      </c>
    </row>
    <row r="3077">
      <c r="A3077" t="inlineStr">
        <is>
          <t>LIP_SAINT_LIPID_PLACEHOLDER</t>
        </is>
      </c>
      <c r="B3077" t="inlineStr">
        <is>
          <t>Hansen_delta_P</t>
        </is>
      </c>
      <c r="C3077">
        <v>7.5</v>
      </c>
      <c r="D3077" t="inlineStr">
        <is>
          <t>MPa^0.5</t>
        </is>
      </c>
      <c r="E3077"/>
      <c r="F3077"/>
      <c r="G3077" t="inlineStr">
        <is>
          <t>heuristic group-contribution/nearest-neighbour</t>
        </is>
      </c>
      <c r="H3077" t="inlineStr">
        <is>
          <t>S013_EST_HSP_HEURISTIC</t>
        </is>
      </c>
      <c r="I3077" t="inlineStr">
        <is>
          <t>estimated</t>
        </is>
      </c>
      <c r="J3077">
        <v>0.38</v>
      </c>
      <c r="K3077" t="inlineStr">
        <is>
          <t>Provisional HSP for screening; replace with experimental/literature value before model lock.</t>
        </is>
      </c>
    </row>
    <row r="3078">
      <c r="A3078" t="inlineStr">
        <is>
          <t>LIP_SAINT_LIPID_PLACEHOLDER</t>
        </is>
      </c>
      <c r="B3078" t="inlineStr">
        <is>
          <t>Hansen_delta_H</t>
        </is>
      </c>
      <c r="C3078">
        <v>10.0</v>
      </c>
      <c r="D3078" t="inlineStr">
        <is>
          <t>MPa^0.5</t>
        </is>
      </c>
      <c r="E3078"/>
      <c r="F3078"/>
      <c r="G3078" t="inlineStr">
        <is>
          <t>heuristic group-contribution/nearest-neighbour</t>
        </is>
      </c>
      <c r="H3078" t="inlineStr">
        <is>
          <t>S013_EST_HSP_HEURISTIC</t>
        </is>
      </c>
      <c r="I3078" t="inlineStr">
        <is>
          <t>estimated</t>
        </is>
      </c>
      <c r="J3078">
        <v>0.38</v>
      </c>
      <c r="K3078" t="inlineStr">
        <is>
          <t>Provisional HSP for screening; replace with experimental/literature value before model lock.</t>
        </is>
      </c>
    </row>
    <row r="3079">
      <c r="A3079" t="inlineStr">
        <is>
          <t>LIP_SAINT_LIPID_PLACEHOLDER</t>
        </is>
      </c>
      <c r="B3079" t="inlineStr">
        <is>
          <t>Hildebrand_delta_T</t>
        </is>
      </c>
      <c r="C3079">
        <v>21.51</v>
      </c>
      <c r="D3079" t="inlineStr">
        <is>
          <t>MPa^0.5</t>
        </is>
      </c>
      <c r="E3079"/>
      <c r="F3079"/>
      <c r="G3079" t="inlineStr">
        <is>
          <t>sqrt(deltaD^2+deltaP^2+deltaH^2)</t>
        </is>
      </c>
      <c r="H3079" t="inlineStr">
        <is>
          <t>S012_CALCULATED</t>
        </is>
      </c>
      <c r="I3079" t="inlineStr">
        <is>
          <t>calculated</t>
        </is>
      </c>
      <c r="J3079">
        <v>0.43</v>
      </c>
      <c r="K3079" t="inlineStr">
        <is>
          <t>Derived from stored Hansen components.</t>
        </is>
      </c>
    </row>
    <row r="3080">
      <c r="A3080" t="inlineStr">
        <is>
          <t>LIP_SAINT_LIPID_PLACEHOLDER</t>
        </is>
      </c>
      <c r="B3080" t="inlineStr">
        <is>
          <t>HSP_radius_R0</t>
        </is>
      </c>
      <c r="C3080">
        <v>8.0</v>
      </c>
      <c r="D3080" t="inlineStr">
        <is>
          <t>MPa^0.5</t>
        </is>
      </c>
      <c r="E3080"/>
      <c r="F3080"/>
      <c r="G3080" t="inlineStr">
        <is>
          <t>literature/heuristic solubility sphere</t>
        </is>
      </c>
      <c r="H3080" t="inlineStr">
        <is>
          <t>S013_EST_HSP_HEURISTIC</t>
        </is>
      </c>
      <c r="I3080" t="inlineStr">
        <is>
          <t>estimated</t>
        </is>
      </c>
      <c r="J3080">
        <v>0.38</v>
      </c>
      <c r="K3080" t="inlineStr">
        <is>
          <t>Screening radius only unless experimentally determined.</t>
        </is>
      </c>
    </row>
    <row r="3081">
      <c r="A3081" t="inlineStr">
        <is>
          <t>LIP_SAINT_LIPID_PLACEHOLDER</t>
        </is>
      </c>
      <c r="B3081" t="inlineStr">
        <is>
          <t>headgroup_area_nm2</t>
        </is>
      </c>
      <c r="C3081">
        <v>0.62</v>
      </c>
      <c r="D3081" t="inlineStr">
        <is>
          <t>nm2</t>
        </is>
      </c>
      <c r="E3081"/>
      <c r="F3081"/>
      <c r="G3081" t="inlineStr">
        <is>
          <t>literature/MD heuristic</t>
        </is>
      </c>
      <c r="H3081" t="inlineStr">
        <is>
          <t>S013_EST_HSP_HEURISTIC</t>
        </is>
      </c>
      <c r="I3081" t="inlineStr">
        <is>
          <t>estimated</t>
        </is>
      </c>
      <c r="J3081">
        <v>0.35</v>
      </c>
      <c r="K3081" t="inlineStr">
        <is>
          <t>Area per lipid varies with phase, temperature, cholesterol, hydration, and force field.</t>
        </is>
      </c>
    </row>
    <row r="3082">
      <c r="A3082" t="inlineStr">
        <is>
          <t>STE_CHOLESTEROL</t>
        </is>
      </c>
      <c r="B3082" t="inlineStr">
        <is>
          <t>molecular_weight_g_mol</t>
        </is>
      </c>
      <c r="C3082">
        <v>386.65</v>
      </c>
      <c r="D3082" t="inlineStr">
        <is>
          <t>g/mol</t>
        </is>
      </c>
      <c r="E3082"/>
      <c r="F3082"/>
      <c r="G3082"/>
      <c r="H3082" t="inlineStr">
        <is>
          <t>S001_PUBCHEM</t>
        </is>
      </c>
      <c r="I3082" t="inlineStr">
        <is>
          <t>database-derived</t>
        </is>
      </c>
      <c r="J3082">
        <v>0.85</v>
      </c>
      <c r="K3082"/>
    </row>
    <row r="3083">
      <c r="A3083" t="inlineStr">
        <is>
          <t>STE_CHOLESTEROL</t>
        </is>
      </c>
      <c r="B3083" t="inlineStr">
        <is>
          <t>sterol_type</t>
        </is>
      </c>
      <c r="C3083" t="inlineStr">
        <is>
          <t>cholesterol</t>
        </is>
      </c>
      <c r="D3083"/>
      <c r="E3083"/>
      <c r="F3083"/>
      <c r="G3083"/>
      <c r="H3083" t="inlineStr">
        <is>
          <t>S001_PUBCHEM</t>
        </is>
      </c>
      <c r="I3083" t="inlineStr">
        <is>
          <t>curated</t>
        </is>
      </c>
      <c r="J3083">
        <v>0.8</v>
      </c>
      <c r="K3083"/>
    </row>
    <row r="3084">
      <c r="A3084" t="inlineStr">
        <is>
          <t>STE_CHOLESTEROL</t>
        </is>
      </c>
      <c r="B3084" t="inlineStr">
        <is>
          <t>formal_charge</t>
        </is>
      </c>
      <c r="C3084">
        <v>0</v>
      </c>
      <c r="D3084" t="inlineStr">
        <is>
          <t>e</t>
        </is>
      </c>
      <c r="E3084"/>
      <c r="F3084"/>
      <c r="G3084"/>
      <c r="H3084" t="inlineStr">
        <is>
          <t>S001_PUBCHEM</t>
        </is>
      </c>
      <c r="I3084" t="inlineStr">
        <is>
          <t>curated</t>
        </is>
      </c>
      <c r="J3084">
        <v>0.85</v>
      </c>
      <c r="K3084"/>
    </row>
    <row r="3085">
      <c r="A3085" t="inlineStr">
        <is>
          <t>STE_CHOLESTEROL</t>
        </is>
      </c>
      <c r="B3085" t="inlineStr">
        <is>
          <t>rigidity_contribution</t>
        </is>
      </c>
      <c r="C3085" t="inlineStr">
        <is>
          <t>high membrane-ordering/condensing agent</t>
        </is>
      </c>
      <c r="D3085"/>
      <c r="E3085"/>
      <c r="F3085"/>
      <c r="G3085"/>
      <c r="H3085" t="inlineStr">
        <is>
          <t>S014_AULTON</t>
        </is>
      </c>
      <c r="I3085" t="inlineStr">
        <is>
          <t>curated</t>
        </is>
      </c>
      <c r="J3085">
        <v>0.8</v>
      </c>
      <c r="K3085"/>
    </row>
    <row r="3086">
      <c r="A3086" t="inlineStr">
        <is>
          <t>STE_CHOLESTEROL</t>
        </is>
      </c>
      <c r="B3086" t="inlineStr">
        <is>
          <t>drug_sterol_competition_relevance</t>
        </is>
      </c>
      <c r="C3086" t="inlineStr">
        <is>
          <t>high for polyenes/steroid-like APIs; consider partition competition and cholesterol displacement</t>
        </is>
      </c>
      <c r="D3086"/>
      <c r="E3086"/>
      <c r="F3086"/>
      <c r="G3086"/>
      <c r="H3086" t="inlineStr">
        <is>
          <t>S014_AULTON</t>
        </is>
      </c>
      <c r="I3086" t="inlineStr">
        <is>
          <t>curated</t>
        </is>
      </c>
      <c r="J3086">
        <v>0.6</v>
      </c>
      <c r="K3086"/>
    </row>
    <row r="3087">
      <c r="A3087" t="inlineStr">
        <is>
          <t>STE_CHOLESTEROL</t>
        </is>
      </c>
      <c r="B3087" t="inlineStr">
        <is>
          <t>route_suitability</t>
        </is>
      </c>
      <c r="C3087" t="inlineStr">
        <is>
          <t>liposome/LNP/SLN; route-grade dependent</t>
        </is>
      </c>
      <c r="D3087"/>
      <c r="E3087"/>
      <c r="F3087"/>
      <c r="G3087"/>
      <c r="H3087" t="inlineStr">
        <is>
          <t>S008_FDA_IID</t>
        </is>
      </c>
      <c r="I3087" t="inlineStr">
        <is>
          <t>curated</t>
        </is>
      </c>
      <c r="J3087">
        <v>0.6</v>
      </c>
      <c r="K3087"/>
    </row>
    <row r="3088">
      <c r="A3088" t="inlineStr">
        <is>
          <t>STE_CHOLESTEROL</t>
        </is>
      </c>
      <c r="B3088" t="inlineStr">
        <is>
          <t>melting_point_C</t>
        </is>
      </c>
      <c r="C3088">
        <v>148</v>
      </c>
      <c r="D3088" t="inlineStr">
        <is>
          <t>°C</t>
        </is>
      </c>
      <c r="E3088"/>
      <c r="F3088"/>
      <c r="G3088"/>
      <c r="H3088" t="inlineStr">
        <is>
          <t>S001_PUBCHEM</t>
        </is>
      </c>
      <c r="I3088" t="inlineStr">
        <is>
          <t>handbook</t>
        </is>
      </c>
      <c r="J3088">
        <v>0.78</v>
      </c>
      <c r="K3088"/>
    </row>
    <row r="3089">
      <c r="A3089" t="inlineStr">
        <is>
          <t>STE_CHOLESTEROL</t>
        </is>
      </c>
      <c r="B3089" t="inlineStr">
        <is>
          <t>Hansen_delta_D</t>
        </is>
      </c>
      <c r="C3089">
        <v>18.0</v>
      </c>
      <c r="D3089" t="inlineStr">
        <is>
          <t>MPa^0.5</t>
        </is>
      </c>
      <c r="E3089"/>
      <c r="F3089"/>
      <c r="G3089" t="inlineStr">
        <is>
          <t>heuristic group-contribution/nearest-neighbour</t>
        </is>
      </c>
      <c r="H3089" t="inlineStr">
        <is>
          <t>S013_EST_HSP_HEURISTIC</t>
        </is>
      </c>
      <c r="I3089" t="inlineStr">
        <is>
          <t>estimated</t>
        </is>
      </c>
      <c r="J3089">
        <v>0.45</v>
      </c>
      <c r="K3089" t="inlineStr">
        <is>
          <t>Provisional HSP for screening; replace with experimental/literature value before model lock.</t>
        </is>
      </c>
    </row>
    <row r="3090">
      <c r="A3090" t="inlineStr">
        <is>
          <t>STE_CHOLESTEROL</t>
        </is>
      </c>
      <c r="B3090" t="inlineStr">
        <is>
          <t>Hansen_delta_P</t>
        </is>
      </c>
      <c r="C3090">
        <v>2.0</v>
      </c>
      <c r="D3090" t="inlineStr">
        <is>
          <t>MPa^0.5</t>
        </is>
      </c>
      <c r="E3090"/>
      <c r="F3090"/>
      <c r="G3090" t="inlineStr">
        <is>
          <t>heuristic group-contribution/nearest-neighbour</t>
        </is>
      </c>
      <c r="H3090" t="inlineStr">
        <is>
          <t>S013_EST_HSP_HEURISTIC</t>
        </is>
      </c>
      <c r="I3090" t="inlineStr">
        <is>
          <t>estimated</t>
        </is>
      </c>
      <c r="J3090">
        <v>0.45</v>
      </c>
      <c r="K3090" t="inlineStr">
        <is>
          <t>Provisional HSP for screening; replace with experimental/literature value before model lock.</t>
        </is>
      </c>
    </row>
    <row r="3091">
      <c r="A3091" t="inlineStr">
        <is>
          <t>STE_CHOLESTEROL</t>
        </is>
      </c>
      <c r="B3091" t="inlineStr">
        <is>
          <t>Hansen_delta_H</t>
        </is>
      </c>
      <c r="C3091">
        <v>4.5</v>
      </c>
      <c r="D3091" t="inlineStr">
        <is>
          <t>MPa^0.5</t>
        </is>
      </c>
      <c r="E3091"/>
      <c r="F3091"/>
      <c r="G3091" t="inlineStr">
        <is>
          <t>heuristic group-contribution/nearest-neighbour</t>
        </is>
      </c>
      <c r="H3091" t="inlineStr">
        <is>
          <t>S013_EST_HSP_HEURISTIC</t>
        </is>
      </c>
      <c r="I3091" t="inlineStr">
        <is>
          <t>estimated</t>
        </is>
      </c>
      <c r="J3091">
        <v>0.45</v>
      </c>
      <c r="K3091" t="inlineStr">
        <is>
          <t>Provisional HSP for screening; replace with experimental/literature value before model lock.</t>
        </is>
      </c>
    </row>
    <row r="3092">
      <c r="A3092" t="inlineStr">
        <is>
          <t>STE_CHOLESTEROL</t>
        </is>
      </c>
      <c r="B3092" t="inlineStr">
        <is>
          <t>Hildebrand_delta_T</t>
        </is>
      </c>
      <c r="C3092">
        <v>18.66</v>
      </c>
      <c r="D3092" t="inlineStr">
        <is>
          <t>MPa^0.5</t>
        </is>
      </c>
      <c r="E3092"/>
      <c r="F3092"/>
      <c r="G3092" t="inlineStr">
        <is>
          <t>sqrt(deltaD^2+deltaP^2+deltaH^2)</t>
        </is>
      </c>
      <c r="H3092" t="inlineStr">
        <is>
          <t>S012_CALCULATED</t>
        </is>
      </c>
      <c r="I3092" t="inlineStr">
        <is>
          <t>calculated</t>
        </is>
      </c>
      <c r="J3092">
        <v>0.5</v>
      </c>
      <c r="K3092" t="inlineStr">
        <is>
          <t>Derived from stored Hansen components.</t>
        </is>
      </c>
    </row>
    <row r="3093">
      <c r="A3093" t="inlineStr">
        <is>
          <t>STE_CHOLESTEROL</t>
        </is>
      </c>
      <c r="B3093" t="inlineStr">
        <is>
          <t>HSP_radius_R0</t>
        </is>
      </c>
      <c r="C3093">
        <v>6.5</v>
      </c>
      <c r="D3093" t="inlineStr">
        <is>
          <t>MPa^0.5</t>
        </is>
      </c>
      <c r="E3093"/>
      <c r="F3093"/>
      <c r="G3093" t="inlineStr">
        <is>
          <t>literature/heuristic solubility sphere</t>
        </is>
      </c>
      <c r="H3093" t="inlineStr">
        <is>
          <t>S013_EST_HSP_HEURISTIC</t>
        </is>
      </c>
      <c r="I3093" t="inlineStr">
        <is>
          <t>estimated</t>
        </is>
      </c>
      <c r="J3093">
        <v>0.45</v>
      </c>
      <c r="K3093" t="inlineStr">
        <is>
          <t>Screening radius only unless experimentally determined.</t>
        </is>
      </c>
    </row>
    <row r="3094">
      <c r="A3094" t="inlineStr">
        <is>
          <t>STE_CHOLESTEROL</t>
        </is>
      </c>
      <c r="B3094" t="inlineStr">
        <is>
          <t>molar_volume_cm3_mol</t>
        </is>
      </c>
      <c r="C3094">
        <v>364.76</v>
      </c>
      <c r="D3094" t="inlineStr">
        <is>
          <t>cm3/mol</t>
        </is>
      </c>
      <c r="E3094"/>
      <c r="F3094"/>
      <c r="G3094" t="inlineStr">
        <is>
          <t>MW/density estimate</t>
        </is>
      </c>
      <c r="H3094" t="inlineStr">
        <is>
          <t>S012_CALCULATED</t>
        </is>
      </c>
      <c r="I3094" t="inlineStr">
        <is>
          <t>estimated</t>
        </is>
      </c>
      <c r="J3094">
        <v>0.45</v>
      </c>
      <c r="K3094" t="inlineStr">
        <is>
          <t>Estimated from MW/density; replace with measured molar volume or density-specific grade data.</t>
        </is>
      </c>
    </row>
    <row r="3095">
      <c r="A3095" t="inlineStr">
        <is>
          <t>STE_CHOLESTEROL</t>
        </is>
      </c>
      <c r="B3095" t="inlineStr">
        <is>
          <t>headgroup_area_nm2</t>
        </is>
      </c>
      <c r="C3095">
        <v>0.4</v>
      </c>
      <c r="D3095" t="inlineStr">
        <is>
          <t>nm2</t>
        </is>
      </c>
      <c r="E3095"/>
      <c r="F3095"/>
      <c r="G3095" t="inlineStr">
        <is>
          <t>sterol cross-sectional area heuristic</t>
        </is>
      </c>
      <c r="H3095" t="inlineStr">
        <is>
          <t>S013_EST_HSP_HEURISTIC</t>
        </is>
      </c>
      <c r="I3095" t="inlineStr">
        <is>
          <t>estimated</t>
        </is>
      </c>
      <c r="J3095">
        <v>0.45</v>
      </c>
      <c r="K3095"/>
    </row>
    <row r="3096">
      <c r="A3096" t="inlineStr">
        <is>
          <t>STE_CHOLESTERYL_HEMISUCCINATE</t>
        </is>
      </c>
      <c r="B3096" t="inlineStr">
        <is>
          <t>molecular_weight_g_mol</t>
        </is>
      </c>
      <c r="C3096">
        <v>486.7</v>
      </c>
      <c r="D3096" t="inlineStr">
        <is>
          <t>g/mol</t>
        </is>
      </c>
      <c r="E3096"/>
      <c r="F3096"/>
      <c r="G3096"/>
      <c r="H3096" t="inlineStr">
        <is>
          <t>S001_PUBCHEM</t>
        </is>
      </c>
      <c r="I3096" t="inlineStr">
        <is>
          <t>database-derived</t>
        </is>
      </c>
      <c r="J3096">
        <v>0.85</v>
      </c>
      <c r="K3096"/>
    </row>
    <row r="3097">
      <c r="A3097" t="inlineStr">
        <is>
          <t>STE_CHOLESTERYL_HEMISUCCINATE</t>
        </is>
      </c>
      <c r="B3097" t="inlineStr">
        <is>
          <t>sterol_type</t>
        </is>
      </c>
      <c r="C3097" t="inlineStr">
        <is>
          <t>anionic cholesterol ester</t>
        </is>
      </c>
      <c r="D3097"/>
      <c r="E3097"/>
      <c r="F3097"/>
      <c r="G3097"/>
      <c r="H3097" t="inlineStr">
        <is>
          <t>S001_PUBCHEM</t>
        </is>
      </c>
      <c r="I3097" t="inlineStr">
        <is>
          <t>curated</t>
        </is>
      </c>
      <c r="J3097">
        <v>0.8</v>
      </c>
      <c r="K3097"/>
    </row>
    <row r="3098">
      <c r="A3098" t="inlineStr">
        <is>
          <t>STE_CHOLESTERYL_HEMISUCCINATE</t>
        </is>
      </c>
      <c r="B3098" t="inlineStr">
        <is>
          <t>formal_charge</t>
        </is>
      </c>
      <c r="C3098">
        <v>-1</v>
      </c>
      <c r="D3098" t="inlineStr">
        <is>
          <t>e</t>
        </is>
      </c>
      <c r="E3098"/>
      <c r="F3098"/>
      <c r="G3098"/>
      <c r="H3098" t="inlineStr">
        <is>
          <t>S001_PUBCHEM</t>
        </is>
      </c>
      <c r="I3098" t="inlineStr">
        <is>
          <t>curated</t>
        </is>
      </c>
      <c r="J3098">
        <v>0.85</v>
      </c>
      <c r="K3098"/>
    </row>
    <row r="3099">
      <c r="A3099" t="inlineStr">
        <is>
          <t>STE_CHOLESTERYL_HEMISUCCINATE</t>
        </is>
      </c>
      <c r="B3099" t="inlineStr">
        <is>
          <t>rigidity_contribution</t>
        </is>
      </c>
      <c r="C3099" t="inlineStr">
        <is>
          <t>high membrane-ordering/condensing agent</t>
        </is>
      </c>
      <c r="D3099"/>
      <c r="E3099"/>
      <c r="F3099"/>
      <c r="G3099"/>
      <c r="H3099" t="inlineStr">
        <is>
          <t>S014_AULTON</t>
        </is>
      </c>
      <c r="I3099" t="inlineStr">
        <is>
          <t>curated</t>
        </is>
      </c>
      <c r="J3099">
        <v>0.8</v>
      </c>
      <c r="K3099"/>
    </row>
    <row r="3100">
      <c r="A3100" t="inlineStr">
        <is>
          <t>STE_CHOLESTERYL_HEMISUCCINATE</t>
        </is>
      </c>
      <c r="B3100" t="inlineStr">
        <is>
          <t>drug_sterol_competition_relevance</t>
        </is>
      </c>
      <c r="C3100" t="inlineStr">
        <is>
          <t>high for polyenes/steroid-like APIs; consider partition competition and cholesterol displacement</t>
        </is>
      </c>
      <c r="D3100"/>
      <c r="E3100"/>
      <c r="F3100"/>
      <c r="G3100"/>
      <c r="H3100" t="inlineStr">
        <is>
          <t>S014_AULTON</t>
        </is>
      </c>
      <c r="I3100" t="inlineStr">
        <is>
          <t>curated</t>
        </is>
      </c>
      <c r="J3100">
        <v>0.6</v>
      </c>
      <c r="K3100"/>
    </row>
    <row r="3101">
      <c r="A3101" t="inlineStr">
        <is>
          <t>STE_CHOLESTERYL_HEMISUCCINATE</t>
        </is>
      </c>
      <c r="B3101" t="inlineStr">
        <is>
          <t>route_suitability</t>
        </is>
      </c>
      <c r="C3101" t="inlineStr">
        <is>
          <t>liposome/LNP/SLN; route-grade dependent</t>
        </is>
      </c>
      <c r="D3101"/>
      <c r="E3101"/>
      <c r="F3101"/>
      <c r="G3101"/>
      <c r="H3101" t="inlineStr">
        <is>
          <t>S008_FDA_IID</t>
        </is>
      </c>
      <c r="I3101" t="inlineStr">
        <is>
          <t>curated</t>
        </is>
      </c>
      <c r="J3101">
        <v>0.6</v>
      </c>
      <c r="K3101"/>
    </row>
    <row r="3102">
      <c r="A3102" t="inlineStr">
        <is>
          <t>STE_CHOLESTERYL_HEMISUCCINATE</t>
        </is>
      </c>
      <c r="B3102" t="inlineStr">
        <is>
          <t>pKa_if_relevant</t>
        </is>
      </c>
      <c r="C3102">
        <v>5.6</v>
      </c>
      <c r="D3102"/>
      <c r="E3102"/>
      <c r="F3102"/>
      <c r="G3102"/>
      <c r="H3102" t="inlineStr">
        <is>
          <t>S001_PUBCHEM</t>
        </is>
      </c>
      <c r="I3102" t="inlineStr">
        <is>
          <t>handbook</t>
        </is>
      </c>
      <c r="J3102">
        <v>0.6</v>
      </c>
      <c r="K3102"/>
    </row>
    <row r="3103">
      <c r="A3103" t="inlineStr">
        <is>
          <t>STE_CHOLESTERYL_HEMISUCCINATE</t>
        </is>
      </c>
      <c r="B3103" t="inlineStr">
        <is>
          <t>melting_point_C</t>
        </is>
      </c>
      <c r="C3103">
        <v>173</v>
      </c>
      <c r="D3103" t="inlineStr">
        <is>
          <t>°C</t>
        </is>
      </c>
      <c r="E3103"/>
      <c r="F3103"/>
      <c r="G3103"/>
      <c r="H3103" t="inlineStr">
        <is>
          <t>S001_PUBCHEM</t>
        </is>
      </c>
      <c r="I3103" t="inlineStr">
        <is>
          <t>handbook</t>
        </is>
      </c>
      <c r="J3103">
        <v>0.78</v>
      </c>
      <c r="K3103"/>
    </row>
    <row r="3104">
      <c r="A3104" t="inlineStr">
        <is>
          <t>STE_CHOLESTERYL_HEMISUCCINATE</t>
        </is>
      </c>
      <c r="B3104" t="inlineStr">
        <is>
          <t>Hansen_delta_D</t>
        </is>
      </c>
      <c r="C3104">
        <v>18.0</v>
      </c>
      <c r="D3104" t="inlineStr">
        <is>
          <t>MPa^0.5</t>
        </is>
      </c>
      <c r="E3104"/>
      <c r="F3104"/>
      <c r="G3104" t="inlineStr">
        <is>
          <t>heuristic group-contribution/nearest-neighbour</t>
        </is>
      </c>
      <c r="H3104" t="inlineStr">
        <is>
          <t>S013_EST_HSP_HEURISTIC</t>
        </is>
      </c>
      <c r="I3104" t="inlineStr">
        <is>
          <t>estimated</t>
        </is>
      </c>
      <c r="J3104">
        <v>0.45</v>
      </c>
      <c r="K3104" t="inlineStr">
        <is>
          <t>Provisional HSP for screening; replace with experimental/literature value before model lock.</t>
        </is>
      </c>
    </row>
    <row r="3105">
      <c r="A3105" t="inlineStr">
        <is>
          <t>STE_CHOLESTERYL_HEMISUCCINATE</t>
        </is>
      </c>
      <c r="B3105" t="inlineStr">
        <is>
          <t>Hansen_delta_P</t>
        </is>
      </c>
      <c r="C3105">
        <v>2.0</v>
      </c>
      <c r="D3105" t="inlineStr">
        <is>
          <t>MPa^0.5</t>
        </is>
      </c>
      <c r="E3105"/>
      <c r="F3105"/>
      <c r="G3105" t="inlineStr">
        <is>
          <t>heuristic group-contribution/nearest-neighbour</t>
        </is>
      </c>
      <c r="H3105" t="inlineStr">
        <is>
          <t>S013_EST_HSP_HEURISTIC</t>
        </is>
      </c>
      <c r="I3105" t="inlineStr">
        <is>
          <t>estimated</t>
        </is>
      </c>
      <c r="J3105">
        <v>0.45</v>
      </c>
      <c r="K3105" t="inlineStr">
        <is>
          <t>Provisional HSP for screening; replace with experimental/literature value before model lock.</t>
        </is>
      </c>
    </row>
    <row r="3106">
      <c r="A3106" t="inlineStr">
        <is>
          <t>STE_CHOLESTERYL_HEMISUCCINATE</t>
        </is>
      </c>
      <c r="B3106" t="inlineStr">
        <is>
          <t>Hansen_delta_H</t>
        </is>
      </c>
      <c r="C3106">
        <v>4.5</v>
      </c>
      <c r="D3106" t="inlineStr">
        <is>
          <t>MPa^0.5</t>
        </is>
      </c>
      <c r="E3106"/>
      <c r="F3106"/>
      <c r="G3106" t="inlineStr">
        <is>
          <t>heuristic group-contribution/nearest-neighbour</t>
        </is>
      </c>
      <c r="H3106" t="inlineStr">
        <is>
          <t>S013_EST_HSP_HEURISTIC</t>
        </is>
      </c>
      <c r="I3106" t="inlineStr">
        <is>
          <t>estimated</t>
        </is>
      </c>
      <c r="J3106">
        <v>0.45</v>
      </c>
      <c r="K3106" t="inlineStr">
        <is>
          <t>Provisional HSP for screening; replace with experimental/literature value before model lock.</t>
        </is>
      </c>
    </row>
    <row r="3107">
      <c r="A3107" t="inlineStr">
        <is>
          <t>STE_CHOLESTERYL_HEMISUCCINATE</t>
        </is>
      </c>
      <c r="B3107" t="inlineStr">
        <is>
          <t>Hildebrand_delta_T</t>
        </is>
      </c>
      <c r="C3107">
        <v>18.66</v>
      </c>
      <c r="D3107" t="inlineStr">
        <is>
          <t>MPa^0.5</t>
        </is>
      </c>
      <c r="E3107"/>
      <c r="F3107"/>
      <c r="G3107" t="inlineStr">
        <is>
          <t>sqrt(deltaD^2+deltaP^2+deltaH^2)</t>
        </is>
      </c>
      <c r="H3107" t="inlineStr">
        <is>
          <t>S012_CALCULATED</t>
        </is>
      </c>
      <c r="I3107" t="inlineStr">
        <is>
          <t>calculated</t>
        </is>
      </c>
      <c r="J3107">
        <v>0.5</v>
      </c>
      <c r="K3107" t="inlineStr">
        <is>
          <t>Derived from stored Hansen components.</t>
        </is>
      </c>
    </row>
    <row r="3108">
      <c r="A3108" t="inlineStr">
        <is>
          <t>STE_CHOLESTERYL_HEMISUCCINATE</t>
        </is>
      </c>
      <c r="B3108" t="inlineStr">
        <is>
          <t>HSP_radius_R0</t>
        </is>
      </c>
      <c r="C3108">
        <v>6.5</v>
      </c>
      <c r="D3108" t="inlineStr">
        <is>
          <t>MPa^0.5</t>
        </is>
      </c>
      <c r="E3108"/>
      <c r="F3108"/>
      <c r="G3108" t="inlineStr">
        <is>
          <t>literature/heuristic solubility sphere</t>
        </is>
      </c>
      <c r="H3108" t="inlineStr">
        <is>
          <t>S013_EST_HSP_HEURISTIC</t>
        </is>
      </c>
      <c r="I3108" t="inlineStr">
        <is>
          <t>estimated</t>
        </is>
      </c>
      <c r="J3108">
        <v>0.45</v>
      </c>
      <c r="K3108" t="inlineStr">
        <is>
          <t>Screening radius only unless experimentally determined.</t>
        </is>
      </c>
    </row>
    <row r="3109">
      <c r="A3109" t="inlineStr">
        <is>
          <t>STE_CHOLESTERYL_HEMISUCCINATE</t>
        </is>
      </c>
      <c r="B3109" t="inlineStr">
        <is>
          <t>molar_volume_cm3_mol</t>
        </is>
      </c>
      <c r="C3109">
        <v>459.15</v>
      </c>
      <c r="D3109" t="inlineStr">
        <is>
          <t>cm3/mol</t>
        </is>
      </c>
      <c r="E3109"/>
      <c r="F3109"/>
      <c r="G3109" t="inlineStr">
        <is>
          <t>MW/density estimate</t>
        </is>
      </c>
      <c r="H3109" t="inlineStr">
        <is>
          <t>S012_CALCULATED</t>
        </is>
      </c>
      <c r="I3109" t="inlineStr">
        <is>
          <t>estimated</t>
        </is>
      </c>
      <c r="J3109">
        <v>0.45</v>
      </c>
      <c r="K3109" t="inlineStr">
        <is>
          <t>Estimated from MW/density; replace with measured molar volume or density-specific grade data.</t>
        </is>
      </c>
    </row>
    <row r="3110">
      <c r="A3110" t="inlineStr">
        <is>
          <t>STE_CHOLESTERYL_HEMISUCCINATE</t>
        </is>
      </c>
      <c r="B3110" t="inlineStr">
        <is>
          <t>headgroup_area_nm2</t>
        </is>
      </c>
      <c r="C3110">
        <v>0.4</v>
      </c>
      <c r="D3110" t="inlineStr">
        <is>
          <t>nm2</t>
        </is>
      </c>
      <c r="E3110"/>
      <c r="F3110"/>
      <c r="G3110" t="inlineStr">
        <is>
          <t>sterol cross-sectional area heuristic</t>
        </is>
      </c>
      <c r="H3110" t="inlineStr">
        <is>
          <t>S013_EST_HSP_HEURISTIC</t>
        </is>
      </c>
      <c r="I3110" t="inlineStr">
        <is>
          <t>estimated</t>
        </is>
      </c>
      <c r="J3110">
        <v>0.45</v>
      </c>
      <c r="K3110"/>
    </row>
    <row r="3111">
      <c r="A3111" t="inlineStr">
        <is>
          <t>STE_ERGOSTEROL</t>
        </is>
      </c>
      <c r="B3111" t="inlineStr">
        <is>
          <t>molecular_weight_g_mol</t>
        </is>
      </c>
      <c r="C3111">
        <v>396.65</v>
      </c>
      <c r="D3111" t="inlineStr">
        <is>
          <t>g/mol</t>
        </is>
      </c>
      <c r="E3111"/>
      <c r="F3111"/>
      <c r="G3111"/>
      <c r="H3111" t="inlineStr">
        <is>
          <t>S001_PUBCHEM</t>
        </is>
      </c>
      <c r="I3111" t="inlineStr">
        <is>
          <t>database-derived</t>
        </is>
      </c>
      <c r="J3111">
        <v>0.85</v>
      </c>
      <c r="K3111"/>
    </row>
    <row r="3112">
      <c r="A3112" t="inlineStr">
        <is>
          <t>STE_ERGOSTEROL</t>
        </is>
      </c>
      <c r="B3112" t="inlineStr">
        <is>
          <t>sterol_type</t>
        </is>
      </c>
      <c r="C3112" t="inlineStr">
        <is>
          <t>fungal sterol</t>
        </is>
      </c>
      <c r="D3112"/>
      <c r="E3112"/>
      <c r="F3112"/>
      <c r="G3112"/>
      <c r="H3112" t="inlineStr">
        <is>
          <t>S001_PUBCHEM</t>
        </is>
      </c>
      <c r="I3112" t="inlineStr">
        <is>
          <t>curated</t>
        </is>
      </c>
      <c r="J3112">
        <v>0.8</v>
      </c>
      <c r="K3112"/>
    </row>
    <row r="3113">
      <c r="A3113" t="inlineStr">
        <is>
          <t>STE_ERGOSTEROL</t>
        </is>
      </c>
      <c r="B3113" t="inlineStr">
        <is>
          <t>formal_charge</t>
        </is>
      </c>
      <c r="C3113">
        <v>0</v>
      </c>
      <c r="D3113" t="inlineStr">
        <is>
          <t>e</t>
        </is>
      </c>
      <c r="E3113"/>
      <c r="F3113"/>
      <c r="G3113"/>
      <c r="H3113" t="inlineStr">
        <is>
          <t>S001_PUBCHEM</t>
        </is>
      </c>
      <c r="I3113" t="inlineStr">
        <is>
          <t>curated</t>
        </is>
      </c>
      <c r="J3113">
        <v>0.85</v>
      </c>
      <c r="K3113"/>
    </row>
    <row r="3114">
      <c r="A3114" t="inlineStr">
        <is>
          <t>STE_ERGOSTEROL</t>
        </is>
      </c>
      <c r="B3114" t="inlineStr">
        <is>
          <t>rigidity_contribution</t>
        </is>
      </c>
      <c r="C3114" t="inlineStr">
        <is>
          <t>high membrane-ordering/condensing agent</t>
        </is>
      </c>
      <c r="D3114"/>
      <c r="E3114"/>
      <c r="F3114"/>
      <c r="G3114"/>
      <c r="H3114" t="inlineStr">
        <is>
          <t>S014_AULTON</t>
        </is>
      </c>
      <c r="I3114" t="inlineStr">
        <is>
          <t>curated</t>
        </is>
      </c>
      <c r="J3114">
        <v>0.8</v>
      </c>
      <c r="K3114"/>
    </row>
    <row r="3115">
      <c r="A3115" t="inlineStr">
        <is>
          <t>STE_ERGOSTEROL</t>
        </is>
      </c>
      <c r="B3115" t="inlineStr">
        <is>
          <t>drug_sterol_competition_relevance</t>
        </is>
      </c>
      <c r="C3115" t="inlineStr">
        <is>
          <t>high for polyenes/steroid-like APIs; consider partition competition and cholesterol displacement</t>
        </is>
      </c>
      <c r="D3115"/>
      <c r="E3115"/>
      <c r="F3115"/>
      <c r="G3115"/>
      <c r="H3115" t="inlineStr">
        <is>
          <t>S014_AULTON</t>
        </is>
      </c>
      <c r="I3115" t="inlineStr">
        <is>
          <t>curated</t>
        </is>
      </c>
      <c r="J3115">
        <v>0.6</v>
      </c>
      <c r="K3115"/>
    </row>
    <row r="3116">
      <c r="A3116" t="inlineStr">
        <is>
          <t>STE_ERGOSTEROL</t>
        </is>
      </c>
      <c r="B3116" t="inlineStr">
        <is>
          <t>route_suitability</t>
        </is>
      </c>
      <c r="C3116" t="inlineStr">
        <is>
          <t>liposome/LNP/SLN; route-grade dependent</t>
        </is>
      </c>
      <c r="D3116"/>
      <c r="E3116"/>
      <c r="F3116"/>
      <c r="G3116"/>
      <c r="H3116" t="inlineStr">
        <is>
          <t>S008_FDA_IID</t>
        </is>
      </c>
      <c r="I3116" t="inlineStr">
        <is>
          <t>curated</t>
        </is>
      </c>
      <c r="J3116">
        <v>0.6</v>
      </c>
      <c r="K3116"/>
    </row>
    <row r="3117">
      <c r="A3117" t="inlineStr">
        <is>
          <t>STE_ERGOSTEROL</t>
        </is>
      </c>
      <c r="B3117" t="inlineStr">
        <is>
          <t>melting_point_C</t>
        </is>
      </c>
      <c r="C3117">
        <v>160</v>
      </c>
      <c r="D3117" t="inlineStr">
        <is>
          <t>°C</t>
        </is>
      </c>
      <c r="E3117"/>
      <c r="F3117"/>
      <c r="G3117"/>
      <c r="H3117" t="inlineStr">
        <is>
          <t>S001_PUBCHEM</t>
        </is>
      </c>
      <c r="I3117" t="inlineStr">
        <is>
          <t>handbook</t>
        </is>
      </c>
      <c r="J3117">
        <v>0.78</v>
      </c>
      <c r="K3117"/>
    </row>
    <row r="3118">
      <c r="A3118" t="inlineStr">
        <is>
          <t>STE_ERGOSTEROL</t>
        </is>
      </c>
      <c r="B3118" t="inlineStr">
        <is>
          <t>Hansen_delta_D</t>
        </is>
      </c>
      <c r="C3118">
        <v>18.0</v>
      </c>
      <c r="D3118" t="inlineStr">
        <is>
          <t>MPa^0.5</t>
        </is>
      </c>
      <c r="E3118"/>
      <c r="F3118"/>
      <c r="G3118" t="inlineStr">
        <is>
          <t>heuristic group-contribution/nearest-neighbour</t>
        </is>
      </c>
      <c r="H3118" t="inlineStr">
        <is>
          <t>S013_EST_HSP_HEURISTIC</t>
        </is>
      </c>
      <c r="I3118" t="inlineStr">
        <is>
          <t>estimated</t>
        </is>
      </c>
      <c r="J3118">
        <v>0.45</v>
      </c>
      <c r="K3118" t="inlineStr">
        <is>
          <t>Provisional HSP for screening; replace with experimental/literature value before model lock.</t>
        </is>
      </c>
    </row>
    <row r="3119">
      <c r="A3119" t="inlineStr">
        <is>
          <t>STE_ERGOSTEROL</t>
        </is>
      </c>
      <c r="B3119" t="inlineStr">
        <is>
          <t>Hansen_delta_P</t>
        </is>
      </c>
      <c r="C3119">
        <v>2.0</v>
      </c>
      <c r="D3119" t="inlineStr">
        <is>
          <t>MPa^0.5</t>
        </is>
      </c>
      <c r="E3119"/>
      <c r="F3119"/>
      <c r="G3119" t="inlineStr">
        <is>
          <t>heuristic group-contribution/nearest-neighbour</t>
        </is>
      </c>
      <c r="H3119" t="inlineStr">
        <is>
          <t>S013_EST_HSP_HEURISTIC</t>
        </is>
      </c>
      <c r="I3119" t="inlineStr">
        <is>
          <t>estimated</t>
        </is>
      </c>
      <c r="J3119">
        <v>0.45</v>
      </c>
      <c r="K3119" t="inlineStr">
        <is>
          <t>Provisional HSP for screening; replace with experimental/literature value before model lock.</t>
        </is>
      </c>
    </row>
    <row r="3120">
      <c r="A3120" t="inlineStr">
        <is>
          <t>STE_ERGOSTEROL</t>
        </is>
      </c>
      <c r="B3120" t="inlineStr">
        <is>
          <t>Hansen_delta_H</t>
        </is>
      </c>
      <c r="C3120">
        <v>4.5</v>
      </c>
      <c r="D3120" t="inlineStr">
        <is>
          <t>MPa^0.5</t>
        </is>
      </c>
      <c r="E3120"/>
      <c r="F3120"/>
      <c r="G3120" t="inlineStr">
        <is>
          <t>heuristic group-contribution/nearest-neighbour</t>
        </is>
      </c>
      <c r="H3120" t="inlineStr">
        <is>
          <t>S013_EST_HSP_HEURISTIC</t>
        </is>
      </c>
      <c r="I3120" t="inlineStr">
        <is>
          <t>estimated</t>
        </is>
      </c>
      <c r="J3120">
        <v>0.45</v>
      </c>
      <c r="K3120" t="inlineStr">
        <is>
          <t>Provisional HSP for screening; replace with experimental/literature value before model lock.</t>
        </is>
      </c>
    </row>
    <row r="3121">
      <c r="A3121" t="inlineStr">
        <is>
          <t>STE_ERGOSTEROL</t>
        </is>
      </c>
      <c r="B3121" t="inlineStr">
        <is>
          <t>Hildebrand_delta_T</t>
        </is>
      </c>
      <c r="C3121">
        <v>18.66</v>
      </c>
      <c r="D3121" t="inlineStr">
        <is>
          <t>MPa^0.5</t>
        </is>
      </c>
      <c r="E3121"/>
      <c r="F3121"/>
      <c r="G3121" t="inlineStr">
        <is>
          <t>sqrt(deltaD^2+deltaP^2+deltaH^2)</t>
        </is>
      </c>
      <c r="H3121" t="inlineStr">
        <is>
          <t>S012_CALCULATED</t>
        </is>
      </c>
      <c r="I3121" t="inlineStr">
        <is>
          <t>calculated</t>
        </is>
      </c>
      <c r="J3121">
        <v>0.5</v>
      </c>
      <c r="K3121" t="inlineStr">
        <is>
          <t>Derived from stored Hansen components.</t>
        </is>
      </c>
    </row>
    <row r="3122">
      <c r="A3122" t="inlineStr">
        <is>
          <t>STE_ERGOSTEROL</t>
        </is>
      </c>
      <c r="B3122" t="inlineStr">
        <is>
          <t>HSP_radius_R0</t>
        </is>
      </c>
      <c r="C3122">
        <v>6.5</v>
      </c>
      <c r="D3122" t="inlineStr">
        <is>
          <t>MPa^0.5</t>
        </is>
      </c>
      <c r="E3122"/>
      <c r="F3122"/>
      <c r="G3122" t="inlineStr">
        <is>
          <t>literature/heuristic solubility sphere</t>
        </is>
      </c>
      <c r="H3122" t="inlineStr">
        <is>
          <t>S013_EST_HSP_HEURISTIC</t>
        </is>
      </c>
      <c r="I3122" t="inlineStr">
        <is>
          <t>estimated</t>
        </is>
      </c>
      <c r="J3122">
        <v>0.45</v>
      </c>
      <c r="K3122" t="inlineStr">
        <is>
          <t>Screening radius only unless experimentally determined.</t>
        </is>
      </c>
    </row>
    <row r="3123">
      <c r="A3123" t="inlineStr">
        <is>
          <t>STE_ERGOSTEROL</t>
        </is>
      </c>
      <c r="B3123" t="inlineStr">
        <is>
          <t>molar_volume_cm3_mol</t>
        </is>
      </c>
      <c r="C3123">
        <v>374.2</v>
      </c>
      <c r="D3123" t="inlineStr">
        <is>
          <t>cm3/mol</t>
        </is>
      </c>
      <c r="E3123"/>
      <c r="F3123"/>
      <c r="G3123" t="inlineStr">
        <is>
          <t>MW/density estimate</t>
        </is>
      </c>
      <c r="H3123" t="inlineStr">
        <is>
          <t>S012_CALCULATED</t>
        </is>
      </c>
      <c r="I3123" t="inlineStr">
        <is>
          <t>estimated</t>
        </is>
      </c>
      <c r="J3123">
        <v>0.45</v>
      </c>
      <c r="K3123" t="inlineStr">
        <is>
          <t>Estimated from MW/density; replace with measured molar volume or density-specific grade data.</t>
        </is>
      </c>
    </row>
    <row r="3124">
      <c r="A3124" t="inlineStr">
        <is>
          <t>STE_ERGOSTEROL</t>
        </is>
      </c>
      <c r="B3124" t="inlineStr">
        <is>
          <t>headgroup_area_nm2</t>
        </is>
      </c>
      <c r="C3124">
        <v>0.4</v>
      </c>
      <c r="D3124" t="inlineStr">
        <is>
          <t>nm2</t>
        </is>
      </c>
      <c r="E3124"/>
      <c r="F3124"/>
      <c r="G3124" t="inlineStr">
        <is>
          <t>sterol cross-sectional area heuristic</t>
        </is>
      </c>
      <c r="H3124" t="inlineStr">
        <is>
          <t>S013_EST_HSP_HEURISTIC</t>
        </is>
      </c>
      <c r="I3124" t="inlineStr">
        <is>
          <t>estimated</t>
        </is>
      </c>
      <c r="J3124">
        <v>0.45</v>
      </c>
      <c r="K3124"/>
    </row>
    <row r="3125">
      <c r="A3125" t="inlineStr">
        <is>
          <t>STE_BETA_SITOSTEROL</t>
        </is>
      </c>
      <c r="B3125" t="inlineStr">
        <is>
          <t>molecular_weight_g_mol</t>
        </is>
      </c>
      <c r="C3125">
        <v>414.71</v>
      </c>
      <c r="D3125" t="inlineStr">
        <is>
          <t>g/mol</t>
        </is>
      </c>
      <c r="E3125"/>
      <c r="F3125"/>
      <c r="G3125"/>
      <c r="H3125" t="inlineStr">
        <is>
          <t>S001_PUBCHEM</t>
        </is>
      </c>
      <c r="I3125" t="inlineStr">
        <is>
          <t>database-derived</t>
        </is>
      </c>
      <c r="J3125">
        <v>0.85</v>
      </c>
      <c r="K3125"/>
    </row>
    <row r="3126">
      <c r="A3126" t="inlineStr">
        <is>
          <t>STE_BETA_SITOSTEROL</t>
        </is>
      </c>
      <c r="B3126" t="inlineStr">
        <is>
          <t>sterol_type</t>
        </is>
      </c>
      <c r="C3126" t="inlineStr">
        <is>
          <t>phytosterol</t>
        </is>
      </c>
      <c r="D3126"/>
      <c r="E3126"/>
      <c r="F3126"/>
      <c r="G3126"/>
      <c r="H3126" t="inlineStr">
        <is>
          <t>S001_PUBCHEM</t>
        </is>
      </c>
      <c r="I3126" t="inlineStr">
        <is>
          <t>curated</t>
        </is>
      </c>
      <c r="J3126">
        <v>0.8</v>
      </c>
      <c r="K3126"/>
    </row>
    <row r="3127">
      <c r="A3127" t="inlineStr">
        <is>
          <t>STE_BETA_SITOSTEROL</t>
        </is>
      </c>
      <c r="B3127" t="inlineStr">
        <is>
          <t>formal_charge</t>
        </is>
      </c>
      <c r="C3127">
        <v>0</v>
      </c>
      <c r="D3127" t="inlineStr">
        <is>
          <t>e</t>
        </is>
      </c>
      <c r="E3127"/>
      <c r="F3127"/>
      <c r="G3127"/>
      <c r="H3127" t="inlineStr">
        <is>
          <t>S001_PUBCHEM</t>
        </is>
      </c>
      <c r="I3127" t="inlineStr">
        <is>
          <t>curated</t>
        </is>
      </c>
      <c r="J3127">
        <v>0.85</v>
      </c>
      <c r="K3127"/>
    </row>
    <row r="3128">
      <c r="A3128" t="inlineStr">
        <is>
          <t>STE_BETA_SITOSTEROL</t>
        </is>
      </c>
      <c r="B3128" t="inlineStr">
        <is>
          <t>rigidity_contribution</t>
        </is>
      </c>
      <c r="C3128" t="inlineStr">
        <is>
          <t>high membrane-ordering/condensing agent</t>
        </is>
      </c>
      <c r="D3128"/>
      <c r="E3128"/>
      <c r="F3128"/>
      <c r="G3128"/>
      <c r="H3128" t="inlineStr">
        <is>
          <t>S014_AULTON</t>
        </is>
      </c>
      <c r="I3128" t="inlineStr">
        <is>
          <t>curated</t>
        </is>
      </c>
      <c r="J3128">
        <v>0.8</v>
      </c>
      <c r="K3128"/>
    </row>
    <row r="3129">
      <c r="A3129" t="inlineStr">
        <is>
          <t>STE_BETA_SITOSTEROL</t>
        </is>
      </c>
      <c r="B3129" t="inlineStr">
        <is>
          <t>drug_sterol_competition_relevance</t>
        </is>
      </c>
      <c r="C3129" t="inlineStr">
        <is>
          <t>high for polyenes/steroid-like APIs; consider partition competition and cholesterol displacement</t>
        </is>
      </c>
      <c r="D3129"/>
      <c r="E3129"/>
      <c r="F3129"/>
      <c r="G3129"/>
      <c r="H3129" t="inlineStr">
        <is>
          <t>S014_AULTON</t>
        </is>
      </c>
      <c r="I3129" t="inlineStr">
        <is>
          <t>curated</t>
        </is>
      </c>
      <c r="J3129">
        <v>0.6</v>
      </c>
      <c r="K3129"/>
    </row>
    <row r="3130">
      <c r="A3130" t="inlineStr">
        <is>
          <t>STE_BETA_SITOSTEROL</t>
        </is>
      </c>
      <c r="B3130" t="inlineStr">
        <is>
          <t>route_suitability</t>
        </is>
      </c>
      <c r="C3130" t="inlineStr">
        <is>
          <t>liposome/LNP/SLN; route-grade dependent</t>
        </is>
      </c>
      <c r="D3130"/>
      <c r="E3130"/>
      <c r="F3130"/>
      <c r="G3130"/>
      <c r="H3130" t="inlineStr">
        <is>
          <t>S008_FDA_IID</t>
        </is>
      </c>
      <c r="I3130" t="inlineStr">
        <is>
          <t>curated</t>
        </is>
      </c>
      <c r="J3130">
        <v>0.6</v>
      </c>
      <c r="K3130"/>
    </row>
    <row r="3131">
      <c r="A3131" t="inlineStr">
        <is>
          <t>STE_BETA_SITOSTEROL</t>
        </is>
      </c>
      <c r="B3131" t="inlineStr">
        <is>
          <t>melting_point_C</t>
        </is>
      </c>
      <c r="C3131">
        <v>136</v>
      </c>
      <c r="D3131" t="inlineStr">
        <is>
          <t>°C</t>
        </is>
      </c>
      <c r="E3131"/>
      <c r="F3131"/>
      <c r="G3131"/>
      <c r="H3131" t="inlineStr">
        <is>
          <t>S001_PUBCHEM</t>
        </is>
      </c>
      <c r="I3131" t="inlineStr">
        <is>
          <t>handbook</t>
        </is>
      </c>
      <c r="J3131">
        <v>0.78</v>
      </c>
      <c r="K3131"/>
    </row>
    <row r="3132">
      <c r="A3132" t="inlineStr">
        <is>
          <t>STE_BETA_SITOSTEROL</t>
        </is>
      </c>
      <c r="B3132" t="inlineStr">
        <is>
          <t>Hansen_delta_D</t>
        </is>
      </c>
      <c r="C3132">
        <v>18.0</v>
      </c>
      <c r="D3132" t="inlineStr">
        <is>
          <t>MPa^0.5</t>
        </is>
      </c>
      <c r="E3132"/>
      <c r="F3132"/>
      <c r="G3132" t="inlineStr">
        <is>
          <t>heuristic group-contribution/nearest-neighbour</t>
        </is>
      </c>
      <c r="H3132" t="inlineStr">
        <is>
          <t>S013_EST_HSP_HEURISTIC</t>
        </is>
      </c>
      <c r="I3132" t="inlineStr">
        <is>
          <t>estimated</t>
        </is>
      </c>
      <c r="J3132">
        <v>0.45</v>
      </c>
      <c r="K3132" t="inlineStr">
        <is>
          <t>Provisional HSP for screening; replace with experimental/literature value before model lock.</t>
        </is>
      </c>
    </row>
    <row r="3133">
      <c r="A3133" t="inlineStr">
        <is>
          <t>STE_BETA_SITOSTEROL</t>
        </is>
      </c>
      <c r="B3133" t="inlineStr">
        <is>
          <t>Hansen_delta_P</t>
        </is>
      </c>
      <c r="C3133">
        <v>2.0</v>
      </c>
      <c r="D3133" t="inlineStr">
        <is>
          <t>MPa^0.5</t>
        </is>
      </c>
      <c r="E3133"/>
      <c r="F3133"/>
      <c r="G3133" t="inlineStr">
        <is>
          <t>heuristic group-contribution/nearest-neighbour</t>
        </is>
      </c>
      <c r="H3133" t="inlineStr">
        <is>
          <t>S013_EST_HSP_HEURISTIC</t>
        </is>
      </c>
      <c r="I3133" t="inlineStr">
        <is>
          <t>estimated</t>
        </is>
      </c>
      <c r="J3133">
        <v>0.45</v>
      </c>
      <c r="K3133" t="inlineStr">
        <is>
          <t>Provisional HSP for screening; replace with experimental/literature value before model lock.</t>
        </is>
      </c>
    </row>
    <row r="3134">
      <c r="A3134" t="inlineStr">
        <is>
          <t>STE_BETA_SITOSTEROL</t>
        </is>
      </c>
      <c r="B3134" t="inlineStr">
        <is>
          <t>Hansen_delta_H</t>
        </is>
      </c>
      <c r="C3134">
        <v>4.5</v>
      </c>
      <c r="D3134" t="inlineStr">
        <is>
          <t>MPa^0.5</t>
        </is>
      </c>
      <c r="E3134"/>
      <c r="F3134"/>
      <c r="G3134" t="inlineStr">
        <is>
          <t>heuristic group-contribution/nearest-neighbour</t>
        </is>
      </c>
      <c r="H3134" t="inlineStr">
        <is>
          <t>S013_EST_HSP_HEURISTIC</t>
        </is>
      </c>
      <c r="I3134" t="inlineStr">
        <is>
          <t>estimated</t>
        </is>
      </c>
      <c r="J3134">
        <v>0.45</v>
      </c>
      <c r="K3134" t="inlineStr">
        <is>
          <t>Provisional HSP for screening; replace with experimental/literature value before model lock.</t>
        </is>
      </c>
    </row>
    <row r="3135">
      <c r="A3135" t="inlineStr">
        <is>
          <t>STE_BETA_SITOSTEROL</t>
        </is>
      </c>
      <c r="B3135" t="inlineStr">
        <is>
          <t>Hildebrand_delta_T</t>
        </is>
      </c>
      <c r="C3135">
        <v>18.66</v>
      </c>
      <c r="D3135" t="inlineStr">
        <is>
          <t>MPa^0.5</t>
        </is>
      </c>
      <c r="E3135"/>
      <c r="F3135"/>
      <c r="G3135" t="inlineStr">
        <is>
          <t>sqrt(deltaD^2+deltaP^2+deltaH^2)</t>
        </is>
      </c>
      <c r="H3135" t="inlineStr">
        <is>
          <t>S012_CALCULATED</t>
        </is>
      </c>
      <c r="I3135" t="inlineStr">
        <is>
          <t>calculated</t>
        </is>
      </c>
      <c r="J3135">
        <v>0.5</v>
      </c>
      <c r="K3135" t="inlineStr">
        <is>
          <t>Derived from stored Hansen components.</t>
        </is>
      </c>
    </row>
    <row r="3136">
      <c r="A3136" t="inlineStr">
        <is>
          <t>STE_BETA_SITOSTEROL</t>
        </is>
      </c>
      <c r="B3136" t="inlineStr">
        <is>
          <t>HSP_radius_R0</t>
        </is>
      </c>
      <c r="C3136">
        <v>6.5</v>
      </c>
      <c r="D3136" t="inlineStr">
        <is>
          <t>MPa^0.5</t>
        </is>
      </c>
      <c r="E3136"/>
      <c r="F3136"/>
      <c r="G3136" t="inlineStr">
        <is>
          <t>literature/heuristic solubility sphere</t>
        </is>
      </c>
      <c r="H3136" t="inlineStr">
        <is>
          <t>S013_EST_HSP_HEURISTIC</t>
        </is>
      </c>
      <c r="I3136" t="inlineStr">
        <is>
          <t>estimated</t>
        </is>
      </c>
      <c r="J3136">
        <v>0.45</v>
      </c>
      <c r="K3136" t="inlineStr">
        <is>
          <t>Screening radius only unless experimentally determined.</t>
        </is>
      </c>
    </row>
    <row r="3137">
      <c r="A3137" t="inlineStr">
        <is>
          <t>STE_BETA_SITOSTEROL</t>
        </is>
      </c>
      <c r="B3137" t="inlineStr">
        <is>
          <t>molar_volume_cm3_mol</t>
        </is>
      </c>
      <c r="C3137">
        <v>391.24</v>
      </c>
      <c r="D3137" t="inlineStr">
        <is>
          <t>cm3/mol</t>
        </is>
      </c>
      <c r="E3137"/>
      <c r="F3137"/>
      <c r="G3137" t="inlineStr">
        <is>
          <t>MW/density estimate</t>
        </is>
      </c>
      <c r="H3137" t="inlineStr">
        <is>
          <t>S012_CALCULATED</t>
        </is>
      </c>
      <c r="I3137" t="inlineStr">
        <is>
          <t>estimated</t>
        </is>
      </c>
      <c r="J3137">
        <v>0.45</v>
      </c>
      <c r="K3137" t="inlineStr">
        <is>
          <t>Estimated from MW/density; replace with measured molar volume or density-specific grade data.</t>
        </is>
      </c>
    </row>
    <row r="3138">
      <c r="A3138" t="inlineStr">
        <is>
          <t>STE_BETA_SITOSTEROL</t>
        </is>
      </c>
      <c r="B3138" t="inlineStr">
        <is>
          <t>headgroup_area_nm2</t>
        </is>
      </c>
      <c r="C3138">
        <v>0.4</v>
      </c>
      <c r="D3138" t="inlineStr">
        <is>
          <t>nm2</t>
        </is>
      </c>
      <c r="E3138"/>
      <c r="F3138"/>
      <c r="G3138" t="inlineStr">
        <is>
          <t>sterol cross-sectional area heuristic</t>
        </is>
      </c>
      <c r="H3138" t="inlineStr">
        <is>
          <t>S013_EST_HSP_HEURISTIC</t>
        </is>
      </c>
      <c r="I3138" t="inlineStr">
        <is>
          <t>estimated</t>
        </is>
      </c>
      <c r="J3138">
        <v>0.45</v>
      </c>
      <c r="K3138"/>
    </row>
    <row r="3139">
      <c r="A3139" t="inlineStr">
        <is>
          <t>STE_LANOSTEROL</t>
        </is>
      </c>
      <c r="B3139" t="inlineStr">
        <is>
          <t>molecular_weight_g_mol</t>
        </is>
      </c>
      <c r="C3139">
        <v>426.72</v>
      </c>
      <c r="D3139" t="inlineStr">
        <is>
          <t>g/mol</t>
        </is>
      </c>
      <c r="E3139"/>
      <c r="F3139"/>
      <c r="G3139"/>
      <c r="H3139" t="inlineStr">
        <is>
          <t>S001_PUBCHEM</t>
        </is>
      </c>
      <c r="I3139" t="inlineStr">
        <is>
          <t>database-derived</t>
        </is>
      </c>
      <c r="J3139">
        <v>0.85</v>
      </c>
      <c r="K3139"/>
    </row>
    <row r="3140">
      <c r="A3140" t="inlineStr">
        <is>
          <t>STE_LANOSTEROL</t>
        </is>
      </c>
      <c r="B3140" t="inlineStr">
        <is>
          <t>sterol_type</t>
        </is>
      </c>
      <c r="C3140" t="inlineStr">
        <is>
          <t>sterol precursor</t>
        </is>
      </c>
      <c r="D3140"/>
      <c r="E3140"/>
      <c r="F3140"/>
      <c r="G3140"/>
      <c r="H3140" t="inlineStr">
        <is>
          <t>S001_PUBCHEM</t>
        </is>
      </c>
      <c r="I3140" t="inlineStr">
        <is>
          <t>curated</t>
        </is>
      </c>
      <c r="J3140">
        <v>0.8</v>
      </c>
      <c r="K3140"/>
    </row>
    <row r="3141">
      <c r="A3141" t="inlineStr">
        <is>
          <t>STE_LANOSTEROL</t>
        </is>
      </c>
      <c r="B3141" t="inlineStr">
        <is>
          <t>formal_charge</t>
        </is>
      </c>
      <c r="C3141">
        <v>0</v>
      </c>
      <c r="D3141" t="inlineStr">
        <is>
          <t>e</t>
        </is>
      </c>
      <c r="E3141"/>
      <c r="F3141"/>
      <c r="G3141"/>
      <c r="H3141" t="inlineStr">
        <is>
          <t>S001_PUBCHEM</t>
        </is>
      </c>
      <c r="I3141" t="inlineStr">
        <is>
          <t>curated</t>
        </is>
      </c>
      <c r="J3141">
        <v>0.85</v>
      </c>
      <c r="K3141"/>
    </row>
    <row r="3142">
      <c r="A3142" t="inlineStr">
        <is>
          <t>STE_LANOSTEROL</t>
        </is>
      </c>
      <c r="B3142" t="inlineStr">
        <is>
          <t>rigidity_contribution</t>
        </is>
      </c>
      <c r="C3142" t="inlineStr">
        <is>
          <t>high membrane-ordering/condensing agent</t>
        </is>
      </c>
      <c r="D3142"/>
      <c r="E3142"/>
      <c r="F3142"/>
      <c r="G3142"/>
      <c r="H3142" t="inlineStr">
        <is>
          <t>S014_AULTON</t>
        </is>
      </c>
      <c r="I3142" t="inlineStr">
        <is>
          <t>curated</t>
        </is>
      </c>
      <c r="J3142">
        <v>0.8</v>
      </c>
      <c r="K3142"/>
    </row>
    <row r="3143">
      <c r="A3143" t="inlineStr">
        <is>
          <t>STE_LANOSTEROL</t>
        </is>
      </c>
      <c r="B3143" t="inlineStr">
        <is>
          <t>drug_sterol_competition_relevance</t>
        </is>
      </c>
      <c r="C3143" t="inlineStr">
        <is>
          <t>high for polyenes/steroid-like APIs; consider partition competition and cholesterol displacement</t>
        </is>
      </c>
      <c r="D3143"/>
      <c r="E3143"/>
      <c r="F3143"/>
      <c r="G3143"/>
      <c r="H3143" t="inlineStr">
        <is>
          <t>S014_AULTON</t>
        </is>
      </c>
      <c r="I3143" t="inlineStr">
        <is>
          <t>curated</t>
        </is>
      </c>
      <c r="J3143">
        <v>0.6</v>
      </c>
      <c r="K3143"/>
    </row>
    <row r="3144">
      <c r="A3144" t="inlineStr">
        <is>
          <t>STE_LANOSTEROL</t>
        </is>
      </c>
      <c r="B3144" t="inlineStr">
        <is>
          <t>route_suitability</t>
        </is>
      </c>
      <c r="C3144" t="inlineStr">
        <is>
          <t>liposome/LNP/SLN; route-grade dependent</t>
        </is>
      </c>
      <c r="D3144"/>
      <c r="E3144"/>
      <c r="F3144"/>
      <c r="G3144"/>
      <c r="H3144" t="inlineStr">
        <is>
          <t>S008_FDA_IID</t>
        </is>
      </c>
      <c r="I3144" t="inlineStr">
        <is>
          <t>curated</t>
        </is>
      </c>
      <c r="J3144">
        <v>0.6</v>
      </c>
      <c r="K3144"/>
    </row>
    <row r="3145">
      <c r="A3145" t="inlineStr">
        <is>
          <t>STE_LANOSTEROL</t>
        </is>
      </c>
      <c r="B3145" t="inlineStr">
        <is>
          <t>melting_point_C</t>
        </is>
      </c>
      <c r="C3145">
        <v>140</v>
      </c>
      <c r="D3145" t="inlineStr">
        <is>
          <t>°C</t>
        </is>
      </c>
      <c r="E3145"/>
      <c r="F3145"/>
      <c r="G3145"/>
      <c r="H3145" t="inlineStr">
        <is>
          <t>S001_PUBCHEM</t>
        </is>
      </c>
      <c r="I3145" t="inlineStr">
        <is>
          <t>handbook</t>
        </is>
      </c>
      <c r="J3145">
        <v>0.78</v>
      </c>
      <c r="K3145"/>
    </row>
    <row r="3146">
      <c r="A3146" t="inlineStr">
        <is>
          <t>STE_LANOSTEROL</t>
        </is>
      </c>
      <c r="B3146" t="inlineStr">
        <is>
          <t>Hansen_delta_D</t>
        </is>
      </c>
      <c r="C3146">
        <v>18.0</v>
      </c>
      <c r="D3146" t="inlineStr">
        <is>
          <t>MPa^0.5</t>
        </is>
      </c>
      <c r="E3146"/>
      <c r="F3146"/>
      <c r="G3146" t="inlineStr">
        <is>
          <t>heuristic group-contribution/nearest-neighbour</t>
        </is>
      </c>
      <c r="H3146" t="inlineStr">
        <is>
          <t>S013_EST_HSP_HEURISTIC</t>
        </is>
      </c>
      <c r="I3146" t="inlineStr">
        <is>
          <t>estimated</t>
        </is>
      </c>
      <c r="J3146">
        <v>0.45</v>
      </c>
      <c r="K3146" t="inlineStr">
        <is>
          <t>Provisional HSP for screening; replace with experimental/literature value before model lock.</t>
        </is>
      </c>
    </row>
    <row r="3147">
      <c r="A3147" t="inlineStr">
        <is>
          <t>STE_LANOSTEROL</t>
        </is>
      </c>
      <c r="B3147" t="inlineStr">
        <is>
          <t>Hansen_delta_P</t>
        </is>
      </c>
      <c r="C3147">
        <v>2.0</v>
      </c>
      <c r="D3147" t="inlineStr">
        <is>
          <t>MPa^0.5</t>
        </is>
      </c>
      <c r="E3147"/>
      <c r="F3147"/>
      <c r="G3147" t="inlineStr">
        <is>
          <t>heuristic group-contribution/nearest-neighbour</t>
        </is>
      </c>
      <c r="H3147" t="inlineStr">
        <is>
          <t>S013_EST_HSP_HEURISTIC</t>
        </is>
      </c>
      <c r="I3147" t="inlineStr">
        <is>
          <t>estimated</t>
        </is>
      </c>
      <c r="J3147">
        <v>0.45</v>
      </c>
      <c r="K3147" t="inlineStr">
        <is>
          <t>Provisional HSP for screening; replace with experimental/literature value before model lock.</t>
        </is>
      </c>
    </row>
    <row r="3148">
      <c r="A3148" t="inlineStr">
        <is>
          <t>STE_LANOSTEROL</t>
        </is>
      </c>
      <c r="B3148" t="inlineStr">
        <is>
          <t>Hansen_delta_H</t>
        </is>
      </c>
      <c r="C3148">
        <v>4.5</v>
      </c>
      <c r="D3148" t="inlineStr">
        <is>
          <t>MPa^0.5</t>
        </is>
      </c>
      <c r="E3148"/>
      <c r="F3148"/>
      <c r="G3148" t="inlineStr">
        <is>
          <t>heuristic group-contribution/nearest-neighbour</t>
        </is>
      </c>
      <c r="H3148" t="inlineStr">
        <is>
          <t>S013_EST_HSP_HEURISTIC</t>
        </is>
      </c>
      <c r="I3148" t="inlineStr">
        <is>
          <t>estimated</t>
        </is>
      </c>
      <c r="J3148">
        <v>0.45</v>
      </c>
      <c r="K3148" t="inlineStr">
        <is>
          <t>Provisional HSP for screening; replace with experimental/literature value before model lock.</t>
        </is>
      </c>
    </row>
    <row r="3149">
      <c r="A3149" t="inlineStr">
        <is>
          <t>STE_LANOSTEROL</t>
        </is>
      </c>
      <c r="B3149" t="inlineStr">
        <is>
          <t>Hildebrand_delta_T</t>
        </is>
      </c>
      <c r="C3149">
        <v>18.66</v>
      </c>
      <c r="D3149" t="inlineStr">
        <is>
          <t>MPa^0.5</t>
        </is>
      </c>
      <c r="E3149"/>
      <c r="F3149"/>
      <c r="G3149" t="inlineStr">
        <is>
          <t>sqrt(deltaD^2+deltaP^2+deltaH^2)</t>
        </is>
      </c>
      <c r="H3149" t="inlineStr">
        <is>
          <t>S012_CALCULATED</t>
        </is>
      </c>
      <c r="I3149" t="inlineStr">
        <is>
          <t>calculated</t>
        </is>
      </c>
      <c r="J3149">
        <v>0.5</v>
      </c>
      <c r="K3149" t="inlineStr">
        <is>
          <t>Derived from stored Hansen components.</t>
        </is>
      </c>
    </row>
    <row r="3150">
      <c r="A3150" t="inlineStr">
        <is>
          <t>STE_LANOSTEROL</t>
        </is>
      </c>
      <c r="B3150" t="inlineStr">
        <is>
          <t>HSP_radius_R0</t>
        </is>
      </c>
      <c r="C3150">
        <v>6.5</v>
      </c>
      <c r="D3150" t="inlineStr">
        <is>
          <t>MPa^0.5</t>
        </is>
      </c>
      <c r="E3150"/>
      <c r="F3150"/>
      <c r="G3150" t="inlineStr">
        <is>
          <t>literature/heuristic solubility sphere</t>
        </is>
      </c>
      <c r="H3150" t="inlineStr">
        <is>
          <t>S013_EST_HSP_HEURISTIC</t>
        </is>
      </c>
      <c r="I3150" t="inlineStr">
        <is>
          <t>estimated</t>
        </is>
      </c>
      <c r="J3150">
        <v>0.45</v>
      </c>
      <c r="K3150" t="inlineStr">
        <is>
          <t>Screening radius only unless experimentally determined.</t>
        </is>
      </c>
    </row>
    <row r="3151">
      <c r="A3151" t="inlineStr">
        <is>
          <t>STE_LANOSTEROL</t>
        </is>
      </c>
      <c r="B3151" t="inlineStr">
        <is>
          <t>molar_volume_cm3_mol</t>
        </is>
      </c>
      <c r="C3151">
        <v>402.57</v>
      </c>
      <c r="D3151" t="inlineStr">
        <is>
          <t>cm3/mol</t>
        </is>
      </c>
      <c r="E3151"/>
      <c r="F3151"/>
      <c r="G3151" t="inlineStr">
        <is>
          <t>MW/density estimate</t>
        </is>
      </c>
      <c r="H3151" t="inlineStr">
        <is>
          <t>S012_CALCULATED</t>
        </is>
      </c>
      <c r="I3151" t="inlineStr">
        <is>
          <t>estimated</t>
        </is>
      </c>
      <c r="J3151">
        <v>0.45</v>
      </c>
      <c r="K3151" t="inlineStr">
        <is>
          <t>Estimated from MW/density; replace with measured molar volume or density-specific grade data.</t>
        </is>
      </c>
    </row>
    <row r="3152">
      <c r="A3152" t="inlineStr">
        <is>
          <t>STE_LANOSTEROL</t>
        </is>
      </c>
      <c r="B3152" t="inlineStr">
        <is>
          <t>headgroup_area_nm2</t>
        </is>
      </c>
      <c r="C3152">
        <v>0.4</v>
      </c>
      <c r="D3152" t="inlineStr">
        <is>
          <t>nm2</t>
        </is>
      </c>
      <c r="E3152"/>
      <c r="F3152"/>
      <c r="G3152" t="inlineStr">
        <is>
          <t>sterol cross-sectional area heuristic</t>
        </is>
      </c>
      <c r="H3152" t="inlineStr">
        <is>
          <t>S013_EST_HSP_HEURISTIC</t>
        </is>
      </c>
      <c r="I3152" t="inlineStr">
        <is>
          <t>estimated</t>
        </is>
      </c>
      <c r="J3152">
        <v>0.45</v>
      </c>
      <c r="K3152"/>
    </row>
    <row r="3153">
      <c r="A3153" t="inlineStr">
        <is>
          <t>BILE_SODIUM_CHOLATE</t>
        </is>
      </c>
      <c r="B3153" t="inlineStr">
        <is>
          <t>molecular_weight_g_mol</t>
        </is>
      </c>
      <c r="C3153">
        <v>430.55</v>
      </c>
      <c r="D3153" t="inlineStr">
        <is>
          <t>g/mol</t>
        </is>
      </c>
      <c r="E3153"/>
      <c r="F3153"/>
      <c r="G3153"/>
      <c r="H3153" t="inlineStr">
        <is>
          <t>S001_PUBCHEM</t>
        </is>
      </c>
      <c r="I3153" t="inlineStr">
        <is>
          <t>database-derived</t>
        </is>
      </c>
      <c r="J3153">
        <v>0.78</v>
      </c>
      <c r="K3153"/>
    </row>
    <row r="3154">
      <c r="A3154" t="inlineStr">
        <is>
          <t>BILE_SODIUM_CHOLATE</t>
        </is>
      </c>
      <c r="B3154" t="inlineStr">
        <is>
          <t>HLB_or_amphiphilicity_descriptor</t>
        </is>
      </c>
      <c r="C3154" t="inlineStr">
        <is>
          <t>facial amphiphile / steroidal anionic surfactant</t>
        </is>
      </c>
      <c r="D3154"/>
      <c r="E3154"/>
      <c r="F3154"/>
      <c r="G3154"/>
      <c r="H3154" t="inlineStr">
        <is>
          <t>S007_EXCIPIENTS_HANDBOOK</t>
        </is>
      </c>
      <c r="I3154" t="inlineStr">
        <is>
          <t>curated</t>
        </is>
      </c>
      <c r="J3154">
        <v>0.75</v>
      </c>
      <c r="K3154"/>
    </row>
    <row r="3155">
      <c r="A3155" t="inlineStr">
        <is>
          <t>BILE_SODIUM_CHOLATE</t>
        </is>
      </c>
      <c r="B3155" t="inlineStr">
        <is>
          <t>CMC_mM</t>
        </is>
      </c>
      <c r="C3155">
        <v>14</v>
      </c>
      <c r="D3155" t="inlineStr">
        <is>
          <t>mM</t>
        </is>
      </c>
      <c r="E3155"/>
      <c r="F3155"/>
      <c r="G3155" t="inlineStr">
        <is>
          <t>CMC varies with ionic strength, pH, and temperature</t>
        </is>
      </c>
      <c r="H3155" t="inlineStr">
        <is>
          <t>S007_EXCIPIENTS_HANDBOOK</t>
        </is>
      </c>
      <c r="I3155" t="inlineStr">
        <is>
          <t>literature</t>
        </is>
      </c>
      <c r="J3155">
        <v>0.55</v>
      </c>
      <c r="K3155"/>
    </row>
    <row r="3156">
      <c r="A3156" t="inlineStr">
        <is>
          <t>BILE_SODIUM_CHOLATE</t>
        </is>
      </c>
      <c r="B3156" t="inlineStr">
        <is>
          <t>charge_type</t>
        </is>
      </c>
      <c r="C3156" t="inlineStr">
        <is>
          <t>anionic</t>
        </is>
      </c>
      <c r="D3156"/>
      <c r="E3156"/>
      <c r="F3156"/>
      <c r="G3156"/>
      <c r="H3156" t="inlineStr">
        <is>
          <t>S001_PUBCHEM</t>
        </is>
      </c>
      <c r="I3156" t="inlineStr">
        <is>
          <t>curated</t>
        </is>
      </c>
      <c r="J3156">
        <v>0.85</v>
      </c>
      <c r="K3156"/>
    </row>
    <row r="3157">
      <c r="A3157" t="inlineStr">
        <is>
          <t>BILE_SODIUM_CHOLATE</t>
        </is>
      </c>
      <c r="B3157" t="inlineStr">
        <is>
          <t>formal_charge</t>
        </is>
      </c>
      <c r="C3157">
        <v>-1</v>
      </c>
      <c r="D3157" t="inlineStr">
        <is>
          <t>e</t>
        </is>
      </c>
      <c r="E3157"/>
      <c r="F3157"/>
      <c r="G3157"/>
      <c r="H3157" t="inlineStr">
        <is>
          <t>S001_PUBCHEM</t>
        </is>
      </c>
      <c r="I3157" t="inlineStr">
        <is>
          <t>curated</t>
        </is>
      </c>
      <c r="J3157">
        <v>0.85</v>
      </c>
      <c r="K3157"/>
    </row>
    <row r="3158">
      <c r="A3158" t="inlineStr">
        <is>
          <t>BILE_SODIUM_CHOLATE</t>
        </is>
      </c>
      <c r="B3158" t="inlineStr">
        <is>
          <t>pKa_if_relevant</t>
        </is>
      </c>
      <c r="C3158">
        <v>5.0</v>
      </c>
      <c r="D3158"/>
      <c r="E3158"/>
      <c r="F3158"/>
      <c r="G3158"/>
      <c r="H3158" t="inlineStr">
        <is>
          <t>S001_PUBCHEM</t>
        </is>
      </c>
      <c r="I3158" t="inlineStr">
        <is>
          <t>literature</t>
        </is>
      </c>
      <c r="J3158">
        <v>0.55</v>
      </c>
      <c r="K3158"/>
    </row>
    <row r="3159">
      <c r="A3159" t="inlineStr">
        <is>
          <t>BILE_SODIUM_CHOLATE</t>
        </is>
      </c>
      <c r="B3159" t="inlineStr">
        <is>
          <t>steroidal_structure_flag</t>
        </is>
      </c>
      <c r="C3159" t="inlineStr">
        <is>
          <t>yes</t>
        </is>
      </c>
      <c r="D3159"/>
      <c r="E3159"/>
      <c r="F3159"/>
      <c r="G3159"/>
      <c r="H3159" t="inlineStr">
        <is>
          <t>S001_PUBCHEM</t>
        </is>
      </c>
      <c r="I3159" t="inlineStr">
        <is>
          <t>curated</t>
        </is>
      </c>
      <c r="J3159">
        <v>0.9</v>
      </c>
      <c r="K3159"/>
    </row>
    <row r="3160">
      <c r="A3160" t="inlineStr">
        <is>
          <t>BILE_SODIUM_CHOLATE</t>
        </is>
      </c>
      <c r="B3160" t="inlineStr">
        <is>
          <t>toxicity_notes</t>
        </is>
      </c>
      <c r="C3160" t="inlineStr">
        <is>
          <t>bile salts can be membrane-disruptive; concentration and route are critical</t>
        </is>
      </c>
      <c r="D3160"/>
      <c r="E3160"/>
      <c r="F3160"/>
      <c r="G3160"/>
      <c r="H3160" t="inlineStr">
        <is>
          <t>S007_EXCIPIENTS_HANDBOOK</t>
        </is>
      </c>
      <c r="I3160" t="inlineStr">
        <is>
          <t>curated</t>
        </is>
      </c>
      <c r="J3160">
        <v>0.7</v>
      </c>
      <c r="K3160"/>
    </row>
    <row r="3161">
      <c r="A3161" t="inlineStr">
        <is>
          <t>BILE_SODIUM_CHOLATE</t>
        </is>
      </c>
      <c r="B3161" t="inlineStr">
        <is>
          <t>bilosome_role</t>
        </is>
      </c>
      <c r="C3161" t="inlineStr">
        <is>
          <t>edge activator / bile-salt stabilizer for bilosomes and oral vesicles</t>
        </is>
      </c>
      <c r="D3161"/>
      <c r="E3161"/>
      <c r="F3161"/>
      <c r="G3161"/>
      <c r="H3161" t="inlineStr">
        <is>
          <t>S014_AULTON</t>
        </is>
      </c>
      <c r="I3161" t="inlineStr">
        <is>
          <t>curated</t>
        </is>
      </c>
      <c r="J3161">
        <v>0.8</v>
      </c>
      <c r="K3161"/>
    </row>
    <row r="3162">
      <c r="A3162" t="inlineStr">
        <is>
          <t>BILE_SODIUM_CHOLATE</t>
        </is>
      </c>
      <c r="B3162" t="inlineStr">
        <is>
          <t>route_suitability</t>
        </is>
      </c>
      <c r="C3162" t="inlineStr">
        <is>
          <t>oral and topical screening; parenteral generally cautionary unless justified</t>
        </is>
      </c>
      <c r="D3162"/>
      <c r="E3162"/>
      <c r="F3162"/>
      <c r="G3162"/>
      <c r="H3162" t="inlineStr">
        <is>
          <t>S008_FDA_IID</t>
        </is>
      </c>
      <c r="I3162" t="inlineStr">
        <is>
          <t>curated</t>
        </is>
      </c>
      <c r="J3162">
        <v>0.55</v>
      </c>
      <c r="K3162"/>
    </row>
    <row r="3163">
      <c r="A3163" t="inlineStr">
        <is>
          <t>BILE_SODIUM_CHOLATE</t>
        </is>
      </c>
      <c r="B3163" t="inlineStr">
        <is>
          <t>Hansen_delta_D</t>
        </is>
      </c>
      <c r="C3163">
        <v>17.2</v>
      </c>
      <c r="D3163" t="inlineStr">
        <is>
          <t>MPa^0.5</t>
        </is>
      </c>
      <c r="E3163"/>
      <c r="F3163"/>
      <c r="G3163" t="inlineStr">
        <is>
          <t>heuristic group-contribution/nearest-neighbour</t>
        </is>
      </c>
      <c r="H3163" t="inlineStr">
        <is>
          <t>S013_EST_HSP_HEURISTIC</t>
        </is>
      </c>
      <c r="I3163" t="inlineStr">
        <is>
          <t>estimated</t>
        </is>
      </c>
      <c r="J3163">
        <v>0.38</v>
      </c>
      <c r="K3163" t="inlineStr">
        <is>
          <t>Provisional HSP for screening; replace with experimental/literature value before model lock.</t>
        </is>
      </c>
    </row>
    <row r="3164">
      <c r="A3164" t="inlineStr">
        <is>
          <t>BILE_SODIUM_CHOLATE</t>
        </is>
      </c>
      <c r="B3164" t="inlineStr">
        <is>
          <t>Hansen_delta_P</t>
        </is>
      </c>
      <c r="C3164">
        <v>8.5</v>
      </c>
      <c r="D3164" t="inlineStr">
        <is>
          <t>MPa^0.5</t>
        </is>
      </c>
      <c r="E3164"/>
      <c r="F3164"/>
      <c r="G3164" t="inlineStr">
        <is>
          <t>heuristic group-contribution/nearest-neighbour</t>
        </is>
      </c>
      <c r="H3164" t="inlineStr">
        <is>
          <t>S013_EST_HSP_HEURISTIC</t>
        </is>
      </c>
      <c r="I3164" t="inlineStr">
        <is>
          <t>estimated</t>
        </is>
      </c>
      <c r="J3164">
        <v>0.38</v>
      </c>
      <c r="K3164" t="inlineStr">
        <is>
          <t>Provisional HSP for screening; replace with experimental/literature value before model lock.</t>
        </is>
      </c>
    </row>
    <row r="3165">
      <c r="A3165" t="inlineStr">
        <is>
          <t>BILE_SODIUM_CHOLATE</t>
        </is>
      </c>
      <c r="B3165" t="inlineStr">
        <is>
          <t>Hansen_delta_H</t>
        </is>
      </c>
      <c r="C3165">
        <v>13.5</v>
      </c>
      <c r="D3165" t="inlineStr">
        <is>
          <t>MPa^0.5</t>
        </is>
      </c>
      <c r="E3165"/>
      <c r="F3165"/>
      <c r="G3165" t="inlineStr">
        <is>
          <t>heuristic group-contribution/nearest-neighbour</t>
        </is>
      </c>
      <c r="H3165" t="inlineStr">
        <is>
          <t>S013_EST_HSP_HEURISTIC</t>
        </is>
      </c>
      <c r="I3165" t="inlineStr">
        <is>
          <t>estimated</t>
        </is>
      </c>
      <c r="J3165">
        <v>0.38</v>
      </c>
      <c r="K3165" t="inlineStr">
        <is>
          <t>Provisional HSP for screening; replace with experimental/literature value before model lock.</t>
        </is>
      </c>
    </row>
    <row r="3166">
      <c r="A3166" t="inlineStr">
        <is>
          <t>BILE_SODIUM_CHOLATE</t>
        </is>
      </c>
      <c r="B3166" t="inlineStr">
        <is>
          <t>Hildebrand_delta_T</t>
        </is>
      </c>
      <c r="C3166">
        <v>23.46</v>
      </c>
      <c r="D3166" t="inlineStr">
        <is>
          <t>MPa^0.5</t>
        </is>
      </c>
      <c r="E3166"/>
      <c r="F3166"/>
      <c r="G3166" t="inlineStr">
        <is>
          <t>sqrt(deltaD^2+deltaP^2+deltaH^2)</t>
        </is>
      </c>
      <c r="H3166" t="inlineStr">
        <is>
          <t>S012_CALCULATED</t>
        </is>
      </c>
      <c r="I3166" t="inlineStr">
        <is>
          <t>calculated</t>
        </is>
      </c>
      <c r="J3166">
        <v>0.43</v>
      </c>
      <c r="K3166" t="inlineStr">
        <is>
          <t>Derived from stored Hansen components.</t>
        </is>
      </c>
    </row>
    <row r="3167">
      <c r="A3167" t="inlineStr">
        <is>
          <t>BILE_SODIUM_CHOLATE</t>
        </is>
      </c>
      <c r="B3167" t="inlineStr">
        <is>
          <t>HSP_radius_R0</t>
        </is>
      </c>
      <c r="C3167">
        <v>8.5</v>
      </c>
      <c r="D3167" t="inlineStr">
        <is>
          <t>MPa^0.5</t>
        </is>
      </c>
      <c r="E3167"/>
      <c r="F3167"/>
      <c r="G3167" t="inlineStr">
        <is>
          <t>literature/heuristic solubility sphere</t>
        </is>
      </c>
      <c r="H3167" t="inlineStr">
        <is>
          <t>S013_EST_HSP_HEURISTIC</t>
        </is>
      </c>
      <c r="I3167" t="inlineStr">
        <is>
          <t>estimated</t>
        </is>
      </c>
      <c r="J3167">
        <v>0.38</v>
      </c>
      <c r="K3167" t="inlineStr">
        <is>
          <t>Screening radius only unless experimentally determined.</t>
        </is>
      </c>
    </row>
    <row r="3168">
      <c r="A3168" t="inlineStr">
        <is>
          <t>BILE_SODIUM_CHOLATE</t>
        </is>
      </c>
      <c r="B3168" t="inlineStr">
        <is>
          <t>molar_volume_cm3_mol</t>
        </is>
      </c>
      <c r="C3168">
        <v>358.79</v>
      </c>
      <c r="D3168" t="inlineStr">
        <is>
          <t>cm3/mol</t>
        </is>
      </c>
      <c r="E3168"/>
      <c r="F3168"/>
      <c r="G3168" t="inlineStr">
        <is>
          <t>MW/density estimate</t>
        </is>
      </c>
      <c r="H3168" t="inlineStr">
        <is>
          <t>S012_CALCULATED</t>
        </is>
      </c>
      <c r="I3168" t="inlineStr">
        <is>
          <t>estimated</t>
        </is>
      </c>
      <c r="J3168">
        <v>0.4</v>
      </c>
      <c r="K3168" t="inlineStr">
        <is>
          <t>Estimated from MW/density; replace with measured molar volume or density-specific grade data.</t>
        </is>
      </c>
    </row>
    <row r="3169">
      <c r="A3169" t="inlineStr">
        <is>
          <t>BILE_SODIUM_DEOXYCHOLATE</t>
        </is>
      </c>
      <c r="B3169" t="inlineStr">
        <is>
          <t>molecular_weight_g_mol</t>
        </is>
      </c>
      <c r="C3169">
        <v>414.55</v>
      </c>
      <c r="D3169" t="inlineStr">
        <is>
          <t>g/mol</t>
        </is>
      </c>
      <c r="E3169"/>
      <c r="F3169"/>
      <c r="G3169"/>
      <c r="H3169" t="inlineStr">
        <is>
          <t>S001_PUBCHEM</t>
        </is>
      </c>
      <c r="I3169" t="inlineStr">
        <is>
          <t>database-derived</t>
        </is>
      </c>
      <c r="J3169">
        <v>0.78</v>
      </c>
      <c r="K3169"/>
    </row>
    <row r="3170">
      <c r="A3170" t="inlineStr">
        <is>
          <t>BILE_SODIUM_DEOXYCHOLATE</t>
        </is>
      </c>
      <c r="B3170" t="inlineStr">
        <is>
          <t>HLB_or_amphiphilicity_descriptor</t>
        </is>
      </c>
      <c r="C3170" t="inlineStr">
        <is>
          <t>facial amphiphile / steroidal anionic surfactant</t>
        </is>
      </c>
      <c r="D3170"/>
      <c r="E3170"/>
      <c r="F3170"/>
      <c r="G3170"/>
      <c r="H3170" t="inlineStr">
        <is>
          <t>S007_EXCIPIENTS_HANDBOOK</t>
        </is>
      </c>
      <c r="I3170" t="inlineStr">
        <is>
          <t>curated</t>
        </is>
      </c>
      <c r="J3170">
        <v>0.75</v>
      </c>
      <c r="K3170"/>
    </row>
    <row r="3171">
      <c r="A3171" t="inlineStr">
        <is>
          <t>BILE_SODIUM_DEOXYCHOLATE</t>
        </is>
      </c>
      <c r="B3171" t="inlineStr">
        <is>
          <t>CMC_mM</t>
        </is>
      </c>
      <c r="C3171">
        <v>3</v>
      </c>
      <c r="D3171" t="inlineStr">
        <is>
          <t>mM</t>
        </is>
      </c>
      <c r="E3171"/>
      <c r="F3171"/>
      <c r="G3171" t="inlineStr">
        <is>
          <t>CMC varies with ionic strength, pH, and temperature</t>
        </is>
      </c>
      <c r="H3171" t="inlineStr">
        <is>
          <t>S007_EXCIPIENTS_HANDBOOK</t>
        </is>
      </c>
      <c r="I3171" t="inlineStr">
        <is>
          <t>literature</t>
        </is>
      </c>
      <c r="J3171">
        <v>0.55</v>
      </c>
      <c r="K3171"/>
    </row>
    <row r="3172">
      <c r="A3172" t="inlineStr">
        <is>
          <t>BILE_SODIUM_DEOXYCHOLATE</t>
        </is>
      </c>
      <c r="B3172" t="inlineStr">
        <is>
          <t>charge_type</t>
        </is>
      </c>
      <c r="C3172" t="inlineStr">
        <is>
          <t>anionic</t>
        </is>
      </c>
      <c r="D3172"/>
      <c r="E3172"/>
      <c r="F3172"/>
      <c r="G3172"/>
      <c r="H3172" t="inlineStr">
        <is>
          <t>S001_PUBCHEM</t>
        </is>
      </c>
      <c r="I3172" t="inlineStr">
        <is>
          <t>curated</t>
        </is>
      </c>
      <c r="J3172">
        <v>0.85</v>
      </c>
      <c r="K3172"/>
    </row>
    <row r="3173">
      <c r="A3173" t="inlineStr">
        <is>
          <t>BILE_SODIUM_DEOXYCHOLATE</t>
        </is>
      </c>
      <c r="B3173" t="inlineStr">
        <is>
          <t>formal_charge</t>
        </is>
      </c>
      <c r="C3173">
        <v>-1</v>
      </c>
      <c r="D3173" t="inlineStr">
        <is>
          <t>e</t>
        </is>
      </c>
      <c r="E3173"/>
      <c r="F3173"/>
      <c r="G3173"/>
      <c r="H3173" t="inlineStr">
        <is>
          <t>S001_PUBCHEM</t>
        </is>
      </c>
      <c r="I3173" t="inlineStr">
        <is>
          <t>curated</t>
        </is>
      </c>
      <c r="J3173">
        <v>0.85</v>
      </c>
      <c r="K3173"/>
    </row>
    <row r="3174">
      <c r="A3174" t="inlineStr">
        <is>
          <t>BILE_SODIUM_DEOXYCHOLATE</t>
        </is>
      </c>
      <c r="B3174" t="inlineStr">
        <is>
          <t>pKa_if_relevant</t>
        </is>
      </c>
      <c r="C3174">
        <v>5.0</v>
      </c>
      <c r="D3174"/>
      <c r="E3174"/>
      <c r="F3174"/>
      <c r="G3174"/>
      <c r="H3174" t="inlineStr">
        <is>
          <t>S001_PUBCHEM</t>
        </is>
      </c>
      <c r="I3174" t="inlineStr">
        <is>
          <t>literature</t>
        </is>
      </c>
      <c r="J3174">
        <v>0.55</v>
      </c>
      <c r="K3174"/>
    </row>
    <row r="3175">
      <c r="A3175" t="inlineStr">
        <is>
          <t>BILE_SODIUM_DEOXYCHOLATE</t>
        </is>
      </c>
      <c r="B3175" t="inlineStr">
        <is>
          <t>steroidal_structure_flag</t>
        </is>
      </c>
      <c r="C3175" t="inlineStr">
        <is>
          <t>yes</t>
        </is>
      </c>
      <c r="D3175"/>
      <c r="E3175"/>
      <c r="F3175"/>
      <c r="G3175"/>
      <c r="H3175" t="inlineStr">
        <is>
          <t>S001_PUBCHEM</t>
        </is>
      </c>
      <c r="I3175" t="inlineStr">
        <is>
          <t>curated</t>
        </is>
      </c>
      <c r="J3175">
        <v>0.9</v>
      </c>
      <c r="K3175"/>
    </row>
    <row r="3176">
      <c r="A3176" t="inlineStr">
        <is>
          <t>BILE_SODIUM_DEOXYCHOLATE</t>
        </is>
      </c>
      <c r="B3176" t="inlineStr">
        <is>
          <t>toxicity_notes</t>
        </is>
      </c>
      <c r="C3176" t="inlineStr">
        <is>
          <t>bile salts can be membrane-disruptive; concentration and route are critical</t>
        </is>
      </c>
      <c r="D3176"/>
      <c r="E3176"/>
      <c r="F3176"/>
      <c r="G3176"/>
      <c r="H3176" t="inlineStr">
        <is>
          <t>S007_EXCIPIENTS_HANDBOOK</t>
        </is>
      </c>
      <c r="I3176" t="inlineStr">
        <is>
          <t>curated</t>
        </is>
      </c>
      <c r="J3176">
        <v>0.7</v>
      </c>
      <c r="K3176"/>
    </row>
    <row r="3177">
      <c r="A3177" t="inlineStr">
        <is>
          <t>BILE_SODIUM_DEOXYCHOLATE</t>
        </is>
      </c>
      <c r="B3177" t="inlineStr">
        <is>
          <t>bilosome_role</t>
        </is>
      </c>
      <c r="C3177" t="inlineStr">
        <is>
          <t>edge activator / bile-salt stabilizer for bilosomes and oral vesicles</t>
        </is>
      </c>
      <c r="D3177"/>
      <c r="E3177"/>
      <c r="F3177"/>
      <c r="G3177"/>
      <c r="H3177" t="inlineStr">
        <is>
          <t>S014_AULTON</t>
        </is>
      </c>
      <c r="I3177" t="inlineStr">
        <is>
          <t>curated</t>
        </is>
      </c>
      <c r="J3177">
        <v>0.8</v>
      </c>
      <c r="K3177"/>
    </row>
    <row r="3178">
      <c r="A3178" t="inlineStr">
        <is>
          <t>BILE_SODIUM_DEOXYCHOLATE</t>
        </is>
      </c>
      <c r="B3178" t="inlineStr">
        <is>
          <t>route_suitability</t>
        </is>
      </c>
      <c r="C3178" t="inlineStr">
        <is>
          <t>oral and topical screening; parenteral generally cautionary unless justified</t>
        </is>
      </c>
      <c r="D3178"/>
      <c r="E3178"/>
      <c r="F3178"/>
      <c r="G3178"/>
      <c r="H3178" t="inlineStr">
        <is>
          <t>S008_FDA_IID</t>
        </is>
      </c>
      <c r="I3178" t="inlineStr">
        <is>
          <t>curated</t>
        </is>
      </c>
      <c r="J3178">
        <v>0.55</v>
      </c>
      <c r="K3178"/>
    </row>
    <row r="3179">
      <c r="A3179" t="inlineStr">
        <is>
          <t>BILE_SODIUM_DEOXYCHOLATE</t>
        </is>
      </c>
      <c r="B3179" t="inlineStr">
        <is>
          <t>Hansen_delta_D</t>
        </is>
      </c>
      <c r="C3179">
        <v>17.2</v>
      </c>
      <c r="D3179" t="inlineStr">
        <is>
          <t>MPa^0.5</t>
        </is>
      </c>
      <c r="E3179"/>
      <c r="F3179"/>
      <c r="G3179" t="inlineStr">
        <is>
          <t>heuristic group-contribution/nearest-neighbour</t>
        </is>
      </c>
      <c r="H3179" t="inlineStr">
        <is>
          <t>S013_EST_HSP_HEURISTIC</t>
        </is>
      </c>
      <c r="I3179" t="inlineStr">
        <is>
          <t>estimated</t>
        </is>
      </c>
      <c r="J3179">
        <v>0.38</v>
      </c>
      <c r="K3179" t="inlineStr">
        <is>
          <t>Provisional HSP for screening; replace with experimental/literature value before model lock.</t>
        </is>
      </c>
    </row>
    <row r="3180">
      <c r="A3180" t="inlineStr">
        <is>
          <t>BILE_SODIUM_DEOXYCHOLATE</t>
        </is>
      </c>
      <c r="B3180" t="inlineStr">
        <is>
          <t>Hansen_delta_P</t>
        </is>
      </c>
      <c r="C3180">
        <v>8.5</v>
      </c>
      <c r="D3180" t="inlineStr">
        <is>
          <t>MPa^0.5</t>
        </is>
      </c>
      <c r="E3180"/>
      <c r="F3180"/>
      <c r="G3180" t="inlineStr">
        <is>
          <t>heuristic group-contribution/nearest-neighbour</t>
        </is>
      </c>
      <c r="H3180" t="inlineStr">
        <is>
          <t>S013_EST_HSP_HEURISTIC</t>
        </is>
      </c>
      <c r="I3180" t="inlineStr">
        <is>
          <t>estimated</t>
        </is>
      </c>
      <c r="J3180">
        <v>0.38</v>
      </c>
      <c r="K3180" t="inlineStr">
        <is>
          <t>Provisional HSP for screening; replace with experimental/literature value before model lock.</t>
        </is>
      </c>
    </row>
    <row r="3181">
      <c r="A3181" t="inlineStr">
        <is>
          <t>BILE_SODIUM_DEOXYCHOLATE</t>
        </is>
      </c>
      <c r="B3181" t="inlineStr">
        <is>
          <t>Hansen_delta_H</t>
        </is>
      </c>
      <c r="C3181">
        <v>13.5</v>
      </c>
      <c r="D3181" t="inlineStr">
        <is>
          <t>MPa^0.5</t>
        </is>
      </c>
      <c r="E3181"/>
      <c r="F3181"/>
      <c r="G3181" t="inlineStr">
        <is>
          <t>heuristic group-contribution/nearest-neighbour</t>
        </is>
      </c>
      <c r="H3181" t="inlineStr">
        <is>
          <t>S013_EST_HSP_HEURISTIC</t>
        </is>
      </c>
      <c r="I3181" t="inlineStr">
        <is>
          <t>estimated</t>
        </is>
      </c>
      <c r="J3181">
        <v>0.38</v>
      </c>
      <c r="K3181" t="inlineStr">
        <is>
          <t>Provisional HSP for screening; replace with experimental/literature value before model lock.</t>
        </is>
      </c>
    </row>
    <row r="3182">
      <c r="A3182" t="inlineStr">
        <is>
          <t>BILE_SODIUM_DEOXYCHOLATE</t>
        </is>
      </c>
      <c r="B3182" t="inlineStr">
        <is>
          <t>Hildebrand_delta_T</t>
        </is>
      </c>
      <c r="C3182">
        <v>23.46</v>
      </c>
      <c r="D3182" t="inlineStr">
        <is>
          <t>MPa^0.5</t>
        </is>
      </c>
      <c r="E3182"/>
      <c r="F3182"/>
      <c r="G3182" t="inlineStr">
        <is>
          <t>sqrt(deltaD^2+deltaP^2+deltaH^2)</t>
        </is>
      </c>
      <c r="H3182" t="inlineStr">
        <is>
          <t>S012_CALCULATED</t>
        </is>
      </c>
      <c r="I3182" t="inlineStr">
        <is>
          <t>calculated</t>
        </is>
      </c>
      <c r="J3182">
        <v>0.43</v>
      </c>
      <c r="K3182" t="inlineStr">
        <is>
          <t>Derived from stored Hansen components.</t>
        </is>
      </c>
    </row>
    <row r="3183">
      <c r="A3183" t="inlineStr">
        <is>
          <t>BILE_SODIUM_DEOXYCHOLATE</t>
        </is>
      </c>
      <c r="B3183" t="inlineStr">
        <is>
          <t>HSP_radius_R0</t>
        </is>
      </c>
      <c r="C3183">
        <v>8.5</v>
      </c>
      <c r="D3183" t="inlineStr">
        <is>
          <t>MPa^0.5</t>
        </is>
      </c>
      <c r="E3183"/>
      <c r="F3183"/>
      <c r="G3183" t="inlineStr">
        <is>
          <t>literature/heuristic solubility sphere</t>
        </is>
      </c>
      <c r="H3183" t="inlineStr">
        <is>
          <t>S013_EST_HSP_HEURISTIC</t>
        </is>
      </c>
      <c r="I3183" t="inlineStr">
        <is>
          <t>estimated</t>
        </is>
      </c>
      <c r="J3183">
        <v>0.38</v>
      </c>
      <c r="K3183" t="inlineStr">
        <is>
          <t>Screening radius only unless experimentally determined.</t>
        </is>
      </c>
    </row>
    <row r="3184">
      <c r="A3184" t="inlineStr">
        <is>
          <t>BILE_SODIUM_DEOXYCHOLATE</t>
        </is>
      </c>
      <c r="B3184" t="inlineStr">
        <is>
          <t>molar_volume_cm3_mol</t>
        </is>
      </c>
      <c r="C3184">
        <v>345.46</v>
      </c>
      <c r="D3184" t="inlineStr">
        <is>
          <t>cm3/mol</t>
        </is>
      </c>
      <c r="E3184"/>
      <c r="F3184"/>
      <c r="G3184" t="inlineStr">
        <is>
          <t>MW/density estimate</t>
        </is>
      </c>
      <c r="H3184" t="inlineStr">
        <is>
          <t>S012_CALCULATED</t>
        </is>
      </c>
      <c r="I3184" t="inlineStr">
        <is>
          <t>estimated</t>
        </is>
      </c>
      <c r="J3184">
        <v>0.4</v>
      </c>
      <c r="K3184" t="inlineStr">
        <is>
          <t>Estimated from MW/density; replace with measured molar volume or density-specific grade data.</t>
        </is>
      </c>
    </row>
    <row r="3185">
      <c r="A3185" t="inlineStr">
        <is>
          <t>BILE_SODIUM_TAUROCHOLATE</t>
        </is>
      </c>
      <c r="B3185" t="inlineStr">
        <is>
          <t>molecular_weight_g_mol</t>
        </is>
      </c>
      <c r="C3185">
        <v>537.68</v>
      </c>
      <c r="D3185" t="inlineStr">
        <is>
          <t>g/mol</t>
        </is>
      </c>
      <c r="E3185"/>
      <c r="F3185"/>
      <c r="G3185"/>
      <c r="H3185" t="inlineStr">
        <is>
          <t>S001_PUBCHEM</t>
        </is>
      </c>
      <c r="I3185" t="inlineStr">
        <is>
          <t>database-derived</t>
        </is>
      </c>
      <c r="J3185">
        <v>0.78</v>
      </c>
      <c r="K3185"/>
    </row>
    <row r="3186">
      <c r="A3186" t="inlineStr">
        <is>
          <t>BILE_SODIUM_TAUROCHOLATE</t>
        </is>
      </c>
      <c r="B3186" t="inlineStr">
        <is>
          <t>HLB_or_amphiphilicity_descriptor</t>
        </is>
      </c>
      <c r="C3186" t="inlineStr">
        <is>
          <t>facial amphiphile / steroidal anionic surfactant</t>
        </is>
      </c>
      <c r="D3186"/>
      <c r="E3186"/>
      <c r="F3186"/>
      <c r="G3186"/>
      <c r="H3186" t="inlineStr">
        <is>
          <t>S007_EXCIPIENTS_HANDBOOK</t>
        </is>
      </c>
      <c r="I3186" t="inlineStr">
        <is>
          <t>curated</t>
        </is>
      </c>
      <c r="J3186">
        <v>0.75</v>
      </c>
      <c r="K3186"/>
    </row>
    <row r="3187">
      <c r="A3187" t="inlineStr">
        <is>
          <t>BILE_SODIUM_TAUROCHOLATE</t>
        </is>
      </c>
      <c r="B3187" t="inlineStr">
        <is>
          <t>CMC_mM</t>
        </is>
      </c>
      <c r="C3187">
        <v>6</v>
      </c>
      <c r="D3187" t="inlineStr">
        <is>
          <t>mM</t>
        </is>
      </c>
      <c r="E3187"/>
      <c r="F3187"/>
      <c r="G3187" t="inlineStr">
        <is>
          <t>CMC varies with ionic strength, pH, and temperature</t>
        </is>
      </c>
      <c r="H3187" t="inlineStr">
        <is>
          <t>S007_EXCIPIENTS_HANDBOOK</t>
        </is>
      </c>
      <c r="I3187" t="inlineStr">
        <is>
          <t>literature</t>
        </is>
      </c>
      <c r="J3187">
        <v>0.55</v>
      </c>
      <c r="K3187"/>
    </row>
    <row r="3188">
      <c r="A3188" t="inlineStr">
        <is>
          <t>BILE_SODIUM_TAUROCHOLATE</t>
        </is>
      </c>
      <c r="B3188" t="inlineStr">
        <is>
          <t>charge_type</t>
        </is>
      </c>
      <c r="C3188" t="inlineStr">
        <is>
          <t>anionic</t>
        </is>
      </c>
      <c r="D3188"/>
      <c r="E3188"/>
      <c r="F3188"/>
      <c r="G3188"/>
      <c r="H3188" t="inlineStr">
        <is>
          <t>S001_PUBCHEM</t>
        </is>
      </c>
      <c r="I3188" t="inlineStr">
        <is>
          <t>curated</t>
        </is>
      </c>
      <c r="J3188">
        <v>0.85</v>
      </c>
      <c r="K3188"/>
    </row>
    <row r="3189">
      <c r="A3189" t="inlineStr">
        <is>
          <t>BILE_SODIUM_TAUROCHOLATE</t>
        </is>
      </c>
      <c r="B3189" t="inlineStr">
        <is>
          <t>formal_charge</t>
        </is>
      </c>
      <c r="C3189">
        <v>-1</v>
      </c>
      <c r="D3189" t="inlineStr">
        <is>
          <t>e</t>
        </is>
      </c>
      <c r="E3189"/>
      <c r="F3189"/>
      <c r="G3189"/>
      <c r="H3189" t="inlineStr">
        <is>
          <t>S001_PUBCHEM</t>
        </is>
      </c>
      <c r="I3189" t="inlineStr">
        <is>
          <t>curated</t>
        </is>
      </c>
      <c r="J3189">
        <v>0.85</v>
      </c>
      <c r="K3189"/>
    </row>
    <row r="3190">
      <c r="A3190" t="inlineStr">
        <is>
          <t>BILE_SODIUM_TAUROCHOLATE</t>
        </is>
      </c>
      <c r="B3190" t="inlineStr">
        <is>
          <t>pKa_if_relevant</t>
        </is>
      </c>
      <c r="C3190">
        <v>5.0</v>
      </c>
      <c r="D3190"/>
      <c r="E3190"/>
      <c r="F3190"/>
      <c r="G3190"/>
      <c r="H3190" t="inlineStr">
        <is>
          <t>S001_PUBCHEM</t>
        </is>
      </c>
      <c r="I3190" t="inlineStr">
        <is>
          <t>literature</t>
        </is>
      </c>
      <c r="J3190">
        <v>0.55</v>
      </c>
      <c r="K3190"/>
    </row>
    <row r="3191">
      <c r="A3191" t="inlineStr">
        <is>
          <t>BILE_SODIUM_TAUROCHOLATE</t>
        </is>
      </c>
      <c r="B3191" t="inlineStr">
        <is>
          <t>steroidal_structure_flag</t>
        </is>
      </c>
      <c r="C3191" t="inlineStr">
        <is>
          <t>yes</t>
        </is>
      </c>
      <c r="D3191"/>
      <c r="E3191"/>
      <c r="F3191"/>
      <c r="G3191"/>
      <c r="H3191" t="inlineStr">
        <is>
          <t>S001_PUBCHEM</t>
        </is>
      </c>
      <c r="I3191" t="inlineStr">
        <is>
          <t>curated</t>
        </is>
      </c>
      <c r="J3191">
        <v>0.9</v>
      </c>
      <c r="K3191"/>
    </row>
    <row r="3192">
      <c r="A3192" t="inlineStr">
        <is>
          <t>BILE_SODIUM_TAUROCHOLATE</t>
        </is>
      </c>
      <c r="B3192" t="inlineStr">
        <is>
          <t>toxicity_notes</t>
        </is>
      </c>
      <c r="C3192" t="inlineStr">
        <is>
          <t>bile salts can be membrane-disruptive; concentration and route are critical</t>
        </is>
      </c>
      <c r="D3192"/>
      <c r="E3192"/>
      <c r="F3192"/>
      <c r="G3192"/>
      <c r="H3192" t="inlineStr">
        <is>
          <t>S007_EXCIPIENTS_HANDBOOK</t>
        </is>
      </c>
      <c r="I3192" t="inlineStr">
        <is>
          <t>curated</t>
        </is>
      </c>
      <c r="J3192">
        <v>0.7</v>
      </c>
      <c r="K3192"/>
    </row>
    <row r="3193">
      <c r="A3193" t="inlineStr">
        <is>
          <t>BILE_SODIUM_TAUROCHOLATE</t>
        </is>
      </c>
      <c r="B3193" t="inlineStr">
        <is>
          <t>bilosome_role</t>
        </is>
      </c>
      <c r="C3193" t="inlineStr">
        <is>
          <t>edge activator / bile-salt stabilizer for bilosomes and oral vesicles</t>
        </is>
      </c>
      <c r="D3193"/>
      <c r="E3193"/>
      <c r="F3193"/>
      <c r="G3193"/>
      <c r="H3193" t="inlineStr">
        <is>
          <t>S014_AULTON</t>
        </is>
      </c>
      <c r="I3193" t="inlineStr">
        <is>
          <t>curated</t>
        </is>
      </c>
      <c r="J3193">
        <v>0.8</v>
      </c>
      <c r="K3193"/>
    </row>
    <row r="3194">
      <c r="A3194" t="inlineStr">
        <is>
          <t>BILE_SODIUM_TAUROCHOLATE</t>
        </is>
      </c>
      <c r="B3194" t="inlineStr">
        <is>
          <t>route_suitability</t>
        </is>
      </c>
      <c r="C3194" t="inlineStr">
        <is>
          <t>oral and topical screening; parenteral generally cautionary unless justified</t>
        </is>
      </c>
      <c r="D3194"/>
      <c r="E3194"/>
      <c r="F3194"/>
      <c r="G3194"/>
      <c r="H3194" t="inlineStr">
        <is>
          <t>S008_FDA_IID</t>
        </is>
      </c>
      <c r="I3194" t="inlineStr">
        <is>
          <t>curated</t>
        </is>
      </c>
      <c r="J3194">
        <v>0.55</v>
      </c>
      <c r="K3194"/>
    </row>
    <row r="3195">
      <c r="A3195" t="inlineStr">
        <is>
          <t>BILE_SODIUM_TAUROCHOLATE</t>
        </is>
      </c>
      <c r="B3195" t="inlineStr">
        <is>
          <t>Hansen_delta_D</t>
        </is>
      </c>
      <c r="C3195">
        <v>17.2</v>
      </c>
      <c r="D3195" t="inlineStr">
        <is>
          <t>MPa^0.5</t>
        </is>
      </c>
      <c r="E3195"/>
      <c r="F3195"/>
      <c r="G3195" t="inlineStr">
        <is>
          <t>heuristic group-contribution/nearest-neighbour</t>
        </is>
      </c>
      <c r="H3195" t="inlineStr">
        <is>
          <t>S013_EST_HSP_HEURISTIC</t>
        </is>
      </c>
      <c r="I3195" t="inlineStr">
        <is>
          <t>estimated</t>
        </is>
      </c>
      <c r="J3195">
        <v>0.38</v>
      </c>
      <c r="K3195" t="inlineStr">
        <is>
          <t>Provisional HSP for screening; replace with experimental/literature value before model lock.</t>
        </is>
      </c>
    </row>
    <row r="3196">
      <c r="A3196" t="inlineStr">
        <is>
          <t>BILE_SODIUM_TAUROCHOLATE</t>
        </is>
      </c>
      <c r="B3196" t="inlineStr">
        <is>
          <t>Hansen_delta_P</t>
        </is>
      </c>
      <c r="C3196">
        <v>8.5</v>
      </c>
      <c r="D3196" t="inlineStr">
        <is>
          <t>MPa^0.5</t>
        </is>
      </c>
      <c r="E3196"/>
      <c r="F3196"/>
      <c r="G3196" t="inlineStr">
        <is>
          <t>heuristic group-contribution/nearest-neighbour</t>
        </is>
      </c>
      <c r="H3196" t="inlineStr">
        <is>
          <t>S013_EST_HSP_HEURISTIC</t>
        </is>
      </c>
      <c r="I3196" t="inlineStr">
        <is>
          <t>estimated</t>
        </is>
      </c>
      <c r="J3196">
        <v>0.38</v>
      </c>
      <c r="K3196" t="inlineStr">
        <is>
          <t>Provisional HSP for screening; replace with experimental/literature value before model lock.</t>
        </is>
      </c>
    </row>
    <row r="3197">
      <c r="A3197" t="inlineStr">
        <is>
          <t>BILE_SODIUM_TAUROCHOLATE</t>
        </is>
      </c>
      <c r="B3197" t="inlineStr">
        <is>
          <t>Hansen_delta_H</t>
        </is>
      </c>
      <c r="C3197">
        <v>13.5</v>
      </c>
      <c r="D3197" t="inlineStr">
        <is>
          <t>MPa^0.5</t>
        </is>
      </c>
      <c r="E3197"/>
      <c r="F3197"/>
      <c r="G3197" t="inlineStr">
        <is>
          <t>heuristic group-contribution/nearest-neighbour</t>
        </is>
      </c>
      <c r="H3197" t="inlineStr">
        <is>
          <t>S013_EST_HSP_HEURISTIC</t>
        </is>
      </c>
      <c r="I3197" t="inlineStr">
        <is>
          <t>estimated</t>
        </is>
      </c>
      <c r="J3197">
        <v>0.38</v>
      </c>
      <c r="K3197" t="inlineStr">
        <is>
          <t>Provisional HSP for screening; replace with experimental/literature value before model lock.</t>
        </is>
      </c>
    </row>
    <row r="3198">
      <c r="A3198" t="inlineStr">
        <is>
          <t>BILE_SODIUM_TAUROCHOLATE</t>
        </is>
      </c>
      <c r="B3198" t="inlineStr">
        <is>
          <t>Hildebrand_delta_T</t>
        </is>
      </c>
      <c r="C3198">
        <v>23.46</v>
      </c>
      <c r="D3198" t="inlineStr">
        <is>
          <t>MPa^0.5</t>
        </is>
      </c>
      <c r="E3198"/>
      <c r="F3198"/>
      <c r="G3198" t="inlineStr">
        <is>
          <t>sqrt(deltaD^2+deltaP^2+deltaH^2)</t>
        </is>
      </c>
      <c r="H3198" t="inlineStr">
        <is>
          <t>S012_CALCULATED</t>
        </is>
      </c>
      <c r="I3198" t="inlineStr">
        <is>
          <t>calculated</t>
        </is>
      </c>
      <c r="J3198">
        <v>0.43</v>
      </c>
      <c r="K3198" t="inlineStr">
        <is>
          <t>Derived from stored Hansen components.</t>
        </is>
      </c>
    </row>
    <row r="3199">
      <c r="A3199" t="inlineStr">
        <is>
          <t>BILE_SODIUM_TAUROCHOLATE</t>
        </is>
      </c>
      <c r="B3199" t="inlineStr">
        <is>
          <t>HSP_radius_R0</t>
        </is>
      </c>
      <c r="C3199">
        <v>8.5</v>
      </c>
      <c r="D3199" t="inlineStr">
        <is>
          <t>MPa^0.5</t>
        </is>
      </c>
      <c r="E3199"/>
      <c r="F3199"/>
      <c r="G3199" t="inlineStr">
        <is>
          <t>literature/heuristic solubility sphere</t>
        </is>
      </c>
      <c r="H3199" t="inlineStr">
        <is>
          <t>S013_EST_HSP_HEURISTIC</t>
        </is>
      </c>
      <c r="I3199" t="inlineStr">
        <is>
          <t>estimated</t>
        </is>
      </c>
      <c r="J3199">
        <v>0.38</v>
      </c>
      <c r="K3199" t="inlineStr">
        <is>
          <t>Screening radius only unless experimentally determined.</t>
        </is>
      </c>
    </row>
    <row r="3200">
      <c r="A3200" t="inlineStr">
        <is>
          <t>BILE_SODIUM_TAUROCHOLATE</t>
        </is>
      </c>
      <c r="B3200" t="inlineStr">
        <is>
          <t>molar_volume_cm3_mol</t>
        </is>
      </c>
      <c r="C3200">
        <v>448.07</v>
      </c>
      <c r="D3200" t="inlineStr">
        <is>
          <t>cm3/mol</t>
        </is>
      </c>
      <c r="E3200"/>
      <c r="F3200"/>
      <c r="G3200" t="inlineStr">
        <is>
          <t>MW/density estimate</t>
        </is>
      </c>
      <c r="H3200" t="inlineStr">
        <is>
          <t>S012_CALCULATED</t>
        </is>
      </c>
      <c r="I3200" t="inlineStr">
        <is>
          <t>estimated</t>
        </is>
      </c>
      <c r="J3200">
        <v>0.4</v>
      </c>
      <c r="K3200" t="inlineStr">
        <is>
          <t>Estimated from MW/density; replace with measured molar volume or density-specific grade data.</t>
        </is>
      </c>
    </row>
    <row r="3201">
      <c r="A3201" t="inlineStr">
        <is>
          <t>BILE_SODIUM_GLYCOCHOLATE</t>
        </is>
      </c>
      <c r="B3201" t="inlineStr">
        <is>
          <t>molecular_weight_g_mol</t>
        </is>
      </c>
      <c r="C3201">
        <v>487.61</v>
      </c>
      <c r="D3201" t="inlineStr">
        <is>
          <t>g/mol</t>
        </is>
      </c>
      <c r="E3201"/>
      <c r="F3201"/>
      <c r="G3201"/>
      <c r="H3201" t="inlineStr">
        <is>
          <t>S001_PUBCHEM</t>
        </is>
      </c>
      <c r="I3201" t="inlineStr">
        <is>
          <t>database-derived</t>
        </is>
      </c>
      <c r="J3201">
        <v>0.78</v>
      </c>
      <c r="K3201"/>
    </row>
    <row r="3202">
      <c r="A3202" t="inlineStr">
        <is>
          <t>BILE_SODIUM_GLYCOCHOLATE</t>
        </is>
      </c>
      <c r="B3202" t="inlineStr">
        <is>
          <t>HLB_or_amphiphilicity_descriptor</t>
        </is>
      </c>
      <c r="C3202" t="inlineStr">
        <is>
          <t>facial amphiphile / steroidal anionic surfactant</t>
        </is>
      </c>
      <c r="D3202"/>
      <c r="E3202"/>
      <c r="F3202"/>
      <c r="G3202"/>
      <c r="H3202" t="inlineStr">
        <is>
          <t>S007_EXCIPIENTS_HANDBOOK</t>
        </is>
      </c>
      <c r="I3202" t="inlineStr">
        <is>
          <t>curated</t>
        </is>
      </c>
      <c r="J3202">
        <v>0.75</v>
      </c>
      <c r="K3202"/>
    </row>
    <row r="3203">
      <c r="A3203" t="inlineStr">
        <is>
          <t>BILE_SODIUM_GLYCOCHOLATE</t>
        </is>
      </c>
      <c r="B3203" t="inlineStr">
        <is>
          <t>CMC_mM</t>
        </is>
      </c>
      <c r="C3203">
        <v>13</v>
      </c>
      <c r="D3203" t="inlineStr">
        <is>
          <t>mM</t>
        </is>
      </c>
      <c r="E3203"/>
      <c r="F3203"/>
      <c r="G3203" t="inlineStr">
        <is>
          <t>CMC varies with ionic strength, pH, and temperature</t>
        </is>
      </c>
      <c r="H3203" t="inlineStr">
        <is>
          <t>S007_EXCIPIENTS_HANDBOOK</t>
        </is>
      </c>
      <c r="I3203" t="inlineStr">
        <is>
          <t>literature</t>
        </is>
      </c>
      <c r="J3203">
        <v>0.55</v>
      </c>
      <c r="K3203"/>
    </row>
    <row r="3204">
      <c r="A3204" t="inlineStr">
        <is>
          <t>BILE_SODIUM_GLYCOCHOLATE</t>
        </is>
      </c>
      <c r="B3204" t="inlineStr">
        <is>
          <t>charge_type</t>
        </is>
      </c>
      <c r="C3204" t="inlineStr">
        <is>
          <t>anionic</t>
        </is>
      </c>
      <c r="D3204"/>
      <c r="E3204"/>
      <c r="F3204"/>
      <c r="G3204"/>
      <c r="H3204" t="inlineStr">
        <is>
          <t>S001_PUBCHEM</t>
        </is>
      </c>
      <c r="I3204" t="inlineStr">
        <is>
          <t>curated</t>
        </is>
      </c>
      <c r="J3204">
        <v>0.85</v>
      </c>
      <c r="K3204"/>
    </row>
    <row r="3205">
      <c r="A3205" t="inlineStr">
        <is>
          <t>BILE_SODIUM_GLYCOCHOLATE</t>
        </is>
      </c>
      <c r="B3205" t="inlineStr">
        <is>
          <t>formal_charge</t>
        </is>
      </c>
      <c r="C3205">
        <v>-1</v>
      </c>
      <c r="D3205" t="inlineStr">
        <is>
          <t>e</t>
        </is>
      </c>
      <c r="E3205"/>
      <c r="F3205"/>
      <c r="G3205"/>
      <c r="H3205" t="inlineStr">
        <is>
          <t>S001_PUBCHEM</t>
        </is>
      </c>
      <c r="I3205" t="inlineStr">
        <is>
          <t>curated</t>
        </is>
      </c>
      <c r="J3205">
        <v>0.85</v>
      </c>
      <c r="K3205"/>
    </row>
    <row r="3206">
      <c r="A3206" t="inlineStr">
        <is>
          <t>BILE_SODIUM_GLYCOCHOLATE</t>
        </is>
      </c>
      <c r="B3206" t="inlineStr">
        <is>
          <t>pKa_if_relevant</t>
        </is>
      </c>
      <c r="C3206">
        <v>5.0</v>
      </c>
      <c r="D3206"/>
      <c r="E3206"/>
      <c r="F3206"/>
      <c r="G3206"/>
      <c r="H3206" t="inlineStr">
        <is>
          <t>S001_PUBCHEM</t>
        </is>
      </c>
      <c r="I3206" t="inlineStr">
        <is>
          <t>literature</t>
        </is>
      </c>
      <c r="J3206">
        <v>0.55</v>
      </c>
      <c r="K3206"/>
    </row>
    <row r="3207">
      <c r="A3207" t="inlineStr">
        <is>
          <t>BILE_SODIUM_GLYCOCHOLATE</t>
        </is>
      </c>
      <c r="B3207" t="inlineStr">
        <is>
          <t>steroidal_structure_flag</t>
        </is>
      </c>
      <c r="C3207" t="inlineStr">
        <is>
          <t>yes</t>
        </is>
      </c>
      <c r="D3207"/>
      <c r="E3207"/>
      <c r="F3207"/>
      <c r="G3207"/>
      <c r="H3207" t="inlineStr">
        <is>
          <t>S001_PUBCHEM</t>
        </is>
      </c>
      <c r="I3207" t="inlineStr">
        <is>
          <t>curated</t>
        </is>
      </c>
      <c r="J3207">
        <v>0.9</v>
      </c>
      <c r="K3207"/>
    </row>
    <row r="3208">
      <c r="A3208" t="inlineStr">
        <is>
          <t>BILE_SODIUM_GLYCOCHOLATE</t>
        </is>
      </c>
      <c r="B3208" t="inlineStr">
        <is>
          <t>toxicity_notes</t>
        </is>
      </c>
      <c r="C3208" t="inlineStr">
        <is>
          <t>bile salts can be membrane-disruptive; concentration and route are critical</t>
        </is>
      </c>
      <c r="D3208"/>
      <c r="E3208"/>
      <c r="F3208"/>
      <c r="G3208"/>
      <c r="H3208" t="inlineStr">
        <is>
          <t>S007_EXCIPIENTS_HANDBOOK</t>
        </is>
      </c>
      <c r="I3208" t="inlineStr">
        <is>
          <t>curated</t>
        </is>
      </c>
      <c r="J3208">
        <v>0.7</v>
      </c>
      <c r="K3208"/>
    </row>
    <row r="3209">
      <c r="A3209" t="inlineStr">
        <is>
          <t>BILE_SODIUM_GLYCOCHOLATE</t>
        </is>
      </c>
      <c r="B3209" t="inlineStr">
        <is>
          <t>bilosome_role</t>
        </is>
      </c>
      <c r="C3209" t="inlineStr">
        <is>
          <t>edge activator / bile-salt stabilizer for bilosomes and oral vesicles</t>
        </is>
      </c>
      <c r="D3209"/>
      <c r="E3209"/>
      <c r="F3209"/>
      <c r="G3209"/>
      <c r="H3209" t="inlineStr">
        <is>
          <t>S014_AULTON</t>
        </is>
      </c>
      <c r="I3209" t="inlineStr">
        <is>
          <t>curated</t>
        </is>
      </c>
      <c r="J3209">
        <v>0.8</v>
      </c>
      <c r="K3209"/>
    </row>
    <row r="3210">
      <c r="A3210" t="inlineStr">
        <is>
          <t>BILE_SODIUM_GLYCOCHOLATE</t>
        </is>
      </c>
      <c r="B3210" t="inlineStr">
        <is>
          <t>route_suitability</t>
        </is>
      </c>
      <c r="C3210" t="inlineStr">
        <is>
          <t>oral and topical screening; parenteral generally cautionary unless justified</t>
        </is>
      </c>
      <c r="D3210"/>
      <c r="E3210"/>
      <c r="F3210"/>
      <c r="G3210"/>
      <c r="H3210" t="inlineStr">
        <is>
          <t>S008_FDA_IID</t>
        </is>
      </c>
      <c r="I3210" t="inlineStr">
        <is>
          <t>curated</t>
        </is>
      </c>
      <c r="J3210">
        <v>0.55</v>
      </c>
      <c r="K3210"/>
    </row>
    <row r="3211">
      <c r="A3211" t="inlineStr">
        <is>
          <t>BILE_SODIUM_GLYCOCHOLATE</t>
        </is>
      </c>
      <c r="B3211" t="inlineStr">
        <is>
          <t>Hansen_delta_D</t>
        </is>
      </c>
      <c r="C3211">
        <v>17.2</v>
      </c>
      <c r="D3211" t="inlineStr">
        <is>
          <t>MPa^0.5</t>
        </is>
      </c>
      <c r="E3211"/>
      <c r="F3211"/>
      <c r="G3211" t="inlineStr">
        <is>
          <t>heuristic group-contribution/nearest-neighbour</t>
        </is>
      </c>
      <c r="H3211" t="inlineStr">
        <is>
          <t>S013_EST_HSP_HEURISTIC</t>
        </is>
      </c>
      <c r="I3211" t="inlineStr">
        <is>
          <t>estimated</t>
        </is>
      </c>
      <c r="J3211">
        <v>0.38</v>
      </c>
      <c r="K3211" t="inlineStr">
        <is>
          <t>Provisional HSP for screening; replace with experimental/literature value before model lock.</t>
        </is>
      </c>
    </row>
    <row r="3212">
      <c r="A3212" t="inlineStr">
        <is>
          <t>BILE_SODIUM_GLYCOCHOLATE</t>
        </is>
      </c>
      <c r="B3212" t="inlineStr">
        <is>
          <t>Hansen_delta_P</t>
        </is>
      </c>
      <c r="C3212">
        <v>8.5</v>
      </c>
      <c r="D3212" t="inlineStr">
        <is>
          <t>MPa^0.5</t>
        </is>
      </c>
      <c r="E3212"/>
      <c r="F3212"/>
      <c r="G3212" t="inlineStr">
        <is>
          <t>heuristic group-contribution/nearest-neighbour</t>
        </is>
      </c>
      <c r="H3212" t="inlineStr">
        <is>
          <t>S013_EST_HSP_HEURISTIC</t>
        </is>
      </c>
      <c r="I3212" t="inlineStr">
        <is>
          <t>estimated</t>
        </is>
      </c>
      <c r="J3212">
        <v>0.38</v>
      </c>
      <c r="K3212" t="inlineStr">
        <is>
          <t>Provisional HSP for screening; replace with experimental/literature value before model lock.</t>
        </is>
      </c>
    </row>
    <row r="3213">
      <c r="A3213" t="inlineStr">
        <is>
          <t>BILE_SODIUM_GLYCOCHOLATE</t>
        </is>
      </c>
      <c r="B3213" t="inlineStr">
        <is>
          <t>Hansen_delta_H</t>
        </is>
      </c>
      <c r="C3213">
        <v>13.5</v>
      </c>
      <c r="D3213" t="inlineStr">
        <is>
          <t>MPa^0.5</t>
        </is>
      </c>
      <c r="E3213"/>
      <c r="F3213"/>
      <c r="G3213" t="inlineStr">
        <is>
          <t>heuristic group-contribution/nearest-neighbour</t>
        </is>
      </c>
      <c r="H3213" t="inlineStr">
        <is>
          <t>S013_EST_HSP_HEURISTIC</t>
        </is>
      </c>
      <c r="I3213" t="inlineStr">
        <is>
          <t>estimated</t>
        </is>
      </c>
      <c r="J3213">
        <v>0.38</v>
      </c>
      <c r="K3213" t="inlineStr">
        <is>
          <t>Provisional HSP for screening; replace with experimental/literature value before model lock.</t>
        </is>
      </c>
    </row>
    <row r="3214">
      <c r="A3214" t="inlineStr">
        <is>
          <t>BILE_SODIUM_GLYCOCHOLATE</t>
        </is>
      </c>
      <c r="B3214" t="inlineStr">
        <is>
          <t>Hildebrand_delta_T</t>
        </is>
      </c>
      <c r="C3214">
        <v>23.46</v>
      </c>
      <c r="D3214" t="inlineStr">
        <is>
          <t>MPa^0.5</t>
        </is>
      </c>
      <c r="E3214"/>
      <c r="F3214"/>
      <c r="G3214" t="inlineStr">
        <is>
          <t>sqrt(deltaD^2+deltaP^2+deltaH^2)</t>
        </is>
      </c>
      <c r="H3214" t="inlineStr">
        <is>
          <t>S012_CALCULATED</t>
        </is>
      </c>
      <c r="I3214" t="inlineStr">
        <is>
          <t>calculated</t>
        </is>
      </c>
      <c r="J3214">
        <v>0.43</v>
      </c>
      <c r="K3214" t="inlineStr">
        <is>
          <t>Derived from stored Hansen components.</t>
        </is>
      </c>
    </row>
    <row r="3215">
      <c r="A3215" t="inlineStr">
        <is>
          <t>BILE_SODIUM_GLYCOCHOLATE</t>
        </is>
      </c>
      <c r="B3215" t="inlineStr">
        <is>
          <t>HSP_radius_R0</t>
        </is>
      </c>
      <c r="C3215">
        <v>8.5</v>
      </c>
      <c r="D3215" t="inlineStr">
        <is>
          <t>MPa^0.5</t>
        </is>
      </c>
      <c r="E3215"/>
      <c r="F3215"/>
      <c r="G3215" t="inlineStr">
        <is>
          <t>literature/heuristic solubility sphere</t>
        </is>
      </c>
      <c r="H3215" t="inlineStr">
        <is>
          <t>S013_EST_HSP_HEURISTIC</t>
        </is>
      </c>
      <c r="I3215" t="inlineStr">
        <is>
          <t>estimated</t>
        </is>
      </c>
      <c r="J3215">
        <v>0.38</v>
      </c>
      <c r="K3215" t="inlineStr">
        <is>
          <t>Screening radius only unless experimentally determined.</t>
        </is>
      </c>
    </row>
    <row r="3216">
      <c r="A3216" t="inlineStr">
        <is>
          <t>BILE_SODIUM_GLYCOCHOLATE</t>
        </is>
      </c>
      <c r="B3216" t="inlineStr">
        <is>
          <t>molar_volume_cm3_mol</t>
        </is>
      </c>
      <c r="C3216">
        <v>406.34</v>
      </c>
      <c r="D3216" t="inlineStr">
        <is>
          <t>cm3/mol</t>
        </is>
      </c>
      <c r="E3216"/>
      <c r="F3216"/>
      <c r="G3216" t="inlineStr">
        <is>
          <t>MW/density estimate</t>
        </is>
      </c>
      <c r="H3216" t="inlineStr">
        <is>
          <t>S012_CALCULATED</t>
        </is>
      </c>
      <c r="I3216" t="inlineStr">
        <is>
          <t>estimated</t>
        </is>
      </c>
      <c r="J3216">
        <v>0.4</v>
      </c>
      <c r="K3216" t="inlineStr">
        <is>
          <t>Estimated from MW/density; replace with measured molar volume or density-specific grade data.</t>
        </is>
      </c>
    </row>
    <row r="3217">
      <c r="A3217" t="inlineStr">
        <is>
          <t>BILE_SODIUM_TAURODEOXYCHOLATE</t>
        </is>
      </c>
      <c r="B3217" t="inlineStr">
        <is>
          <t>molecular_weight_g_mol</t>
        </is>
      </c>
      <c r="C3217">
        <v>521.69</v>
      </c>
      <c r="D3217" t="inlineStr">
        <is>
          <t>g/mol</t>
        </is>
      </c>
      <c r="E3217"/>
      <c r="F3217"/>
      <c r="G3217"/>
      <c r="H3217" t="inlineStr">
        <is>
          <t>S001_PUBCHEM</t>
        </is>
      </c>
      <c r="I3217" t="inlineStr">
        <is>
          <t>database-derived</t>
        </is>
      </c>
      <c r="J3217">
        <v>0.78</v>
      </c>
      <c r="K3217"/>
    </row>
    <row r="3218">
      <c r="A3218" t="inlineStr">
        <is>
          <t>BILE_SODIUM_TAURODEOXYCHOLATE</t>
        </is>
      </c>
      <c r="B3218" t="inlineStr">
        <is>
          <t>HLB_or_amphiphilicity_descriptor</t>
        </is>
      </c>
      <c r="C3218" t="inlineStr">
        <is>
          <t>facial amphiphile / steroidal anionic surfactant</t>
        </is>
      </c>
      <c r="D3218"/>
      <c r="E3218"/>
      <c r="F3218"/>
      <c r="G3218"/>
      <c r="H3218" t="inlineStr">
        <is>
          <t>S007_EXCIPIENTS_HANDBOOK</t>
        </is>
      </c>
      <c r="I3218" t="inlineStr">
        <is>
          <t>curated</t>
        </is>
      </c>
      <c r="J3218">
        <v>0.75</v>
      </c>
      <c r="K3218"/>
    </row>
    <row r="3219">
      <c r="A3219" t="inlineStr">
        <is>
          <t>BILE_SODIUM_TAURODEOXYCHOLATE</t>
        </is>
      </c>
      <c r="B3219" t="inlineStr">
        <is>
          <t>CMC_mM</t>
        </is>
      </c>
      <c r="C3219">
        <v>2.5</v>
      </c>
      <c r="D3219" t="inlineStr">
        <is>
          <t>mM</t>
        </is>
      </c>
      <c r="E3219"/>
      <c r="F3219"/>
      <c r="G3219" t="inlineStr">
        <is>
          <t>CMC varies with ionic strength, pH, and temperature</t>
        </is>
      </c>
      <c r="H3219" t="inlineStr">
        <is>
          <t>S007_EXCIPIENTS_HANDBOOK</t>
        </is>
      </c>
      <c r="I3219" t="inlineStr">
        <is>
          <t>literature</t>
        </is>
      </c>
      <c r="J3219">
        <v>0.55</v>
      </c>
      <c r="K3219"/>
    </row>
    <row r="3220">
      <c r="A3220" t="inlineStr">
        <is>
          <t>BILE_SODIUM_TAURODEOXYCHOLATE</t>
        </is>
      </c>
      <c r="B3220" t="inlineStr">
        <is>
          <t>charge_type</t>
        </is>
      </c>
      <c r="C3220" t="inlineStr">
        <is>
          <t>anionic</t>
        </is>
      </c>
      <c r="D3220"/>
      <c r="E3220"/>
      <c r="F3220"/>
      <c r="G3220"/>
      <c r="H3220" t="inlineStr">
        <is>
          <t>S001_PUBCHEM</t>
        </is>
      </c>
      <c r="I3220" t="inlineStr">
        <is>
          <t>curated</t>
        </is>
      </c>
      <c r="J3220">
        <v>0.85</v>
      </c>
      <c r="K3220"/>
    </row>
    <row r="3221">
      <c r="A3221" t="inlineStr">
        <is>
          <t>BILE_SODIUM_TAURODEOXYCHOLATE</t>
        </is>
      </c>
      <c r="B3221" t="inlineStr">
        <is>
          <t>formal_charge</t>
        </is>
      </c>
      <c r="C3221">
        <v>-1</v>
      </c>
      <c r="D3221" t="inlineStr">
        <is>
          <t>e</t>
        </is>
      </c>
      <c r="E3221"/>
      <c r="F3221"/>
      <c r="G3221"/>
      <c r="H3221" t="inlineStr">
        <is>
          <t>S001_PUBCHEM</t>
        </is>
      </c>
      <c r="I3221" t="inlineStr">
        <is>
          <t>curated</t>
        </is>
      </c>
      <c r="J3221">
        <v>0.85</v>
      </c>
      <c r="K3221"/>
    </row>
    <row r="3222">
      <c r="A3222" t="inlineStr">
        <is>
          <t>BILE_SODIUM_TAURODEOXYCHOLATE</t>
        </is>
      </c>
      <c r="B3222" t="inlineStr">
        <is>
          <t>pKa_if_relevant</t>
        </is>
      </c>
      <c r="C3222">
        <v>5.0</v>
      </c>
      <c r="D3222"/>
      <c r="E3222"/>
      <c r="F3222"/>
      <c r="G3222"/>
      <c r="H3222" t="inlineStr">
        <is>
          <t>S001_PUBCHEM</t>
        </is>
      </c>
      <c r="I3222" t="inlineStr">
        <is>
          <t>literature</t>
        </is>
      </c>
      <c r="J3222">
        <v>0.55</v>
      </c>
      <c r="K3222"/>
    </row>
    <row r="3223">
      <c r="A3223" t="inlineStr">
        <is>
          <t>BILE_SODIUM_TAURODEOXYCHOLATE</t>
        </is>
      </c>
      <c r="B3223" t="inlineStr">
        <is>
          <t>steroidal_structure_flag</t>
        </is>
      </c>
      <c r="C3223" t="inlineStr">
        <is>
          <t>yes</t>
        </is>
      </c>
      <c r="D3223"/>
      <c r="E3223"/>
      <c r="F3223"/>
      <c r="G3223"/>
      <c r="H3223" t="inlineStr">
        <is>
          <t>S001_PUBCHEM</t>
        </is>
      </c>
      <c r="I3223" t="inlineStr">
        <is>
          <t>curated</t>
        </is>
      </c>
      <c r="J3223">
        <v>0.9</v>
      </c>
      <c r="K3223"/>
    </row>
    <row r="3224">
      <c r="A3224" t="inlineStr">
        <is>
          <t>BILE_SODIUM_TAURODEOXYCHOLATE</t>
        </is>
      </c>
      <c r="B3224" t="inlineStr">
        <is>
          <t>toxicity_notes</t>
        </is>
      </c>
      <c r="C3224" t="inlineStr">
        <is>
          <t>bile salts can be membrane-disruptive; concentration and route are critical</t>
        </is>
      </c>
      <c r="D3224"/>
      <c r="E3224"/>
      <c r="F3224"/>
      <c r="G3224"/>
      <c r="H3224" t="inlineStr">
        <is>
          <t>S007_EXCIPIENTS_HANDBOOK</t>
        </is>
      </c>
      <c r="I3224" t="inlineStr">
        <is>
          <t>curated</t>
        </is>
      </c>
      <c r="J3224">
        <v>0.7</v>
      </c>
      <c r="K3224"/>
    </row>
    <row r="3225">
      <c r="A3225" t="inlineStr">
        <is>
          <t>BILE_SODIUM_TAURODEOXYCHOLATE</t>
        </is>
      </c>
      <c r="B3225" t="inlineStr">
        <is>
          <t>bilosome_role</t>
        </is>
      </c>
      <c r="C3225" t="inlineStr">
        <is>
          <t>edge activator / bile-salt stabilizer for bilosomes and oral vesicles</t>
        </is>
      </c>
      <c r="D3225"/>
      <c r="E3225"/>
      <c r="F3225"/>
      <c r="G3225"/>
      <c r="H3225" t="inlineStr">
        <is>
          <t>S014_AULTON</t>
        </is>
      </c>
      <c r="I3225" t="inlineStr">
        <is>
          <t>curated</t>
        </is>
      </c>
      <c r="J3225">
        <v>0.8</v>
      </c>
      <c r="K3225"/>
    </row>
    <row r="3226">
      <c r="A3226" t="inlineStr">
        <is>
          <t>BILE_SODIUM_TAURODEOXYCHOLATE</t>
        </is>
      </c>
      <c r="B3226" t="inlineStr">
        <is>
          <t>route_suitability</t>
        </is>
      </c>
      <c r="C3226" t="inlineStr">
        <is>
          <t>oral and topical screening; parenteral generally cautionary unless justified</t>
        </is>
      </c>
      <c r="D3226"/>
      <c r="E3226"/>
      <c r="F3226"/>
      <c r="G3226"/>
      <c r="H3226" t="inlineStr">
        <is>
          <t>S008_FDA_IID</t>
        </is>
      </c>
      <c r="I3226" t="inlineStr">
        <is>
          <t>curated</t>
        </is>
      </c>
      <c r="J3226">
        <v>0.55</v>
      </c>
      <c r="K3226"/>
    </row>
    <row r="3227">
      <c r="A3227" t="inlineStr">
        <is>
          <t>BILE_SODIUM_TAURODEOXYCHOLATE</t>
        </is>
      </c>
      <c r="B3227" t="inlineStr">
        <is>
          <t>Hansen_delta_D</t>
        </is>
      </c>
      <c r="C3227">
        <v>17.2</v>
      </c>
      <c r="D3227" t="inlineStr">
        <is>
          <t>MPa^0.5</t>
        </is>
      </c>
      <c r="E3227"/>
      <c r="F3227"/>
      <c r="G3227" t="inlineStr">
        <is>
          <t>heuristic group-contribution/nearest-neighbour</t>
        </is>
      </c>
      <c r="H3227" t="inlineStr">
        <is>
          <t>S013_EST_HSP_HEURISTIC</t>
        </is>
      </c>
      <c r="I3227" t="inlineStr">
        <is>
          <t>estimated</t>
        </is>
      </c>
      <c r="J3227">
        <v>0.38</v>
      </c>
      <c r="K3227" t="inlineStr">
        <is>
          <t>Provisional HSP for screening; replace with experimental/literature value before model lock.</t>
        </is>
      </c>
    </row>
    <row r="3228">
      <c r="A3228" t="inlineStr">
        <is>
          <t>BILE_SODIUM_TAURODEOXYCHOLATE</t>
        </is>
      </c>
      <c r="B3228" t="inlineStr">
        <is>
          <t>Hansen_delta_P</t>
        </is>
      </c>
      <c r="C3228">
        <v>8.5</v>
      </c>
      <c r="D3228" t="inlineStr">
        <is>
          <t>MPa^0.5</t>
        </is>
      </c>
      <c r="E3228"/>
      <c r="F3228"/>
      <c r="G3228" t="inlineStr">
        <is>
          <t>heuristic group-contribution/nearest-neighbour</t>
        </is>
      </c>
      <c r="H3228" t="inlineStr">
        <is>
          <t>S013_EST_HSP_HEURISTIC</t>
        </is>
      </c>
      <c r="I3228" t="inlineStr">
        <is>
          <t>estimated</t>
        </is>
      </c>
      <c r="J3228">
        <v>0.38</v>
      </c>
      <c r="K3228" t="inlineStr">
        <is>
          <t>Provisional HSP for screening; replace with experimental/literature value before model lock.</t>
        </is>
      </c>
    </row>
    <row r="3229">
      <c r="A3229" t="inlineStr">
        <is>
          <t>BILE_SODIUM_TAURODEOXYCHOLATE</t>
        </is>
      </c>
      <c r="B3229" t="inlineStr">
        <is>
          <t>Hansen_delta_H</t>
        </is>
      </c>
      <c r="C3229">
        <v>13.5</v>
      </c>
      <c r="D3229" t="inlineStr">
        <is>
          <t>MPa^0.5</t>
        </is>
      </c>
      <c r="E3229"/>
      <c r="F3229"/>
      <c r="G3229" t="inlineStr">
        <is>
          <t>heuristic group-contribution/nearest-neighbour</t>
        </is>
      </c>
      <c r="H3229" t="inlineStr">
        <is>
          <t>S013_EST_HSP_HEURISTIC</t>
        </is>
      </c>
      <c r="I3229" t="inlineStr">
        <is>
          <t>estimated</t>
        </is>
      </c>
      <c r="J3229">
        <v>0.38</v>
      </c>
      <c r="K3229" t="inlineStr">
        <is>
          <t>Provisional HSP for screening; replace with experimental/literature value before model lock.</t>
        </is>
      </c>
    </row>
    <row r="3230">
      <c r="A3230" t="inlineStr">
        <is>
          <t>BILE_SODIUM_TAURODEOXYCHOLATE</t>
        </is>
      </c>
      <c r="B3230" t="inlineStr">
        <is>
          <t>Hildebrand_delta_T</t>
        </is>
      </c>
      <c r="C3230">
        <v>23.46</v>
      </c>
      <c r="D3230" t="inlineStr">
        <is>
          <t>MPa^0.5</t>
        </is>
      </c>
      <c r="E3230"/>
      <c r="F3230"/>
      <c r="G3230" t="inlineStr">
        <is>
          <t>sqrt(deltaD^2+deltaP^2+deltaH^2)</t>
        </is>
      </c>
      <c r="H3230" t="inlineStr">
        <is>
          <t>S012_CALCULATED</t>
        </is>
      </c>
      <c r="I3230" t="inlineStr">
        <is>
          <t>calculated</t>
        </is>
      </c>
      <c r="J3230">
        <v>0.43</v>
      </c>
      <c r="K3230" t="inlineStr">
        <is>
          <t>Derived from stored Hansen components.</t>
        </is>
      </c>
    </row>
    <row r="3231">
      <c r="A3231" t="inlineStr">
        <is>
          <t>BILE_SODIUM_TAURODEOXYCHOLATE</t>
        </is>
      </c>
      <c r="B3231" t="inlineStr">
        <is>
          <t>HSP_radius_R0</t>
        </is>
      </c>
      <c r="C3231">
        <v>8.5</v>
      </c>
      <c r="D3231" t="inlineStr">
        <is>
          <t>MPa^0.5</t>
        </is>
      </c>
      <c r="E3231"/>
      <c r="F3231"/>
      <c r="G3231" t="inlineStr">
        <is>
          <t>literature/heuristic solubility sphere</t>
        </is>
      </c>
      <c r="H3231" t="inlineStr">
        <is>
          <t>S013_EST_HSP_HEURISTIC</t>
        </is>
      </c>
      <c r="I3231" t="inlineStr">
        <is>
          <t>estimated</t>
        </is>
      </c>
      <c r="J3231">
        <v>0.38</v>
      </c>
      <c r="K3231" t="inlineStr">
        <is>
          <t>Screening radius only unless experimentally determined.</t>
        </is>
      </c>
    </row>
    <row r="3232">
      <c r="A3232" t="inlineStr">
        <is>
          <t>BILE_SODIUM_TAURODEOXYCHOLATE</t>
        </is>
      </c>
      <c r="B3232" t="inlineStr">
        <is>
          <t>molar_volume_cm3_mol</t>
        </is>
      </c>
      <c r="C3232">
        <v>434.74</v>
      </c>
      <c r="D3232" t="inlineStr">
        <is>
          <t>cm3/mol</t>
        </is>
      </c>
      <c r="E3232"/>
      <c r="F3232"/>
      <c r="G3232" t="inlineStr">
        <is>
          <t>MW/density estimate</t>
        </is>
      </c>
      <c r="H3232" t="inlineStr">
        <is>
          <t>S012_CALCULATED</t>
        </is>
      </c>
      <c r="I3232" t="inlineStr">
        <is>
          <t>estimated</t>
        </is>
      </c>
      <c r="J3232">
        <v>0.4</v>
      </c>
      <c r="K3232" t="inlineStr">
        <is>
          <t>Estimated from MW/density; replace with measured molar volume or density-specific grade data.</t>
        </is>
      </c>
    </row>
    <row r="3233">
      <c r="A3233" t="inlineStr">
        <is>
          <t>BILE_SODIUM_GLYCODEOXYCHOLATE</t>
        </is>
      </c>
      <c r="B3233" t="inlineStr">
        <is>
          <t>molecular_weight_g_mol</t>
        </is>
      </c>
      <c r="C3233">
        <v>471.61</v>
      </c>
      <c r="D3233" t="inlineStr">
        <is>
          <t>g/mol</t>
        </is>
      </c>
      <c r="E3233"/>
      <c r="F3233"/>
      <c r="G3233"/>
      <c r="H3233" t="inlineStr">
        <is>
          <t>S001_PUBCHEM</t>
        </is>
      </c>
      <c r="I3233" t="inlineStr">
        <is>
          <t>database-derived</t>
        </is>
      </c>
      <c r="J3233">
        <v>0.78</v>
      </c>
      <c r="K3233"/>
    </row>
    <row r="3234">
      <c r="A3234" t="inlineStr">
        <is>
          <t>BILE_SODIUM_GLYCODEOXYCHOLATE</t>
        </is>
      </c>
      <c r="B3234" t="inlineStr">
        <is>
          <t>HLB_or_amphiphilicity_descriptor</t>
        </is>
      </c>
      <c r="C3234" t="inlineStr">
        <is>
          <t>facial amphiphile / steroidal anionic surfactant</t>
        </is>
      </c>
      <c r="D3234"/>
      <c r="E3234"/>
      <c r="F3234"/>
      <c r="G3234"/>
      <c r="H3234" t="inlineStr">
        <is>
          <t>S007_EXCIPIENTS_HANDBOOK</t>
        </is>
      </c>
      <c r="I3234" t="inlineStr">
        <is>
          <t>curated</t>
        </is>
      </c>
      <c r="J3234">
        <v>0.75</v>
      </c>
      <c r="K3234"/>
    </row>
    <row r="3235">
      <c r="A3235" t="inlineStr">
        <is>
          <t>BILE_SODIUM_GLYCODEOXYCHOLATE</t>
        </is>
      </c>
      <c r="B3235" t="inlineStr">
        <is>
          <t>CMC_mM</t>
        </is>
      </c>
      <c r="C3235">
        <v>2.0</v>
      </c>
      <c r="D3235" t="inlineStr">
        <is>
          <t>mM</t>
        </is>
      </c>
      <c r="E3235"/>
      <c r="F3235"/>
      <c r="G3235" t="inlineStr">
        <is>
          <t>CMC varies with ionic strength, pH, and temperature</t>
        </is>
      </c>
      <c r="H3235" t="inlineStr">
        <is>
          <t>S007_EXCIPIENTS_HANDBOOK</t>
        </is>
      </c>
      <c r="I3235" t="inlineStr">
        <is>
          <t>literature</t>
        </is>
      </c>
      <c r="J3235">
        <v>0.55</v>
      </c>
      <c r="K3235"/>
    </row>
    <row r="3236">
      <c r="A3236" t="inlineStr">
        <is>
          <t>BILE_SODIUM_GLYCODEOXYCHOLATE</t>
        </is>
      </c>
      <c r="B3236" t="inlineStr">
        <is>
          <t>charge_type</t>
        </is>
      </c>
      <c r="C3236" t="inlineStr">
        <is>
          <t>anionic</t>
        </is>
      </c>
      <c r="D3236"/>
      <c r="E3236"/>
      <c r="F3236"/>
      <c r="G3236"/>
      <c r="H3236" t="inlineStr">
        <is>
          <t>S001_PUBCHEM</t>
        </is>
      </c>
      <c r="I3236" t="inlineStr">
        <is>
          <t>curated</t>
        </is>
      </c>
      <c r="J3236">
        <v>0.85</v>
      </c>
      <c r="K3236"/>
    </row>
    <row r="3237">
      <c r="A3237" t="inlineStr">
        <is>
          <t>BILE_SODIUM_GLYCODEOXYCHOLATE</t>
        </is>
      </c>
      <c r="B3237" t="inlineStr">
        <is>
          <t>formal_charge</t>
        </is>
      </c>
      <c r="C3237">
        <v>-1</v>
      </c>
      <c r="D3237" t="inlineStr">
        <is>
          <t>e</t>
        </is>
      </c>
      <c r="E3237"/>
      <c r="F3237"/>
      <c r="G3237"/>
      <c r="H3237" t="inlineStr">
        <is>
          <t>S001_PUBCHEM</t>
        </is>
      </c>
      <c r="I3237" t="inlineStr">
        <is>
          <t>curated</t>
        </is>
      </c>
      <c r="J3237">
        <v>0.85</v>
      </c>
      <c r="K3237"/>
    </row>
    <row r="3238">
      <c r="A3238" t="inlineStr">
        <is>
          <t>BILE_SODIUM_GLYCODEOXYCHOLATE</t>
        </is>
      </c>
      <c r="B3238" t="inlineStr">
        <is>
          <t>pKa_if_relevant</t>
        </is>
      </c>
      <c r="C3238">
        <v>5.0</v>
      </c>
      <c r="D3238"/>
      <c r="E3238"/>
      <c r="F3238"/>
      <c r="G3238"/>
      <c r="H3238" t="inlineStr">
        <is>
          <t>S001_PUBCHEM</t>
        </is>
      </c>
      <c r="I3238" t="inlineStr">
        <is>
          <t>literature</t>
        </is>
      </c>
      <c r="J3238">
        <v>0.55</v>
      </c>
      <c r="K3238"/>
    </row>
    <row r="3239">
      <c r="A3239" t="inlineStr">
        <is>
          <t>BILE_SODIUM_GLYCODEOXYCHOLATE</t>
        </is>
      </c>
      <c r="B3239" t="inlineStr">
        <is>
          <t>steroidal_structure_flag</t>
        </is>
      </c>
      <c r="C3239" t="inlineStr">
        <is>
          <t>yes</t>
        </is>
      </c>
      <c r="D3239"/>
      <c r="E3239"/>
      <c r="F3239"/>
      <c r="G3239"/>
      <c r="H3239" t="inlineStr">
        <is>
          <t>S001_PUBCHEM</t>
        </is>
      </c>
      <c r="I3239" t="inlineStr">
        <is>
          <t>curated</t>
        </is>
      </c>
      <c r="J3239">
        <v>0.9</v>
      </c>
      <c r="K3239"/>
    </row>
    <row r="3240">
      <c r="A3240" t="inlineStr">
        <is>
          <t>BILE_SODIUM_GLYCODEOXYCHOLATE</t>
        </is>
      </c>
      <c r="B3240" t="inlineStr">
        <is>
          <t>toxicity_notes</t>
        </is>
      </c>
      <c r="C3240" t="inlineStr">
        <is>
          <t>bile salts can be membrane-disruptive; concentration and route are critical</t>
        </is>
      </c>
      <c r="D3240"/>
      <c r="E3240"/>
      <c r="F3240"/>
      <c r="G3240"/>
      <c r="H3240" t="inlineStr">
        <is>
          <t>S007_EXCIPIENTS_HANDBOOK</t>
        </is>
      </c>
      <c r="I3240" t="inlineStr">
        <is>
          <t>curated</t>
        </is>
      </c>
      <c r="J3240">
        <v>0.7</v>
      </c>
      <c r="K3240"/>
    </row>
    <row r="3241">
      <c r="A3241" t="inlineStr">
        <is>
          <t>BILE_SODIUM_GLYCODEOXYCHOLATE</t>
        </is>
      </c>
      <c r="B3241" t="inlineStr">
        <is>
          <t>bilosome_role</t>
        </is>
      </c>
      <c r="C3241" t="inlineStr">
        <is>
          <t>edge activator / bile-salt stabilizer for bilosomes and oral vesicles</t>
        </is>
      </c>
      <c r="D3241"/>
      <c r="E3241"/>
      <c r="F3241"/>
      <c r="G3241"/>
      <c r="H3241" t="inlineStr">
        <is>
          <t>S014_AULTON</t>
        </is>
      </c>
      <c r="I3241" t="inlineStr">
        <is>
          <t>curated</t>
        </is>
      </c>
      <c r="J3241">
        <v>0.8</v>
      </c>
      <c r="K3241"/>
    </row>
    <row r="3242">
      <c r="A3242" t="inlineStr">
        <is>
          <t>BILE_SODIUM_GLYCODEOXYCHOLATE</t>
        </is>
      </c>
      <c r="B3242" t="inlineStr">
        <is>
          <t>route_suitability</t>
        </is>
      </c>
      <c r="C3242" t="inlineStr">
        <is>
          <t>oral and topical screening; parenteral generally cautionary unless justified</t>
        </is>
      </c>
      <c r="D3242"/>
      <c r="E3242"/>
      <c r="F3242"/>
      <c r="G3242"/>
      <c r="H3242" t="inlineStr">
        <is>
          <t>S008_FDA_IID</t>
        </is>
      </c>
      <c r="I3242" t="inlineStr">
        <is>
          <t>curated</t>
        </is>
      </c>
      <c r="J3242">
        <v>0.55</v>
      </c>
      <c r="K3242"/>
    </row>
    <row r="3243">
      <c r="A3243" t="inlineStr">
        <is>
          <t>BILE_SODIUM_GLYCODEOXYCHOLATE</t>
        </is>
      </c>
      <c r="B3243" t="inlineStr">
        <is>
          <t>Hansen_delta_D</t>
        </is>
      </c>
      <c r="C3243">
        <v>17.2</v>
      </c>
      <c r="D3243" t="inlineStr">
        <is>
          <t>MPa^0.5</t>
        </is>
      </c>
      <c r="E3243"/>
      <c r="F3243"/>
      <c r="G3243" t="inlineStr">
        <is>
          <t>heuristic group-contribution/nearest-neighbour</t>
        </is>
      </c>
      <c r="H3243" t="inlineStr">
        <is>
          <t>S013_EST_HSP_HEURISTIC</t>
        </is>
      </c>
      <c r="I3243" t="inlineStr">
        <is>
          <t>estimated</t>
        </is>
      </c>
      <c r="J3243">
        <v>0.38</v>
      </c>
      <c r="K3243" t="inlineStr">
        <is>
          <t>Provisional HSP for screening; replace with experimental/literature value before model lock.</t>
        </is>
      </c>
    </row>
    <row r="3244">
      <c r="A3244" t="inlineStr">
        <is>
          <t>BILE_SODIUM_GLYCODEOXYCHOLATE</t>
        </is>
      </c>
      <c r="B3244" t="inlineStr">
        <is>
          <t>Hansen_delta_P</t>
        </is>
      </c>
      <c r="C3244">
        <v>8.5</v>
      </c>
      <c r="D3244" t="inlineStr">
        <is>
          <t>MPa^0.5</t>
        </is>
      </c>
      <c r="E3244"/>
      <c r="F3244"/>
      <c r="G3244" t="inlineStr">
        <is>
          <t>heuristic group-contribution/nearest-neighbour</t>
        </is>
      </c>
      <c r="H3244" t="inlineStr">
        <is>
          <t>S013_EST_HSP_HEURISTIC</t>
        </is>
      </c>
      <c r="I3244" t="inlineStr">
        <is>
          <t>estimated</t>
        </is>
      </c>
      <c r="J3244">
        <v>0.38</v>
      </c>
      <c r="K3244" t="inlineStr">
        <is>
          <t>Provisional HSP for screening; replace with experimental/literature value before model lock.</t>
        </is>
      </c>
    </row>
    <row r="3245">
      <c r="A3245" t="inlineStr">
        <is>
          <t>BILE_SODIUM_GLYCODEOXYCHOLATE</t>
        </is>
      </c>
      <c r="B3245" t="inlineStr">
        <is>
          <t>Hansen_delta_H</t>
        </is>
      </c>
      <c r="C3245">
        <v>13.5</v>
      </c>
      <c r="D3245" t="inlineStr">
        <is>
          <t>MPa^0.5</t>
        </is>
      </c>
      <c r="E3245"/>
      <c r="F3245"/>
      <c r="G3245" t="inlineStr">
        <is>
          <t>heuristic group-contribution/nearest-neighbour</t>
        </is>
      </c>
      <c r="H3245" t="inlineStr">
        <is>
          <t>S013_EST_HSP_HEURISTIC</t>
        </is>
      </c>
      <c r="I3245" t="inlineStr">
        <is>
          <t>estimated</t>
        </is>
      </c>
      <c r="J3245">
        <v>0.38</v>
      </c>
      <c r="K3245" t="inlineStr">
        <is>
          <t>Provisional HSP for screening; replace with experimental/literature value before model lock.</t>
        </is>
      </c>
    </row>
    <row r="3246">
      <c r="A3246" t="inlineStr">
        <is>
          <t>BILE_SODIUM_GLYCODEOXYCHOLATE</t>
        </is>
      </c>
      <c r="B3246" t="inlineStr">
        <is>
          <t>Hildebrand_delta_T</t>
        </is>
      </c>
      <c r="C3246">
        <v>23.46</v>
      </c>
      <c r="D3246" t="inlineStr">
        <is>
          <t>MPa^0.5</t>
        </is>
      </c>
      <c r="E3246"/>
      <c r="F3246"/>
      <c r="G3246" t="inlineStr">
        <is>
          <t>sqrt(deltaD^2+deltaP^2+deltaH^2)</t>
        </is>
      </c>
      <c r="H3246" t="inlineStr">
        <is>
          <t>S012_CALCULATED</t>
        </is>
      </c>
      <c r="I3246" t="inlineStr">
        <is>
          <t>calculated</t>
        </is>
      </c>
      <c r="J3246">
        <v>0.43</v>
      </c>
      <c r="K3246" t="inlineStr">
        <is>
          <t>Derived from stored Hansen components.</t>
        </is>
      </c>
    </row>
    <row r="3247">
      <c r="A3247" t="inlineStr">
        <is>
          <t>BILE_SODIUM_GLYCODEOXYCHOLATE</t>
        </is>
      </c>
      <c r="B3247" t="inlineStr">
        <is>
          <t>HSP_radius_R0</t>
        </is>
      </c>
      <c r="C3247">
        <v>8.5</v>
      </c>
      <c r="D3247" t="inlineStr">
        <is>
          <t>MPa^0.5</t>
        </is>
      </c>
      <c r="E3247"/>
      <c r="F3247"/>
      <c r="G3247" t="inlineStr">
        <is>
          <t>literature/heuristic solubility sphere</t>
        </is>
      </c>
      <c r="H3247" t="inlineStr">
        <is>
          <t>S013_EST_HSP_HEURISTIC</t>
        </is>
      </c>
      <c r="I3247" t="inlineStr">
        <is>
          <t>estimated</t>
        </is>
      </c>
      <c r="J3247">
        <v>0.38</v>
      </c>
      <c r="K3247" t="inlineStr">
        <is>
          <t>Screening radius only unless experimentally determined.</t>
        </is>
      </c>
    </row>
    <row r="3248">
      <c r="A3248" t="inlineStr">
        <is>
          <t>BILE_SODIUM_GLYCODEOXYCHOLATE</t>
        </is>
      </c>
      <c r="B3248" t="inlineStr">
        <is>
          <t>molar_volume_cm3_mol</t>
        </is>
      </c>
      <c r="C3248">
        <v>393.01</v>
      </c>
      <c r="D3248" t="inlineStr">
        <is>
          <t>cm3/mol</t>
        </is>
      </c>
      <c r="E3248"/>
      <c r="F3248"/>
      <c r="G3248" t="inlineStr">
        <is>
          <t>MW/density estimate</t>
        </is>
      </c>
      <c r="H3248" t="inlineStr">
        <is>
          <t>S012_CALCULATED</t>
        </is>
      </c>
      <c r="I3248" t="inlineStr">
        <is>
          <t>estimated</t>
        </is>
      </c>
      <c r="J3248">
        <v>0.4</v>
      </c>
      <c r="K3248" t="inlineStr">
        <is>
          <t>Estimated from MW/density; replace with measured molar volume or density-specific grade data.</t>
        </is>
      </c>
    </row>
    <row r="3249">
      <c r="A3249" t="inlineStr">
        <is>
          <t>BILE_SODIUM_TAUROCHENODEOXYCHOLATE</t>
        </is>
      </c>
      <c r="B3249" t="inlineStr">
        <is>
          <t>molecular_weight_g_mol</t>
        </is>
      </c>
      <c r="C3249">
        <v>521.69</v>
      </c>
      <c r="D3249" t="inlineStr">
        <is>
          <t>g/mol</t>
        </is>
      </c>
      <c r="E3249"/>
      <c r="F3249"/>
      <c r="G3249"/>
      <c r="H3249" t="inlineStr">
        <is>
          <t>S001_PUBCHEM</t>
        </is>
      </c>
      <c r="I3249" t="inlineStr">
        <is>
          <t>database-derived</t>
        </is>
      </c>
      <c r="J3249">
        <v>0.78</v>
      </c>
      <c r="K3249"/>
    </row>
    <row r="3250">
      <c r="A3250" t="inlineStr">
        <is>
          <t>BILE_SODIUM_TAUROCHENODEOXYCHOLATE</t>
        </is>
      </c>
      <c r="B3250" t="inlineStr">
        <is>
          <t>HLB_or_amphiphilicity_descriptor</t>
        </is>
      </c>
      <c r="C3250" t="inlineStr">
        <is>
          <t>facial amphiphile / steroidal anionic surfactant</t>
        </is>
      </c>
      <c r="D3250"/>
      <c r="E3250"/>
      <c r="F3250"/>
      <c r="G3250"/>
      <c r="H3250" t="inlineStr">
        <is>
          <t>S007_EXCIPIENTS_HANDBOOK</t>
        </is>
      </c>
      <c r="I3250" t="inlineStr">
        <is>
          <t>curated</t>
        </is>
      </c>
      <c r="J3250">
        <v>0.75</v>
      </c>
      <c r="K3250"/>
    </row>
    <row r="3251">
      <c r="A3251" t="inlineStr">
        <is>
          <t>BILE_SODIUM_TAUROCHENODEOXYCHOLATE</t>
        </is>
      </c>
      <c r="B3251" t="inlineStr">
        <is>
          <t>CMC_mM</t>
        </is>
      </c>
      <c r="C3251">
        <v>3</v>
      </c>
      <c r="D3251" t="inlineStr">
        <is>
          <t>mM</t>
        </is>
      </c>
      <c r="E3251"/>
      <c r="F3251"/>
      <c r="G3251" t="inlineStr">
        <is>
          <t>CMC varies with ionic strength, pH, and temperature</t>
        </is>
      </c>
      <c r="H3251" t="inlineStr">
        <is>
          <t>S007_EXCIPIENTS_HANDBOOK</t>
        </is>
      </c>
      <c r="I3251" t="inlineStr">
        <is>
          <t>literature</t>
        </is>
      </c>
      <c r="J3251">
        <v>0.55</v>
      </c>
      <c r="K3251"/>
    </row>
    <row r="3252">
      <c r="A3252" t="inlineStr">
        <is>
          <t>BILE_SODIUM_TAUROCHENODEOXYCHOLATE</t>
        </is>
      </c>
      <c r="B3252" t="inlineStr">
        <is>
          <t>charge_type</t>
        </is>
      </c>
      <c r="C3252" t="inlineStr">
        <is>
          <t>anionic</t>
        </is>
      </c>
      <c r="D3252"/>
      <c r="E3252"/>
      <c r="F3252"/>
      <c r="G3252"/>
      <c r="H3252" t="inlineStr">
        <is>
          <t>S001_PUBCHEM</t>
        </is>
      </c>
      <c r="I3252" t="inlineStr">
        <is>
          <t>curated</t>
        </is>
      </c>
      <c r="J3252">
        <v>0.85</v>
      </c>
      <c r="K3252"/>
    </row>
    <row r="3253">
      <c r="A3253" t="inlineStr">
        <is>
          <t>BILE_SODIUM_TAUROCHENODEOXYCHOLATE</t>
        </is>
      </c>
      <c r="B3253" t="inlineStr">
        <is>
          <t>formal_charge</t>
        </is>
      </c>
      <c r="C3253">
        <v>-1</v>
      </c>
      <c r="D3253" t="inlineStr">
        <is>
          <t>e</t>
        </is>
      </c>
      <c r="E3253"/>
      <c r="F3253"/>
      <c r="G3253"/>
      <c r="H3253" t="inlineStr">
        <is>
          <t>S001_PUBCHEM</t>
        </is>
      </c>
      <c r="I3253" t="inlineStr">
        <is>
          <t>curated</t>
        </is>
      </c>
      <c r="J3253">
        <v>0.85</v>
      </c>
      <c r="K3253"/>
    </row>
    <row r="3254">
      <c r="A3254" t="inlineStr">
        <is>
          <t>BILE_SODIUM_TAUROCHENODEOXYCHOLATE</t>
        </is>
      </c>
      <c r="B3254" t="inlineStr">
        <is>
          <t>pKa_if_relevant</t>
        </is>
      </c>
      <c r="C3254">
        <v>5.0</v>
      </c>
      <c r="D3254"/>
      <c r="E3254"/>
      <c r="F3254"/>
      <c r="G3254"/>
      <c r="H3254" t="inlineStr">
        <is>
          <t>S001_PUBCHEM</t>
        </is>
      </c>
      <c r="I3254" t="inlineStr">
        <is>
          <t>literature</t>
        </is>
      </c>
      <c r="J3254">
        <v>0.55</v>
      </c>
      <c r="K3254"/>
    </row>
    <row r="3255">
      <c r="A3255" t="inlineStr">
        <is>
          <t>BILE_SODIUM_TAUROCHENODEOXYCHOLATE</t>
        </is>
      </c>
      <c r="B3255" t="inlineStr">
        <is>
          <t>steroidal_structure_flag</t>
        </is>
      </c>
      <c r="C3255" t="inlineStr">
        <is>
          <t>yes</t>
        </is>
      </c>
      <c r="D3255"/>
      <c r="E3255"/>
      <c r="F3255"/>
      <c r="G3255"/>
      <c r="H3255" t="inlineStr">
        <is>
          <t>S001_PUBCHEM</t>
        </is>
      </c>
      <c r="I3255" t="inlineStr">
        <is>
          <t>curated</t>
        </is>
      </c>
      <c r="J3255">
        <v>0.9</v>
      </c>
      <c r="K3255"/>
    </row>
    <row r="3256">
      <c r="A3256" t="inlineStr">
        <is>
          <t>BILE_SODIUM_TAUROCHENODEOXYCHOLATE</t>
        </is>
      </c>
      <c r="B3256" t="inlineStr">
        <is>
          <t>toxicity_notes</t>
        </is>
      </c>
      <c r="C3256" t="inlineStr">
        <is>
          <t>bile salts can be membrane-disruptive; concentration and route are critical</t>
        </is>
      </c>
      <c r="D3256"/>
      <c r="E3256"/>
      <c r="F3256"/>
      <c r="G3256"/>
      <c r="H3256" t="inlineStr">
        <is>
          <t>S007_EXCIPIENTS_HANDBOOK</t>
        </is>
      </c>
      <c r="I3256" t="inlineStr">
        <is>
          <t>curated</t>
        </is>
      </c>
      <c r="J3256">
        <v>0.7</v>
      </c>
      <c r="K3256"/>
    </row>
    <row r="3257">
      <c r="A3257" t="inlineStr">
        <is>
          <t>BILE_SODIUM_TAUROCHENODEOXYCHOLATE</t>
        </is>
      </c>
      <c r="B3257" t="inlineStr">
        <is>
          <t>bilosome_role</t>
        </is>
      </c>
      <c r="C3257" t="inlineStr">
        <is>
          <t>edge activator / bile-salt stabilizer for bilosomes and oral vesicles</t>
        </is>
      </c>
      <c r="D3257"/>
      <c r="E3257"/>
      <c r="F3257"/>
      <c r="G3257"/>
      <c r="H3257" t="inlineStr">
        <is>
          <t>S014_AULTON</t>
        </is>
      </c>
      <c r="I3257" t="inlineStr">
        <is>
          <t>curated</t>
        </is>
      </c>
      <c r="J3257">
        <v>0.8</v>
      </c>
      <c r="K3257"/>
    </row>
    <row r="3258">
      <c r="A3258" t="inlineStr">
        <is>
          <t>BILE_SODIUM_TAUROCHENODEOXYCHOLATE</t>
        </is>
      </c>
      <c r="B3258" t="inlineStr">
        <is>
          <t>route_suitability</t>
        </is>
      </c>
      <c r="C3258" t="inlineStr">
        <is>
          <t>oral and topical screening; parenteral generally cautionary unless justified</t>
        </is>
      </c>
      <c r="D3258"/>
      <c r="E3258"/>
      <c r="F3258"/>
      <c r="G3258"/>
      <c r="H3258" t="inlineStr">
        <is>
          <t>S008_FDA_IID</t>
        </is>
      </c>
      <c r="I3258" t="inlineStr">
        <is>
          <t>curated</t>
        </is>
      </c>
      <c r="J3258">
        <v>0.55</v>
      </c>
      <c r="K3258"/>
    </row>
    <row r="3259">
      <c r="A3259" t="inlineStr">
        <is>
          <t>BILE_SODIUM_TAUROCHENODEOXYCHOLATE</t>
        </is>
      </c>
      <c r="B3259" t="inlineStr">
        <is>
          <t>Hansen_delta_D</t>
        </is>
      </c>
      <c r="C3259">
        <v>17.2</v>
      </c>
      <c r="D3259" t="inlineStr">
        <is>
          <t>MPa^0.5</t>
        </is>
      </c>
      <c r="E3259"/>
      <c r="F3259"/>
      <c r="G3259" t="inlineStr">
        <is>
          <t>heuristic group-contribution/nearest-neighbour</t>
        </is>
      </c>
      <c r="H3259" t="inlineStr">
        <is>
          <t>S013_EST_HSP_HEURISTIC</t>
        </is>
      </c>
      <c r="I3259" t="inlineStr">
        <is>
          <t>estimated</t>
        </is>
      </c>
      <c r="J3259">
        <v>0.38</v>
      </c>
      <c r="K3259" t="inlineStr">
        <is>
          <t>Provisional HSP for screening; replace with experimental/literature value before model lock.</t>
        </is>
      </c>
    </row>
    <row r="3260">
      <c r="A3260" t="inlineStr">
        <is>
          <t>BILE_SODIUM_TAUROCHENODEOXYCHOLATE</t>
        </is>
      </c>
      <c r="B3260" t="inlineStr">
        <is>
          <t>Hansen_delta_P</t>
        </is>
      </c>
      <c r="C3260">
        <v>8.5</v>
      </c>
      <c r="D3260" t="inlineStr">
        <is>
          <t>MPa^0.5</t>
        </is>
      </c>
      <c r="E3260"/>
      <c r="F3260"/>
      <c r="G3260" t="inlineStr">
        <is>
          <t>heuristic group-contribution/nearest-neighbour</t>
        </is>
      </c>
      <c r="H3260" t="inlineStr">
        <is>
          <t>S013_EST_HSP_HEURISTIC</t>
        </is>
      </c>
      <c r="I3260" t="inlineStr">
        <is>
          <t>estimated</t>
        </is>
      </c>
      <c r="J3260">
        <v>0.38</v>
      </c>
      <c r="K3260" t="inlineStr">
        <is>
          <t>Provisional HSP for screening; replace with experimental/literature value before model lock.</t>
        </is>
      </c>
    </row>
    <row r="3261">
      <c r="A3261" t="inlineStr">
        <is>
          <t>BILE_SODIUM_TAUROCHENODEOXYCHOLATE</t>
        </is>
      </c>
      <c r="B3261" t="inlineStr">
        <is>
          <t>Hansen_delta_H</t>
        </is>
      </c>
      <c r="C3261">
        <v>13.5</v>
      </c>
      <c r="D3261" t="inlineStr">
        <is>
          <t>MPa^0.5</t>
        </is>
      </c>
      <c r="E3261"/>
      <c r="F3261"/>
      <c r="G3261" t="inlineStr">
        <is>
          <t>heuristic group-contribution/nearest-neighbour</t>
        </is>
      </c>
      <c r="H3261" t="inlineStr">
        <is>
          <t>S013_EST_HSP_HEURISTIC</t>
        </is>
      </c>
      <c r="I3261" t="inlineStr">
        <is>
          <t>estimated</t>
        </is>
      </c>
      <c r="J3261">
        <v>0.38</v>
      </c>
      <c r="K3261" t="inlineStr">
        <is>
          <t>Provisional HSP for screening; replace with experimental/literature value before model lock.</t>
        </is>
      </c>
    </row>
    <row r="3262">
      <c r="A3262" t="inlineStr">
        <is>
          <t>BILE_SODIUM_TAUROCHENODEOXYCHOLATE</t>
        </is>
      </c>
      <c r="B3262" t="inlineStr">
        <is>
          <t>Hildebrand_delta_T</t>
        </is>
      </c>
      <c r="C3262">
        <v>23.46</v>
      </c>
      <c r="D3262" t="inlineStr">
        <is>
          <t>MPa^0.5</t>
        </is>
      </c>
      <c r="E3262"/>
      <c r="F3262"/>
      <c r="G3262" t="inlineStr">
        <is>
          <t>sqrt(deltaD^2+deltaP^2+deltaH^2)</t>
        </is>
      </c>
      <c r="H3262" t="inlineStr">
        <is>
          <t>S012_CALCULATED</t>
        </is>
      </c>
      <c r="I3262" t="inlineStr">
        <is>
          <t>calculated</t>
        </is>
      </c>
      <c r="J3262">
        <v>0.43</v>
      </c>
      <c r="K3262" t="inlineStr">
        <is>
          <t>Derived from stored Hansen components.</t>
        </is>
      </c>
    </row>
    <row r="3263">
      <c r="A3263" t="inlineStr">
        <is>
          <t>BILE_SODIUM_TAUROCHENODEOXYCHOLATE</t>
        </is>
      </c>
      <c r="B3263" t="inlineStr">
        <is>
          <t>HSP_radius_R0</t>
        </is>
      </c>
      <c r="C3263">
        <v>8.5</v>
      </c>
      <c r="D3263" t="inlineStr">
        <is>
          <t>MPa^0.5</t>
        </is>
      </c>
      <c r="E3263"/>
      <c r="F3263"/>
      <c r="G3263" t="inlineStr">
        <is>
          <t>literature/heuristic solubility sphere</t>
        </is>
      </c>
      <c r="H3263" t="inlineStr">
        <is>
          <t>S013_EST_HSP_HEURISTIC</t>
        </is>
      </c>
      <c r="I3263" t="inlineStr">
        <is>
          <t>estimated</t>
        </is>
      </c>
      <c r="J3263">
        <v>0.38</v>
      </c>
      <c r="K3263" t="inlineStr">
        <is>
          <t>Screening radius only unless experimentally determined.</t>
        </is>
      </c>
    </row>
    <row r="3264">
      <c r="A3264" t="inlineStr">
        <is>
          <t>BILE_SODIUM_TAUROCHENODEOXYCHOLATE</t>
        </is>
      </c>
      <c r="B3264" t="inlineStr">
        <is>
          <t>molar_volume_cm3_mol</t>
        </is>
      </c>
      <c r="C3264">
        <v>434.74</v>
      </c>
      <c r="D3264" t="inlineStr">
        <is>
          <t>cm3/mol</t>
        </is>
      </c>
      <c r="E3264"/>
      <c r="F3264"/>
      <c r="G3264" t="inlineStr">
        <is>
          <t>MW/density estimate</t>
        </is>
      </c>
      <c r="H3264" t="inlineStr">
        <is>
          <t>S012_CALCULATED</t>
        </is>
      </c>
      <c r="I3264" t="inlineStr">
        <is>
          <t>estimated</t>
        </is>
      </c>
      <c r="J3264">
        <v>0.4</v>
      </c>
      <c r="K3264" t="inlineStr">
        <is>
          <t>Estimated from MW/density; replace with measured molar volume or density-specific grade data.</t>
        </is>
      </c>
    </row>
    <row r="3265">
      <c r="A3265" t="inlineStr">
        <is>
          <t>BILE_SODIUM_CHENODEOXYCHOLATE</t>
        </is>
      </c>
      <c r="B3265" t="inlineStr">
        <is>
          <t>molecular_weight_g_mol</t>
        </is>
      </c>
      <c r="C3265">
        <v>414.55</v>
      </c>
      <c r="D3265" t="inlineStr">
        <is>
          <t>g/mol</t>
        </is>
      </c>
      <c r="E3265"/>
      <c r="F3265"/>
      <c r="G3265"/>
      <c r="H3265" t="inlineStr">
        <is>
          <t>S001_PUBCHEM</t>
        </is>
      </c>
      <c r="I3265" t="inlineStr">
        <is>
          <t>database-derived</t>
        </is>
      </c>
      <c r="J3265">
        <v>0.78</v>
      </c>
      <c r="K3265"/>
    </row>
    <row r="3266">
      <c r="A3266" t="inlineStr">
        <is>
          <t>BILE_SODIUM_CHENODEOXYCHOLATE</t>
        </is>
      </c>
      <c r="B3266" t="inlineStr">
        <is>
          <t>HLB_or_amphiphilicity_descriptor</t>
        </is>
      </c>
      <c r="C3266" t="inlineStr">
        <is>
          <t>facial amphiphile / steroidal anionic surfactant</t>
        </is>
      </c>
      <c r="D3266"/>
      <c r="E3266"/>
      <c r="F3266"/>
      <c r="G3266"/>
      <c r="H3266" t="inlineStr">
        <is>
          <t>S007_EXCIPIENTS_HANDBOOK</t>
        </is>
      </c>
      <c r="I3266" t="inlineStr">
        <is>
          <t>curated</t>
        </is>
      </c>
      <c r="J3266">
        <v>0.75</v>
      </c>
      <c r="K3266"/>
    </row>
    <row r="3267">
      <c r="A3267" t="inlineStr">
        <is>
          <t>BILE_SODIUM_CHENODEOXYCHOLATE</t>
        </is>
      </c>
      <c r="B3267" t="inlineStr">
        <is>
          <t>CMC_mM</t>
        </is>
      </c>
      <c r="C3267">
        <v>4</v>
      </c>
      <c r="D3267" t="inlineStr">
        <is>
          <t>mM</t>
        </is>
      </c>
      <c r="E3267"/>
      <c r="F3267"/>
      <c r="G3267" t="inlineStr">
        <is>
          <t>CMC varies with ionic strength, pH, and temperature</t>
        </is>
      </c>
      <c r="H3267" t="inlineStr">
        <is>
          <t>S007_EXCIPIENTS_HANDBOOK</t>
        </is>
      </c>
      <c r="I3267" t="inlineStr">
        <is>
          <t>literature</t>
        </is>
      </c>
      <c r="J3267">
        <v>0.55</v>
      </c>
      <c r="K3267"/>
    </row>
    <row r="3268">
      <c r="A3268" t="inlineStr">
        <is>
          <t>BILE_SODIUM_CHENODEOXYCHOLATE</t>
        </is>
      </c>
      <c r="B3268" t="inlineStr">
        <is>
          <t>charge_type</t>
        </is>
      </c>
      <c r="C3268" t="inlineStr">
        <is>
          <t>anionic</t>
        </is>
      </c>
      <c r="D3268"/>
      <c r="E3268"/>
      <c r="F3268"/>
      <c r="G3268"/>
      <c r="H3268" t="inlineStr">
        <is>
          <t>S001_PUBCHEM</t>
        </is>
      </c>
      <c r="I3268" t="inlineStr">
        <is>
          <t>curated</t>
        </is>
      </c>
      <c r="J3268">
        <v>0.85</v>
      </c>
      <c r="K3268"/>
    </row>
    <row r="3269">
      <c r="A3269" t="inlineStr">
        <is>
          <t>BILE_SODIUM_CHENODEOXYCHOLATE</t>
        </is>
      </c>
      <c r="B3269" t="inlineStr">
        <is>
          <t>formal_charge</t>
        </is>
      </c>
      <c r="C3269">
        <v>-1</v>
      </c>
      <c r="D3269" t="inlineStr">
        <is>
          <t>e</t>
        </is>
      </c>
      <c r="E3269"/>
      <c r="F3269"/>
      <c r="G3269"/>
      <c r="H3269" t="inlineStr">
        <is>
          <t>S001_PUBCHEM</t>
        </is>
      </c>
      <c r="I3269" t="inlineStr">
        <is>
          <t>curated</t>
        </is>
      </c>
      <c r="J3269">
        <v>0.85</v>
      </c>
      <c r="K3269"/>
    </row>
    <row r="3270">
      <c r="A3270" t="inlineStr">
        <is>
          <t>BILE_SODIUM_CHENODEOXYCHOLATE</t>
        </is>
      </c>
      <c r="B3270" t="inlineStr">
        <is>
          <t>pKa_if_relevant</t>
        </is>
      </c>
      <c r="C3270">
        <v>5.0</v>
      </c>
      <c r="D3270"/>
      <c r="E3270"/>
      <c r="F3270"/>
      <c r="G3270"/>
      <c r="H3270" t="inlineStr">
        <is>
          <t>S001_PUBCHEM</t>
        </is>
      </c>
      <c r="I3270" t="inlineStr">
        <is>
          <t>literature</t>
        </is>
      </c>
      <c r="J3270">
        <v>0.55</v>
      </c>
      <c r="K3270"/>
    </row>
    <row r="3271">
      <c r="A3271" t="inlineStr">
        <is>
          <t>BILE_SODIUM_CHENODEOXYCHOLATE</t>
        </is>
      </c>
      <c r="B3271" t="inlineStr">
        <is>
          <t>steroidal_structure_flag</t>
        </is>
      </c>
      <c r="C3271" t="inlineStr">
        <is>
          <t>yes</t>
        </is>
      </c>
      <c r="D3271"/>
      <c r="E3271"/>
      <c r="F3271"/>
      <c r="G3271"/>
      <c r="H3271" t="inlineStr">
        <is>
          <t>S001_PUBCHEM</t>
        </is>
      </c>
      <c r="I3271" t="inlineStr">
        <is>
          <t>curated</t>
        </is>
      </c>
      <c r="J3271">
        <v>0.9</v>
      </c>
      <c r="K3271"/>
    </row>
    <row r="3272">
      <c r="A3272" t="inlineStr">
        <is>
          <t>BILE_SODIUM_CHENODEOXYCHOLATE</t>
        </is>
      </c>
      <c r="B3272" t="inlineStr">
        <is>
          <t>toxicity_notes</t>
        </is>
      </c>
      <c r="C3272" t="inlineStr">
        <is>
          <t>bile salts can be membrane-disruptive; concentration and route are critical</t>
        </is>
      </c>
      <c r="D3272"/>
      <c r="E3272"/>
      <c r="F3272"/>
      <c r="G3272"/>
      <c r="H3272" t="inlineStr">
        <is>
          <t>S007_EXCIPIENTS_HANDBOOK</t>
        </is>
      </c>
      <c r="I3272" t="inlineStr">
        <is>
          <t>curated</t>
        </is>
      </c>
      <c r="J3272">
        <v>0.7</v>
      </c>
      <c r="K3272"/>
    </row>
    <row r="3273">
      <c r="A3273" t="inlineStr">
        <is>
          <t>BILE_SODIUM_CHENODEOXYCHOLATE</t>
        </is>
      </c>
      <c r="B3273" t="inlineStr">
        <is>
          <t>bilosome_role</t>
        </is>
      </c>
      <c r="C3273" t="inlineStr">
        <is>
          <t>edge activator / bile-salt stabilizer for bilosomes and oral vesicles</t>
        </is>
      </c>
      <c r="D3273"/>
      <c r="E3273"/>
      <c r="F3273"/>
      <c r="G3273"/>
      <c r="H3273" t="inlineStr">
        <is>
          <t>S014_AULTON</t>
        </is>
      </c>
      <c r="I3273" t="inlineStr">
        <is>
          <t>curated</t>
        </is>
      </c>
      <c r="J3273">
        <v>0.8</v>
      </c>
      <c r="K3273"/>
    </row>
    <row r="3274">
      <c r="A3274" t="inlineStr">
        <is>
          <t>BILE_SODIUM_CHENODEOXYCHOLATE</t>
        </is>
      </c>
      <c r="B3274" t="inlineStr">
        <is>
          <t>route_suitability</t>
        </is>
      </c>
      <c r="C3274" t="inlineStr">
        <is>
          <t>oral and topical screening; parenteral generally cautionary unless justified</t>
        </is>
      </c>
      <c r="D3274"/>
      <c r="E3274"/>
      <c r="F3274"/>
      <c r="G3274"/>
      <c r="H3274" t="inlineStr">
        <is>
          <t>S008_FDA_IID</t>
        </is>
      </c>
      <c r="I3274" t="inlineStr">
        <is>
          <t>curated</t>
        </is>
      </c>
      <c r="J3274">
        <v>0.55</v>
      </c>
      <c r="K3274"/>
    </row>
    <row r="3275">
      <c r="A3275" t="inlineStr">
        <is>
          <t>BILE_SODIUM_CHENODEOXYCHOLATE</t>
        </is>
      </c>
      <c r="B3275" t="inlineStr">
        <is>
          <t>Hansen_delta_D</t>
        </is>
      </c>
      <c r="C3275">
        <v>17.2</v>
      </c>
      <c r="D3275" t="inlineStr">
        <is>
          <t>MPa^0.5</t>
        </is>
      </c>
      <c r="E3275"/>
      <c r="F3275"/>
      <c r="G3275" t="inlineStr">
        <is>
          <t>heuristic group-contribution/nearest-neighbour</t>
        </is>
      </c>
      <c r="H3275" t="inlineStr">
        <is>
          <t>S013_EST_HSP_HEURISTIC</t>
        </is>
      </c>
      <c r="I3275" t="inlineStr">
        <is>
          <t>estimated</t>
        </is>
      </c>
      <c r="J3275">
        <v>0.38</v>
      </c>
      <c r="K3275" t="inlineStr">
        <is>
          <t>Provisional HSP for screening; replace with experimental/literature value before model lock.</t>
        </is>
      </c>
    </row>
    <row r="3276">
      <c r="A3276" t="inlineStr">
        <is>
          <t>BILE_SODIUM_CHENODEOXYCHOLATE</t>
        </is>
      </c>
      <c r="B3276" t="inlineStr">
        <is>
          <t>Hansen_delta_P</t>
        </is>
      </c>
      <c r="C3276">
        <v>8.5</v>
      </c>
      <c r="D3276" t="inlineStr">
        <is>
          <t>MPa^0.5</t>
        </is>
      </c>
      <c r="E3276"/>
      <c r="F3276"/>
      <c r="G3276" t="inlineStr">
        <is>
          <t>heuristic group-contribution/nearest-neighbour</t>
        </is>
      </c>
      <c r="H3276" t="inlineStr">
        <is>
          <t>S013_EST_HSP_HEURISTIC</t>
        </is>
      </c>
      <c r="I3276" t="inlineStr">
        <is>
          <t>estimated</t>
        </is>
      </c>
      <c r="J3276">
        <v>0.38</v>
      </c>
      <c r="K3276" t="inlineStr">
        <is>
          <t>Provisional HSP for screening; replace with experimental/literature value before model lock.</t>
        </is>
      </c>
    </row>
    <row r="3277">
      <c r="A3277" t="inlineStr">
        <is>
          <t>BILE_SODIUM_CHENODEOXYCHOLATE</t>
        </is>
      </c>
      <c r="B3277" t="inlineStr">
        <is>
          <t>Hansen_delta_H</t>
        </is>
      </c>
      <c r="C3277">
        <v>13.5</v>
      </c>
      <c r="D3277" t="inlineStr">
        <is>
          <t>MPa^0.5</t>
        </is>
      </c>
      <c r="E3277"/>
      <c r="F3277"/>
      <c r="G3277" t="inlineStr">
        <is>
          <t>heuristic group-contribution/nearest-neighbour</t>
        </is>
      </c>
      <c r="H3277" t="inlineStr">
        <is>
          <t>S013_EST_HSP_HEURISTIC</t>
        </is>
      </c>
      <c r="I3277" t="inlineStr">
        <is>
          <t>estimated</t>
        </is>
      </c>
      <c r="J3277">
        <v>0.38</v>
      </c>
      <c r="K3277" t="inlineStr">
        <is>
          <t>Provisional HSP for screening; replace with experimental/literature value before model lock.</t>
        </is>
      </c>
    </row>
    <row r="3278">
      <c r="A3278" t="inlineStr">
        <is>
          <t>BILE_SODIUM_CHENODEOXYCHOLATE</t>
        </is>
      </c>
      <c r="B3278" t="inlineStr">
        <is>
          <t>Hildebrand_delta_T</t>
        </is>
      </c>
      <c r="C3278">
        <v>23.46</v>
      </c>
      <c r="D3278" t="inlineStr">
        <is>
          <t>MPa^0.5</t>
        </is>
      </c>
      <c r="E3278"/>
      <c r="F3278"/>
      <c r="G3278" t="inlineStr">
        <is>
          <t>sqrt(deltaD^2+deltaP^2+deltaH^2)</t>
        </is>
      </c>
      <c r="H3278" t="inlineStr">
        <is>
          <t>S012_CALCULATED</t>
        </is>
      </c>
      <c r="I3278" t="inlineStr">
        <is>
          <t>calculated</t>
        </is>
      </c>
      <c r="J3278">
        <v>0.43</v>
      </c>
      <c r="K3278" t="inlineStr">
        <is>
          <t>Derived from stored Hansen components.</t>
        </is>
      </c>
    </row>
    <row r="3279">
      <c r="A3279" t="inlineStr">
        <is>
          <t>BILE_SODIUM_CHENODEOXYCHOLATE</t>
        </is>
      </c>
      <c r="B3279" t="inlineStr">
        <is>
          <t>HSP_radius_R0</t>
        </is>
      </c>
      <c r="C3279">
        <v>8.5</v>
      </c>
      <c r="D3279" t="inlineStr">
        <is>
          <t>MPa^0.5</t>
        </is>
      </c>
      <c r="E3279"/>
      <c r="F3279"/>
      <c r="G3279" t="inlineStr">
        <is>
          <t>literature/heuristic solubility sphere</t>
        </is>
      </c>
      <c r="H3279" t="inlineStr">
        <is>
          <t>S013_EST_HSP_HEURISTIC</t>
        </is>
      </c>
      <c r="I3279" t="inlineStr">
        <is>
          <t>estimated</t>
        </is>
      </c>
      <c r="J3279">
        <v>0.38</v>
      </c>
      <c r="K3279" t="inlineStr">
        <is>
          <t>Screening radius only unless experimentally determined.</t>
        </is>
      </c>
    </row>
    <row r="3280">
      <c r="A3280" t="inlineStr">
        <is>
          <t>BILE_SODIUM_CHENODEOXYCHOLATE</t>
        </is>
      </c>
      <c r="B3280" t="inlineStr">
        <is>
          <t>molar_volume_cm3_mol</t>
        </is>
      </c>
      <c r="C3280">
        <v>345.46</v>
      </c>
      <c r="D3280" t="inlineStr">
        <is>
          <t>cm3/mol</t>
        </is>
      </c>
      <c r="E3280"/>
      <c r="F3280"/>
      <c r="G3280" t="inlineStr">
        <is>
          <t>MW/density estimate</t>
        </is>
      </c>
      <c r="H3280" t="inlineStr">
        <is>
          <t>S012_CALCULATED</t>
        </is>
      </c>
      <c r="I3280" t="inlineStr">
        <is>
          <t>estimated</t>
        </is>
      </c>
      <c r="J3280">
        <v>0.4</v>
      </c>
      <c r="K3280" t="inlineStr">
        <is>
          <t>Estimated from MW/density; replace with measured molar volume or density-specific grade data.</t>
        </is>
      </c>
    </row>
    <row r="3281">
      <c r="A3281" t="inlineStr">
        <is>
          <t>OIL_STEARIC_ACID</t>
        </is>
      </c>
      <c r="B3281" t="inlineStr">
        <is>
          <t>molecular_weight_g_mol</t>
        </is>
      </c>
      <c r="C3281">
        <v>284.48</v>
      </c>
      <c r="D3281" t="inlineStr">
        <is>
          <t>g/mol</t>
        </is>
      </c>
      <c r="E3281"/>
      <c r="F3281"/>
      <c r="G3281"/>
      <c r="H3281" t="inlineStr">
        <is>
          <t>S001_PUBCHEM</t>
        </is>
      </c>
      <c r="I3281" t="inlineStr">
        <is>
          <t>database-derived</t>
        </is>
      </c>
      <c r="J3281">
        <v>0.75</v>
      </c>
      <c r="K3281"/>
    </row>
    <row r="3282">
      <c r="A3282" t="inlineStr">
        <is>
          <t>OIL_STEARIC_ACID</t>
        </is>
      </c>
      <c r="B3282" t="inlineStr">
        <is>
          <t>density_g_ml</t>
        </is>
      </c>
      <c r="C3282">
        <v>0.94</v>
      </c>
      <c r="D3282" t="inlineStr">
        <is>
          <t>g/mL</t>
        </is>
      </c>
      <c r="E3282"/>
      <c r="F3282"/>
      <c r="G3282" t="inlineStr">
        <is>
          <t>20-25 °C unless otherwise specified</t>
        </is>
      </c>
      <c r="H3282" t="inlineStr">
        <is>
          <t>S007_EXCIPIENTS_HANDBOOK</t>
        </is>
      </c>
      <c r="I3282" t="inlineStr">
        <is>
          <t>handbook</t>
        </is>
      </c>
      <c r="J3282">
        <v>0.6</v>
      </c>
      <c r="K3282"/>
    </row>
    <row r="3283">
      <c r="A3283" t="inlineStr">
        <is>
          <t>OIL_STEARIC_ACID</t>
        </is>
      </c>
      <c r="B3283" t="inlineStr">
        <is>
          <t>melting_point_C</t>
        </is>
      </c>
      <c r="C3283">
        <v>69</v>
      </c>
      <c r="D3283" t="inlineStr">
        <is>
          <t>°C</t>
        </is>
      </c>
      <c r="E3283"/>
      <c r="F3283"/>
      <c r="G3283" t="inlineStr">
        <is>
          <t>melting/drop point range; grade-dependent</t>
        </is>
      </c>
      <c r="H3283" t="inlineStr">
        <is>
          <t>S007_EXCIPIENTS_HANDBOOK</t>
        </is>
      </c>
      <c r="I3283" t="inlineStr">
        <is>
          <t>handbook</t>
        </is>
      </c>
      <c r="J3283">
        <v>0.68</v>
      </c>
      <c r="K3283"/>
    </row>
    <row r="3284">
      <c r="A3284" t="inlineStr">
        <is>
          <t>OIL_STEARIC_ACID</t>
        </is>
      </c>
      <c r="B3284" t="inlineStr">
        <is>
          <t>lipid_state</t>
        </is>
      </c>
      <c r="C3284" t="inlineStr">
        <is>
          <t>solid</t>
        </is>
      </c>
      <c r="D3284"/>
      <c r="E3284"/>
      <c r="F3284"/>
      <c r="G3284"/>
      <c r="H3284" t="inlineStr">
        <is>
          <t>S007_EXCIPIENTS_HANDBOOK</t>
        </is>
      </c>
      <c r="I3284" t="inlineStr">
        <is>
          <t>curated</t>
        </is>
      </c>
      <c r="J3284">
        <v>0.75</v>
      </c>
      <c r="K3284"/>
    </row>
    <row r="3285">
      <c r="A3285" t="inlineStr">
        <is>
          <t>OIL_STEARIC_ACID</t>
        </is>
      </c>
      <c r="B3285" t="inlineStr">
        <is>
          <t>fatty_chain_length</t>
        </is>
      </c>
      <c r="C3285" t="inlineStr">
        <is>
          <t>C18:0</t>
        </is>
      </c>
      <c r="D3285"/>
      <c r="E3285"/>
      <c r="F3285"/>
      <c r="G3285"/>
      <c r="H3285" t="inlineStr">
        <is>
          <t>S007_EXCIPIENTS_HANDBOOK</t>
        </is>
      </c>
      <c r="I3285" t="inlineStr">
        <is>
          <t>curated</t>
        </is>
      </c>
      <c r="J3285">
        <v>0.7</v>
      </c>
      <c r="K3285"/>
    </row>
    <row r="3286">
      <c r="A3286" t="inlineStr">
        <is>
          <t>OIL_STEARIC_ACID</t>
        </is>
      </c>
      <c r="B3286" t="inlineStr">
        <is>
          <t>unsaturation</t>
        </is>
      </c>
      <c r="C3286">
        <v>0</v>
      </c>
      <c r="D3286" t="inlineStr">
        <is>
          <t>double_bonds</t>
        </is>
      </c>
      <c r="E3286"/>
      <c r="F3286"/>
      <c r="G3286"/>
      <c r="H3286" t="inlineStr">
        <is>
          <t>S007_EXCIPIENTS_HANDBOOK</t>
        </is>
      </c>
      <c r="I3286" t="inlineStr">
        <is>
          <t>curated</t>
        </is>
      </c>
      <c r="J3286">
        <v>0.7</v>
      </c>
      <c r="K3286"/>
    </row>
    <row r="3287">
      <c r="A3287" t="inlineStr">
        <is>
          <t>OIL_STEARIC_ACID</t>
        </is>
      </c>
      <c r="B3287" t="inlineStr">
        <is>
          <t>crystallinity_risk</t>
        </is>
      </c>
      <c r="C3287" t="inlineStr">
        <is>
          <t>high</t>
        </is>
      </c>
      <c r="D3287"/>
      <c r="E3287"/>
      <c r="F3287"/>
      <c r="G3287" t="inlineStr">
        <is>
          <t>SLN/NLC crystallization heuristic</t>
        </is>
      </c>
      <c r="H3287" t="inlineStr">
        <is>
          <t>S007_EXCIPIENTS_HANDBOOK</t>
        </is>
      </c>
      <c r="I3287" t="inlineStr">
        <is>
          <t>curated</t>
        </is>
      </c>
      <c r="J3287">
        <v>0.6</v>
      </c>
      <c r="K3287"/>
    </row>
    <row r="3288">
      <c r="A3288" t="inlineStr">
        <is>
          <t>OIL_STEARIC_ACID</t>
        </is>
      </c>
      <c r="B3288" t="inlineStr">
        <is>
          <t>polymorphism_notes</t>
        </is>
      </c>
      <c r="C3288" t="inlineStr">
        <is>
          <t>polymorphic behavior possible; DSC/XRPD required for final formulation</t>
        </is>
      </c>
      <c r="D3288"/>
      <c r="E3288"/>
      <c r="F3288"/>
      <c r="G3288"/>
      <c r="H3288" t="inlineStr">
        <is>
          <t>S014_AULTON</t>
        </is>
      </c>
      <c r="I3288" t="inlineStr">
        <is>
          <t>curated</t>
        </is>
      </c>
      <c r="J3288">
        <v>0.65</v>
      </c>
      <c r="K3288"/>
    </row>
    <row r="3289">
      <c r="A3289" t="inlineStr">
        <is>
          <t>OIL_STEARIC_ACID</t>
        </is>
      </c>
      <c r="B3289" t="inlineStr">
        <is>
          <t>drug_solubilization_notes</t>
        </is>
      </c>
      <c r="C3289" t="inlineStr">
        <is>
          <t>saturated fatty acid matrix former</t>
        </is>
      </c>
      <c r="D3289"/>
      <c r="E3289"/>
      <c r="F3289"/>
      <c r="G3289"/>
      <c r="H3289" t="inlineStr">
        <is>
          <t>S014_AULTON</t>
        </is>
      </c>
      <c r="I3289" t="inlineStr">
        <is>
          <t>curated</t>
        </is>
      </c>
      <c r="J3289">
        <v>0.6</v>
      </c>
      <c r="K3289"/>
    </row>
    <row r="3290">
      <c r="A3290" t="inlineStr">
        <is>
          <t>OIL_STEARIC_ACID</t>
        </is>
      </c>
      <c r="B3290" t="inlineStr">
        <is>
          <t>route_suitability</t>
        </is>
      </c>
      <c r="C3290" t="inlineStr">
        <is>
          <t>SLN/NLC/nanoemulsion/lipid matrix; route-grade dependent</t>
        </is>
      </c>
      <c r="D3290"/>
      <c r="E3290"/>
      <c r="F3290"/>
      <c r="G3290"/>
      <c r="H3290" t="inlineStr">
        <is>
          <t>S008_FDA_IID</t>
        </is>
      </c>
      <c r="I3290" t="inlineStr">
        <is>
          <t>curated</t>
        </is>
      </c>
      <c r="J3290">
        <v>0.55</v>
      </c>
      <c r="K3290"/>
    </row>
    <row r="3291">
      <c r="A3291" t="inlineStr">
        <is>
          <t>OIL_STEARIC_ACID</t>
        </is>
      </c>
      <c r="B3291" t="inlineStr">
        <is>
          <t>molar_volume_cm3_mol</t>
        </is>
      </c>
      <c r="C3291">
        <v>302.64</v>
      </c>
      <c r="D3291" t="inlineStr">
        <is>
          <t>cm3/mol</t>
        </is>
      </c>
      <c r="E3291"/>
      <c r="F3291"/>
      <c r="G3291" t="inlineStr">
        <is>
          <t>MW/density estimate</t>
        </is>
      </c>
      <c r="H3291" t="inlineStr">
        <is>
          <t>S012_CALCULATED</t>
        </is>
      </c>
      <c r="I3291" t="inlineStr">
        <is>
          <t>estimated</t>
        </is>
      </c>
      <c r="J3291">
        <v>0.48</v>
      </c>
      <c r="K3291" t="inlineStr">
        <is>
          <t>Estimated from MW/density; replace with measured molar volume or density-specific grade data.</t>
        </is>
      </c>
    </row>
    <row r="3292">
      <c r="A3292" t="inlineStr">
        <is>
          <t>OIL_STEARIC_ACID</t>
        </is>
      </c>
      <c r="B3292" t="inlineStr">
        <is>
          <t>Hansen_delta_D</t>
        </is>
      </c>
      <c r="C3292">
        <v>17.0</v>
      </c>
      <c r="D3292" t="inlineStr">
        <is>
          <t>MPa^0.5</t>
        </is>
      </c>
      <c r="E3292"/>
      <c r="F3292"/>
      <c r="G3292" t="inlineStr">
        <is>
          <t>heuristic group-contribution/nearest-neighbour</t>
        </is>
      </c>
      <c r="H3292" t="inlineStr">
        <is>
          <t>S013_EST_HSP_HEURISTIC</t>
        </is>
      </c>
      <c r="I3292" t="inlineStr">
        <is>
          <t>estimated</t>
        </is>
      </c>
      <c r="J3292">
        <v>0.37</v>
      </c>
      <c r="K3292" t="inlineStr">
        <is>
          <t>Provisional HSP for screening; replace with experimental/literature value before model lock.</t>
        </is>
      </c>
    </row>
    <row r="3293">
      <c r="A3293" t="inlineStr">
        <is>
          <t>OIL_STEARIC_ACID</t>
        </is>
      </c>
      <c r="B3293" t="inlineStr">
        <is>
          <t>Hansen_delta_P</t>
        </is>
      </c>
      <c r="C3293">
        <v>2.5</v>
      </c>
      <c r="D3293" t="inlineStr">
        <is>
          <t>MPa^0.5</t>
        </is>
      </c>
      <c r="E3293"/>
      <c r="F3293"/>
      <c r="G3293" t="inlineStr">
        <is>
          <t>heuristic group-contribution/nearest-neighbour</t>
        </is>
      </c>
      <c r="H3293" t="inlineStr">
        <is>
          <t>S013_EST_HSP_HEURISTIC</t>
        </is>
      </c>
      <c r="I3293" t="inlineStr">
        <is>
          <t>estimated</t>
        </is>
      </c>
      <c r="J3293">
        <v>0.37</v>
      </c>
      <c r="K3293" t="inlineStr">
        <is>
          <t>Provisional HSP for screening; replace with experimental/literature value before model lock.</t>
        </is>
      </c>
    </row>
    <row r="3294">
      <c r="A3294" t="inlineStr">
        <is>
          <t>OIL_STEARIC_ACID</t>
        </is>
      </c>
      <c r="B3294" t="inlineStr">
        <is>
          <t>Hansen_delta_H</t>
        </is>
      </c>
      <c r="C3294">
        <v>5.0</v>
      </c>
      <c r="D3294" t="inlineStr">
        <is>
          <t>MPa^0.5</t>
        </is>
      </c>
      <c r="E3294"/>
      <c r="F3294"/>
      <c r="G3294" t="inlineStr">
        <is>
          <t>heuristic group-contribution/nearest-neighbour</t>
        </is>
      </c>
      <c r="H3294" t="inlineStr">
        <is>
          <t>S013_EST_HSP_HEURISTIC</t>
        </is>
      </c>
      <c r="I3294" t="inlineStr">
        <is>
          <t>estimated</t>
        </is>
      </c>
      <c r="J3294">
        <v>0.37</v>
      </c>
      <c r="K3294" t="inlineStr">
        <is>
          <t>Provisional HSP for screening; replace with experimental/literature value before model lock.</t>
        </is>
      </c>
    </row>
    <row r="3295">
      <c r="A3295" t="inlineStr">
        <is>
          <t>OIL_STEARIC_ACID</t>
        </is>
      </c>
      <c r="B3295" t="inlineStr">
        <is>
          <t>Hildebrand_delta_T</t>
        </is>
      </c>
      <c r="C3295">
        <v>17.9</v>
      </c>
      <c r="D3295" t="inlineStr">
        <is>
          <t>MPa^0.5</t>
        </is>
      </c>
      <c r="E3295"/>
      <c r="F3295"/>
      <c r="G3295" t="inlineStr">
        <is>
          <t>sqrt(deltaD^2+deltaP^2+deltaH^2)</t>
        </is>
      </c>
      <c r="H3295" t="inlineStr">
        <is>
          <t>S012_CALCULATED</t>
        </is>
      </c>
      <c r="I3295" t="inlineStr">
        <is>
          <t>calculated</t>
        </is>
      </c>
      <c r="J3295">
        <v>0.42</v>
      </c>
      <c r="K3295" t="inlineStr">
        <is>
          <t>Derived from stored Hansen components.</t>
        </is>
      </c>
    </row>
    <row r="3296">
      <c r="A3296" t="inlineStr">
        <is>
          <t>OIL_STEARIC_ACID</t>
        </is>
      </c>
      <c r="B3296" t="inlineStr">
        <is>
          <t>HSP_radius_R0</t>
        </is>
      </c>
      <c r="C3296">
        <v>7.0</v>
      </c>
      <c r="D3296" t="inlineStr">
        <is>
          <t>MPa^0.5</t>
        </is>
      </c>
      <c r="E3296"/>
      <c r="F3296"/>
      <c r="G3296" t="inlineStr">
        <is>
          <t>literature/heuristic solubility sphere</t>
        </is>
      </c>
      <c r="H3296" t="inlineStr">
        <is>
          <t>S013_EST_HSP_HEURISTIC</t>
        </is>
      </c>
      <c r="I3296" t="inlineStr">
        <is>
          <t>estimated</t>
        </is>
      </c>
      <c r="J3296">
        <v>0.37</v>
      </c>
      <c r="K3296" t="inlineStr">
        <is>
          <t>Screening radius only unless experimentally determined.</t>
        </is>
      </c>
    </row>
    <row r="3297">
      <c r="A3297" t="inlineStr">
        <is>
          <t>OIL_PALMITIC_ACID</t>
        </is>
      </c>
      <c r="B3297" t="inlineStr">
        <is>
          <t>molecular_weight_g_mol</t>
        </is>
      </c>
      <c r="C3297">
        <v>256.42</v>
      </c>
      <c r="D3297" t="inlineStr">
        <is>
          <t>g/mol</t>
        </is>
      </c>
      <c r="E3297"/>
      <c r="F3297"/>
      <c r="G3297"/>
      <c r="H3297" t="inlineStr">
        <is>
          <t>S001_PUBCHEM</t>
        </is>
      </c>
      <c r="I3297" t="inlineStr">
        <is>
          <t>database-derived</t>
        </is>
      </c>
      <c r="J3297">
        <v>0.75</v>
      </c>
      <c r="K3297"/>
    </row>
    <row r="3298">
      <c r="A3298" t="inlineStr">
        <is>
          <t>OIL_PALMITIC_ACID</t>
        </is>
      </c>
      <c r="B3298" t="inlineStr">
        <is>
          <t>density_g_ml</t>
        </is>
      </c>
      <c r="C3298">
        <v>0.85</v>
      </c>
      <c r="D3298" t="inlineStr">
        <is>
          <t>g/mL</t>
        </is>
      </c>
      <c r="E3298"/>
      <c r="F3298"/>
      <c r="G3298" t="inlineStr">
        <is>
          <t>20-25 °C unless otherwise specified</t>
        </is>
      </c>
      <c r="H3298" t="inlineStr">
        <is>
          <t>S007_EXCIPIENTS_HANDBOOK</t>
        </is>
      </c>
      <c r="I3298" t="inlineStr">
        <is>
          <t>handbook</t>
        </is>
      </c>
      <c r="J3298">
        <v>0.6</v>
      </c>
      <c r="K3298"/>
    </row>
    <row r="3299">
      <c r="A3299" t="inlineStr">
        <is>
          <t>OIL_PALMITIC_ACID</t>
        </is>
      </c>
      <c r="B3299" t="inlineStr">
        <is>
          <t>melting_point_C</t>
        </is>
      </c>
      <c r="C3299">
        <v>63</v>
      </c>
      <c r="D3299" t="inlineStr">
        <is>
          <t>°C</t>
        </is>
      </c>
      <c r="E3299"/>
      <c r="F3299"/>
      <c r="G3299" t="inlineStr">
        <is>
          <t>melting/drop point range; grade-dependent</t>
        </is>
      </c>
      <c r="H3299" t="inlineStr">
        <is>
          <t>S007_EXCIPIENTS_HANDBOOK</t>
        </is>
      </c>
      <c r="I3299" t="inlineStr">
        <is>
          <t>handbook</t>
        </is>
      </c>
      <c r="J3299">
        <v>0.68</v>
      </c>
      <c r="K3299"/>
    </row>
    <row r="3300">
      <c r="A3300" t="inlineStr">
        <is>
          <t>OIL_PALMITIC_ACID</t>
        </is>
      </c>
      <c r="B3300" t="inlineStr">
        <is>
          <t>lipid_state</t>
        </is>
      </c>
      <c r="C3300" t="inlineStr">
        <is>
          <t>solid</t>
        </is>
      </c>
      <c r="D3300"/>
      <c r="E3300"/>
      <c r="F3300"/>
      <c r="G3300"/>
      <c r="H3300" t="inlineStr">
        <is>
          <t>S007_EXCIPIENTS_HANDBOOK</t>
        </is>
      </c>
      <c r="I3300" t="inlineStr">
        <is>
          <t>curated</t>
        </is>
      </c>
      <c r="J3300">
        <v>0.75</v>
      </c>
      <c r="K3300"/>
    </row>
    <row r="3301">
      <c r="A3301" t="inlineStr">
        <is>
          <t>OIL_PALMITIC_ACID</t>
        </is>
      </c>
      <c r="B3301" t="inlineStr">
        <is>
          <t>fatty_chain_length</t>
        </is>
      </c>
      <c r="C3301" t="inlineStr">
        <is>
          <t>C16:0</t>
        </is>
      </c>
      <c r="D3301"/>
      <c r="E3301"/>
      <c r="F3301"/>
      <c r="G3301"/>
      <c r="H3301" t="inlineStr">
        <is>
          <t>S007_EXCIPIENTS_HANDBOOK</t>
        </is>
      </c>
      <c r="I3301" t="inlineStr">
        <is>
          <t>curated</t>
        </is>
      </c>
      <c r="J3301">
        <v>0.7</v>
      </c>
      <c r="K3301"/>
    </row>
    <row r="3302">
      <c r="A3302" t="inlineStr">
        <is>
          <t>OIL_PALMITIC_ACID</t>
        </is>
      </c>
      <c r="B3302" t="inlineStr">
        <is>
          <t>unsaturation</t>
        </is>
      </c>
      <c r="C3302">
        <v>0</v>
      </c>
      <c r="D3302" t="inlineStr">
        <is>
          <t>double_bonds</t>
        </is>
      </c>
      <c r="E3302"/>
      <c r="F3302"/>
      <c r="G3302"/>
      <c r="H3302" t="inlineStr">
        <is>
          <t>S007_EXCIPIENTS_HANDBOOK</t>
        </is>
      </c>
      <c r="I3302" t="inlineStr">
        <is>
          <t>curated</t>
        </is>
      </c>
      <c r="J3302">
        <v>0.7</v>
      </c>
      <c r="K3302"/>
    </row>
    <row r="3303">
      <c r="A3303" t="inlineStr">
        <is>
          <t>OIL_PALMITIC_ACID</t>
        </is>
      </c>
      <c r="B3303" t="inlineStr">
        <is>
          <t>crystallinity_risk</t>
        </is>
      </c>
      <c r="C3303" t="inlineStr">
        <is>
          <t>high</t>
        </is>
      </c>
      <c r="D3303"/>
      <c r="E3303"/>
      <c r="F3303"/>
      <c r="G3303" t="inlineStr">
        <is>
          <t>SLN/NLC crystallization heuristic</t>
        </is>
      </c>
      <c r="H3303" t="inlineStr">
        <is>
          <t>S007_EXCIPIENTS_HANDBOOK</t>
        </is>
      </c>
      <c r="I3303" t="inlineStr">
        <is>
          <t>curated</t>
        </is>
      </c>
      <c r="J3303">
        <v>0.6</v>
      </c>
      <c r="K3303"/>
    </row>
    <row r="3304">
      <c r="A3304" t="inlineStr">
        <is>
          <t>OIL_PALMITIC_ACID</t>
        </is>
      </c>
      <c r="B3304" t="inlineStr">
        <is>
          <t>polymorphism_notes</t>
        </is>
      </c>
      <c r="C3304" t="inlineStr">
        <is>
          <t>polymorphic behavior possible; DSC/XRPD required for final formulation</t>
        </is>
      </c>
      <c r="D3304"/>
      <c r="E3304"/>
      <c r="F3304"/>
      <c r="G3304"/>
      <c r="H3304" t="inlineStr">
        <is>
          <t>S014_AULTON</t>
        </is>
      </c>
      <c r="I3304" t="inlineStr">
        <is>
          <t>curated</t>
        </is>
      </c>
      <c r="J3304">
        <v>0.65</v>
      </c>
      <c r="K3304"/>
    </row>
    <row r="3305">
      <c r="A3305" t="inlineStr">
        <is>
          <t>OIL_PALMITIC_ACID</t>
        </is>
      </c>
      <c r="B3305" t="inlineStr">
        <is>
          <t>drug_solubilization_notes</t>
        </is>
      </c>
      <c r="C3305" t="inlineStr">
        <is>
          <t>solid lipid matrix former</t>
        </is>
      </c>
      <c r="D3305"/>
      <c r="E3305"/>
      <c r="F3305"/>
      <c r="G3305"/>
      <c r="H3305" t="inlineStr">
        <is>
          <t>S014_AULTON</t>
        </is>
      </c>
      <c r="I3305" t="inlineStr">
        <is>
          <t>curated</t>
        </is>
      </c>
      <c r="J3305">
        <v>0.6</v>
      </c>
      <c r="K3305"/>
    </row>
    <row r="3306">
      <c r="A3306" t="inlineStr">
        <is>
          <t>OIL_PALMITIC_ACID</t>
        </is>
      </c>
      <c r="B3306" t="inlineStr">
        <is>
          <t>route_suitability</t>
        </is>
      </c>
      <c r="C3306" t="inlineStr">
        <is>
          <t>SLN/NLC/nanoemulsion/lipid matrix; route-grade dependent</t>
        </is>
      </c>
      <c r="D3306"/>
      <c r="E3306"/>
      <c r="F3306"/>
      <c r="G3306"/>
      <c r="H3306" t="inlineStr">
        <is>
          <t>S008_FDA_IID</t>
        </is>
      </c>
      <c r="I3306" t="inlineStr">
        <is>
          <t>curated</t>
        </is>
      </c>
      <c r="J3306">
        <v>0.55</v>
      </c>
      <c r="K3306"/>
    </row>
    <row r="3307">
      <c r="A3307" t="inlineStr">
        <is>
          <t>OIL_PALMITIC_ACID</t>
        </is>
      </c>
      <c r="B3307" t="inlineStr">
        <is>
          <t>molar_volume_cm3_mol</t>
        </is>
      </c>
      <c r="C3307">
        <v>301.67</v>
      </c>
      <c r="D3307" t="inlineStr">
        <is>
          <t>cm3/mol</t>
        </is>
      </c>
      <c r="E3307"/>
      <c r="F3307"/>
      <c r="G3307" t="inlineStr">
        <is>
          <t>MW/density estimate</t>
        </is>
      </c>
      <c r="H3307" t="inlineStr">
        <is>
          <t>S012_CALCULATED</t>
        </is>
      </c>
      <c r="I3307" t="inlineStr">
        <is>
          <t>estimated</t>
        </is>
      </c>
      <c r="J3307">
        <v>0.48</v>
      </c>
      <c r="K3307" t="inlineStr">
        <is>
          <t>Estimated from MW/density; replace with measured molar volume or density-specific grade data.</t>
        </is>
      </c>
    </row>
    <row r="3308">
      <c r="A3308" t="inlineStr">
        <is>
          <t>OIL_PALMITIC_ACID</t>
        </is>
      </c>
      <c r="B3308" t="inlineStr">
        <is>
          <t>Hansen_delta_D</t>
        </is>
      </c>
      <c r="C3308">
        <v>17.0</v>
      </c>
      <c r="D3308" t="inlineStr">
        <is>
          <t>MPa^0.5</t>
        </is>
      </c>
      <c r="E3308"/>
      <c r="F3308"/>
      <c r="G3308" t="inlineStr">
        <is>
          <t>heuristic group-contribution/nearest-neighbour</t>
        </is>
      </c>
      <c r="H3308" t="inlineStr">
        <is>
          <t>S013_EST_HSP_HEURISTIC</t>
        </is>
      </c>
      <c r="I3308" t="inlineStr">
        <is>
          <t>estimated</t>
        </is>
      </c>
      <c r="J3308">
        <v>0.37</v>
      </c>
      <c r="K3308" t="inlineStr">
        <is>
          <t>Provisional HSP for screening; replace with experimental/literature value before model lock.</t>
        </is>
      </c>
    </row>
    <row r="3309">
      <c r="A3309" t="inlineStr">
        <is>
          <t>OIL_PALMITIC_ACID</t>
        </is>
      </c>
      <c r="B3309" t="inlineStr">
        <is>
          <t>Hansen_delta_P</t>
        </is>
      </c>
      <c r="C3309">
        <v>2.5</v>
      </c>
      <c r="D3309" t="inlineStr">
        <is>
          <t>MPa^0.5</t>
        </is>
      </c>
      <c r="E3309"/>
      <c r="F3309"/>
      <c r="G3309" t="inlineStr">
        <is>
          <t>heuristic group-contribution/nearest-neighbour</t>
        </is>
      </c>
      <c r="H3309" t="inlineStr">
        <is>
          <t>S013_EST_HSP_HEURISTIC</t>
        </is>
      </c>
      <c r="I3309" t="inlineStr">
        <is>
          <t>estimated</t>
        </is>
      </c>
      <c r="J3309">
        <v>0.37</v>
      </c>
      <c r="K3309" t="inlineStr">
        <is>
          <t>Provisional HSP for screening; replace with experimental/literature value before model lock.</t>
        </is>
      </c>
    </row>
    <row r="3310">
      <c r="A3310" t="inlineStr">
        <is>
          <t>OIL_PALMITIC_ACID</t>
        </is>
      </c>
      <c r="B3310" t="inlineStr">
        <is>
          <t>Hansen_delta_H</t>
        </is>
      </c>
      <c r="C3310">
        <v>5.0</v>
      </c>
      <c r="D3310" t="inlineStr">
        <is>
          <t>MPa^0.5</t>
        </is>
      </c>
      <c r="E3310"/>
      <c r="F3310"/>
      <c r="G3310" t="inlineStr">
        <is>
          <t>heuristic group-contribution/nearest-neighbour</t>
        </is>
      </c>
      <c r="H3310" t="inlineStr">
        <is>
          <t>S013_EST_HSP_HEURISTIC</t>
        </is>
      </c>
      <c r="I3310" t="inlineStr">
        <is>
          <t>estimated</t>
        </is>
      </c>
      <c r="J3310">
        <v>0.37</v>
      </c>
      <c r="K3310" t="inlineStr">
        <is>
          <t>Provisional HSP for screening; replace with experimental/literature value before model lock.</t>
        </is>
      </c>
    </row>
    <row r="3311">
      <c r="A3311" t="inlineStr">
        <is>
          <t>OIL_PALMITIC_ACID</t>
        </is>
      </c>
      <c r="B3311" t="inlineStr">
        <is>
          <t>Hildebrand_delta_T</t>
        </is>
      </c>
      <c r="C3311">
        <v>17.9</v>
      </c>
      <c r="D3311" t="inlineStr">
        <is>
          <t>MPa^0.5</t>
        </is>
      </c>
      <c r="E3311"/>
      <c r="F3311"/>
      <c r="G3311" t="inlineStr">
        <is>
          <t>sqrt(deltaD^2+deltaP^2+deltaH^2)</t>
        </is>
      </c>
      <c r="H3311" t="inlineStr">
        <is>
          <t>S012_CALCULATED</t>
        </is>
      </c>
      <c r="I3311" t="inlineStr">
        <is>
          <t>calculated</t>
        </is>
      </c>
      <c r="J3311">
        <v>0.42</v>
      </c>
      <c r="K3311" t="inlineStr">
        <is>
          <t>Derived from stored Hansen components.</t>
        </is>
      </c>
    </row>
    <row r="3312">
      <c r="A3312" t="inlineStr">
        <is>
          <t>OIL_PALMITIC_ACID</t>
        </is>
      </c>
      <c r="B3312" t="inlineStr">
        <is>
          <t>HSP_radius_R0</t>
        </is>
      </c>
      <c r="C3312">
        <v>7.0</v>
      </c>
      <c r="D3312" t="inlineStr">
        <is>
          <t>MPa^0.5</t>
        </is>
      </c>
      <c r="E3312"/>
      <c r="F3312"/>
      <c r="G3312" t="inlineStr">
        <is>
          <t>literature/heuristic solubility sphere</t>
        </is>
      </c>
      <c r="H3312" t="inlineStr">
        <is>
          <t>S013_EST_HSP_HEURISTIC</t>
        </is>
      </c>
      <c r="I3312" t="inlineStr">
        <is>
          <t>estimated</t>
        </is>
      </c>
      <c r="J3312">
        <v>0.37</v>
      </c>
      <c r="K3312" t="inlineStr">
        <is>
          <t>Screening radius only unless experimentally determined.</t>
        </is>
      </c>
    </row>
    <row r="3313">
      <c r="A3313" t="inlineStr">
        <is>
          <t>OIL_OLEIC_ACID</t>
        </is>
      </c>
      <c r="B3313" t="inlineStr">
        <is>
          <t>molecular_weight_g_mol</t>
        </is>
      </c>
      <c r="C3313">
        <v>282.47</v>
      </c>
      <c r="D3313" t="inlineStr">
        <is>
          <t>g/mol</t>
        </is>
      </c>
      <c r="E3313"/>
      <c r="F3313"/>
      <c r="G3313"/>
      <c r="H3313" t="inlineStr">
        <is>
          <t>S001_PUBCHEM</t>
        </is>
      </c>
      <c r="I3313" t="inlineStr">
        <is>
          <t>database-derived</t>
        </is>
      </c>
      <c r="J3313">
        <v>0.75</v>
      </c>
      <c r="K3313"/>
    </row>
    <row r="3314">
      <c r="A3314" t="inlineStr">
        <is>
          <t>OIL_OLEIC_ACID</t>
        </is>
      </c>
      <c r="B3314" t="inlineStr">
        <is>
          <t>density_g_ml</t>
        </is>
      </c>
      <c r="C3314">
        <v>0.895</v>
      </c>
      <c r="D3314" t="inlineStr">
        <is>
          <t>g/mL</t>
        </is>
      </c>
      <c r="E3314"/>
      <c r="F3314"/>
      <c r="G3314" t="inlineStr">
        <is>
          <t>20-25 °C unless otherwise specified</t>
        </is>
      </c>
      <c r="H3314" t="inlineStr">
        <is>
          <t>S007_EXCIPIENTS_HANDBOOK</t>
        </is>
      </c>
      <c r="I3314" t="inlineStr">
        <is>
          <t>handbook</t>
        </is>
      </c>
      <c r="J3314">
        <v>0.6</v>
      </c>
      <c r="K3314"/>
    </row>
    <row r="3315">
      <c r="A3315" t="inlineStr">
        <is>
          <t>OIL_OLEIC_ACID</t>
        </is>
      </c>
      <c r="B3315" t="inlineStr">
        <is>
          <t>melting_point_C</t>
        </is>
      </c>
      <c r="C3315">
        <v>13</v>
      </c>
      <c r="D3315" t="inlineStr">
        <is>
          <t>°C</t>
        </is>
      </c>
      <c r="E3315"/>
      <c r="F3315"/>
      <c r="G3315" t="inlineStr">
        <is>
          <t>melting/drop point range; grade-dependent</t>
        </is>
      </c>
      <c r="H3315" t="inlineStr">
        <is>
          <t>S007_EXCIPIENTS_HANDBOOK</t>
        </is>
      </c>
      <c r="I3315" t="inlineStr">
        <is>
          <t>handbook</t>
        </is>
      </c>
      <c r="J3315">
        <v>0.68</v>
      </c>
      <c r="K3315"/>
    </row>
    <row r="3316">
      <c r="A3316" t="inlineStr">
        <is>
          <t>OIL_OLEIC_ACID</t>
        </is>
      </c>
      <c r="B3316" t="inlineStr">
        <is>
          <t>lipid_state</t>
        </is>
      </c>
      <c r="C3316" t="inlineStr">
        <is>
          <t>liquid</t>
        </is>
      </c>
      <c r="D3316"/>
      <c r="E3316"/>
      <c r="F3316"/>
      <c r="G3316"/>
      <c r="H3316" t="inlineStr">
        <is>
          <t>S007_EXCIPIENTS_HANDBOOK</t>
        </is>
      </c>
      <c r="I3316" t="inlineStr">
        <is>
          <t>curated</t>
        </is>
      </c>
      <c r="J3316">
        <v>0.75</v>
      </c>
      <c r="K3316"/>
    </row>
    <row r="3317">
      <c r="A3317" t="inlineStr">
        <is>
          <t>OIL_OLEIC_ACID</t>
        </is>
      </c>
      <c r="B3317" t="inlineStr">
        <is>
          <t>fatty_chain_length</t>
        </is>
      </c>
      <c r="C3317" t="inlineStr">
        <is>
          <t>C18:1</t>
        </is>
      </c>
      <c r="D3317"/>
      <c r="E3317"/>
      <c r="F3317"/>
      <c r="G3317"/>
      <c r="H3317" t="inlineStr">
        <is>
          <t>S007_EXCIPIENTS_HANDBOOK</t>
        </is>
      </c>
      <c r="I3317" t="inlineStr">
        <is>
          <t>curated</t>
        </is>
      </c>
      <c r="J3317">
        <v>0.7</v>
      </c>
      <c r="K3317"/>
    </row>
    <row r="3318">
      <c r="A3318" t="inlineStr">
        <is>
          <t>OIL_OLEIC_ACID</t>
        </is>
      </c>
      <c r="B3318" t="inlineStr">
        <is>
          <t>unsaturation</t>
        </is>
      </c>
      <c r="C3318">
        <v>1</v>
      </c>
      <c r="D3318" t="inlineStr">
        <is>
          <t>double_bonds</t>
        </is>
      </c>
      <c r="E3318"/>
      <c r="F3318"/>
      <c r="G3318"/>
      <c r="H3318" t="inlineStr">
        <is>
          <t>S007_EXCIPIENTS_HANDBOOK</t>
        </is>
      </c>
      <c r="I3318" t="inlineStr">
        <is>
          <t>curated</t>
        </is>
      </c>
      <c r="J3318">
        <v>0.7</v>
      </c>
      <c r="K3318"/>
    </row>
    <row r="3319">
      <c r="A3319" t="inlineStr">
        <is>
          <t>OIL_OLEIC_ACID</t>
        </is>
      </c>
      <c r="B3319" t="inlineStr">
        <is>
          <t>crystallinity_risk</t>
        </is>
      </c>
      <c r="C3319" t="inlineStr">
        <is>
          <t>low</t>
        </is>
      </c>
      <c r="D3319"/>
      <c r="E3319"/>
      <c r="F3319"/>
      <c r="G3319" t="inlineStr">
        <is>
          <t>SLN/NLC crystallization heuristic</t>
        </is>
      </c>
      <c r="H3319" t="inlineStr">
        <is>
          <t>S007_EXCIPIENTS_HANDBOOK</t>
        </is>
      </c>
      <c r="I3319" t="inlineStr">
        <is>
          <t>curated</t>
        </is>
      </c>
      <c r="J3319">
        <v>0.6</v>
      </c>
      <c r="K3319"/>
    </row>
    <row r="3320">
      <c r="A3320" t="inlineStr">
        <is>
          <t>OIL_OLEIC_ACID</t>
        </is>
      </c>
      <c r="B3320" t="inlineStr">
        <is>
          <t>polymorphism_notes</t>
        </is>
      </c>
      <c r="C3320" t="inlineStr">
        <is>
          <t>polymorphic behavior possible; DSC/XRPD required for final formulation</t>
        </is>
      </c>
      <c r="D3320"/>
      <c r="E3320"/>
      <c r="F3320"/>
      <c r="G3320"/>
      <c r="H3320" t="inlineStr">
        <is>
          <t>S014_AULTON</t>
        </is>
      </c>
      <c r="I3320" t="inlineStr">
        <is>
          <t>curated</t>
        </is>
      </c>
      <c r="J3320">
        <v>0.65</v>
      </c>
      <c r="K3320"/>
    </row>
    <row r="3321">
      <c r="A3321" t="inlineStr">
        <is>
          <t>OIL_OLEIC_ACID</t>
        </is>
      </c>
      <c r="B3321" t="inlineStr">
        <is>
          <t>drug_solubilization_notes</t>
        </is>
      </c>
      <c r="C3321" t="inlineStr">
        <is>
          <t>fluidizing liquid lipid and penetration enhancer</t>
        </is>
      </c>
      <c r="D3321"/>
      <c r="E3321"/>
      <c r="F3321"/>
      <c r="G3321"/>
      <c r="H3321" t="inlineStr">
        <is>
          <t>S014_AULTON</t>
        </is>
      </c>
      <c r="I3321" t="inlineStr">
        <is>
          <t>curated</t>
        </is>
      </c>
      <c r="J3321">
        <v>0.6</v>
      </c>
      <c r="K3321"/>
    </row>
    <row r="3322">
      <c r="A3322" t="inlineStr">
        <is>
          <t>OIL_OLEIC_ACID</t>
        </is>
      </c>
      <c r="B3322" t="inlineStr">
        <is>
          <t>route_suitability</t>
        </is>
      </c>
      <c r="C3322" t="inlineStr">
        <is>
          <t>SLN/NLC/nanoemulsion/lipid matrix; route-grade dependent</t>
        </is>
      </c>
      <c r="D3322"/>
      <c r="E3322"/>
      <c r="F3322"/>
      <c r="G3322"/>
      <c r="H3322" t="inlineStr">
        <is>
          <t>S008_FDA_IID</t>
        </is>
      </c>
      <c r="I3322" t="inlineStr">
        <is>
          <t>curated</t>
        </is>
      </c>
      <c r="J3322">
        <v>0.55</v>
      </c>
      <c r="K3322"/>
    </row>
    <row r="3323">
      <c r="A3323" t="inlineStr">
        <is>
          <t>OIL_OLEIC_ACID</t>
        </is>
      </c>
      <c r="B3323" t="inlineStr">
        <is>
          <t>HLB_if_amphiphilic</t>
        </is>
      </c>
      <c r="C3323">
        <v>1</v>
      </c>
      <c r="D3323" t="inlineStr">
        <is>
          <t>HLB</t>
        </is>
      </c>
      <c r="E3323"/>
      <c r="F3323"/>
      <c r="G3323"/>
      <c r="H3323" t="inlineStr">
        <is>
          <t>S007_EXCIPIENTS_HANDBOOK</t>
        </is>
      </c>
      <c r="I3323" t="inlineStr">
        <is>
          <t>supplier-reported</t>
        </is>
      </c>
      <c r="J3323">
        <v>0.58</v>
      </c>
      <c r="K3323"/>
    </row>
    <row r="3324">
      <c r="A3324" t="inlineStr">
        <is>
          <t>OIL_OLEIC_ACID</t>
        </is>
      </c>
      <c r="B3324" t="inlineStr">
        <is>
          <t>molar_volume_cm3_mol</t>
        </is>
      </c>
      <c r="C3324">
        <v>315.61</v>
      </c>
      <c r="D3324" t="inlineStr">
        <is>
          <t>cm3/mol</t>
        </is>
      </c>
      <c r="E3324"/>
      <c r="F3324"/>
      <c r="G3324" t="inlineStr">
        <is>
          <t>MW/density estimate</t>
        </is>
      </c>
      <c r="H3324" t="inlineStr">
        <is>
          <t>S012_CALCULATED</t>
        </is>
      </c>
      <c r="I3324" t="inlineStr">
        <is>
          <t>estimated</t>
        </is>
      </c>
      <c r="J3324">
        <v>0.48</v>
      </c>
      <c r="K3324" t="inlineStr">
        <is>
          <t>Estimated from MW/density; replace with measured molar volume or density-specific grade data.</t>
        </is>
      </c>
    </row>
    <row r="3325">
      <c r="A3325" t="inlineStr">
        <is>
          <t>OIL_OLEIC_ACID</t>
        </is>
      </c>
      <c r="B3325" t="inlineStr">
        <is>
          <t>Hansen_delta_D</t>
        </is>
      </c>
      <c r="C3325">
        <v>17.0</v>
      </c>
      <c r="D3325" t="inlineStr">
        <is>
          <t>MPa^0.5</t>
        </is>
      </c>
      <c r="E3325"/>
      <c r="F3325"/>
      <c r="G3325" t="inlineStr">
        <is>
          <t>heuristic group-contribution/nearest-neighbour</t>
        </is>
      </c>
      <c r="H3325" t="inlineStr">
        <is>
          <t>S013_EST_HSP_HEURISTIC</t>
        </is>
      </c>
      <c r="I3325" t="inlineStr">
        <is>
          <t>estimated</t>
        </is>
      </c>
      <c r="J3325">
        <v>0.37</v>
      </c>
      <c r="K3325" t="inlineStr">
        <is>
          <t>Provisional HSP for screening; replace with experimental/literature value before model lock.</t>
        </is>
      </c>
    </row>
    <row r="3326">
      <c r="A3326" t="inlineStr">
        <is>
          <t>OIL_OLEIC_ACID</t>
        </is>
      </c>
      <c r="B3326" t="inlineStr">
        <is>
          <t>Hansen_delta_P</t>
        </is>
      </c>
      <c r="C3326">
        <v>4.5</v>
      </c>
      <c r="D3326" t="inlineStr">
        <is>
          <t>MPa^0.5</t>
        </is>
      </c>
      <c r="E3326"/>
      <c r="F3326"/>
      <c r="G3326" t="inlineStr">
        <is>
          <t>heuristic group-contribution/nearest-neighbour</t>
        </is>
      </c>
      <c r="H3326" t="inlineStr">
        <is>
          <t>S013_EST_HSP_HEURISTIC</t>
        </is>
      </c>
      <c r="I3326" t="inlineStr">
        <is>
          <t>estimated</t>
        </is>
      </c>
      <c r="J3326">
        <v>0.37</v>
      </c>
      <c r="K3326" t="inlineStr">
        <is>
          <t>Provisional HSP for screening; replace with experimental/literature value before model lock.</t>
        </is>
      </c>
    </row>
    <row r="3327">
      <c r="A3327" t="inlineStr">
        <is>
          <t>OIL_OLEIC_ACID</t>
        </is>
      </c>
      <c r="B3327" t="inlineStr">
        <is>
          <t>Hansen_delta_H</t>
        </is>
      </c>
      <c r="C3327">
        <v>7.0</v>
      </c>
      <c r="D3327" t="inlineStr">
        <is>
          <t>MPa^0.5</t>
        </is>
      </c>
      <c r="E3327"/>
      <c r="F3327"/>
      <c r="G3327" t="inlineStr">
        <is>
          <t>heuristic group-contribution/nearest-neighbour</t>
        </is>
      </c>
      <c r="H3327" t="inlineStr">
        <is>
          <t>S013_EST_HSP_HEURISTIC</t>
        </is>
      </c>
      <c r="I3327" t="inlineStr">
        <is>
          <t>estimated</t>
        </is>
      </c>
      <c r="J3327">
        <v>0.37</v>
      </c>
      <c r="K3327" t="inlineStr">
        <is>
          <t>Provisional HSP for screening; replace with experimental/literature value before model lock.</t>
        </is>
      </c>
    </row>
    <row r="3328">
      <c r="A3328" t="inlineStr">
        <is>
          <t>OIL_OLEIC_ACID</t>
        </is>
      </c>
      <c r="B3328" t="inlineStr">
        <is>
          <t>Hildebrand_delta_T</t>
        </is>
      </c>
      <c r="C3328">
        <v>18.93</v>
      </c>
      <c r="D3328" t="inlineStr">
        <is>
          <t>MPa^0.5</t>
        </is>
      </c>
      <c r="E3328"/>
      <c r="F3328"/>
      <c r="G3328" t="inlineStr">
        <is>
          <t>sqrt(deltaD^2+deltaP^2+deltaH^2)</t>
        </is>
      </c>
      <c r="H3328" t="inlineStr">
        <is>
          <t>S012_CALCULATED</t>
        </is>
      </c>
      <c r="I3328" t="inlineStr">
        <is>
          <t>calculated</t>
        </is>
      </c>
      <c r="J3328">
        <v>0.42</v>
      </c>
      <c r="K3328" t="inlineStr">
        <is>
          <t>Derived from stored Hansen components.</t>
        </is>
      </c>
    </row>
    <row r="3329">
      <c r="A3329" t="inlineStr">
        <is>
          <t>OIL_OLEIC_ACID</t>
        </is>
      </c>
      <c r="B3329" t="inlineStr">
        <is>
          <t>HSP_radius_R0</t>
        </is>
      </c>
      <c r="C3329">
        <v>7.0</v>
      </c>
      <c r="D3329" t="inlineStr">
        <is>
          <t>MPa^0.5</t>
        </is>
      </c>
      <c r="E3329"/>
      <c r="F3329"/>
      <c r="G3329" t="inlineStr">
        <is>
          <t>literature/heuristic solubility sphere</t>
        </is>
      </c>
      <c r="H3329" t="inlineStr">
        <is>
          <t>S013_EST_HSP_HEURISTIC</t>
        </is>
      </c>
      <c r="I3329" t="inlineStr">
        <is>
          <t>estimated</t>
        </is>
      </c>
      <c r="J3329">
        <v>0.37</v>
      </c>
      <c r="K3329" t="inlineStr">
        <is>
          <t>Screening radius only unless experimentally determined.</t>
        </is>
      </c>
    </row>
    <row r="3330">
      <c r="A3330" t="inlineStr">
        <is>
          <t>OIL_MYRISTIC_ACID</t>
        </is>
      </c>
      <c r="B3330" t="inlineStr">
        <is>
          <t>molecular_weight_g_mol</t>
        </is>
      </c>
      <c r="C3330">
        <v>228.37</v>
      </c>
      <c r="D3330" t="inlineStr">
        <is>
          <t>g/mol</t>
        </is>
      </c>
      <c r="E3330"/>
      <c r="F3330"/>
      <c r="G3330"/>
      <c r="H3330" t="inlineStr">
        <is>
          <t>S001_PUBCHEM</t>
        </is>
      </c>
      <c r="I3330" t="inlineStr">
        <is>
          <t>database-derived</t>
        </is>
      </c>
      <c r="J3330">
        <v>0.75</v>
      </c>
      <c r="K3330"/>
    </row>
    <row r="3331">
      <c r="A3331" t="inlineStr">
        <is>
          <t>OIL_MYRISTIC_ACID</t>
        </is>
      </c>
      <c r="B3331" t="inlineStr">
        <is>
          <t>density_g_ml</t>
        </is>
      </c>
      <c r="C3331">
        <v>0.86</v>
      </c>
      <c r="D3331" t="inlineStr">
        <is>
          <t>g/mL</t>
        </is>
      </c>
      <c r="E3331"/>
      <c r="F3331"/>
      <c r="G3331" t="inlineStr">
        <is>
          <t>20-25 °C unless otherwise specified</t>
        </is>
      </c>
      <c r="H3331" t="inlineStr">
        <is>
          <t>S007_EXCIPIENTS_HANDBOOK</t>
        </is>
      </c>
      <c r="I3331" t="inlineStr">
        <is>
          <t>handbook</t>
        </is>
      </c>
      <c r="J3331">
        <v>0.6</v>
      </c>
      <c r="K3331"/>
    </row>
    <row r="3332">
      <c r="A3332" t="inlineStr">
        <is>
          <t>OIL_MYRISTIC_ACID</t>
        </is>
      </c>
      <c r="B3332" t="inlineStr">
        <is>
          <t>melting_point_C</t>
        </is>
      </c>
      <c r="C3332">
        <v>54</v>
      </c>
      <c r="D3332" t="inlineStr">
        <is>
          <t>°C</t>
        </is>
      </c>
      <c r="E3332"/>
      <c r="F3332"/>
      <c r="G3332" t="inlineStr">
        <is>
          <t>melting/drop point range; grade-dependent</t>
        </is>
      </c>
      <c r="H3332" t="inlineStr">
        <is>
          <t>S007_EXCIPIENTS_HANDBOOK</t>
        </is>
      </c>
      <c r="I3332" t="inlineStr">
        <is>
          <t>handbook</t>
        </is>
      </c>
      <c r="J3332">
        <v>0.68</v>
      </c>
      <c r="K3332"/>
    </row>
    <row r="3333">
      <c r="A3333" t="inlineStr">
        <is>
          <t>OIL_MYRISTIC_ACID</t>
        </is>
      </c>
      <c r="B3333" t="inlineStr">
        <is>
          <t>lipid_state</t>
        </is>
      </c>
      <c r="C3333" t="inlineStr">
        <is>
          <t>solid</t>
        </is>
      </c>
      <c r="D3333"/>
      <c r="E3333"/>
      <c r="F3333"/>
      <c r="G3333"/>
      <c r="H3333" t="inlineStr">
        <is>
          <t>S007_EXCIPIENTS_HANDBOOK</t>
        </is>
      </c>
      <c r="I3333" t="inlineStr">
        <is>
          <t>curated</t>
        </is>
      </c>
      <c r="J3333">
        <v>0.75</v>
      </c>
      <c r="K3333"/>
    </row>
    <row r="3334">
      <c r="A3334" t="inlineStr">
        <is>
          <t>OIL_MYRISTIC_ACID</t>
        </is>
      </c>
      <c r="B3334" t="inlineStr">
        <is>
          <t>fatty_chain_length</t>
        </is>
      </c>
      <c r="C3334" t="inlineStr">
        <is>
          <t>C14:0</t>
        </is>
      </c>
      <c r="D3334"/>
      <c r="E3334"/>
      <c r="F3334"/>
      <c r="G3334"/>
      <c r="H3334" t="inlineStr">
        <is>
          <t>S007_EXCIPIENTS_HANDBOOK</t>
        </is>
      </c>
      <c r="I3334" t="inlineStr">
        <is>
          <t>curated</t>
        </is>
      </c>
      <c r="J3334">
        <v>0.7</v>
      </c>
      <c r="K3334"/>
    </row>
    <row r="3335">
      <c r="A3335" t="inlineStr">
        <is>
          <t>OIL_MYRISTIC_ACID</t>
        </is>
      </c>
      <c r="B3335" t="inlineStr">
        <is>
          <t>unsaturation</t>
        </is>
      </c>
      <c r="C3335">
        <v>0</v>
      </c>
      <c r="D3335" t="inlineStr">
        <is>
          <t>double_bonds</t>
        </is>
      </c>
      <c r="E3335"/>
      <c r="F3335"/>
      <c r="G3335"/>
      <c r="H3335" t="inlineStr">
        <is>
          <t>S007_EXCIPIENTS_HANDBOOK</t>
        </is>
      </c>
      <c r="I3335" t="inlineStr">
        <is>
          <t>curated</t>
        </is>
      </c>
      <c r="J3335">
        <v>0.7</v>
      </c>
      <c r="K3335"/>
    </row>
    <row r="3336">
      <c r="A3336" t="inlineStr">
        <is>
          <t>OIL_MYRISTIC_ACID</t>
        </is>
      </c>
      <c r="B3336" t="inlineStr">
        <is>
          <t>crystallinity_risk</t>
        </is>
      </c>
      <c r="C3336" t="inlineStr">
        <is>
          <t>high</t>
        </is>
      </c>
      <c r="D3336"/>
      <c r="E3336"/>
      <c r="F3336"/>
      <c r="G3336" t="inlineStr">
        <is>
          <t>SLN/NLC crystallization heuristic</t>
        </is>
      </c>
      <c r="H3336" t="inlineStr">
        <is>
          <t>S007_EXCIPIENTS_HANDBOOK</t>
        </is>
      </c>
      <c r="I3336" t="inlineStr">
        <is>
          <t>curated</t>
        </is>
      </c>
      <c r="J3336">
        <v>0.6</v>
      </c>
      <c r="K3336"/>
    </row>
    <row r="3337">
      <c r="A3337" t="inlineStr">
        <is>
          <t>OIL_MYRISTIC_ACID</t>
        </is>
      </c>
      <c r="B3337" t="inlineStr">
        <is>
          <t>polymorphism_notes</t>
        </is>
      </c>
      <c r="C3337" t="inlineStr">
        <is>
          <t>polymorphic behavior possible; DSC/XRPD required for final formulation</t>
        </is>
      </c>
      <c r="D3337"/>
      <c r="E3337"/>
      <c r="F3337"/>
      <c r="G3337"/>
      <c r="H3337" t="inlineStr">
        <is>
          <t>S014_AULTON</t>
        </is>
      </c>
      <c r="I3337" t="inlineStr">
        <is>
          <t>curated</t>
        </is>
      </c>
      <c r="J3337">
        <v>0.65</v>
      </c>
      <c r="K3337"/>
    </row>
    <row r="3338">
      <c r="A3338" t="inlineStr">
        <is>
          <t>OIL_MYRISTIC_ACID</t>
        </is>
      </c>
      <c r="B3338" t="inlineStr">
        <is>
          <t>drug_solubilization_notes</t>
        </is>
      </c>
      <c r="C3338" t="inlineStr">
        <is>
          <t>solid fatty acid</t>
        </is>
      </c>
      <c r="D3338"/>
      <c r="E3338"/>
      <c r="F3338"/>
      <c r="G3338"/>
      <c r="H3338" t="inlineStr">
        <is>
          <t>S014_AULTON</t>
        </is>
      </c>
      <c r="I3338" t="inlineStr">
        <is>
          <t>curated</t>
        </is>
      </c>
      <c r="J3338">
        <v>0.6</v>
      </c>
      <c r="K3338"/>
    </row>
    <row r="3339">
      <c r="A3339" t="inlineStr">
        <is>
          <t>OIL_MYRISTIC_ACID</t>
        </is>
      </c>
      <c r="B3339" t="inlineStr">
        <is>
          <t>route_suitability</t>
        </is>
      </c>
      <c r="C3339" t="inlineStr">
        <is>
          <t>SLN/NLC/nanoemulsion/lipid matrix; route-grade dependent</t>
        </is>
      </c>
      <c r="D3339"/>
      <c r="E3339"/>
      <c r="F3339"/>
      <c r="G3339"/>
      <c r="H3339" t="inlineStr">
        <is>
          <t>S008_FDA_IID</t>
        </is>
      </c>
      <c r="I3339" t="inlineStr">
        <is>
          <t>curated</t>
        </is>
      </c>
      <c r="J3339">
        <v>0.55</v>
      </c>
      <c r="K3339"/>
    </row>
    <row r="3340">
      <c r="A3340" t="inlineStr">
        <is>
          <t>OIL_MYRISTIC_ACID</t>
        </is>
      </c>
      <c r="B3340" t="inlineStr">
        <is>
          <t>molar_volume_cm3_mol</t>
        </is>
      </c>
      <c r="C3340">
        <v>265.55</v>
      </c>
      <c r="D3340" t="inlineStr">
        <is>
          <t>cm3/mol</t>
        </is>
      </c>
      <c r="E3340"/>
      <c r="F3340"/>
      <c r="G3340" t="inlineStr">
        <is>
          <t>MW/density estimate</t>
        </is>
      </c>
      <c r="H3340" t="inlineStr">
        <is>
          <t>S012_CALCULATED</t>
        </is>
      </c>
      <c r="I3340" t="inlineStr">
        <is>
          <t>estimated</t>
        </is>
      </c>
      <c r="J3340">
        <v>0.48</v>
      </c>
      <c r="K3340" t="inlineStr">
        <is>
          <t>Estimated from MW/density; replace with measured molar volume or density-specific grade data.</t>
        </is>
      </c>
    </row>
    <row r="3341">
      <c r="A3341" t="inlineStr">
        <is>
          <t>OIL_MYRISTIC_ACID</t>
        </is>
      </c>
      <c r="B3341" t="inlineStr">
        <is>
          <t>Hansen_delta_D</t>
        </is>
      </c>
      <c r="C3341">
        <v>17.0</v>
      </c>
      <c r="D3341" t="inlineStr">
        <is>
          <t>MPa^0.5</t>
        </is>
      </c>
      <c r="E3341"/>
      <c r="F3341"/>
      <c r="G3341" t="inlineStr">
        <is>
          <t>heuristic group-contribution/nearest-neighbour</t>
        </is>
      </c>
      <c r="H3341" t="inlineStr">
        <is>
          <t>S013_EST_HSP_HEURISTIC</t>
        </is>
      </c>
      <c r="I3341" t="inlineStr">
        <is>
          <t>estimated</t>
        </is>
      </c>
      <c r="J3341">
        <v>0.37</v>
      </c>
      <c r="K3341" t="inlineStr">
        <is>
          <t>Provisional HSP for screening; replace with experimental/literature value before model lock.</t>
        </is>
      </c>
    </row>
    <row r="3342">
      <c r="A3342" t="inlineStr">
        <is>
          <t>OIL_MYRISTIC_ACID</t>
        </is>
      </c>
      <c r="B3342" t="inlineStr">
        <is>
          <t>Hansen_delta_P</t>
        </is>
      </c>
      <c r="C3342">
        <v>2.5</v>
      </c>
      <c r="D3342" t="inlineStr">
        <is>
          <t>MPa^0.5</t>
        </is>
      </c>
      <c r="E3342"/>
      <c r="F3342"/>
      <c r="G3342" t="inlineStr">
        <is>
          <t>heuristic group-contribution/nearest-neighbour</t>
        </is>
      </c>
      <c r="H3342" t="inlineStr">
        <is>
          <t>S013_EST_HSP_HEURISTIC</t>
        </is>
      </c>
      <c r="I3342" t="inlineStr">
        <is>
          <t>estimated</t>
        </is>
      </c>
      <c r="J3342">
        <v>0.37</v>
      </c>
      <c r="K3342" t="inlineStr">
        <is>
          <t>Provisional HSP for screening; replace with experimental/literature value before model lock.</t>
        </is>
      </c>
    </row>
    <row r="3343">
      <c r="A3343" t="inlineStr">
        <is>
          <t>OIL_MYRISTIC_ACID</t>
        </is>
      </c>
      <c r="B3343" t="inlineStr">
        <is>
          <t>Hansen_delta_H</t>
        </is>
      </c>
      <c r="C3343">
        <v>5.0</v>
      </c>
      <c r="D3343" t="inlineStr">
        <is>
          <t>MPa^0.5</t>
        </is>
      </c>
      <c r="E3343"/>
      <c r="F3343"/>
      <c r="G3343" t="inlineStr">
        <is>
          <t>heuristic group-contribution/nearest-neighbour</t>
        </is>
      </c>
      <c r="H3343" t="inlineStr">
        <is>
          <t>S013_EST_HSP_HEURISTIC</t>
        </is>
      </c>
      <c r="I3343" t="inlineStr">
        <is>
          <t>estimated</t>
        </is>
      </c>
      <c r="J3343">
        <v>0.37</v>
      </c>
      <c r="K3343" t="inlineStr">
        <is>
          <t>Provisional HSP for screening; replace with experimental/literature value before model lock.</t>
        </is>
      </c>
    </row>
    <row r="3344">
      <c r="A3344" t="inlineStr">
        <is>
          <t>OIL_MYRISTIC_ACID</t>
        </is>
      </c>
      <c r="B3344" t="inlineStr">
        <is>
          <t>Hildebrand_delta_T</t>
        </is>
      </c>
      <c r="C3344">
        <v>17.9</v>
      </c>
      <c r="D3344" t="inlineStr">
        <is>
          <t>MPa^0.5</t>
        </is>
      </c>
      <c r="E3344"/>
      <c r="F3344"/>
      <c r="G3344" t="inlineStr">
        <is>
          <t>sqrt(deltaD^2+deltaP^2+deltaH^2)</t>
        </is>
      </c>
      <c r="H3344" t="inlineStr">
        <is>
          <t>S012_CALCULATED</t>
        </is>
      </c>
      <c r="I3344" t="inlineStr">
        <is>
          <t>calculated</t>
        </is>
      </c>
      <c r="J3344">
        <v>0.42</v>
      </c>
      <c r="K3344" t="inlineStr">
        <is>
          <t>Derived from stored Hansen components.</t>
        </is>
      </c>
    </row>
    <row r="3345">
      <c r="A3345" t="inlineStr">
        <is>
          <t>OIL_MYRISTIC_ACID</t>
        </is>
      </c>
      <c r="B3345" t="inlineStr">
        <is>
          <t>HSP_radius_R0</t>
        </is>
      </c>
      <c r="C3345">
        <v>7.0</v>
      </c>
      <c r="D3345" t="inlineStr">
        <is>
          <t>MPa^0.5</t>
        </is>
      </c>
      <c r="E3345"/>
      <c r="F3345"/>
      <c r="G3345" t="inlineStr">
        <is>
          <t>literature/heuristic solubility sphere</t>
        </is>
      </c>
      <c r="H3345" t="inlineStr">
        <is>
          <t>S013_EST_HSP_HEURISTIC</t>
        </is>
      </c>
      <c r="I3345" t="inlineStr">
        <is>
          <t>estimated</t>
        </is>
      </c>
      <c r="J3345">
        <v>0.37</v>
      </c>
      <c r="K3345" t="inlineStr">
        <is>
          <t>Screening radius only unless experimentally determined.</t>
        </is>
      </c>
    </row>
    <row r="3346">
      <c r="A3346" t="inlineStr">
        <is>
          <t>OIL_LAURIC_ACID</t>
        </is>
      </c>
      <c r="B3346" t="inlineStr">
        <is>
          <t>molecular_weight_g_mol</t>
        </is>
      </c>
      <c r="C3346">
        <v>200.32</v>
      </c>
      <c r="D3346" t="inlineStr">
        <is>
          <t>g/mol</t>
        </is>
      </c>
      <c r="E3346"/>
      <c r="F3346"/>
      <c r="G3346"/>
      <c r="H3346" t="inlineStr">
        <is>
          <t>S001_PUBCHEM</t>
        </is>
      </c>
      <c r="I3346" t="inlineStr">
        <is>
          <t>database-derived</t>
        </is>
      </c>
      <c r="J3346">
        <v>0.75</v>
      </c>
      <c r="K3346"/>
    </row>
    <row r="3347">
      <c r="A3347" t="inlineStr">
        <is>
          <t>OIL_LAURIC_ACID</t>
        </is>
      </c>
      <c r="B3347" t="inlineStr">
        <is>
          <t>density_g_ml</t>
        </is>
      </c>
      <c r="C3347">
        <v>0.88</v>
      </c>
      <c r="D3347" t="inlineStr">
        <is>
          <t>g/mL</t>
        </is>
      </c>
      <c r="E3347"/>
      <c r="F3347"/>
      <c r="G3347" t="inlineStr">
        <is>
          <t>20-25 °C unless otherwise specified</t>
        </is>
      </c>
      <c r="H3347" t="inlineStr">
        <is>
          <t>S007_EXCIPIENTS_HANDBOOK</t>
        </is>
      </c>
      <c r="I3347" t="inlineStr">
        <is>
          <t>handbook</t>
        </is>
      </c>
      <c r="J3347">
        <v>0.6</v>
      </c>
      <c r="K3347"/>
    </row>
    <row r="3348">
      <c r="A3348" t="inlineStr">
        <is>
          <t>OIL_LAURIC_ACID</t>
        </is>
      </c>
      <c r="B3348" t="inlineStr">
        <is>
          <t>melting_point_C</t>
        </is>
      </c>
      <c r="C3348">
        <v>44</v>
      </c>
      <c r="D3348" t="inlineStr">
        <is>
          <t>°C</t>
        </is>
      </c>
      <c r="E3348"/>
      <c r="F3348"/>
      <c r="G3348" t="inlineStr">
        <is>
          <t>melting/drop point range; grade-dependent</t>
        </is>
      </c>
      <c r="H3348" t="inlineStr">
        <is>
          <t>S007_EXCIPIENTS_HANDBOOK</t>
        </is>
      </c>
      <c r="I3348" t="inlineStr">
        <is>
          <t>handbook</t>
        </is>
      </c>
      <c r="J3348">
        <v>0.68</v>
      </c>
      <c r="K3348"/>
    </row>
    <row r="3349">
      <c r="A3349" t="inlineStr">
        <is>
          <t>OIL_LAURIC_ACID</t>
        </is>
      </c>
      <c r="B3349" t="inlineStr">
        <is>
          <t>lipid_state</t>
        </is>
      </c>
      <c r="C3349" t="inlineStr">
        <is>
          <t>solid</t>
        </is>
      </c>
      <c r="D3349"/>
      <c r="E3349"/>
      <c r="F3349"/>
      <c r="G3349"/>
      <c r="H3349" t="inlineStr">
        <is>
          <t>S007_EXCIPIENTS_HANDBOOK</t>
        </is>
      </c>
      <c r="I3349" t="inlineStr">
        <is>
          <t>curated</t>
        </is>
      </c>
      <c r="J3349">
        <v>0.75</v>
      </c>
      <c r="K3349"/>
    </row>
    <row r="3350">
      <c r="A3350" t="inlineStr">
        <is>
          <t>OIL_LAURIC_ACID</t>
        </is>
      </c>
      <c r="B3350" t="inlineStr">
        <is>
          <t>fatty_chain_length</t>
        </is>
      </c>
      <c r="C3350" t="inlineStr">
        <is>
          <t>C12:0</t>
        </is>
      </c>
      <c r="D3350"/>
      <c r="E3350"/>
      <c r="F3350"/>
      <c r="G3350"/>
      <c r="H3350" t="inlineStr">
        <is>
          <t>S007_EXCIPIENTS_HANDBOOK</t>
        </is>
      </c>
      <c r="I3350" t="inlineStr">
        <is>
          <t>curated</t>
        </is>
      </c>
      <c r="J3350">
        <v>0.7</v>
      </c>
      <c r="K3350"/>
    </row>
    <row r="3351">
      <c r="A3351" t="inlineStr">
        <is>
          <t>OIL_LAURIC_ACID</t>
        </is>
      </c>
      <c r="B3351" t="inlineStr">
        <is>
          <t>unsaturation</t>
        </is>
      </c>
      <c r="C3351">
        <v>0</v>
      </c>
      <c r="D3351" t="inlineStr">
        <is>
          <t>double_bonds</t>
        </is>
      </c>
      <c r="E3351"/>
      <c r="F3351"/>
      <c r="G3351"/>
      <c r="H3351" t="inlineStr">
        <is>
          <t>S007_EXCIPIENTS_HANDBOOK</t>
        </is>
      </c>
      <c r="I3351" t="inlineStr">
        <is>
          <t>curated</t>
        </is>
      </c>
      <c r="J3351">
        <v>0.7</v>
      </c>
      <c r="K3351"/>
    </row>
    <row r="3352">
      <c r="A3352" t="inlineStr">
        <is>
          <t>OIL_LAURIC_ACID</t>
        </is>
      </c>
      <c r="B3352" t="inlineStr">
        <is>
          <t>crystallinity_risk</t>
        </is>
      </c>
      <c r="C3352" t="inlineStr">
        <is>
          <t>moderate</t>
        </is>
      </c>
      <c r="D3352"/>
      <c r="E3352"/>
      <c r="F3352"/>
      <c r="G3352" t="inlineStr">
        <is>
          <t>SLN/NLC crystallization heuristic</t>
        </is>
      </c>
      <c r="H3352" t="inlineStr">
        <is>
          <t>S007_EXCIPIENTS_HANDBOOK</t>
        </is>
      </c>
      <c r="I3352" t="inlineStr">
        <is>
          <t>curated</t>
        </is>
      </c>
      <c r="J3352">
        <v>0.6</v>
      </c>
      <c r="K3352"/>
    </row>
    <row r="3353">
      <c r="A3353" t="inlineStr">
        <is>
          <t>OIL_LAURIC_ACID</t>
        </is>
      </c>
      <c r="B3353" t="inlineStr">
        <is>
          <t>polymorphism_notes</t>
        </is>
      </c>
      <c r="C3353" t="inlineStr">
        <is>
          <t>polymorphic behavior possible; DSC/XRPD required for final formulation</t>
        </is>
      </c>
      <c r="D3353"/>
      <c r="E3353"/>
      <c r="F3353"/>
      <c r="G3353"/>
      <c r="H3353" t="inlineStr">
        <is>
          <t>S014_AULTON</t>
        </is>
      </c>
      <c r="I3353" t="inlineStr">
        <is>
          <t>curated</t>
        </is>
      </c>
      <c r="J3353">
        <v>0.65</v>
      </c>
      <c r="K3353"/>
    </row>
    <row r="3354">
      <c r="A3354" t="inlineStr">
        <is>
          <t>OIL_LAURIC_ACID</t>
        </is>
      </c>
      <c r="B3354" t="inlineStr">
        <is>
          <t>drug_solubilization_notes</t>
        </is>
      </c>
      <c r="C3354" t="inlineStr">
        <is>
          <t>medium chain solid fatty acid</t>
        </is>
      </c>
      <c r="D3354"/>
      <c r="E3354"/>
      <c r="F3354"/>
      <c r="G3354"/>
      <c r="H3354" t="inlineStr">
        <is>
          <t>S014_AULTON</t>
        </is>
      </c>
      <c r="I3354" t="inlineStr">
        <is>
          <t>curated</t>
        </is>
      </c>
      <c r="J3354">
        <v>0.6</v>
      </c>
      <c r="K3354"/>
    </row>
    <row r="3355">
      <c r="A3355" t="inlineStr">
        <is>
          <t>OIL_LAURIC_ACID</t>
        </is>
      </c>
      <c r="B3355" t="inlineStr">
        <is>
          <t>route_suitability</t>
        </is>
      </c>
      <c r="C3355" t="inlineStr">
        <is>
          <t>SLN/NLC/nanoemulsion/lipid matrix; route-grade dependent</t>
        </is>
      </c>
      <c r="D3355"/>
      <c r="E3355"/>
      <c r="F3355"/>
      <c r="G3355"/>
      <c r="H3355" t="inlineStr">
        <is>
          <t>S008_FDA_IID</t>
        </is>
      </c>
      <c r="I3355" t="inlineStr">
        <is>
          <t>curated</t>
        </is>
      </c>
      <c r="J3355">
        <v>0.55</v>
      </c>
      <c r="K3355"/>
    </row>
    <row r="3356">
      <c r="A3356" t="inlineStr">
        <is>
          <t>OIL_LAURIC_ACID</t>
        </is>
      </c>
      <c r="B3356" t="inlineStr">
        <is>
          <t>molar_volume_cm3_mol</t>
        </is>
      </c>
      <c r="C3356">
        <v>227.64</v>
      </c>
      <c r="D3356" t="inlineStr">
        <is>
          <t>cm3/mol</t>
        </is>
      </c>
      <c r="E3356"/>
      <c r="F3356"/>
      <c r="G3356" t="inlineStr">
        <is>
          <t>MW/density estimate</t>
        </is>
      </c>
      <c r="H3356" t="inlineStr">
        <is>
          <t>S012_CALCULATED</t>
        </is>
      </c>
      <c r="I3356" t="inlineStr">
        <is>
          <t>estimated</t>
        </is>
      </c>
      <c r="J3356">
        <v>0.48</v>
      </c>
      <c r="K3356" t="inlineStr">
        <is>
          <t>Estimated from MW/density; replace with measured molar volume or density-specific grade data.</t>
        </is>
      </c>
    </row>
    <row r="3357">
      <c r="A3357" t="inlineStr">
        <is>
          <t>OIL_LAURIC_ACID</t>
        </is>
      </c>
      <c r="B3357" t="inlineStr">
        <is>
          <t>Hansen_delta_D</t>
        </is>
      </c>
      <c r="C3357">
        <v>17.0</v>
      </c>
      <c r="D3357" t="inlineStr">
        <is>
          <t>MPa^0.5</t>
        </is>
      </c>
      <c r="E3357"/>
      <c r="F3357"/>
      <c r="G3357" t="inlineStr">
        <is>
          <t>heuristic group-contribution/nearest-neighbour</t>
        </is>
      </c>
      <c r="H3357" t="inlineStr">
        <is>
          <t>S013_EST_HSP_HEURISTIC</t>
        </is>
      </c>
      <c r="I3357" t="inlineStr">
        <is>
          <t>estimated</t>
        </is>
      </c>
      <c r="J3357">
        <v>0.37</v>
      </c>
      <c r="K3357" t="inlineStr">
        <is>
          <t>Provisional HSP for screening; replace with experimental/literature value before model lock.</t>
        </is>
      </c>
    </row>
    <row r="3358">
      <c r="A3358" t="inlineStr">
        <is>
          <t>OIL_LAURIC_ACID</t>
        </is>
      </c>
      <c r="B3358" t="inlineStr">
        <is>
          <t>Hansen_delta_P</t>
        </is>
      </c>
      <c r="C3358">
        <v>2.5</v>
      </c>
      <c r="D3358" t="inlineStr">
        <is>
          <t>MPa^0.5</t>
        </is>
      </c>
      <c r="E3358"/>
      <c r="F3358"/>
      <c r="G3358" t="inlineStr">
        <is>
          <t>heuristic group-contribution/nearest-neighbour</t>
        </is>
      </c>
      <c r="H3358" t="inlineStr">
        <is>
          <t>S013_EST_HSP_HEURISTIC</t>
        </is>
      </c>
      <c r="I3358" t="inlineStr">
        <is>
          <t>estimated</t>
        </is>
      </c>
      <c r="J3358">
        <v>0.37</v>
      </c>
      <c r="K3358" t="inlineStr">
        <is>
          <t>Provisional HSP for screening; replace with experimental/literature value before model lock.</t>
        </is>
      </c>
    </row>
    <row r="3359">
      <c r="A3359" t="inlineStr">
        <is>
          <t>OIL_LAURIC_ACID</t>
        </is>
      </c>
      <c r="B3359" t="inlineStr">
        <is>
          <t>Hansen_delta_H</t>
        </is>
      </c>
      <c r="C3359">
        <v>5.0</v>
      </c>
      <c r="D3359" t="inlineStr">
        <is>
          <t>MPa^0.5</t>
        </is>
      </c>
      <c r="E3359"/>
      <c r="F3359"/>
      <c r="G3359" t="inlineStr">
        <is>
          <t>heuristic group-contribution/nearest-neighbour</t>
        </is>
      </c>
      <c r="H3359" t="inlineStr">
        <is>
          <t>S013_EST_HSP_HEURISTIC</t>
        </is>
      </c>
      <c r="I3359" t="inlineStr">
        <is>
          <t>estimated</t>
        </is>
      </c>
      <c r="J3359">
        <v>0.37</v>
      </c>
      <c r="K3359" t="inlineStr">
        <is>
          <t>Provisional HSP for screening; replace with experimental/literature value before model lock.</t>
        </is>
      </c>
    </row>
    <row r="3360">
      <c r="A3360" t="inlineStr">
        <is>
          <t>OIL_LAURIC_ACID</t>
        </is>
      </c>
      <c r="B3360" t="inlineStr">
        <is>
          <t>Hildebrand_delta_T</t>
        </is>
      </c>
      <c r="C3360">
        <v>17.9</v>
      </c>
      <c r="D3360" t="inlineStr">
        <is>
          <t>MPa^0.5</t>
        </is>
      </c>
      <c r="E3360"/>
      <c r="F3360"/>
      <c r="G3360" t="inlineStr">
        <is>
          <t>sqrt(deltaD^2+deltaP^2+deltaH^2)</t>
        </is>
      </c>
      <c r="H3360" t="inlineStr">
        <is>
          <t>S012_CALCULATED</t>
        </is>
      </c>
      <c r="I3360" t="inlineStr">
        <is>
          <t>calculated</t>
        </is>
      </c>
      <c r="J3360">
        <v>0.42</v>
      </c>
      <c r="K3360" t="inlineStr">
        <is>
          <t>Derived from stored Hansen components.</t>
        </is>
      </c>
    </row>
    <row r="3361">
      <c r="A3361" t="inlineStr">
        <is>
          <t>OIL_LAURIC_ACID</t>
        </is>
      </c>
      <c r="B3361" t="inlineStr">
        <is>
          <t>HSP_radius_R0</t>
        </is>
      </c>
      <c r="C3361">
        <v>7.0</v>
      </c>
      <c r="D3361" t="inlineStr">
        <is>
          <t>MPa^0.5</t>
        </is>
      </c>
      <c r="E3361"/>
      <c r="F3361"/>
      <c r="G3361" t="inlineStr">
        <is>
          <t>literature/heuristic solubility sphere</t>
        </is>
      </c>
      <c r="H3361" t="inlineStr">
        <is>
          <t>S013_EST_HSP_HEURISTIC</t>
        </is>
      </c>
      <c r="I3361" t="inlineStr">
        <is>
          <t>estimated</t>
        </is>
      </c>
      <c r="J3361">
        <v>0.37</v>
      </c>
      <c r="K3361" t="inlineStr">
        <is>
          <t>Screening radius only unless experimentally determined.</t>
        </is>
      </c>
    </row>
    <row r="3362">
      <c r="A3362" t="inlineStr">
        <is>
          <t>OIL_CAPRIC_ACID</t>
        </is>
      </c>
      <c r="B3362" t="inlineStr">
        <is>
          <t>molecular_weight_g_mol</t>
        </is>
      </c>
      <c r="C3362">
        <v>172.26</v>
      </c>
      <c r="D3362" t="inlineStr">
        <is>
          <t>g/mol</t>
        </is>
      </c>
      <c r="E3362"/>
      <c r="F3362"/>
      <c r="G3362"/>
      <c r="H3362" t="inlineStr">
        <is>
          <t>S001_PUBCHEM</t>
        </is>
      </c>
      <c r="I3362" t="inlineStr">
        <is>
          <t>database-derived</t>
        </is>
      </c>
      <c r="J3362">
        <v>0.75</v>
      </c>
      <c r="K3362"/>
    </row>
    <row r="3363">
      <c r="A3363" t="inlineStr">
        <is>
          <t>OIL_CAPRIC_ACID</t>
        </is>
      </c>
      <c r="B3363" t="inlineStr">
        <is>
          <t>density_g_ml</t>
        </is>
      </c>
      <c r="C3363">
        <v>0.89</v>
      </c>
      <c r="D3363" t="inlineStr">
        <is>
          <t>g/mL</t>
        </is>
      </c>
      <c r="E3363"/>
      <c r="F3363"/>
      <c r="G3363" t="inlineStr">
        <is>
          <t>20-25 °C unless otherwise specified</t>
        </is>
      </c>
      <c r="H3363" t="inlineStr">
        <is>
          <t>S007_EXCIPIENTS_HANDBOOK</t>
        </is>
      </c>
      <c r="I3363" t="inlineStr">
        <is>
          <t>handbook</t>
        </is>
      </c>
      <c r="J3363">
        <v>0.6</v>
      </c>
      <c r="K3363"/>
    </row>
    <row r="3364">
      <c r="A3364" t="inlineStr">
        <is>
          <t>OIL_CAPRIC_ACID</t>
        </is>
      </c>
      <c r="B3364" t="inlineStr">
        <is>
          <t>melting_point_C</t>
        </is>
      </c>
      <c r="C3364">
        <v>31</v>
      </c>
      <c r="D3364" t="inlineStr">
        <is>
          <t>°C</t>
        </is>
      </c>
      <c r="E3364"/>
      <c r="F3364"/>
      <c r="G3364" t="inlineStr">
        <is>
          <t>melting/drop point range; grade-dependent</t>
        </is>
      </c>
      <c r="H3364" t="inlineStr">
        <is>
          <t>S007_EXCIPIENTS_HANDBOOK</t>
        </is>
      </c>
      <c r="I3364" t="inlineStr">
        <is>
          <t>handbook</t>
        </is>
      </c>
      <c r="J3364">
        <v>0.68</v>
      </c>
      <c r="K3364"/>
    </row>
    <row r="3365">
      <c r="A3365" t="inlineStr">
        <is>
          <t>OIL_CAPRIC_ACID</t>
        </is>
      </c>
      <c r="B3365" t="inlineStr">
        <is>
          <t>lipid_state</t>
        </is>
      </c>
      <c r="C3365" t="inlineStr">
        <is>
          <t>solid</t>
        </is>
      </c>
      <c r="D3365"/>
      <c r="E3365"/>
      <c r="F3365"/>
      <c r="G3365"/>
      <c r="H3365" t="inlineStr">
        <is>
          <t>S007_EXCIPIENTS_HANDBOOK</t>
        </is>
      </c>
      <c r="I3365" t="inlineStr">
        <is>
          <t>curated</t>
        </is>
      </c>
      <c r="J3365">
        <v>0.75</v>
      </c>
      <c r="K3365"/>
    </row>
    <row r="3366">
      <c r="A3366" t="inlineStr">
        <is>
          <t>OIL_CAPRIC_ACID</t>
        </is>
      </c>
      <c r="B3366" t="inlineStr">
        <is>
          <t>fatty_chain_length</t>
        </is>
      </c>
      <c r="C3366" t="inlineStr">
        <is>
          <t>C10:0</t>
        </is>
      </c>
      <c r="D3366"/>
      <c r="E3366"/>
      <c r="F3366"/>
      <c r="G3366"/>
      <c r="H3366" t="inlineStr">
        <is>
          <t>S007_EXCIPIENTS_HANDBOOK</t>
        </is>
      </c>
      <c r="I3366" t="inlineStr">
        <is>
          <t>curated</t>
        </is>
      </c>
      <c r="J3366">
        <v>0.7</v>
      </c>
      <c r="K3366"/>
    </row>
    <row r="3367">
      <c r="A3367" t="inlineStr">
        <is>
          <t>OIL_CAPRIC_ACID</t>
        </is>
      </c>
      <c r="B3367" t="inlineStr">
        <is>
          <t>unsaturation</t>
        </is>
      </c>
      <c r="C3367">
        <v>0</v>
      </c>
      <c r="D3367" t="inlineStr">
        <is>
          <t>double_bonds</t>
        </is>
      </c>
      <c r="E3367"/>
      <c r="F3367"/>
      <c r="G3367"/>
      <c r="H3367" t="inlineStr">
        <is>
          <t>S007_EXCIPIENTS_HANDBOOK</t>
        </is>
      </c>
      <c r="I3367" t="inlineStr">
        <is>
          <t>curated</t>
        </is>
      </c>
      <c r="J3367">
        <v>0.7</v>
      </c>
      <c r="K3367"/>
    </row>
    <row r="3368">
      <c r="A3368" t="inlineStr">
        <is>
          <t>OIL_CAPRIC_ACID</t>
        </is>
      </c>
      <c r="B3368" t="inlineStr">
        <is>
          <t>crystallinity_risk</t>
        </is>
      </c>
      <c r="C3368" t="inlineStr">
        <is>
          <t>moderate</t>
        </is>
      </c>
      <c r="D3368"/>
      <c r="E3368"/>
      <c r="F3368"/>
      <c r="G3368" t="inlineStr">
        <is>
          <t>SLN/NLC crystallization heuristic</t>
        </is>
      </c>
      <c r="H3368" t="inlineStr">
        <is>
          <t>S007_EXCIPIENTS_HANDBOOK</t>
        </is>
      </c>
      <c r="I3368" t="inlineStr">
        <is>
          <t>curated</t>
        </is>
      </c>
      <c r="J3368">
        <v>0.6</v>
      </c>
      <c r="K3368"/>
    </row>
    <row r="3369">
      <c r="A3369" t="inlineStr">
        <is>
          <t>OIL_CAPRIC_ACID</t>
        </is>
      </c>
      <c r="B3369" t="inlineStr">
        <is>
          <t>polymorphism_notes</t>
        </is>
      </c>
      <c r="C3369" t="inlineStr">
        <is>
          <t>polymorphic behavior possible; DSC/XRPD required for final formulation</t>
        </is>
      </c>
      <c r="D3369"/>
      <c r="E3369"/>
      <c r="F3369"/>
      <c r="G3369"/>
      <c r="H3369" t="inlineStr">
        <is>
          <t>S014_AULTON</t>
        </is>
      </c>
      <c r="I3369" t="inlineStr">
        <is>
          <t>curated</t>
        </is>
      </c>
      <c r="J3369">
        <v>0.65</v>
      </c>
      <c r="K3369"/>
    </row>
    <row r="3370">
      <c r="A3370" t="inlineStr">
        <is>
          <t>OIL_CAPRIC_ACID</t>
        </is>
      </c>
      <c r="B3370" t="inlineStr">
        <is>
          <t>drug_solubilization_notes</t>
        </is>
      </c>
      <c r="C3370" t="inlineStr">
        <is>
          <t>medium-chain fatty acid</t>
        </is>
      </c>
      <c r="D3370"/>
      <c r="E3370"/>
      <c r="F3370"/>
      <c r="G3370"/>
      <c r="H3370" t="inlineStr">
        <is>
          <t>S014_AULTON</t>
        </is>
      </c>
      <c r="I3370" t="inlineStr">
        <is>
          <t>curated</t>
        </is>
      </c>
      <c r="J3370">
        <v>0.6</v>
      </c>
      <c r="K3370"/>
    </row>
    <row r="3371">
      <c r="A3371" t="inlineStr">
        <is>
          <t>OIL_CAPRIC_ACID</t>
        </is>
      </c>
      <c r="B3371" t="inlineStr">
        <is>
          <t>route_suitability</t>
        </is>
      </c>
      <c r="C3371" t="inlineStr">
        <is>
          <t>SLN/NLC/nanoemulsion/lipid matrix; route-grade dependent</t>
        </is>
      </c>
      <c r="D3371"/>
      <c r="E3371"/>
      <c r="F3371"/>
      <c r="G3371"/>
      <c r="H3371" t="inlineStr">
        <is>
          <t>S008_FDA_IID</t>
        </is>
      </c>
      <c r="I3371" t="inlineStr">
        <is>
          <t>curated</t>
        </is>
      </c>
      <c r="J3371">
        <v>0.55</v>
      </c>
      <c r="K3371"/>
    </row>
    <row r="3372">
      <c r="A3372" t="inlineStr">
        <is>
          <t>OIL_CAPRIC_ACID</t>
        </is>
      </c>
      <c r="B3372" t="inlineStr">
        <is>
          <t>molar_volume_cm3_mol</t>
        </is>
      </c>
      <c r="C3372">
        <v>193.55</v>
      </c>
      <c r="D3372" t="inlineStr">
        <is>
          <t>cm3/mol</t>
        </is>
      </c>
      <c r="E3372"/>
      <c r="F3372"/>
      <c r="G3372" t="inlineStr">
        <is>
          <t>MW/density estimate</t>
        </is>
      </c>
      <c r="H3372" t="inlineStr">
        <is>
          <t>S012_CALCULATED</t>
        </is>
      </c>
      <c r="I3372" t="inlineStr">
        <is>
          <t>estimated</t>
        </is>
      </c>
      <c r="J3372">
        <v>0.48</v>
      </c>
      <c r="K3372" t="inlineStr">
        <is>
          <t>Estimated from MW/density; replace with measured molar volume or density-specific grade data.</t>
        </is>
      </c>
    </row>
    <row r="3373">
      <c r="A3373" t="inlineStr">
        <is>
          <t>OIL_CAPRIC_ACID</t>
        </is>
      </c>
      <c r="B3373" t="inlineStr">
        <is>
          <t>Hansen_delta_D</t>
        </is>
      </c>
      <c r="C3373">
        <v>17.0</v>
      </c>
      <c r="D3373" t="inlineStr">
        <is>
          <t>MPa^0.5</t>
        </is>
      </c>
      <c r="E3373"/>
      <c r="F3373"/>
      <c r="G3373" t="inlineStr">
        <is>
          <t>heuristic group-contribution/nearest-neighbour</t>
        </is>
      </c>
      <c r="H3373" t="inlineStr">
        <is>
          <t>S013_EST_HSP_HEURISTIC</t>
        </is>
      </c>
      <c r="I3373" t="inlineStr">
        <is>
          <t>estimated</t>
        </is>
      </c>
      <c r="J3373">
        <v>0.37</v>
      </c>
      <c r="K3373" t="inlineStr">
        <is>
          <t>Provisional HSP for screening; replace with experimental/literature value before model lock.</t>
        </is>
      </c>
    </row>
    <row r="3374">
      <c r="A3374" t="inlineStr">
        <is>
          <t>OIL_CAPRIC_ACID</t>
        </is>
      </c>
      <c r="B3374" t="inlineStr">
        <is>
          <t>Hansen_delta_P</t>
        </is>
      </c>
      <c r="C3374">
        <v>2.5</v>
      </c>
      <c r="D3374" t="inlineStr">
        <is>
          <t>MPa^0.5</t>
        </is>
      </c>
      <c r="E3374"/>
      <c r="F3374"/>
      <c r="G3374" t="inlineStr">
        <is>
          <t>heuristic group-contribution/nearest-neighbour</t>
        </is>
      </c>
      <c r="H3374" t="inlineStr">
        <is>
          <t>S013_EST_HSP_HEURISTIC</t>
        </is>
      </c>
      <c r="I3374" t="inlineStr">
        <is>
          <t>estimated</t>
        </is>
      </c>
      <c r="J3374">
        <v>0.37</v>
      </c>
      <c r="K3374" t="inlineStr">
        <is>
          <t>Provisional HSP for screening; replace with experimental/literature value before model lock.</t>
        </is>
      </c>
    </row>
    <row r="3375">
      <c r="A3375" t="inlineStr">
        <is>
          <t>OIL_CAPRIC_ACID</t>
        </is>
      </c>
      <c r="B3375" t="inlineStr">
        <is>
          <t>Hansen_delta_H</t>
        </is>
      </c>
      <c r="C3375">
        <v>5.0</v>
      </c>
      <c r="D3375" t="inlineStr">
        <is>
          <t>MPa^0.5</t>
        </is>
      </c>
      <c r="E3375"/>
      <c r="F3375"/>
      <c r="G3375" t="inlineStr">
        <is>
          <t>heuristic group-contribution/nearest-neighbour</t>
        </is>
      </c>
      <c r="H3375" t="inlineStr">
        <is>
          <t>S013_EST_HSP_HEURISTIC</t>
        </is>
      </c>
      <c r="I3375" t="inlineStr">
        <is>
          <t>estimated</t>
        </is>
      </c>
      <c r="J3375">
        <v>0.37</v>
      </c>
      <c r="K3375" t="inlineStr">
        <is>
          <t>Provisional HSP for screening; replace with experimental/literature value before model lock.</t>
        </is>
      </c>
    </row>
    <row r="3376">
      <c r="A3376" t="inlineStr">
        <is>
          <t>OIL_CAPRIC_ACID</t>
        </is>
      </c>
      <c r="B3376" t="inlineStr">
        <is>
          <t>Hildebrand_delta_T</t>
        </is>
      </c>
      <c r="C3376">
        <v>17.9</v>
      </c>
      <c r="D3376" t="inlineStr">
        <is>
          <t>MPa^0.5</t>
        </is>
      </c>
      <c r="E3376"/>
      <c r="F3376"/>
      <c r="G3376" t="inlineStr">
        <is>
          <t>sqrt(deltaD^2+deltaP^2+deltaH^2)</t>
        </is>
      </c>
      <c r="H3376" t="inlineStr">
        <is>
          <t>S012_CALCULATED</t>
        </is>
      </c>
      <c r="I3376" t="inlineStr">
        <is>
          <t>calculated</t>
        </is>
      </c>
      <c r="J3376">
        <v>0.42</v>
      </c>
      <c r="K3376" t="inlineStr">
        <is>
          <t>Derived from stored Hansen components.</t>
        </is>
      </c>
    </row>
    <row r="3377">
      <c r="A3377" t="inlineStr">
        <is>
          <t>OIL_CAPRIC_ACID</t>
        </is>
      </c>
      <c r="B3377" t="inlineStr">
        <is>
          <t>HSP_radius_R0</t>
        </is>
      </c>
      <c r="C3377">
        <v>7.0</v>
      </c>
      <c r="D3377" t="inlineStr">
        <is>
          <t>MPa^0.5</t>
        </is>
      </c>
      <c r="E3377"/>
      <c r="F3377"/>
      <c r="G3377" t="inlineStr">
        <is>
          <t>literature/heuristic solubility sphere</t>
        </is>
      </c>
      <c r="H3377" t="inlineStr">
        <is>
          <t>S013_EST_HSP_HEURISTIC</t>
        </is>
      </c>
      <c r="I3377" t="inlineStr">
        <is>
          <t>estimated</t>
        </is>
      </c>
      <c r="J3377">
        <v>0.37</v>
      </c>
      <c r="K3377" t="inlineStr">
        <is>
          <t>Screening radius only unless experimentally determined.</t>
        </is>
      </c>
    </row>
    <row r="3378">
      <c r="A3378" t="inlineStr">
        <is>
          <t>OIL_CAPRYLIC_ACID</t>
        </is>
      </c>
      <c r="B3378" t="inlineStr">
        <is>
          <t>molecular_weight_g_mol</t>
        </is>
      </c>
      <c r="C3378">
        <v>144.21</v>
      </c>
      <c r="D3378" t="inlineStr">
        <is>
          <t>g/mol</t>
        </is>
      </c>
      <c r="E3378"/>
      <c r="F3378"/>
      <c r="G3378"/>
      <c r="H3378" t="inlineStr">
        <is>
          <t>S001_PUBCHEM</t>
        </is>
      </c>
      <c r="I3378" t="inlineStr">
        <is>
          <t>database-derived</t>
        </is>
      </c>
      <c r="J3378">
        <v>0.75</v>
      </c>
      <c r="K3378"/>
    </row>
    <row r="3379">
      <c r="A3379" t="inlineStr">
        <is>
          <t>OIL_CAPRYLIC_ACID</t>
        </is>
      </c>
      <c r="B3379" t="inlineStr">
        <is>
          <t>density_g_ml</t>
        </is>
      </c>
      <c r="C3379">
        <v>0.91</v>
      </c>
      <c r="D3379" t="inlineStr">
        <is>
          <t>g/mL</t>
        </is>
      </c>
      <c r="E3379"/>
      <c r="F3379"/>
      <c r="G3379" t="inlineStr">
        <is>
          <t>20-25 °C unless otherwise specified</t>
        </is>
      </c>
      <c r="H3379" t="inlineStr">
        <is>
          <t>S007_EXCIPIENTS_HANDBOOK</t>
        </is>
      </c>
      <c r="I3379" t="inlineStr">
        <is>
          <t>handbook</t>
        </is>
      </c>
      <c r="J3379">
        <v>0.6</v>
      </c>
      <c r="K3379"/>
    </row>
    <row r="3380">
      <c r="A3380" t="inlineStr">
        <is>
          <t>OIL_CAPRYLIC_ACID</t>
        </is>
      </c>
      <c r="B3380" t="inlineStr">
        <is>
          <t>melting_point_C</t>
        </is>
      </c>
      <c r="C3380">
        <v>16</v>
      </c>
      <c r="D3380" t="inlineStr">
        <is>
          <t>°C</t>
        </is>
      </c>
      <c r="E3380"/>
      <c r="F3380"/>
      <c r="G3380" t="inlineStr">
        <is>
          <t>melting/drop point range; grade-dependent</t>
        </is>
      </c>
      <c r="H3380" t="inlineStr">
        <is>
          <t>S007_EXCIPIENTS_HANDBOOK</t>
        </is>
      </c>
      <c r="I3380" t="inlineStr">
        <is>
          <t>handbook</t>
        </is>
      </c>
      <c r="J3380">
        <v>0.68</v>
      </c>
      <c r="K3380"/>
    </row>
    <row r="3381">
      <c r="A3381" t="inlineStr">
        <is>
          <t>OIL_CAPRYLIC_ACID</t>
        </is>
      </c>
      <c r="B3381" t="inlineStr">
        <is>
          <t>lipid_state</t>
        </is>
      </c>
      <c r="C3381" t="inlineStr">
        <is>
          <t>liquid</t>
        </is>
      </c>
      <c r="D3381"/>
      <c r="E3381"/>
      <c r="F3381"/>
      <c r="G3381"/>
      <c r="H3381" t="inlineStr">
        <is>
          <t>S007_EXCIPIENTS_HANDBOOK</t>
        </is>
      </c>
      <c r="I3381" t="inlineStr">
        <is>
          <t>curated</t>
        </is>
      </c>
      <c r="J3381">
        <v>0.75</v>
      </c>
      <c r="K3381"/>
    </row>
    <row r="3382">
      <c r="A3382" t="inlineStr">
        <is>
          <t>OIL_CAPRYLIC_ACID</t>
        </is>
      </c>
      <c r="B3382" t="inlineStr">
        <is>
          <t>fatty_chain_length</t>
        </is>
      </c>
      <c r="C3382" t="inlineStr">
        <is>
          <t>C8:0</t>
        </is>
      </c>
      <c r="D3382"/>
      <c r="E3382"/>
      <c r="F3382"/>
      <c r="G3382"/>
      <c r="H3382" t="inlineStr">
        <is>
          <t>S007_EXCIPIENTS_HANDBOOK</t>
        </is>
      </c>
      <c r="I3382" t="inlineStr">
        <is>
          <t>curated</t>
        </is>
      </c>
      <c r="J3382">
        <v>0.7</v>
      </c>
      <c r="K3382"/>
    </row>
    <row r="3383">
      <c r="A3383" t="inlineStr">
        <is>
          <t>OIL_CAPRYLIC_ACID</t>
        </is>
      </c>
      <c r="B3383" t="inlineStr">
        <is>
          <t>unsaturation</t>
        </is>
      </c>
      <c r="C3383">
        <v>0</v>
      </c>
      <c r="D3383" t="inlineStr">
        <is>
          <t>double_bonds</t>
        </is>
      </c>
      <c r="E3383"/>
      <c r="F3383"/>
      <c r="G3383"/>
      <c r="H3383" t="inlineStr">
        <is>
          <t>S007_EXCIPIENTS_HANDBOOK</t>
        </is>
      </c>
      <c r="I3383" t="inlineStr">
        <is>
          <t>curated</t>
        </is>
      </c>
      <c r="J3383">
        <v>0.7</v>
      </c>
      <c r="K3383"/>
    </row>
    <row r="3384">
      <c r="A3384" t="inlineStr">
        <is>
          <t>OIL_CAPRYLIC_ACID</t>
        </is>
      </c>
      <c r="B3384" t="inlineStr">
        <is>
          <t>crystallinity_risk</t>
        </is>
      </c>
      <c r="C3384" t="inlineStr">
        <is>
          <t>low</t>
        </is>
      </c>
      <c r="D3384"/>
      <c r="E3384"/>
      <c r="F3384"/>
      <c r="G3384" t="inlineStr">
        <is>
          <t>SLN/NLC crystallization heuristic</t>
        </is>
      </c>
      <c r="H3384" t="inlineStr">
        <is>
          <t>S007_EXCIPIENTS_HANDBOOK</t>
        </is>
      </c>
      <c r="I3384" t="inlineStr">
        <is>
          <t>curated</t>
        </is>
      </c>
      <c r="J3384">
        <v>0.6</v>
      </c>
      <c r="K3384"/>
    </row>
    <row r="3385">
      <c r="A3385" t="inlineStr">
        <is>
          <t>OIL_CAPRYLIC_ACID</t>
        </is>
      </c>
      <c r="B3385" t="inlineStr">
        <is>
          <t>polymorphism_notes</t>
        </is>
      </c>
      <c r="C3385" t="inlineStr">
        <is>
          <t>polymorphic behavior possible; DSC/XRPD required for final formulation</t>
        </is>
      </c>
      <c r="D3385"/>
      <c r="E3385"/>
      <c r="F3385"/>
      <c r="G3385"/>
      <c r="H3385" t="inlineStr">
        <is>
          <t>S014_AULTON</t>
        </is>
      </c>
      <c r="I3385" t="inlineStr">
        <is>
          <t>curated</t>
        </is>
      </c>
      <c r="J3385">
        <v>0.65</v>
      </c>
      <c r="K3385"/>
    </row>
    <row r="3386">
      <c r="A3386" t="inlineStr">
        <is>
          <t>OIL_CAPRYLIC_ACID</t>
        </is>
      </c>
      <c r="B3386" t="inlineStr">
        <is>
          <t>drug_solubilization_notes</t>
        </is>
      </c>
      <c r="C3386" t="inlineStr">
        <is>
          <t>medium-chain liquid lipid</t>
        </is>
      </c>
      <c r="D3386"/>
      <c r="E3386"/>
      <c r="F3386"/>
      <c r="G3386"/>
      <c r="H3386" t="inlineStr">
        <is>
          <t>S014_AULTON</t>
        </is>
      </c>
      <c r="I3386" t="inlineStr">
        <is>
          <t>curated</t>
        </is>
      </c>
      <c r="J3386">
        <v>0.6</v>
      </c>
      <c r="K3386"/>
    </row>
    <row r="3387">
      <c r="A3387" t="inlineStr">
        <is>
          <t>OIL_CAPRYLIC_ACID</t>
        </is>
      </c>
      <c r="B3387" t="inlineStr">
        <is>
          <t>route_suitability</t>
        </is>
      </c>
      <c r="C3387" t="inlineStr">
        <is>
          <t>SLN/NLC/nanoemulsion/lipid matrix; route-grade dependent</t>
        </is>
      </c>
      <c r="D3387"/>
      <c r="E3387"/>
      <c r="F3387"/>
      <c r="G3387"/>
      <c r="H3387" t="inlineStr">
        <is>
          <t>S008_FDA_IID</t>
        </is>
      </c>
      <c r="I3387" t="inlineStr">
        <is>
          <t>curated</t>
        </is>
      </c>
      <c r="J3387">
        <v>0.55</v>
      </c>
      <c r="K3387"/>
    </row>
    <row r="3388">
      <c r="A3388" t="inlineStr">
        <is>
          <t>OIL_CAPRYLIC_ACID</t>
        </is>
      </c>
      <c r="B3388" t="inlineStr">
        <is>
          <t>molar_volume_cm3_mol</t>
        </is>
      </c>
      <c r="C3388">
        <v>158.47</v>
      </c>
      <c r="D3388" t="inlineStr">
        <is>
          <t>cm3/mol</t>
        </is>
      </c>
      <c r="E3388"/>
      <c r="F3388"/>
      <c r="G3388" t="inlineStr">
        <is>
          <t>MW/density estimate</t>
        </is>
      </c>
      <c r="H3388" t="inlineStr">
        <is>
          <t>S012_CALCULATED</t>
        </is>
      </c>
      <c r="I3388" t="inlineStr">
        <is>
          <t>estimated</t>
        </is>
      </c>
      <c r="J3388">
        <v>0.48</v>
      </c>
      <c r="K3388" t="inlineStr">
        <is>
          <t>Estimated from MW/density; replace with measured molar volume or density-specific grade data.</t>
        </is>
      </c>
    </row>
    <row r="3389">
      <c r="A3389" t="inlineStr">
        <is>
          <t>OIL_CAPRYLIC_ACID</t>
        </is>
      </c>
      <c r="B3389" t="inlineStr">
        <is>
          <t>Hansen_delta_D</t>
        </is>
      </c>
      <c r="C3389">
        <v>17.0</v>
      </c>
      <c r="D3389" t="inlineStr">
        <is>
          <t>MPa^0.5</t>
        </is>
      </c>
      <c r="E3389"/>
      <c r="F3389"/>
      <c r="G3389" t="inlineStr">
        <is>
          <t>heuristic group-contribution/nearest-neighbour</t>
        </is>
      </c>
      <c r="H3389" t="inlineStr">
        <is>
          <t>S013_EST_HSP_HEURISTIC</t>
        </is>
      </c>
      <c r="I3389" t="inlineStr">
        <is>
          <t>estimated</t>
        </is>
      </c>
      <c r="J3389">
        <v>0.37</v>
      </c>
      <c r="K3389" t="inlineStr">
        <is>
          <t>Provisional HSP for screening; replace with experimental/literature value before model lock.</t>
        </is>
      </c>
    </row>
    <row r="3390">
      <c r="A3390" t="inlineStr">
        <is>
          <t>OIL_CAPRYLIC_ACID</t>
        </is>
      </c>
      <c r="B3390" t="inlineStr">
        <is>
          <t>Hansen_delta_P</t>
        </is>
      </c>
      <c r="C3390">
        <v>2.5</v>
      </c>
      <c r="D3390" t="inlineStr">
        <is>
          <t>MPa^0.5</t>
        </is>
      </c>
      <c r="E3390"/>
      <c r="F3390"/>
      <c r="G3390" t="inlineStr">
        <is>
          <t>heuristic group-contribution/nearest-neighbour</t>
        </is>
      </c>
      <c r="H3390" t="inlineStr">
        <is>
          <t>S013_EST_HSP_HEURISTIC</t>
        </is>
      </c>
      <c r="I3390" t="inlineStr">
        <is>
          <t>estimated</t>
        </is>
      </c>
      <c r="J3390">
        <v>0.37</v>
      </c>
      <c r="K3390" t="inlineStr">
        <is>
          <t>Provisional HSP for screening; replace with experimental/literature value before model lock.</t>
        </is>
      </c>
    </row>
    <row r="3391">
      <c r="A3391" t="inlineStr">
        <is>
          <t>OIL_CAPRYLIC_ACID</t>
        </is>
      </c>
      <c r="B3391" t="inlineStr">
        <is>
          <t>Hansen_delta_H</t>
        </is>
      </c>
      <c r="C3391">
        <v>5.0</v>
      </c>
      <c r="D3391" t="inlineStr">
        <is>
          <t>MPa^0.5</t>
        </is>
      </c>
      <c r="E3391"/>
      <c r="F3391"/>
      <c r="G3391" t="inlineStr">
        <is>
          <t>heuristic group-contribution/nearest-neighbour</t>
        </is>
      </c>
      <c r="H3391" t="inlineStr">
        <is>
          <t>S013_EST_HSP_HEURISTIC</t>
        </is>
      </c>
      <c r="I3391" t="inlineStr">
        <is>
          <t>estimated</t>
        </is>
      </c>
      <c r="J3391">
        <v>0.37</v>
      </c>
      <c r="K3391" t="inlineStr">
        <is>
          <t>Provisional HSP for screening; replace with experimental/literature value before model lock.</t>
        </is>
      </c>
    </row>
    <row r="3392">
      <c r="A3392" t="inlineStr">
        <is>
          <t>OIL_CAPRYLIC_ACID</t>
        </is>
      </c>
      <c r="B3392" t="inlineStr">
        <is>
          <t>Hildebrand_delta_T</t>
        </is>
      </c>
      <c r="C3392">
        <v>17.9</v>
      </c>
      <c r="D3392" t="inlineStr">
        <is>
          <t>MPa^0.5</t>
        </is>
      </c>
      <c r="E3392"/>
      <c r="F3392"/>
      <c r="G3392" t="inlineStr">
        <is>
          <t>sqrt(deltaD^2+deltaP^2+deltaH^2)</t>
        </is>
      </c>
      <c r="H3392" t="inlineStr">
        <is>
          <t>S012_CALCULATED</t>
        </is>
      </c>
      <c r="I3392" t="inlineStr">
        <is>
          <t>calculated</t>
        </is>
      </c>
      <c r="J3392">
        <v>0.42</v>
      </c>
      <c r="K3392" t="inlineStr">
        <is>
          <t>Derived from stored Hansen components.</t>
        </is>
      </c>
    </row>
    <row r="3393">
      <c r="A3393" t="inlineStr">
        <is>
          <t>OIL_CAPRYLIC_ACID</t>
        </is>
      </c>
      <c r="B3393" t="inlineStr">
        <is>
          <t>HSP_radius_R0</t>
        </is>
      </c>
      <c r="C3393">
        <v>7.0</v>
      </c>
      <c r="D3393" t="inlineStr">
        <is>
          <t>MPa^0.5</t>
        </is>
      </c>
      <c r="E3393"/>
      <c r="F3393"/>
      <c r="G3393" t="inlineStr">
        <is>
          <t>literature/heuristic solubility sphere</t>
        </is>
      </c>
      <c r="H3393" t="inlineStr">
        <is>
          <t>S013_EST_HSP_HEURISTIC</t>
        </is>
      </c>
      <c r="I3393" t="inlineStr">
        <is>
          <t>estimated</t>
        </is>
      </c>
      <c r="J3393">
        <v>0.37</v>
      </c>
      <c r="K3393" t="inlineStr">
        <is>
          <t>Screening radius only unless experimentally determined.</t>
        </is>
      </c>
    </row>
    <row r="3394">
      <c r="A3394" t="inlineStr">
        <is>
          <t>OIL_GLYCERYL_MONOSTEARATE</t>
        </is>
      </c>
      <c r="B3394" t="inlineStr">
        <is>
          <t>molecular_weight_g_mol</t>
        </is>
      </c>
      <c r="C3394">
        <v>358.56</v>
      </c>
      <c r="D3394" t="inlineStr">
        <is>
          <t>g/mol</t>
        </is>
      </c>
      <c r="E3394"/>
      <c r="F3394"/>
      <c r="G3394"/>
      <c r="H3394" t="inlineStr">
        <is>
          <t>S001_PUBCHEM</t>
        </is>
      </c>
      <c r="I3394" t="inlineStr">
        <is>
          <t>database-derived</t>
        </is>
      </c>
      <c r="J3394">
        <v>0.75</v>
      </c>
      <c r="K3394"/>
    </row>
    <row r="3395">
      <c r="A3395" t="inlineStr">
        <is>
          <t>OIL_GLYCERYL_MONOSTEARATE</t>
        </is>
      </c>
      <c r="B3395" t="inlineStr">
        <is>
          <t>density_g_ml</t>
        </is>
      </c>
      <c r="C3395">
        <v>0.97</v>
      </c>
      <c r="D3395" t="inlineStr">
        <is>
          <t>g/mL</t>
        </is>
      </c>
      <c r="E3395"/>
      <c r="F3395"/>
      <c r="G3395" t="inlineStr">
        <is>
          <t>20-25 °C unless otherwise specified</t>
        </is>
      </c>
      <c r="H3395" t="inlineStr">
        <is>
          <t>S007_EXCIPIENTS_HANDBOOK</t>
        </is>
      </c>
      <c r="I3395" t="inlineStr">
        <is>
          <t>handbook</t>
        </is>
      </c>
      <c r="J3395">
        <v>0.6</v>
      </c>
      <c r="K3395"/>
    </row>
    <row r="3396">
      <c r="A3396" t="inlineStr">
        <is>
          <t>OIL_GLYCERYL_MONOSTEARATE</t>
        </is>
      </c>
      <c r="B3396" t="inlineStr">
        <is>
          <t>melting_point_C</t>
        </is>
      </c>
      <c r="C3396">
        <v>58</v>
      </c>
      <c r="D3396" t="inlineStr">
        <is>
          <t>°C</t>
        </is>
      </c>
      <c r="E3396"/>
      <c r="F3396"/>
      <c r="G3396" t="inlineStr">
        <is>
          <t>melting/drop point range; grade-dependent</t>
        </is>
      </c>
      <c r="H3396" t="inlineStr">
        <is>
          <t>S007_EXCIPIENTS_HANDBOOK</t>
        </is>
      </c>
      <c r="I3396" t="inlineStr">
        <is>
          <t>handbook</t>
        </is>
      </c>
      <c r="J3396">
        <v>0.68</v>
      </c>
      <c r="K3396"/>
    </row>
    <row r="3397">
      <c r="A3397" t="inlineStr">
        <is>
          <t>OIL_GLYCERYL_MONOSTEARATE</t>
        </is>
      </c>
      <c r="B3397" t="inlineStr">
        <is>
          <t>lipid_state</t>
        </is>
      </c>
      <c r="C3397" t="inlineStr">
        <is>
          <t>solid</t>
        </is>
      </c>
      <c r="D3397"/>
      <c r="E3397"/>
      <c r="F3397"/>
      <c r="G3397"/>
      <c r="H3397" t="inlineStr">
        <is>
          <t>S007_EXCIPIENTS_HANDBOOK</t>
        </is>
      </c>
      <c r="I3397" t="inlineStr">
        <is>
          <t>curated</t>
        </is>
      </c>
      <c r="J3397">
        <v>0.75</v>
      </c>
      <c r="K3397"/>
    </row>
    <row r="3398">
      <c r="A3398" t="inlineStr">
        <is>
          <t>OIL_GLYCERYL_MONOSTEARATE</t>
        </is>
      </c>
      <c r="B3398" t="inlineStr">
        <is>
          <t>fatty_chain_length</t>
        </is>
      </c>
      <c r="C3398" t="inlineStr">
        <is>
          <t>C18:0 monoacylglycerol</t>
        </is>
      </c>
      <c r="D3398"/>
      <c r="E3398"/>
      <c r="F3398"/>
      <c r="G3398"/>
      <c r="H3398" t="inlineStr">
        <is>
          <t>S007_EXCIPIENTS_HANDBOOK</t>
        </is>
      </c>
      <c r="I3398" t="inlineStr">
        <is>
          <t>curated</t>
        </is>
      </c>
      <c r="J3398">
        <v>0.7</v>
      </c>
      <c r="K3398"/>
    </row>
    <row r="3399">
      <c r="A3399" t="inlineStr">
        <is>
          <t>OIL_GLYCERYL_MONOSTEARATE</t>
        </is>
      </c>
      <c r="B3399" t="inlineStr">
        <is>
          <t>unsaturation</t>
        </is>
      </c>
      <c r="C3399">
        <v>0</v>
      </c>
      <c r="D3399" t="inlineStr">
        <is>
          <t>double_bonds</t>
        </is>
      </c>
      <c r="E3399"/>
      <c r="F3399"/>
      <c r="G3399"/>
      <c r="H3399" t="inlineStr">
        <is>
          <t>S007_EXCIPIENTS_HANDBOOK</t>
        </is>
      </c>
      <c r="I3399" t="inlineStr">
        <is>
          <t>curated</t>
        </is>
      </c>
      <c r="J3399">
        <v>0.7</v>
      </c>
      <c r="K3399"/>
    </row>
    <row r="3400">
      <c r="A3400" t="inlineStr">
        <is>
          <t>OIL_GLYCERYL_MONOSTEARATE</t>
        </is>
      </c>
      <c r="B3400" t="inlineStr">
        <is>
          <t>crystallinity_risk</t>
        </is>
      </c>
      <c r="C3400" t="inlineStr">
        <is>
          <t>moderate</t>
        </is>
      </c>
      <c r="D3400"/>
      <c r="E3400"/>
      <c r="F3400"/>
      <c r="G3400" t="inlineStr">
        <is>
          <t>SLN/NLC crystallization heuristic</t>
        </is>
      </c>
      <c r="H3400" t="inlineStr">
        <is>
          <t>S007_EXCIPIENTS_HANDBOOK</t>
        </is>
      </c>
      <c r="I3400" t="inlineStr">
        <is>
          <t>curated</t>
        </is>
      </c>
      <c r="J3400">
        <v>0.6</v>
      </c>
      <c r="K3400"/>
    </row>
    <row r="3401">
      <c r="A3401" t="inlineStr">
        <is>
          <t>OIL_GLYCERYL_MONOSTEARATE</t>
        </is>
      </c>
      <c r="B3401" t="inlineStr">
        <is>
          <t>polymorphism_notes</t>
        </is>
      </c>
      <c r="C3401" t="inlineStr">
        <is>
          <t>polymorphic behavior possible; DSC/XRPD required for final formulation</t>
        </is>
      </c>
      <c r="D3401"/>
      <c r="E3401"/>
      <c r="F3401"/>
      <c r="G3401"/>
      <c r="H3401" t="inlineStr">
        <is>
          <t>S014_AULTON</t>
        </is>
      </c>
      <c r="I3401" t="inlineStr">
        <is>
          <t>curated</t>
        </is>
      </c>
      <c r="J3401">
        <v>0.65</v>
      </c>
      <c r="K3401"/>
    </row>
    <row r="3402">
      <c r="A3402" t="inlineStr">
        <is>
          <t>OIL_GLYCERYL_MONOSTEARATE</t>
        </is>
      </c>
      <c r="B3402" t="inlineStr">
        <is>
          <t>drug_solubilization_notes</t>
        </is>
      </c>
      <c r="C3402" t="inlineStr">
        <is>
          <t>amphiphilic solid lipid/emulsifier</t>
        </is>
      </c>
      <c r="D3402"/>
      <c r="E3402"/>
      <c r="F3402"/>
      <c r="G3402"/>
      <c r="H3402" t="inlineStr">
        <is>
          <t>S014_AULTON</t>
        </is>
      </c>
      <c r="I3402" t="inlineStr">
        <is>
          <t>curated</t>
        </is>
      </c>
      <c r="J3402">
        <v>0.6</v>
      </c>
      <c r="K3402"/>
    </row>
    <row r="3403">
      <c r="A3403" t="inlineStr">
        <is>
          <t>OIL_GLYCERYL_MONOSTEARATE</t>
        </is>
      </c>
      <c r="B3403" t="inlineStr">
        <is>
          <t>route_suitability</t>
        </is>
      </c>
      <c r="C3403" t="inlineStr">
        <is>
          <t>SLN/NLC/nanoemulsion/lipid matrix; route-grade dependent</t>
        </is>
      </c>
      <c r="D3403"/>
      <c r="E3403"/>
      <c r="F3403"/>
      <c r="G3403"/>
      <c r="H3403" t="inlineStr">
        <is>
          <t>S008_FDA_IID</t>
        </is>
      </c>
      <c r="I3403" t="inlineStr">
        <is>
          <t>curated</t>
        </is>
      </c>
      <c r="J3403">
        <v>0.55</v>
      </c>
      <c r="K3403"/>
    </row>
    <row r="3404">
      <c r="A3404" t="inlineStr">
        <is>
          <t>OIL_GLYCERYL_MONOSTEARATE</t>
        </is>
      </c>
      <c r="B3404" t="inlineStr">
        <is>
          <t>HLB_if_amphiphilic</t>
        </is>
      </c>
      <c r="C3404">
        <v>3.8</v>
      </c>
      <c r="D3404" t="inlineStr">
        <is>
          <t>HLB</t>
        </is>
      </c>
      <c r="E3404"/>
      <c r="F3404"/>
      <c r="G3404"/>
      <c r="H3404" t="inlineStr">
        <is>
          <t>S007_EXCIPIENTS_HANDBOOK</t>
        </is>
      </c>
      <c r="I3404" t="inlineStr">
        <is>
          <t>supplier-reported</t>
        </is>
      </c>
      <c r="J3404">
        <v>0.58</v>
      </c>
      <c r="K3404"/>
    </row>
    <row r="3405">
      <c r="A3405" t="inlineStr">
        <is>
          <t>OIL_GLYCERYL_MONOSTEARATE</t>
        </is>
      </c>
      <c r="B3405" t="inlineStr">
        <is>
          <t>molar_volume_cm3_mol</t>
        </is>
      </c>
      <c r="C3405">
        <v>369.65</v>
      </c>
      <c r="D3405" t="inlineStr">
        <is>
          <t>cm3/mol</t>
        </is>
      </c>
      <c r="E3405"/>
      <c r="F3405"/>
      <c r="G3405" t="inlineStr">
        <is>
          <t>MW/density estimate</t>
        </is>
      </c>
      <c r="H3405" t="inlineStr">
        <is>
          <t>S012_CALCULATED</t>
        </is>
      </c>
      <c r="I3405" t="inlineStr">
        <is>
          <t>estimated</t>
        </is>
      </c>
      <c r="J3405">
        <v>0.48</v>
      </c>
      <c r="K3405" t="inlineStr">
        <is>
          <t>Estimated from MW/density; replace with measured molar volume or density-specific grade data.</t>
        </is>
      </c>
    </row>
    <row r="3406">
      <c r="A3406" t="inlineStr">
        <is>
          <t>OIL_GLYCERYL_MONOSTEARATE</t>
        </is>
      </c>
      <c r="B3406" t="inlineStr">
        <is>
          <t>Hansen_delta_D</t>
        </is>
      </c>
      <c r="C3406">
        <v>17.0</v>
      </c>
      <c r="D3406" t="inlineStr">
        <is>
          <t>MPa^0.5</t>
        </is>
      </c>
      <c r="E3406"/>
      <c r="F3406"/>
      <c r="G3406" t="inlineStr">
        <is>
          <t>heuristic group-contribution/nearest-neighbour</t>
        </is>
      </c>
      <c r="H3406" t="inlineStr">
        <is>
          <t>S013_EST_HSP_HEURISTIC</t>
        </is>
      </c>
      <c r="I3406" t="inlineStr">
        <is>
          <t>estimated</t>
        </is>
      </c>
      <c r="J3406">
        <v>0.37</v>
      </c>
      <c r="K3406" t="inlineStr">
        <is>
          <t>Provisional HSP for screening; replace with experimental/literature value before model lock.</t>
        </is>
      </c>
    </row>
    <row r="3407">
      <c r="A3407" t="inlineStr">
        <is>
          <t>OIL_GLYCERYL_MONOSTEARATE</t>
        </is>
      </c>
      <c r="B3407" t="inlineStr">
        <is>
          <t>Hansen_delta_P</t>
        </is>
      </c>
      <c r="C3407">
        <v>4.5</v>
      </c>
      <c r="D3407" t="inlineStr">
        <is>
          <t>MPa^0.5</t>
        </is>
      </c>
      <c r="E3407"/>
      <c r="F3407"/>
      <c r="G3407" t="inlineStr">
        <is>
          <t>heuristic group-contribution/nearest-neighbour</t>
        </is>
      </c>
      <c r="H3407" t="inlineStr">
        <is>
          <t>S013_EST_HSP_HEURISTIC</t>
        </is>
      </c>
      <c r="I3407" t="inlineStr">
        <is>
          <t>estimated</t>
        </is>
      </c>
      <c r="J3407">
        <v>0.37</v>
      </c>
      <c r="K3407" t="inlineStr">
        <is>
          <t>Provisional HSP for screening; replace with experimental/literature value before model lock.</t>
        </is>
      </c>
    </row>
    <row r="3408">
      <c r="A3408" t="inlineStr">
        <is>
          <t>OIL_GLYCERYL_MONOSTEARATE</t>
        </is>
      </c>
      <c r="B3408" t="inlineStr">
        <is>
          <t>Hansen_delta_H</t>
        </is>
      </c>
      <c r="C3408">
        <v>7.0</v>
      </c>
      <c r="D3408" t="inlineStr">
        <is>
          <t>MPa^0.5</t>
        </is>
      </c>
      <c r="E3408"/>
      <c r="F3408"/>
      <c r="G3408" t="inlineStr">
        <is>
          <t>heuristic group-contribution/nearest-neighbour</t>
        </is>
      </c>
      <c r="H3408" t="inlineStr">
        <is>
          <t>S013_EST_HSP_HEURISTIC</t>
        </is>
      </c>
      <c r="I3408" t="inlineStr">
        <is>
          <t>estimated</t>
        </is>
      </c>
      <c r="J3408">
        <v>0.37</v>
      </c>
      <c r="K3408" t="inlineStr">
        <is>
          <t>Provisional HSP for screening; replace with experimental/literature value before model lock.</t>
        </is>
      </c>
    </row>
    <row r="3409">
      <c r="A3409" t="inlineStr">
        <is>
          <t>OIL_GLYCERYL_MONOSTEARATE</t>
        </is>
      </c>
      <c r="B3409" t="inlineStr">
        <is>
          <t>Hildebrand_delta_T</t>
        </is>
      </c>
      <c r="C3409">
        <v>18.93</v>
      </c>
      <c r="D3409" t="inlineStr">
        <is>
          <t>MPa^0.5</t>
        </is>
      </c>
      <c r="E3409"/>
      <c r="F3409"/>
      <c r="G3409" t="inlineStr">
        <is>
          <t>sqrt(deltaD^2+deltaP^2+deltaH^2)</t>
        </is>
      </c>
      <c r="H3409" t="inlineStr">
        <is>
          <t>S012_CALCULATED</t>
        </is>
      </c>
      <c r="I3409" t="inlineStr">
        <is>
          <t>calculated</t>
        </is>
      </c>
      <c r="J3409">
        <v>0.42</v>
      </c>
      <c r="K3409" t="inlineStr">
        <is>
          <t>Derived from stored Hansen components.</t>
        </is>
      </c>
    </row>
    <row r="3410">
      <c r="A3410" t="inlineStr">
        <is>
          <t>OIL_GLYCERYL_MONOSTEARATE</t>
        </is>
      </c>
      <c r="B3410" t="inlineStr">
        <is>
          <t>HSP_radius_R0</t>
        </is>
      </c>
      <c r="C3410">
        <v>7.0</v>
      </c>
      <c r="D3410" t="inlineStr">
        <is>
          <t>MPa^0.5</t>
        </is>
      </c>
      <c r="E3410"/>
      <c r="F3410"/>
      <c r="G3410" t="inlineStr">
        <is>
          <t>literature/heuristic solubility sphere</t>
        </is>
      </c>
      <c r="H3410" t="inlineStr">
        <is>
          <t>S013_EST_HSP_HEURISTIC</t>
        </is>
      </c>
      <c r="I3410" t="inlineStr">
        <is>
          <t>estimated</t>
        </is>
      </c>
      <c r="J3410">
        <v>0.37</v>
      </c>
      <c r="K3410" t="inlineStr">
        <is>
          <t>Screening radius only unless experimentally determined.</t>
        </is>
      </c>
    </row>
    <row r="3411">
      <c r="A3411" t="inlineStr">
        <is>
          <t>OIL_GLYCERYL_BEHENATE_COMPRITOL_888_ATO</t>
        </is>
      </c>
      <c r="B3411" t="inlineStr">
        <is>
          <t>average_MW</t>
        </is>
      </c>
      <c r="C3411">
        <v>900</v>
      </c>
      <c r="D3411" t="inlineStr">
        <is>
          <t>g/mol</t>
        </is>
      </c>
      <c r="E3411"/>
      <c r="F3411"/>
      <c r="G3411" t="inlineStr">
        <is>
          <t>mixture average/grade-dependent</t>
        </is>
      </c>
      <c r="H3411" t="inlineStr">
        <is>
          <t>S007_EXCIPIENTS_HANDBOOK</t>
        </is>
      </c>
      <c r="I3411" t="inlineStr">
        <is>
          <t>supplier-reported</t>
        </is>
      </c>
      <c r="J3411">
        <v>0.55</v>
      </c>
      <c r="K3411"/>
    </row>
    <row r="3412">
      <c r="A3412" t="inlineStr">
        <is>
          <t>OIL_GLYCERYL_BEHENATE_COMPRITOL_888_ATO</t>
        </is>
      </c>
      <c r="B3412" t="inlineStr">
        <is>
          <t>density_g_ml</t>
        </is>
      </c>
      <c r="C3412">
        <v>0.98</v>
      </c>
      <c r="D3412" t="inlineStr">
        <is>
          <t>g/mL</t>
        </is>
      </c>
      <c r="E3412"/>
      <c r="F3412"/>
      <c r="G3412" t="inlineStr">
        <is>
          <t>20-25 °C unless otherwise specified</t>
        </is>
      </c>
      <c r="H3412" t="inlineStr">
        <is>
          <t>S007_EXCIPIENTS_HANDBOOK</t>
        </is>
      </c>
      <c r="I3412" t="inlineStr">
        <is>
          <t>handbook</t>
        </is>
      </c>
      <c r="J3412">
        <v>0.6</v>
      </c>
      <c r="K3412"/>
    </row>
    <row r="3413">
      <c r="A3413" t="inlineStr">
        <is>
          <t>OIL_GLYCERYL_BEHENATE_COMPRITOL_888_ATO</t>
        </is>
      </c>
      <c r="B3413" t="inlineStr">
        <is>
          <t>melting_point_C</t>
        </is>
      </c>
      <c r="C3413">
        <v>70</v>
      </c>
      <c r="D3413" t="inlineStr">
        <is>
          <t>°C</t>
        </is>
      </c>
      <c r="E3413"/>
      <c r="F3413"/>
      <c r="G3413" t="inlineStr">
        <is>
          <t>melting/drop point range; grade-dependent</t>
        </is>
      </c>
      <c r="H3413" t="inlineStr">
        <is>
          <t>S007_EXCIPIENTS_HANDBOOK</t>
        </is>
      </c>
      <c r="I3413" t="inlineStr">
        <is>
          <t>handbook</t>
        </is>
      </c>
      <c r="J3413">
        <v>0.68</v>
      </c>
      <c r="K3413"/>
    </row>
    <row r="3414">
      <c r="A3414" t="inlineStr">
        <is>
          <t>OIL_GLYCERYL_BEHENATE_COMPRITOL_888_ATO</t>
        </is>
      </c>
      <c r="B3414" t="inlineStr">
        <is>
          <t>lipid_state</t>
        </is>
      </c>
      <c r="C3414" t="inlineStr">
        <is>
          <t>solid</t>
        </is>
      </c>
      <c r="D3414"/>
      <c r="E3414"/>
      <c r="F3414"/>
      <c r="G3414"/>
      <c r="H3414" t="inlineStr">
        <is>
          <t>S007_EXCIPIENTS_HANDBOOK</t>
        </is>
      </c>
      <c r="I3414" t="inlineStr">
        <is>
          <t>curated</t>
        </is>
      </c>
      <c r="J3414">
        <v>0.75</v>
      </c>
      <c r="K3414"/>
    </row>
    <row r="3415">
      <c r="A3415" t="inlineStr">
        <is>
          <t>OIL_GLYCERYL_BEHENATE_COMPRITOL_888_ATO</t>
        </is>
      </c>
      <c r="B3415" t="inlineStr">
        <is>
          <t>fatty_chain_length</t>
        </is>
      </c>
      <c r="C3415" t="inlineStr">
        <is>
          <t>C22 glyceride mixture</t>
        </is>
      </c>
      <c r="D3415"/>
      <c r="E3415"/>
      <c r="F3415"/>
      <c r="G3415"/>
      <c r="H3415" t="inlineStr">
        <is>
          <t>S007_EXCIPIENTS_HANDBOOK</t>
        </is>
      </c>
      <c r="I3415" t="inlineStr">
        <is>
          <t>curated</t>
        </is>
      </c>
      <c r="J3415">
        <v>0.7</v>
      </c>
      <c r="K3415"/>
    </row>
    <row r="3416">
      <c r="A3416" t="inlineStr">
        <is>
          <t>OIL_GLYCERYL_BEHENATE_COMPRITOL_888_ATO</t>
        </is>
      </c>
      <c r="B3416" t="inlineStr">
        <is>
          <t>unsaturation</t>
        </is>
      </c>
      <c r="C3416">
        <v>0</v>
      </c>
      <c r="D3416" t="inlineStr">
        <is>
          <t>double_bonds</t>
        </is>
      </c>
      <c r="E3416"/>
      <c r="F3416"/>
      <c r="G3416"/>
      <c r="H3416" t="inlineStr">
        <is>
          <t>S007_EXCIPIENTS_HANDBOOK</t>
        </is>
      </c>
      <c r="I3416" t="inlineStr">
        <is>
          <t>curated</t>
        </is>
      </c>
      <c r="J3416">
        <v>0.7</v>
      </c>
      <c r="K3416"/>
    </row>
    <row r="3417">
      <c r="A3417" t="inlineStr">
        <is>
          <t>OIL_GLYCERYL_BEHENATE_COMPRITOL_888_ATO</t>
        </is>
      </c>
      <c r="B3417" t="inlineStr">
        <is>
          <t>crystallinity_risk</t>
        </is>
      </c>
      <c r="C3417" t="inlineStr">
        <is>
          <t>high</t>
        </is>
      </c>
      <c r="D3417"/>
      <c r="E3417"/>
      <c r="F3417"/>
      <c r="G3417" t="inlineStr">
        <is>
          <t>SLN/NLC crystallization heuristic</t>
        </is>
      </c>
      <c r="H3417" t="inlineStr">
        <is>
          <t>S007_EXCIPIENTS_HANDBOOK</t>
        </is>
      </c>
      <c r="I3417" t="inlineStr">
        <is>
          <t>curated</t>
        </is>
      </c>
      <c r="J3417">
        <v>0.6</v>
      </c>
      <c r="K3417"/>
    </row>
    <row r="3418">
      <c r="A3418" t="inlineStr">
        <is>
          <t>OIL_GLYCERYL_BEHENATE_COMPRITOL_888_ATO</t>
        </is>
      </c>
      <c r="B3418" t="inlineStr">
        <is>
          <t>polymorphism_notes</t>
        </is>
      </c>
      <c r="C3418" t="inlineStr">
        <is>
          <t>polymorphic behavior possible; DSC/XRPD required for final formulation</t>
        </is>
      </c>
      <c r="D3418"/>
      <c r="E3418"/>
      <c r="F3418"/>
      <c r="G3418"/>
      <c r="H3418" t="inlineStr">
        <is>
          <t>S014_AULTON</t>
        </is>
      </c>
      <c r="I3418" t="inlineStr">
        <is>
          <t>curated</t>
        </is>
      </c>
      <c r="J3418">
        <v>0.65</v>
      </c>
      <c r="K3418"/>
    </row>
    <row r="3419">
      <c r="A3419" t="inlineStr">
        <is>
          <t>OIL_GLYCERYL_BEHENATE_COMPRITOL_888_ATO</t>
        </is>
      </c>
      <c r="B3419" t="inlineStr">
        <is>
          <t>drug_solubilization_notes</t>
        </is>
      </c>
      <c r="C3419" t="inlineStr">
        <is>
          <t>sustained-release SLN matrix; mixture</t>
        </is>
      </c>
      <c r="D3419"/>
      <c r="E3419"/>
      <c r="F3419"/>
      <c r="G3419"/>
      <c r="H3419" t="inlineStr">
        <is>
          <t>S014_AULTON</t>
        </is>
      </c>
      <c r="I3419" t="inlineStr">
        <is>
          <t>curated</t>
        </is>
      </c>
      <c r="J3419">
        <v>0.6</v>
      </c>
      <c r="K3419"/>
    </row>
    <row r="3420">
      <c r="A3420" t="inlineStr">
        <is>
          <t>OIL_GLYCERYL_BEHENATE_COMPRITOL_888_ATO</t>
        </is>
      </c>
      <c r="B3420" t="inlineStr">
        <is>
          <t>route_suitability</t>
        </is>
      </c>
      <c r="C3420" t="inlineStr">
        <is>
          <t>SLN/NLC/nanoemulsion/lipid matrix; route-grade dependent</t>
        </is>
      </c>
      <c r="D3420"/>
      <c r="E3420"/>
      <c r="F3420"/>
      <c r="G3420"/>
      <c r="H3420" t="inlineStr">
        <is>
          <t>S008_FDA_IID</t>
        </is>
      </c>
      <c r="I3420" t="inlineStr">
        <is>
          <t>curated</t>
        </is>
      </c>
      <c r="J3420">
        <v>0.55</v>
      </c>
      <c r="K3420"/>
    </row>
    <row r="3421">
      <c r="A3421" t="inlineStr">
        <is>
          <t>OIL_GLYCERYL_BEHENATE_COMPRITOL_888_ATO</t>
        </is>
      </c>
      <c r="B3421" t="inlineStr">
        <is>
          <t>HLB_if_amphiphilic</t>
        </is>
      </c>
      <c r="C3421">
        <v>2</v>
      </c>
      <c r="D3421" t="inlineStr">
        <is>
          <t>HLB</t>
        </is>
      </c>
      <c r="E3421"/>
      <c r="F3421"/>
      <c r="G3421"/>
      <c r="H3421" t="inlineStr">
        <is>
          <t>S007_EXCIPIENTS_HANDBOOK</t>
        </is>
      </c>
      <c r="I3421" t="inlineStr">
        <is>
          <t>supplier-reported</t>
        </is>
      </c>
      <c r="J3421">
        <v>0.58</v>
      </c>
      <c r="K3421"/>
    </row>
    <row r="3422">
      <c r="A3422" t="inlineStr">
        <is>
          <t>OIL_GLYCERYL_BEHENATE_COMPRITOL_888_ATO</t>
        </is>
      </c>
      <c r="B3422" t="inlineStr">
        <is>
          <t>molar_volume_cm3_mol</t>
        </is>
      </c>
      <c r="C3422">
        <v>918.37</v>
      </c>
      <c r="D3422" t="inlineStr">
        <is>
          <t>cm3/mol</t>
        </is>
      </c>
      <c r="E3422"/>
      <c r="F3422"/>
      <c r="G3422" t="inlineStr">
        <is>
          <t>MW/density estimate</t>
        </is>
      </c>
      <c r="H3422" t="inlineStr">
        <is>
          <t>S012_CALCULATED</t>
        </is>
      </c>
      <c r="I3422" t="inlineStr">
        <is>
          <t>estimated</t>
        </is>
      </c>
      <c r="J3422">
        <v>0.35</v>
      </c>
      <c r="K3422" t="inlineStr">
        <is>
          <t>Estimated from MW/density; replace with measured molar volume or density-specific grade data.</t>
        </is>
      </c>
    </row>
    <row r="3423">
      <c r="A3423" t="inlineStr">
        <is>
          <t>OIL_GLYCERYL_BEHENATE_COMPRITOL_888_ATO</t>
        </is>
      </c>
      <c r="B3423" t="inlineStr">
        <is>
          <t>Hansen_delta_D</t>
        </is>
      </c>
      <c r="C3423">
        <v>17.0</v>
      </c>
      <c r="D3423" t="inlineStr">
        <is>
          <t>MPa^0.5</t>
        </is>
      </c>
      <c r="E3423"/>
      <c r="F3423"/>
      <c r="G3423" t="inlineStr">
        <is>
          <t>heuristic group-contribution/nearest-neighbour</t>
        </is>
      </c>
      <c r="H3423" t="inlineStr">
        <is>
          <t>S013_EST_HSP_HEURISTIC</t>
        </is>
      </c>
      <c r="I3423" t="inlineStr">
        <is>
          <t>estimated</t>
        </is>
      </c>
      <c r="J3423">
        <v>0.37</v>
      </c>
      <c r="K3423" t="inlineStr">
        <is>
          <t>Provisional HSP for screening; replace with experimental/literature value before model lock.</t>
        </is>
      </c>
    </row>
    <row r="3424">
      <c r="A3424" t="inlineStr">
        <is>
          <t>OIL_GLYCERYL_BEHENATE_COMPRITOL_888_ATO</t>
        </is>
      </c>
      <c r="B3424" t="inlineStr">
        <is>
          <t>Hansen_delta_P</t>
        </is>
      </c>
      <c r="C3424">
        <v>4.5</v>
      </c>
      <c r="D3424" t="inlineStr">
        <is>
          <t>MPa^0.5</t>
        </is>
      </c>
      <c r="E3424"/>
      <c r="F3424"/>
      <c r="G3424" t="inlineStr">
        <is>
          <t>heuristic group-contribution/nearest-neighbour</t>
        </is>
      </c>
      <c r="H3424" t="inlineStr">
        <is>
          <t>S013_EST_HSP_HEURISTIC</t>
        </is>
      </c>
      <c r="I3424" t="inlineStr">
        <is>
          <t>estimated</t>
        </is>
      </c>
      <c r="J3424">
        <v>0.37</v>
      </c>
      <c r="K3424" t="inlineStr">
        <is>
          <t>Provisional HSP for screening; replace with experimental/literature value before model lock.</t>
        </is>
      </c>
    </row>
    <row r="3425">
      <c r="A3425" t="inlineStr">
        <is>
          <t>OIL_GLYCERYL_BEHENATE_COMPRITOL_888_ATO</t>
        </is>
      </c>
      <c r="B3425" t="inlineStr">
        <is>
          <t>Hansen_delta_H</t>
        </is>
      </c>
      <c r="C3425">
        <v>7.0</v>
      </c>
      <c r="D3425" t="inlineStr">
        <is>
          <t>MPa^0.5</t>
        </is>
      </c>
      <c r="E3425"/>
      <c r="F3425"/>
      <c r="G3425" t="inlineStr">
        <is>
          <t>heuristic group-contribution/nearest-neighbour</t>
        </is>
      </c>
      <c r="H3425" t="inlineStr">
        <is>
          <t>S013_EST_HSP_HEURISTIC</t>
        </is>
      </c>
      <c r="I3425" t="inlineStr">
        <is>
          <t>estimated</t>
        </is>
      </c>
      <c r="J3425">
        <v>0.37</v>
      </c>
      <c r="K3425" t="inlineStr">
        <is>
          <t>Provisional HSP for screening; replace with experimental/literature value before model lock.</t>
        </is>
      </c>
    </row>
    <row r="3426">
      <c r="A3426" t="inlineStr">
        <is>
          <t>OIL_GLYCERYL_BEHENATE_COMPRITOL_888_ATO</t>
        </is>
      </c>
      <c r="B3426" t="inlineStr">
        <is>
          <t>Hildebrand_delta_T</t>
        </is>
      </c>
      <c r="C3426">
        <v>18.93</v>
      </c>
      <c r="D3426" t="inlineStr">
        <is>
          <t>MPa^0.5</t>
        </is>
      </c>
      <c r="E3426"/>
      <c r="F3426"/>
      <c r="G3426" t="inlineStr">
        <is>
          <t>sqrt(deltaD^2+deltaP^2+deltaH^2)</t>
        </is>
      </c>
      <c r="H3426" t="inlineStr">
        <is>
          <t>S012_CALCULATED</t>
        </is>
      </c>
      <c r="I3426" t="inlineStr">
        <is>
          <t>calculated</t>
        </is>
      </c>
      <c r="J3426">
        <v>0.42</v>
      </c>
      <c r="K3426" t="inlineStr">
        <is>
          <t>Derived from stored Hansen components.</t>
        </is>
      </c>
    </row>
    <row r="3427">
      <c r="A3427" t="inlineStr">
        <is>
          <t>OIL_GLYCERYL_BEHENATE_COMPRITOL_888_ATO</t>
        </is>
      </c>
      <c r="B3427" t="inlineStr">
        <is>
          <t>HSP_radius_R0</t>
        </is>
      </c>
      <c r="C3427">
        <v>7.0</v>
      </c>
      <c r="D3427" t="inlineStr">
        <is>
          <t>MPa^0.5</t>
        </is>
      </c>
      <c r="E3427"/>
      <c r="F3427"/>
      <c r="G3427" t="inlineStr">
        <is>
          <t>literature/heuristic solubility sphere</t>
        </is>
      </c>
      <c r="H3427" t="inlineStr">
        <is>
          <t>S013_EST_HSP_HEURISTIC</t>
        </is>
      </c>
      <c r="I3427" t="inlineStr">
        <is>
          <t>estimated</t>
        </is>
      </c>
      <c r="J3427">
        <v>0.37</v>
      </c>
      <c r="K3427" t="inlineStr">
        <is>
          <t>Screening radius only unless experimentally determined.</t>
        </is>
      </c>
    </row>
    <row r="3428">
      <c r="A3428" t="inlineStr">
        <is>
          <t>OIL_GLYCERYL_PALMITOSTEARATE_PRECIROL_ATO_5</t>
        </is>
      </c>
      <c r="B3428" t="inlineStr">
        <is>
          <t>average_MW</t>
        </is>
      </c>
      <c r="C3428">
        <v>650</v>
      </c>
      <c r="D3428" t="inlineStr">
        <is>
          <t>g/mol</t>
        </is>
      </c>
      <c r="E3428"/>
      <c r="F3428"/>
      <c r="G3428" t="inlineStr">
        <is>
          <t>mixture average/grade-dependent</t>
        </is>
      </c>
      <c r="H3428" t="inlineStr">
        <is>
          <t>S007_EXCIPIENTS_HANDBOOK</t>
        </is>
      </c>
      <c r="I3428" t="inlineStr">
        <is>
          <t>supplier-reported</t>
        </is>
      </c>
      <c r="J3428">
        <v>0.55</v>
      </c>
      <c r="K3428"/>
    </row>
    <row r="3429">
      <c r="A3429" t="inlineStr">
        <is>
          <t>OIL_GLYCERYL_PALMITOSTEARATE_PRECIROL_ATO_5</t>
        </is>
      </c>
      <c r="B3429" t="inlineStr">
        <is>
          <t>density_g_ml</t>
        </is>
      </c>
      <c r="C3429">
        <v>0.96</v>
      </c>
      <c r="D3429" t="inlineStr">
        <is>
          <t>g/mL</t>
        </is>
      </c>
      <c r="E3429"/>
      <c r="F3429"/>
      <c r="G3429" t="inlineStr">
        <is>
          <t>20-25 °C unless otherwise specified</t>
        </is>
      </c>
      <c r="H3429" t="inlineStr">
        <is>
          <t>S007_EXCIPIENTS_HANDBOOK</t>
        </is>
      </c>
      <c r="I3429" t="inlineStr">
        <is>
          <t>handbook</t>
        </is>
      </c>
      <c r="J3429">
        <v>0.6</v>
      </c>
      <c r="K3429"/>
    </row>
    <row r="3430">
      <c r="A3430" t="inlineStr">
        <is>
          <t>OIL_GLYCERYL_PALMITOSTEARATE_PRECIROL_ATO_5</t>
        </is>
      </c>
      <c r="B3430" t="inlineStr">
        <is>
          <t>melting_point_C</t>
        </is>
      </c>
      <c r="C3430">
        <v>55</v>
      </c>
      <c r="D3430" t="inlineStr">
        <is>
          <t>°C</t>
        </is>
      </c>
      <c r="E3430"/>
      <c r="F3430"/>
      <c r="G3430" t="inlineStr">
        <is>
          <t>melting/drop point range; grade-dependent</t>
        </is>
      </c>
      <c r="H3430" t="inlineStr">
        <is>
          <t>S007_EXCIPIENTS_HANDBOOK</t>
        </is>
      </c>
      <c r="I3430" t="inlineStr">
        <is>
          <t>handbook</t>
        </is>
      </c>
      <c r="J3430">
        <v>0.68</v>
      </c>
      <c r="K3430"/>
    </row>
    <row r="3431">
      <c r="A3431" t="inlineStr">
        <is>
          <t>OIL_GLYCERYL_PALMITOSTEARATE_PRECIROL_ATO_5</t>
        </is>
      </c>
      <c r="B3431" t="inlineStr">
        <is>
          <t>lipid_state</t>
        </is>
      </c>
      <c r="C3431" t="inlineStr">
        <is>
          <t>solid</t>
        </is>
      </c>
      <c r="D3431"/>
      <c r="E3431"/>
      <c r="F3431"/>
      <c r="G3431"/>
      <c r="H3431" t="inlineStr">
        <is>
          <t>S007_EXCIPIENTS_HANDBOOK</t>
        </is>
      </c>
      <c r="I3431" t="inlineStr">
        <is>
          <t>curated</t>
        </is>
      </c>
      <c r="J3431">
        <v>0.75</v>
      </c>
      <c r="K3431"/>
    </row>
    <row r="3432">
      <c r="A3432" t="inlineStr">
        <is>
          <t>OIL_GLYCERYL_PALMITOSTEARATE_PRECIROL_ATO_5</t>
        </is>
      </c>
      <c r="B3432" t="inlineStr">
        <is>
          <t>fatty_chain_length</t>
        </is>
      </c>
      <c r="C3432" t="inlineStr">
        <is>
          <t>C16/C18 glyceride mixture</t>
        </is>
      </c>
      <c r="D3432"/>
      <c r="E3432"/>
      <c r="F3432"/>
      <c r="G3432"/>
      <c r="H3432" t="inlineStr">
        <is>
          <t>S007_EXCIPIENTS_HANDBOOK</t>
        </is>
      </c>
      <c r="I3432" t="inlineStr">
        <is>
          <t>curated</t>
        </is>
      </c>
      <c r="J3432">
        <v>0.7</v>
      </c>
      <c r="K3432"/>
    </row>
    <row r="3433">
      <c r="A3433" t="inlineStr">
        <is>
          <t>OIL_GLYCERYL_PALMITOSTEARATE_PRECIROL_ATO_5</t>
        </is>
      </c>
      <c r="B3433" t="inlineStr">
        <is>
          <t>unsaturation</t>
        </is>
      </c>
      <c r="C3433">
        <v>0</v>
      </c>
      <c r="D3433" t="inlineStr">
        <is>
          <t>double_bonds</t>
        </is>
      </c>
      <c r="E3433"/>
      <c r="F3433"/>
      <c r="G3433"/>
      <c r="H3433" t="inlineStr">
        <is>
          <t>S007_EXCIPIENTS_HANDBOOK</t>
        </is>
      </c>
      <c r="I3433" t="inlineStr">
        <is>
          <t>curated</t>
        </is>
      </c>
      <c r="J3433">
        <v>0.7</v>
      </c>
      <c r="K3433"/>
    </row>
    <row r="3434">
      <c r="A3434" t="inlineStr">
        <is>
          <t>OIL_GLYCERYL_PALMITOSTEARATE_PRECIROL_ATO_5</t>
        </is>
      </c>
      <c r="B3434" t="inlineStr">
        <is>
          <t>crystallinity_risk</t>
        </is>
      </c>
      <c r="C3434" t="inlineStr">
        <is>
          <t>high</t>
        </is>
      </c>
      <c r="D3434"/>
      <c r="E3434"/>
      <c r="F3434"/>
      <c r="G3434" t="inlineStr">
        <is>
          <t>SLN/NLC crystallization heuristic</t>
        </is>
      </c>
      <c r="H3434" t="inlineStr">
        <is>
          <t>S007_EXCIPIENTS_HANDBOOK</t>
        </is>
      </c>
      <c r="I3434" t="inlineStr">
        <is>
          <t>curated</t>
        </is>
      </c>
      <c r="J3434">
        <v>0.6</v>
      </c>
      <c r="K3434"/>
    </row>
    <row r="3435">
      <c r="A3435" t="inlineStr">
        <is>
          <t>OIL_GLYCERYL_PALMITOSTEARATE_PRECIROL_ATO_5</t>
        </is>
      </c>
      <c r="B3435" t="inlineStr">
        <is>
          <t>polymorphism_notes</t>
        </is>
      </c>
      <c r="C3435" t="inlineStr">
        <is>
          <t>polymorphic behavior possible; DSC/XRPD required for final formulation</t>
        </is>
      </c>
      <c r="D3435"/>
      <c r="E3435"/>
      <c r="F3435"/>
      <c r="G3435"/>
      <c r="H3435" t="inlineStr">
        <is>
          <t>S014_AULTON</t>
        </is>
      </c>
      <c r="I3435" t="inlineStr">
        <is>
          <t>curated</t>
        </is>
      </c>
      <c r="J3435">
        <v>0.65</v>
      </c>
      <c r="K3435"/>
    </row>
    <row r="3436">
      <c r="A3436" t="inlineStr">
        <is>
          <t>OIL_GLYCERYL_PALMITOSTEARATE_PRECIROL_ATO_5</t>
        </is>
      </c>
      <c r="B3436" t="inlineStr">
        <is>
          <t>drug_solubilization_notes</t>
        </is>
      </c>
      <c r="C3436" t="inlineStr">
        <is>
          <t>solid lipid matrix</t>
        </is>
      </c>
      <c r="D3436"/>
      <c r="E3436"/>
      <c r="F3436"/>
      <c r="G3436"/>
      <c r="H3436" t="inlineStr">
        <is>
          <t>S014_AULTON</t>
        </is>
      </c>
      <c r="I3436" t="inlineStr">
        <is>
          <t>curated</t>
        </is>
      </c>
      <c r="J3436">
        <v>0.6</v>
      </c>
      <c r="K3436"/>
    </row>
    <row r="3437">
      <c r="A3437" t="inlineStr">
        <is>
          <t>OIL_GLYCERYL_PALMITOSTEARATE_PRECIROL_ATO_5</t>
        </is>
      </c>
      <c r="B3437" t="inlineStr">
        <is>
          <t>route_suitability</t>
        </is>
      </c>
      <c r="C3437" t="inlineStr">
        <is>
          <t>SLN/NLC/nanoemulsion/lipid matrix; route-grade dependent</t>
        </is>
      </c>
      <c r="D3437"/>
      <c r="E3437"/>
      <c r="F3437"/>
      <c r="G3437"/>
      <c r="H3437" t="inlineStr">
        <is>
          <t>S008_FDA_IID</t>
        </is>
      </c>
      <c r="I3437" t="inlineStr">
        <is>
          <t>curated</t>
        </is>
      </c>
      <c r="J3437">
        <v>0.55</v>
      </c>
      <c r="K3437"/>
    </row>
    <row r="3438">
      <c r="A3438" t="inlineStr">
        <is>
          <t>OIL_GLYCERYL_PALMITOSTEARATE_PRECIROL_ATO_5</t>
        </is>
      </c>
      <c r="B3438" t="inlineStr">
        <is>
          <t>HLB_if_amphiphilic</t>
        </is>
      </c>
      <c r="C3438">
        <v>2</v>
      </c>
      <c r="D3438" t="inlineStr">
        <is>
          <t>HLB</t>
        </is>
      </c>
      <c r="E3438"/>
      <c r="F3438"/>
      <c r="G3438"/>
      <c r="H3438" t="inlineStr">
        <is>
          <t>S007_EXCIPIENTS_HANDBOOK</t>
        </is>
      </c>
      <c r="I3438" t="inlineStr">
        <is>
          <t>supplier-reported</t>
        </is>
      </c>
      <c r="J3438">
        <v>0.58</v>
      </c>
      <c r="K3438"/>
    </row>
    <row r="3439">
      <c r="A3439" t="inlineStr">
        <is>
          <t>OIL_GLYCERYL_PALMITOSTEARATE_PRECIROL_ATO_5</t>
        </is>
      </c>
      <c r="B3439" t="inlineStr">
        <is>
          <t>molar_volume_cm3_mol</t>
        </is>
      </c>
      <c r="C3439">
        <v>677.08</v>
      </c>
      <c r="D3439" t="inlineStr">
        <is>
          <t>cm3/mol</t>
        </is>
      </c>
      <c r="E3439"/>
      <c r="F3439"/>
      <c r="G3439" t="inlineStr">
        <is>
          <t>MW/density estimate</t>
        </is>
      </c>
      <c r="H3439" t="inlineStr">
        <is>
          <t>S012_CALCULATED</t>
        </is>
      </c>
      <c r="I3439" t="inlineStr">
        <is>
          <t>estimated</t>
        </is>
      </c>
      <c r="J3439">
        <v>0.35</v>
      </c>
      <c r="K3439" t="inlineStr">
        <is>
          <t>Estimated from MW/density; replace with measured molar volume or density-specific grade data.</t>
        </is>
      </c>
    </row>
    <row r="3440">
      <c r="A3440" t="inlineStr">
        <is>
          <t>OIL_GLYCERYL_PALMITOSTEARATE_PRECIROL_ATO_5</t>
        </is>
      </c>
      <c r="B3440" t="inlineStr">
        <is>
          <t>Hansen_delta_D</t>
        </is>
      </c>
      <c r="C3440">
        <v>17.0</v>
      </c>
      <c r="D3440" t="inlineStr">
        <is>
          <t>MPa^0.5</t>
        </is>
      </c>
      <c r="E3440"/>
      <c r="F3440"/>
      <c r="G3440" t="inlineStr">
        <is>
          <t>heuristic group-contribution/nearest-neighbour</t>
        </is>
      </c>
      <c r="H3440" t="inlineStr">
        <is>
          <t>S013_EST_HSP_HEURISTIC</t>
        </is>
      </c>
      <c r="I3440" t="inlineStr">
        <is>
          <t>estimated</t>
        </is>
      </c>
      <c r="J3440">
        <v>0.37</v>
      </c>
      <c r="K3440" t="inlineStr">
        <is>
          <t>Provisional HSP for screening; replace with experimental/literature value before model lock.</t>
        </is>
      </c>
    </row>
    <row r="3441">
      <c r="A3441" t="inlineStr">
        <is>
          <t>OIL_GLYCERYL_PALMITOSTEARATE_PRECIROL_ATO_5</t>
        </is>
      </c>
      <c r="B3441" t="inlineStr">
        <is>
          <t>Hansen_delta_P</t>
        </is>
      </c>
      <c r="C3441">
        <v>4.5</v>
      </c>
      <c r="D3441" t="inlineStr">
        <is>
          <t>MPa^0.5</t>
        </is>
      </c>
      <c r="E3441"/>
      <c r="F3441"/>
      <c r="G3441" t="inlineStr">
        <is>
          <t>heuristic group-contribution/nearest-neighbour</t>
        </is>
      </c>
      <c r="H3441" t="inlineStr">
        <is>
          <t>S013_EST_HSP_HEURISTIC</t>
        </is>
      </c>
      <c r="I3441" t="inlineStr">
        <is>
          <t>estimated</t>
        </is>
      </c>
      <c r="J3441">
        <v>0.37</v>
      </c>
      <c r="K3441" t="inlineStr">
        <is>
          <t>Provisional HSP for screening; replace with experimental/literature value before model lock.</t>
        </is>
      </c>
    </row>
    <row r="3442">
      <c r="A3442" t="inlineStr">
        <is>
          <t>OIL_GLYCERYL_PALMITOSTEARATE_PRECIROL_ATO_5</t>
        </is>
      </c>
      <c r="B3442" t="inlineStr">
        <is>
          <t>Hansen_delta_H</t>
        </is>
      </c>
      <c r="C3442">
        <v>7.0</v>
      </c>
      <c r="D3442" t="inlineStr">
        <is>
          <t>MPa^0.5</t>
        </is>
      </c>
      <c r="E3442"/>
      <c r="F3442"/>
      <c r="G3442" t="inlineStr">
        <is>
          <t>heuristic group-contribution/nearest-neighbour</t>
        </is>
      </c>
      <c r="H3442" t="inlineStr">
        <is>
          <t>S013_EST_HSP_HEURISTIC</t>
        </is>
      </c>
      <c r="I3442" t="inlineStr">
        <is>
          <t>estimated</t>
        </is>
      </c>
      <c r="J3442">
        <v>0.37</v>
      </c>
      <c r="K3442" t="inlineStr">
        <is>
          <t>Provisional HSP for screening; replace with experimental/literature value before model lock.</t>
        </is>
      </c>
    </row>
    <row r="3443">
      <c r="A3443" t="inlineStr">
        <is>
          <t>OIL_GLYCERYL_PALMITOSTEARATE_PRECIROL_ATO_5</t>
        </is>
      </c>
      <c r="B3443" t="inlineStr">
        <is>
          <t>Hildebrand_delta_T</t>
        </is>
      </c>
      <c r="C3443">
        <v>18.93</v>
      </c>
      <c r="D3443" t="inlineStr">
        <is>
          <t>MPa^0.5</t>
        </is>
      </c>
      <c r="E3443"/>
      <c r="F3443"/>
      <c r="G3443" t="inlineStr">
        <is>
          <t>sqrt(deltaD^2+deltaP^2+deltaH^2)</t>
        </is>
      </c>
      <c r="H3443" t="inlineStr">
        <is>
          <t>S012_CALCULATED</t>
        </is>
      </c>
      <c r="I3443" t="inlineStr">
        <is>
          <t>calculated</t>
        </is>
      </c>
      <c r="J3443">
        <v>0.42</v>
      </c>
      <c r="K3443" t="inlineStr">
        <is>
          <t>Derived from stored Hansen components.</t>
        </is>
      </c>
    </row>
    <row r="3444">
      <c r="A3444" t="inlineStr">
        <is>
          <t>OIL_GLYCERYL_PALMITOSTEARATE_PRECIROL_ATO_5</t>
        </is>
      </c>
      <c r="B3444" t="inlineStr">
        <is>
          <t>HSP_radius_R0</t>
        </is>
      </c>
      <c r="C3444">
        <v>7.0</v>
      </c>
      <c r="D3444" t="inlineStr">
        <is>
          <t>MPa^0.5</t>
        </is>
      </c>
      <c r="E3444"/>
      <c r="F3444"/>
      <c r="G3444" t="inlineStr">
        <is>
          <t>literature/heuristic solubility sphere</t>
        </is>
      </c>
      <c r="H3444" t="inlineStr">
        <is>
          <t>S013_EST_HSP_HEURISTIC</t>
        </is>
      </c>
      <c r="I3444" t="inlineStr">
        <is>
          <t>estimated</t>
        </is>
      </c>
      <c r="J3444">
        <v>0.37</v>
      </c>
      <c r="K3444" t="inlineStr">
        <is>
          <t>Screening radius only unless experimentally determined.</t>
        </is>
      </c>
    </row>
    <row r="3445">
      <c r="A3445" t="inlineStr">
        <is>
          <t>OIL_TRIMYRISTIN_DYNASAN_114</t>
        </is>
      </c>
      <c r="B3445" t="inlineStr">
        <is>
          <t>molecular_weight_g_mol</t>
        </is>
      </c>
      <c r="C3445">
        <v>723.16</v>
      </c>
      <c r="D3445" t="inlineStr">
        <is>
          <t>g/mol</t>
        </is>
      </c>
      <c r="E3445"/>
      <c r="F3445"/>
      <c r="G3445"/>
      <c r="H3445" t="inlineStr">
        <is>
          <t>S001_PUBCHEM</t>
        </is>
      </c>
      <c r="I3445" t="inlineStr">
        <is>
          <t>database-derived</t>
        </is>
      </c>
      <c r="J3445">
        <v>0.75</v>
      </c>
      <c r="K3445"/>
    </row>
    <row r="3446">
      <c r="A3446" t="inlineStr">
        <is>
          <t>OIL_TRIMYRISTIN_DYNASAN_114</t>
        </is>
      </c>
      <c r="B3446" t="inlineStr">
        <is>
          <t>density_g_ml</t>
        </is>
      </c>
      <c r="C3446">
        <v>0.9</v>
      </c>
      <c r="D3446" t="inlineStr">
        <is>
          <t>g/mL</t>
        </is>
      </c>
      <c r="E3446"/>
      <c r="F3446"/>
      <c r="G3446" t="inlineStr">
        <is>
          <t>20-25 °C unless otherwise specified</t>
        </is>
      </c>
      <c r="H3446" t="inlineStr">
        <is>
          <t>S007_EXCIPIENTS_HANDBOOK</t>
        </is>
      </c>
      <c r="I3446" t="inlineStr">
        <is>
          <t>handbook</t>
        </is>
      </c>
      <c r="J3446">
        <v>0.6</v>
      </c>
      <c r="K3446"/>
    </row>
    <row r="3447">
      <c r="A3447" t="inlineStr">
        <is>
          <t>OIL_TRIMYRISTIN_DYNASAN_114</t>
        </is>
      </c>
      <c r="B3447" t="inlineStr">
        <is>
          <t>melting_point_C</t>
        </is>
      </c>
      <c r="C3447">
        <v>56</v>
      </c>
      <c r="D3447" t="inlineStr">
        <is>
          <t>°C</t>
        </is>
      </c>
      <c r="E3447"/>
      <c r="F3447"/>
      <c r="G3447" t="inlineStr">
        <is>
          <t>melting/drop point range; grade-dependent</t>
        </is>
      </c>
      <c r="H3447" t="inlineStr">
        <is>
          <t>S007_EXCIPIENTS_HANDBOOK</t>
        </is>
      </c>
      <c r="I3447" t="inlineStr">
        <is>
          <t>handbook</t>
        </is>
      </c>
      <c r="J3447">
        <v>0.68</v>
      </c>
      <c r="K3447"/>
    </row>
    <row r="3448">
      <c r="A3448" t="inlineStr">
        <is>
          <t>OIL_TRIMYRISTIN_DYNASAN_114</t>
        </is>
      </c>
      <c r="B3448" t="inlineStr">
        <is>
          <t>lipid_state</t>
        </is>
      </c>
      <c r="C3448" t="inlineStr">
        <is>
          <t>solid</t>
        </is>
      </c>
      <c r="D3448"/>
      <c r="E3448"/>
      <c r="F3448"/>
      <c r="G3448"/>
      <c r="H3448" t="inlineStr">
        <is>
          <t>S007_EXCIPIENTS_HANDBOOK</t>
        </is>
      </c>
      <c r="I3448" t="inlineStr">
        <is>
          <t>curated</t>
        </is>
      </c>
      <c r="J3448">
        <v>0.75</v>
      </c>
      <c r="K3448"/>
    </row>
    <row r="3449">
      <c r="A3449" t="inlineStr">
        <is>
          <t>OIL_TRIMYRISTIN_DYNASAN_114</t>
        </is>
      </c>
      <c r="B3449" t="inlineStr">
        <is>
          <t>fatty_chain_length</t>
        </is>
      </c>
      <c r="C3449" t="inlineStr">
        <is>
          <t>3 x C14:0</t>
        </is>
      </c>
      <c r="D3449"/>
      <c r="E3449"/>
      <c r="F3449"/>
      <c r="G3449"/>
      <c r="H3449" t="inlineStr">
        <is>
          <t>S007_EXCIPIENTS_HANDBOOK</t>
        </is>
      </c>
      <c r="I3449" t="inlineStr">
        <is>
          <t>curated</t>
        </is>
      </c>
      <c r="J3449">
        <v>0.7</v>
      </c>
      <c r="K3449"/>
    </row>
    <row r="3450">
      <c r="A3450" t="inlineStr">
        <is>
          <t>OIL_TRIMYRISTIN_DYNASAN_114</t>
        </is>
      </c>
      <c r="B3450" t="inlineStr">
        <is>
          <t>unsaturation</t>
        </is>
      </c>
      <c r="C3450">
        <v>0</v>
      </c>
      <c r="D3450" t="inlineStr">
        <is>
          <t>double_bonds</t>
        </is>
      </c>
      <c r="E3450"/>
      <c r="F3450"/>
      <c r="G3450"/>
      <c r="H3450" t="inlineStr">
        <is>
          <t>S007_EXCIPIENTS_HANDBOOK</t>
        </is>
      </c>
      <c r="I3450" t="inlineStr">
        <is>
          <t>curated</t>
        </is>
      </c>
      <c r="J3450">
        <v>0.7</v>
      </c>
      <c r="K3450"/>
    </row>
    <row r="3451">
      <c r="A3451" t="inlineStr">
        <is>
          <t>OIL_TRIMYRISTIN_DYNASAN_114</t>
        </is>
      </c>
      <c r="B3451" t="inlineStr">
        <is>
          <t>crystallinity_risk</t>
        </is>
      </c>
      <c r="C3451" t="inlineStr">
        <is>
          <t>high</t>
        </is>
      </c>
      <c r="D3451"/>
      <c r="E3451"/>
      <c r="F3451"/>
      <c r="G3451" t="inlineStr">
        <is>
          <t>SLN/NLC crystallization heuristic</t>
        </is>
      </c>
      <c r="H3451" t="inlineStr">
        <is>
          <t>S007_EXCIPIENTS_HANDBOOK</t>
        </is>
      </c>
      <c r="I3451" t="inlineStr">
        <is>
          <t>curated</t>
        </is>
      </c>
      <c r="J3451">
        <v>0.6</v>
      </c>
      <c r="K3451"/>
    </row>
    <row r="3452">
      <c r="A3452" t="inlineStr">
        <is>
          <t>OIL_TRIMYRISTIN_DYNASAN_114</t>
        </is>
      </c>
      <c r="B3452" t="inlineStr">
        <is>
          <t>polymorphism_notes</t>
        </is>
      </c>
      <c r="C3452" t="inlineStr">
        <is>
          <t>polymorphic behavior possible; DSC/XRPD required for final formulation</t>
        </is>
      </c>
      <c r="D3452"/>
      <c r="E3452"/>
      <c r="F3452"/>
      <c r="G3452"/>
      <c r="H3452" t="inlineStr">
        <is>
          <t>S014_AULTON</t>
        </is>
      </c>
      <c r="I3452" t="inlineStr">
        <is>
          <t>curated</t>
        </is>
      </c>
      <c r="J3452">
        <v>0.65</v>
      </c>
      <c r="K3452"/>
    </row>
    <row r="3453">
      <c r="A3453" t="inlineStr">
        <is>
          <t>OIL_TRIMYRISTIN_DYNASAN_114</t>
        </is>
      </c>
      <c r="B3453" t="inlineStr">
        <is>
          <t>drug_solubilization_notes</t>
        </is>
      </c>
      <c r="C3453" t="inlineStr">
        <is>
          <t>defined triglyceride</t>
        </is>
      </c>
      <c r="D3453"/>
      <c r="E3453"/>
      <c r="F3453"/>
      <c r="G3453"/>
      <c r="H3453" t="inlineStr">
        <is>
          <t>S014_AULTON</t>
        </is>
      </c>
      <c r="I3453" t="inlineStr">
        <is>
          <t>curated</t>
        </is>
      </c>
      <c r="J3453">
        <v>0.6</v>
      </c>
      <c r="K3453"/>
    </row>
    <row r="3454">
      <c r="A3454" t="inlineStr">
        <is>
          <t>OIL_TRIMYRISTIN_DYNASAN_114</t>
        </is>
      </c>
      <c r="B3454" t="inlineStr">
        <is>
          <t>route_suitability</t>
        </is>
      </c>
      <c r="C3454" t="inlineStr">
        <is>
          <t>SLN/NLC/nanoemulsion/lipid matrix; route-grade dependent</t>
        </is>
      </c>
      <c r="D3454"/>
      <c r="E3454"/>
      <c r="F3454"/>
      <c r="G3454"/>
      <c r="H3454" t="inlineStr">
        <is>
          <t>S008_FDA_IID</t>
        </is>
      </c>
      <c r="I3454" t="inlineStr">
        <is>
          <t>curated</t>
        </is>
      </c>
      <c r="J3454">
        <v>0.55</v>
      </c>
      <c r="K3454"/>
    </row>
    <row r="3455">
      <c r="A3455" t="inlineStr">
        <is>
          <t>OIL_TRIMYRISTIN_DYNASAN_114</t>
        </is>
      </c>
      <c r="B3455" t="inlineStr">
        <is>
          <t>molar_volume_cm3_mol</t>
        </is>
      </c>
      <c r="C3455">
        <v>803.51</v>
      </c>
      <c r="D3455" t="inlineStr">
        <is>
          <t>cm3/mol</t>
        </is>
      </c>
      <c r="E3455"/>
      <c r="F3455"/>
      <c r="G3455" t="inlineStr">
        <is>
          <t>MW/density estimate</t>
        </is>
      </c>
      <c r="H3455" t="inlineStr">
        <is>
          <t>S012_CALCULATED</t>
        </is>
      </c>
      <c r="I3455" t="inlineStr">
        <is>
          <t>estimated</t>
        </is>
      </c>
      <c r="J3455">
        <v>0.48</v>
      </c>
      <c r="K3455" t="inlineStr">
        <is>
          <t>Estimated from MW/density; replace with measured molar volume or density-specific grade data.</t>
        </is>
      </c>
    </row>
    <row r="3456">
      <c r="A3456" t="inlineStr">
        <is>
          <t>OIL_TRIMYRISTIN_DYNASAN_114</t>
        </is>
      </c>
      <c r="B3456" t="inlineStr">
        <is>
          <t>Hansen_delta_D</t>
        </is>
      </c>
      <c r="C3456">
        <v>17.0</v>
      </c>
      <c r="D3456" t="inlineStr">
        <is>
          <t>MPa^0.5</t>
        </is>
      </c>
      <c r="E3456"/>
      <c r="F3456"/>
      <c r="G3456" t="inlineStr">
        <is>
          <t>heuristic group-contribution/nearest-neighbour</t>
        </is>
      </c>
      <c r="H3456" t="inlineStr">
        <is>
          <t>S013_EST_HSP_HEURISTIC</t>
        </is>
      </c>
      <c r="I3456" t="inlineStr">
        <is>
          <t>estimated</t>
        </is>
      </c>
      <c r="J3456">
        <v>0.37</v>
      </c>
      <c r="K3456" t="inlineStr">
        <is>
          <t>Provisional HSP for screening; replace with experimental/literature value before model lock.</t>
        </is>
      </c>
    </row>
    <row r="3457">
      <c r="A3457" t="inlineStr">
        <is>
          <t>OIL_TRIMYRISTIN_DYNASAN_114</t>
        </is>
      </c>
      <c r="B3457" t="inlineStr">
        <is>
          <t>Hansen_delta_P</t>
        </is>
      </c>
      <c r="C3457">
        <v>2.5</v>
      </c>
      <c r="D3457" t="inlineStr">
        <is>
          <t>MPa^0.5</t>
        </is>
      </c>
      <c r="E3457"/>
      <c r="F3457"/>
      <c r="G3457" t="inlineStr">
        <is>
          <t>heuristic group-contribution/nearest-neighbour</t>
        </is>
      </c>
      <c r="H3457" t="inlineStr">
        <is>
          <t>S013_EST_HSP_HEURISTIC</t>
        </is>
      </c>
      <c r="I3457" t="inlineStr">
        <is>
          <t>estimated</t>
        </is>
      </c>
      <c r="J3457">
        <v>0.37</v>
      </c>
      <c r="K3457" t="inlineStr">
        <is>
          <t>Provisional HSP for screening; replace with experimental/literature value before model lock.</t>
        </is>
      </c>
    </row>
    <row r="3458">
      <c r="A3458" t="inlineStr">
        <is>
          <t>OIL_TRIMYRISTIN_DYNASAN_114</t>
        </is>
      </c>
      <c r="B3458" t="inlineStr">
        <is>
          <t>Hansen_delta_H</t>
        </is>
      </c>
      <c r="C3458">
        <v>5.0</v>
      </c>
      <c r="D3458" t="inlineStr">
        <is>
          <t>MPa^0.5</t>
        </is>
      </c>
      <c r="E3458"/>
      <c r="F3458"/>
      <c r="G3458" t="inlineStr">
        <is>
          <t>heuristic group-contribution/nearest-neighbour</t>
        </is>
      </c>
      <c r="H3458" t="inlineStr">
        <is>
          <t>S013_EST_HSP_HEURISTIC</t>
        </is>
      </c>
      <c r="I3458" t="inlineStr">
        <is>
          <t>estimated</t>
        </is>
      </c>
      <c r="J3458">
        <v>0.37</v>
      </c>
      <c r="K3458" t="inlineStr">
        <is>
          <t>Provisional HSP for screening; replace with experimental/literature value before model lock.</t>
        </is>
      </c>
    </row>
    <row r="3459">
      <c r="A3459" t="inlineStr">
        <is>
          <t>OIL_TRIMYRISTIN_DYNASAN_114</t>
        </is>
      </c>
      <c r="B3459" t="inlineStr">
        <is>
          <t>Hildebrand_delta_T</t>
        </is>
      </c>
      <c r="C3459">
        <v>17.9</v>
      </c>
      <c r="D3459" t="inlineStr">
        <is>
          <t>MPa^0.5</t>
        </is>
      </c>
      <c r="E3459"/>
      <c r="F3459"/>
      <c r="G3459" t="inlineStr">
        <is>
          <t>sqrt(deltaD^2+deltaP^2+deltaH^2)</t>
        </is>
      </c>
      <c r="H3459" t="inlineStr">
        <is>
          <t>S012_CALCULATED</t>
        </is>
      </c>
      <c r="I3459" t="inlineStr">
        <is>
          <t>calculated</t>
        </is>
      </c>
      <c r="J3459">
        <v>0.42</v>
      </c>
      <c r="K3459" t="inlineStr">
        <is>
          <t>Derived from stored Hansen components.</t>
        </is>
      </c>
    </row>
    <row r="3460">
      <c r="A3460" t="inlineStr">
        <is>
          <t>OIL_TRIMYRISTIN_DYNASAN_114</t>
        </is>
      </c>
      <c r="B3460" t="inlineStr">
        <is>
          <t>HSP_radius_R0</t>
        </is>
      </c>
      <c r="C3460">
        <v>7.0</v>
      </c>
      <c r="D3460" t="inlineStr">
        <is>
          <t>MPa^0.5</t>
        </is>
      </c>
      <c r="E3460"/>
      <c r="F3460"/>
      <c r="G3460" t="inlineStr">
        <is>
          <t>literature/heuristic solubility sphere</t>
        </is>
      </c>
      <c r="H3460" t="inlineStr">
        <is>
          <t>S013_EST_HSP_HEURISTIC</t>
        </is>
      </c>
      <c r="I3460" t="inlineStr">
        <is>
          <t>estimated</t>
        </is>
      </c>
      <c r="J3460">
        <v>0.37</v>
      </c>
      <c r="K3460" t="inlineStr">
        <is>
          <t>Screening radius only unless experimentally determined.</t>
        </is>
      </c>
    </row>
    <row r="3461">
      <c r="A3461" t="inlineStr">
        <is>
          <t>OIL_TRIPALMITIN_DYNASAN_116</t>
        </is>
      </c>
      <c r="B3461" t="inlineStr">
        <is>
          <t>molecular_weight_g_mol</t>
        </is>
      </c>
      <c r="C3461">
        <v>807.32</v>
      </c>
      <c r="D3461" t="inlineStr">
        <is>
          <t>g/mol</t>
        </is>
      </c>
      <c r="E3461"/>
      <c r="F3461"/>
      <c r="G3461"/>
      <c r="H3461" t="inlineStr">
        <is>
          <t>S001_PUBCHEM</t>
        </is>
      </c>
      <c r="I3461" t="inlineStr">
        <is>
          <t>database-derived</t>
        </is>
      </c>
      <c r="J3461">
        <v>0.75</v>
      </c>
      <c r="K3461"/>
    </row>
    <row r="3462">
      <c r="A3462" t="inlineStr">
        <is>
          <t>OIL_TRIPALMITIN_DYNASAN_116</t>
        </is>
      </c>
      <c r="B3462" t="inlineStr">
        <is>
          <t>density_g_ml</t>
        </is>
      </c>
      <c r="C3462">
        <v>0.88</v>
      </c>
      <c r="D3462" t="inlineStr">
        <is>
          <t>g/mL</t>
        </is>
      </c>
      <c r="E3462"/>
      <c r="F3462"/>
      <c r="G3462" t="inlineStr">
        <is>
          <t>20-25 °C unless otherwise specified</t>
        </is>
      </c>
      <c r="H3462" t="inlineStr">
        <is>
          <t>S007_EXCIPIENTS_HANDBOOK</t>
        </is>
      </c>
      <c r="I3462" t="inlineStr">
        <is>
          <t>handbook</t>
        </is>
      </c>
      <c r="J3462">
        <v>0.6</v>
      </c>
      <c r="K3462"/>
    </row>
    <row r="3463">
      <c r="A3463" t="inlineStr">
        <is>
          <t>OIL_TRIPALMITIN_DYNASAN_116</t>
        </is>
      </c>
      <c r="B3463" t="inlineStr">
        <is>
          <t>melting_point_C</t>
        </is>
      </c>
      <c r="C3463">
        <v>66</v>
      </c>
      <c r="D3463" t="inlineStr">
        <is>
          <t>°C</t>
        </is>
      </c>
      <c r="E3463"/>
      <c r="F3463"/>
      <c r="G3463" t="inlineStr">
        <is>
          <t>melting/drop point range; grade-dependent</t>
        </is>
      </c>
      <c r="H3463" t="inlineStr">
        <is>
          <t>S007_EXCIPIENTS_HANDBOOK</t>
        </is>
      </c>
      <c r="I3463" t="inlineStr">
        <is>
          <t>handbook</t>
        </is>
      </c>
      <c r="J3463">
        <v>0.68</v>
      </c>
      <c r="K3463"/>
    </row>
    <row r="3464">
      <c r="A3464" t="inlineStr">
        <is>
          <t>OIL_TRIPALMITIN_DYNASAN_116</t>
        </is>
      </c>
      <c r="B3464" t="inlineStr">
        <is>
          <t>lipid_state</t>
        </is>
      </c>
      <c r="C3464" t="inlineStr">
        <is>
          <t>solid</t>
        </is>
      </c>
      <c r="D3464"/>
      <c r="E3464"/>
      <c r="F3464"/>
      <c r="G3464"/>
      <c r="H3464" t="inlineStr">
        <is>
          <t>S007_EXCIPIENTS_HANDBOOK</t>
        </is>
      </c>
      <c r="I3464" t="inlineStr">
        <is>
          <t>curated</t>
        </is>
      </c>
      <c r="J3464">
        <v>0.75</v>
      </c>
      <c r="K3464"/>
    </row>
    <row r="3465">
      <c r="A3465" t="inlineStr">
        <is>
          <t>OIL_TRIPALMITIN_DYNASAN_116</t>
        </is>
      </c>
      <c r="B3465" t="inlineStr">
        <is>
          <t>fatty_chain_length</t>
        </is>
      </c>
      <c r="C3465" t="inlineStr">
        <is>
          <t>3 x C16:0</t>
        </is>
      </c>
      <c r="D3465"/>
      <c r="E3465"/>
      <c r="F3465"/>
      <c r="G3465"/>
      <c r="H3465" t="inlineStr">
        <is>
          <t>S007_EXCIPIENTS_HANDBOOK</t>
        </is>
      </c>
      <c r="I3465" t="inlineStr">
        <is>
          <t>curated</t>
        </is>
      </c>
      <c r="J3465">
        <v>0.7</v>
      </c>
      <c r="K3465"/>
    </row>
    <row r="3466">
      <c r="A3466" t="inlineStr">
        <is>
          <t>OIL_TRIPALMITIN_DYNASAN_116</t>
        </is>
      </c>
      <c r="B3466" t="inlineStr">
        <is>
          <t>unsaturation</t>
        </is>
      </c>
      <c r="C3466">
        <v>0</v>
      </c>
      <c r="D3466" t="inlineStr">
        <is>
          <t>double_bonds</t>
        </is>
      </c>
      <c r="E3466"/>
      <c r="F3466"/>
      <c r="G3466"/>
      <c r="H3466" t="inlineStr">
        <is>
          <t>S007_EXCIPIENTS_HANDBOOK</t>
        </is>
      </c>
      <c r="I3466" t="inlineStr">
        <is>
          <t>curated</t>
        </is>
      </c>
      <c r="J3466">
        <v>0.7</v>
      </c>
      <c r="K3466"/>
    </row>
    <row r="3467">
      <c r="A3467" t="inlineStr">
        <is>
          <t>OIL_TRIPALMITIN_DYNASAN_116</t>
        </is>
      </c>
      <c r="B3467" t="inlineStr">
        <is>
          <t>crystallinity_risk</t>
        </is>
      </c>
      <c r="C3467" t="inlineStr">
        <is>
          <t>high</t>
        </is>
      </c>
      <c r="D3467"/>
      <c r="E3467"/>
      <c r="F3467"/>
      <c r="G3467" t="inlineStr">
        <is>
          <t>SLN/NLC crystallization heuristic</t>
        </is>
      </c>
      <c r="H3467" t="inlineStr">
        <is>
          <t>S007_EXCIPIENTS_HANDBOOK</t>
        </is>
      </c>
      <c r="I3467" t="inlineStr">
        <is>
          <t>curated</t>
        </is>
      </c>
      <c r="J3467">
        <v>0.6</v>
      </c>
      <c r="K3467"/>
    </row>
    <row r="3468">
      <c r="A3468" t="inlineStr">
        <is>
          <t>OIL_TRIPALMITIN_DYNASAN_116</t>
        </is>
      </c>
      <c r="B3468" t="inlineStr">
        <is>
          <t>polymorphism_notes</t>
        </is>
      </c>
      <c r="C3468" t="inlineStr">
        <is>
          <t>polymorphic behavior possible; DSC/XRPD required for final formulation</t>
        </is>
      </c>
      <c r="D3468"/>
      <c r="E3468"/>
      <c r="F3468"/>
      <c r="G3468"/>
      <c r="H3468" t="inlineStr">
        <is>
          <t>S014_AULTON</t>
        </is>
      </c>
      <c r="I3468" t="inlineStr">
        <is>
          <t>curated</t>
        </is>
      </c>
      <c r="J3468">
        <v>0.65</v>
      </c>
      <c r="K3468"/>
    </row>
    <row r="3469">
      <c r="A3469" t="inlineStr">
        <is>
          <t>OIL_TRIPALMITIN_DYNASAN_116</t>
        </is>
      </c>
      <c r="B3469" t="inlineStr">
        <is>
          <t>drug_solubilization_notes</t>
        </is>
      </c>
      <c r="C3469" t="inlineStr">
        <is>
          <t>defined triglyceride</t>
        </is>
      </c>
      <c r="D3469"/>
      <c r="E3469"/>
      <c r="F3469"/>
      <c r="G3469"/>
      <c r="H3469" t="inlineStr">
        <is>
          <t>S014_AULTON</t>
        </is>
      </c>
      <c r="I3469" t="inlineStr">
        <is>
          <t>curated</t>
        </is>
      </c>
      <c r="J3469">
        <v>0.6</v>
      </c>
      <c r="K3469"/>
    </row>
    <row r="3470">
      <c r="A3470" t="inlineStr">
        <is>
          <t>OIL_TRIPALMITIN_DYNASAN_116</t>
        </is>
      </c>
      <c r="B3470" t="inlineStr">
        <is>
          <t>route_suitability</t>
        </is>
      </c>
      <c r="C3470" t="inlineStr">
        <is>
          <t>SLN/NLC/nanoemulsion/lipid matrix; route-grade dependent</t>
        </is>
      </c>
      <c r="D3470"/>
      <c r="E3470"/>
      <c r="F3470"/>
      <c r="G3470"/>
      <c r="H3470" t="inlineStr">
        <is>
          <t>S008_FDA_IID</t>
        </is>
      </c>
      <c r="I3470" t="inlineStr">
        <is>
          <t>curated</t>
        </is>
      </c>
      <c r="J3470">
        <v>0.55</v>
      </c>
      <c r="K3470"/>
    </row>
    <row r="3471">
      <c r="A3471" t="inlineStr">
        <is>
          <t>OIL_TRIPALMITIN_DYNASAN_116</t>
        </is>
      </c>
      <c r="B3471" t="inlineStr">
        <is>
          <t>molar_volume_cm3_mol</t>
        </is>
      </c>
      <c r="C3471">
        <v>917.41</v>
      </c>
      <c r="D3471" t="inlineStr">
        <is>
          <t>cm3/mol</t>
        </is>
      </c>
      <c r="E3471"/>
      <c r="F3471"/>
      <c r="G3471" t="inlineStr">
        <is>
          <t>MW/density estimate</t>
        </is>
      </c>
      <c r="H3471" t="inlineStr">
        <is>
          <t>S012_CALCULATED</t>
        </is>
      </c>
      <c r="I3471" t="inlineStr">
        <is>
          <t>estimated</t>
        </is>
      </c>
      <c r="J3471">
        <v>0.48</v>
      </c>
      <c r="K3471" t="inlineStr">
        <is>
          <t>Estimated from MW/density; replace with measured molar volume or density-specific grade data.</t>
        </is>
      </c>
    </row>
    <row r="3472">
      <c r="A3472" t="inlineStr">
        <is>
          <t>OIL_TRIPALMITIN_DYNASAN_116</t>
        </is>
      </c>
      <c r="B3472" t="inlineStr">
        <is>
          <t>Hansen_delta_D</t>
        </is>
      </c>
      <c r="C3472">
        <v>17.0</v>
      </c>
      <c r="D3472" t="inlineStr">
        <is>
          <t>MPa^0.5</t>
        </is>
      </c>
      <c r="E3472"/>
      <c r="F3472"/>
      <c r="G3472" t="inlineStr">
        <is>
          <t>heuristic group-contribution/nearest-neighbour</t>
        </is>
      </c>
      <c r="H3472" t="inlineStr">
        <is>
          <t>S013_EST_HSP_HEURISTIC</t>
        </is>
      </c>
      <c r="I3472" t="inlineStr">
        <is>
          <t>estimated</t>
        </is>
      </c>
      <c r="J3472">
        <v>0.37</v>
      </c>
      <c r="K3472" t="inlineStr">
        <is>
          <t>Provisional HSP for screening; replace with experimental/literature value before model lock.</t>
        </is>
      </c>
    </row>
    <row r="3473">
      <c r="A3473" t="inlineStr">
        <is>
          <t>OIL_TRIPALMITIN_DYNASAN_116</t>
        </is>
      </c>
      <c r="B3473" t="inlineStr">
        <is>
          <t>Hansen_delta_P</t>
        </is>
      </c>
      <c r="C3473">
        <v>2.5</v>
      </c>
      <c r="D3473" t="inlineStr">
        <is>
          <t>MPa^0.5</t>
        </is>
      </c>
      <c r="E3473"/>
      <c r="F3473"/>
      <c r="G3473" t="inlineStr">
        <is>
          <t>heuristic group-contribution/nearest-neighbour</t>
        </is>
      </c>
      <c r="H3473" t="inlineStr">
        <is>
          <t>S013_EST_HSP_HEURISTIC</t>
        </is>
      </c>
      <c r="I3473" t="inlineStr">
        <is>
          <t>estimated</t>
        </is>
      </c>
      <c r="J3473">
        <v>0.37</v>
      </c>
      <c r="K3473" t="inlineStr">
        <is>
          <t>Provisional HSP for screening; replace with experimental/literature value before model lock.</t>
        </is>
      </c>
    </row>
    <row r="3474">
      <c r="A3474" t="inlineStr">
        <is>
          <t>OIL_TRIPALMITIN_DYNASAN_116</t>
        </is>
      </c>
      <c r="B3474" t="inlineStr">
        <is>
          <t>Hansen_delta_H</t>
        </is>
      </c>
      <c r="C3474">
        <v>5.0</v>
      </c>
      <c r="D3474" t="inlineStr">
        <is>
          <t>MPa^0.5</t>
        </is>
      </c>
      <c r="E3474"/>
      <c r="F3474"/>
      <c r="G3474" t="inlineStr">
        <is>
          <t>heuristic group-contribution/nearest-neighbour</t>
        </is>
      </c>
      <c r="H3474" t="inlineStr">
        <is>
          <t>S013_EST_HSP_HEURISTIC</t>
        </is>
      </c>
      <c r="I3474" t="inlineStr">
        <is>
          <t>estimated</t>
        </is>
      </c>
      <c r="J3474">
        <v>0.37</v>
      </c>
      <c r="K3474" t="inlineStr">
        <is>
          <t>Provisional HSP for screening; replace with experimental/literature value before model lock.</t>
        </is>
      </c>
    </row>
    <row r="3475">
      <c r="A3475" t="inlineStr">
        <is>
          <t>OIL_TRIPALMITIN_DYNASAN_116</t>
        </is>
      </c>
      <c r="B3475" t="inlineStr">
        <is>
          <t>Hildebrand_delta_T</t>
        </is>
      </c>
      <c r="C3475">
        <v>17.9</v>
      </c>
      <c r="D3475" t="inlineStr">
        <is>
          <t>MPa^0.5</t>
        </is>
      </c>
      <c r="E3475"/>
      <c r="F3475"/>
      <c r="G3475" t="inlineStr">
        <is>
          <t>sqrt(deltaD^2+deltaP^2+deltaH^2)</t>
        </is>
      </c>
      <c r="H3475" t="inlineStr">
        <is>
          <t>S012_CALCULATED</t>
        </is>
      </c>
      <c r="I3475" t="inlineStr">
        <is>
          <t>calculated</t>
        </is>
      </c>
      <c r="J3475">
        <v>0.42</v>
      </c>
      <c r="K3475" t="inlineStr">
        <is>
          <t>Derived from stored Hansen components.</t>
        </is>
      </c>
    </row>
    <row r="3476">
      <c r="A3476" t="inlineStr">
        <is>
          <t>OIL_TRIPALMITIN_DYNASAN_116</t>
        </is>
      </c>
      <c r="B3476" t="inlineStr">
        <is>
          <t>HSP_radius_R0</t>
        </is>
      </c>
      <c r="C3476">
        <v>7.0</v>
      </c>
      <c r="D3476" t="inlineStr">
        <is>
          <t>MPa^0.5</t>
        </is>
      </c>
      <c r="E3476"/>
      <c r="F3476"/>
      <c r="G3476" t="inlineStr">
        <is>
          <t>literature/heuristic solubility sphere</t>
        </is>
      </c>
      <c r="H3476" t="inlineStr">
        <is>
          <t>S013_EST_HSP_HEURISTIC</t>
        </is>
      </c>
      <c r="I3476" t="inlineStr">
        <is>
          <t>estimated</t>
        </is>
      </c>
      <c r="J3476">
        <v>0.37</v>
      </c>
      <c r="K3476" t="inlineStr">
        <is>
          <t>Screening radius only unless experimentally determined.</t>
        </is>
      </c>
    </row>
    <row r="3477">
      <c r="A3477" t="inlineStr">
        <is>
          <t>OIL_TRISTEARIN_DYNASAN_118</t>
        </is>
      </c>
      <c r="B3477" t="inlineStr">
        <is>
          <t>molecular_weight_g_mol</t>
        </is>
      </c>
      <c r="C3477">
        <v>891.48</v>
      </c>
      <c r="D3477" t="inlineStr">
        <is>
          <t>g/mol</t>
        </is>
      </c>
      <c r="E3477"/>
      <c r="F3477"/>
      <c r="G3477"/>
      <c r="H3477" t="inlineStr">
        <is>
          <t>S001_PUBCHEM</t>
        </is>
      </c>
      <c r="I3477" t="inlineStr">
        <is>
          <t>database-derived</t>
        </is>
      </c>
      <c r="J3477">
        <v>0.75</v>
      </c>
      <c r="K3477"/>
    </row>
    <row r="3478">
      <c r="A3478" t="inlineStr">
        <is>
          <t>OIL_TRISTEARIN_DYNASAN_118</t>
        </is>
      </c>
      <c r="B3478" t="inlineStr">
        <is>
          <t>density_g_ml</t>
        </is>
      </c>
      <c r="C3478">
        <v>0.86</v>
      </c>
      <c r="D3478" t="inlineStr">
        <is>
          <t>g/mL</t>
        </is>
      </c>
      <c r="E3478"/>
      <c r="F3478"/>
      <c r="G3478" t="inlineStr">
        <is>
          <t>20-25 °C unless otherwise specified</t>
        </is>
      </c>
      <c r="H3478" t="inlineStr">
        <is>
          <t>S007_EXCIPIENTS_HANDBOOK</t>
        </is>
      </c>
      <c r="I3478" t="inlineStr">
        <is>
          <t>handbook</t>
        </is>
      </c>
      <c r="J3478">
        <v>0.6</v>
      </c>
      <c r="K3478"/>
    </row>
    <row r="3479">
      <c r="A3479" t="inlineStr">
        <is>
          <t>OIL_TRISTEARIN_DYNASAN_118</t>
        </is>
      </c>
      <c r="B3479" t="inlineStr">
        <is>
          <t>melting_point_C</t>
        </is>
      </c>
      <c r="C3479">
        <v>72</v>
      </c>
      <c r="D3479" t="inlineStr">
        <is>
          <t>°C</t>
        </is>
      </c>
      <c r="E3479"/>
      <c r="F3479"/>
      <c r="G3479" t="inlineStr">
        <is>
          <t>melting/drop point range; grade-dependent</t>
        </is>
      </c>
      <c r="H3479" t="inlineStr">
        <is>
          <t>S007_EXCIPIENTS_HANDBOOK</t>
        </is>
      </c>
      <c r="I3479" t="inlineStr">
        <is>
          <t>handbook</t>
        </is>
      </c>
      <c r="J3479">
        <v>0.68</v>
      </c>
      <c r="K3479"/>
    </row>
    <row r="3480">
      <c r="A3480" t="inlineStr">
        <is>
          <t>OIL_TRISTEARIN_DYNASAN_118</t>
        </is>
      </c>
      <c r="B3480" t="inlineStr">
        <is>
          <t>lipid_state</t>
        </is>
      </c>
      <c r="C3480" t="inlineStr">
        <is>
          <t>solid</t>
        </is>
      </c>
      <c r="D3480"/>
      <c r="E3480"/>
      <c r="F3480"/>
      <c r="G3480"/>
      <c r="H3480" t="inlineStr">
        <is>
          <t>S007_EXCIPIENTS_HANDBOOK</t>
        </is>
      </c>
      <c r="I3480" t="inlineStr">
        <is>
          <t>curated</t>
        </is>
      </c>
      <c r="J3480">
        <v>0.75</v>
      </c>
      <c r="K3480"/>
    </row>
    <row r="3481">
      <c r="A3481" t="inlineStr">
        <is>
          <t>OIL_TRISTEARIN_DYNASAN_118</t>
        </is>
      </c>
      <c r="B3481" t="inlineStr">
        <is>
          <t>fatty_chain_length</t>
        </is>
      </c>
      <c r="C3481" t="inlineStr">
        <is>
          <t>3 x C18:0</t>
        </is>
      </c>
      <c r="D3481"/>
      <c r="E3481"/>
      <c r="F3481"/>
      <c r="G3481"/>
      <c r="H3481" t="inlineStr">
        <is>
          <t>S007_EXCIPIENTS_HANDBOOK</t>
        </is>
      </c>
      <c r="I3481" t="inlineStr">
        <is>
          <t>curated</t>
        </is>
      </c>
      <c r="J3481">
        <v>0.7</v>
      </c>
      <c r="K3481"/>
    </row>
    <row r="3482">
      <c r="A3482" t="inlineStr">
        <is>
          <t>OIL_TRISTEARIN_DYNASAN_118</t>
        </is>
      </c>
      <c r="B3482" t="inlineStr">
        <is>
          <t>unsaturation</t>
        </is>
      </c>
      <c r="C3482">
        <v>0</v>
      </c>
      <c r="D3482" t="inlineStr">
        <is>
          <t>double_bonds</t>
        </is>
      </c>
      <c r="E3482"/>
      <c r="F3482"/>
      <c r="G3482"/>
      <c r="H3482" t="inlineStr">
        <is>
          <t>S007_EXCIPIENTS_HANDBOOK</t>
        </is>
      </c>
      <c r="I3482" t="inlineStr">
        <is>
          <t>curated</t>
        </is>
      </c>
      <c r="J3482">
        <v>0.7</v>
      </c>
      <c r="K3482"/>
    </row>
    <row r="3483">
      <c r="A3483" t="inlineStr">
        <is>
          <t>OIL_TRISTEARIN_DYNASAN_118</t>
        </is>
      </c>
      <c r="B3483" t="inlineStr">
        <is>
          <t>crystallinity_risk</t>
        </is>
      </c>
      <c r="C3483" t="inlineStr">
        <is>
          <t>high</t>
        </is>
      </c>
      <c r="D3483"/>
      <c r="E3483"/>
      <c r="F3483"/>
      <c r="G3483" t="inlineStr">
        <is>
          <t>SLN/NLC crystallization heuristic</t>
        </is>
      </c>
      <c r="H3483" t="inlineStr">
        <is>
          <t>S007_EXCIPIENTS_HANDBOOK</t>
        </is>
      </c>
      <c r="I3483" t="inlineStr">
        <is>
          <t>curated</t>
        </is>
      </c>
      <c r="J3483">
        <v>0.6</v>
      </c>
      <c r="K3483"/>
    </row>
    <row r="3484">
      <c r="A3484" t="inlineStr">
        <is>
          <t>OIL_TRISTEARIN_DYNASAN_118</t>
        </is>
      </c>
      <c r="B3484" t="inlineStr">
        <is>
          <t>polymorphism_notes</t>
        </is>
      </c>
      <c r="C3484" t="inlineStr">
        <is>
          <t>polymorphic behavior possible; DSC/XRPD required for final formulation</t>
        </is>
      </c>
      <c r="D3484"/>
      <c r="E3484"/>
      <c r="F3484"/>
      <c r="G3484"/>
      <c r="H3484" t="inlineStr">
        <is>
          <t>S014_AULTON</t>
        </is>
      </c>
      <c r="I3484" t="inlineStr">
        <is>
          <t>curated</t>
        </is>
      </c>
      <c r="J3484">
        <v>0.65</v>
      </c>
      <c r="K3484"/>
    </row>
    <row r="3485">
      <c r="A3485" t="inlineStr">
        <is>
          <t>OIL_TRISTEARIN_DYNASAN_118</t>
        </is>
      </c>
      <c r="B3485" t="inlineStr">
        <is>
          <t>drug_solubilization_notes</t>
        </is>
      </c>
      <c r="C3485" t="inlineStr">
        <is>
          <t>defined triglyceride</t>
        </is>
      </c>
      <c r="D3485"/>
      <c r="E3485"/>
      <c r="F3485"/>
      <c r="G3485"/>
      <c r="H3485" t="inlineStr">
        <is>
          <t>S014_AULTON</t>
        </is>
      </c>
      <c r="I3485" t="inlineStr">
        <is>
          <t>curated</t>
        </is>
      </c>
      <c r="J3485">
        <v>0.6</v>
      </c>
      <c r="K3485"/>
    </row>
    <row r="3486">
      <c r="A3486" t="inlineStr">
        <is>
          <t>OIL_TRISTEARIN_DYNASAN_118</t>
        </is>
      </c>
      <c r="B3486" t="inlineStr">
        <is>
          <t>route_suitability</t>
        </is>
      </c>
      <c r="C3486" t="inlineStr">
        <is>
          <t>SLN/NLC/nanoemulsion/lipid matrix; route-grade dependent</t>
        </is>
      </c>
      <c r="D3486"/>
      <c r="E3486"/>
      <c r="F3486"/>
      <c r="G3486"/>
      <c r="H3486" t="inlineStr">
        <is>
          <t>S008_FDA_IID</t>
        </is>
      </c>
      <c r="I3486" t="inlineStr">
        <is>
          <t>curated</t>
        </is>
      </c>
      <c r="J3486">
        <v>0.55</v>
      </c>
      <c r="K3486"/>
    </row>
    <row r="3487">
      <c r="A3487" t="inlineStr">
        <is>
          <t>OIL_TRISTEARIN_DYNASAN_118</t>
        </is>
      </c>
      <c r="B3487" t="inlineStr">
        <is>
          <t>molar_volume_cm3_mol</t>
        </is>
      </c>
      <c r="C3487">
        <v>1036.6</v>
      </c>
      <c r="D3487" t="inlineStr">
        <is>
          <t>cm3/mol</t>
        </is>
      </c>
      <c r="E3487"/>
      <c r="F3487"/>
      <c r="G3487" t="inlineStr">
        <is>
          <t>MW/density estimate</t>
        </is>
      </c>
      <c r="H3487" t="inlineStr">
        <is>
          <t>S012_CALCULATED</t>
        </is>
      </c>
      <c r="I3487" t="inlineStr">
        <is>
          <t>estimated</t>
        </is>
      </c>
      <c r="J3487">
        <v>0.48</v>
      </c>
      <c r="K3487" t="inlineStr">
        <is>
          <t>Estimated from MW/density; replace with measured molar volume or density-specific grade data.</t>
        </is>
      </c>
    </row>
    <row r="3488">
      <c r="A3488" t="inlineStr">
        <is>
          <t>OIL_TRISTEARIN_DYNASAN_118</t>
        </is>
      </c>
      <c r="B3488" t="inlineStr">
        <is>
          <t>Hansen_delta_D</t>
        </is>
      </c>
      <c r="C3488">
        <v>17.0</v>
      </c>
      <c r="D3488" t="inlineStr">
        <is>
          <t>MPa^0.5</t>
        </is>
      </c>
      <c r="E3488"/>
      <c r="F3488"/>
      <c r="G3488" t="inlineStr">
        <is>
          <t>heuristic group-contribution/nearest-neighbour</t>
        </is>
      </c>
      <c r="H3488" t="inlineStr">
        <is>
          <t>S013_EST_HSP_HEURISTIC</t>
        </is>
      </c>
      <c r="I3488" t="inlineStr">
        <is>
          <t>estimated</t>
        </is>
      </c>
      <c r="J3488">
        <v>0.37</v>
      </c>
      <c r="K3488" t="inlineStr">
        <is>
          <t>Provisional HSP for screening; replace with experimental/literature value before model lock.</t>
        </is>
      </c>
    </row>
    <row r="3489">
      <c r="A3489" t="inlineStr">
        <is>
          <t>OIL_TRISTEARIN_DYNASAN_118</t>
        </is>
      </c>
      <c r="B3489" t="inlineStr">
        <is>
          <t>Hansen_delta_P</t>
        </is>
      </c>
      <c r="C3489">
        <v>2.5</v>
      </c>
      <c r="D3489" t="inlineStr">
        <is>
          <t>MPa^0.5</t>
        </is>
      </c>
      <c r="E3489"/>
      <c r="F3489"/>
      <c r="G3489" t="inlineStr">
        <is>
          <t>heuristic group-contribution/nearest-neighbour</t>
        </is>
      </c>
      <c r="H3489" t="inlineStr">
        <is>
          <t>S013_EST_HSP_HEURISTIC</t>
        </is>
      </c>
      <c r="I3489" t="inlineStr">
        <is>
          <t>estimated</t>
        </is>
      </c>
      <c r="J3489">
        <v>0.37</v>
      </c>
      <c r="K3489" t="inlineStr">
        <is>
          <t>Provisional HSP for screening; replace with experimental/literature value before model lock.</t>
        </is>
      </c>
    </row>
    <row r="3490">
      <c r="A3490" t="inlineStr">
        <is>
          <t>OIL_TRISTEARIN_DYNASAN_118</t>
        </is>
      </c>
      <c r="B3490" t="inlineStr">
        <is>
          <t>Hansen_delta_H</t>
        </is>
      </c>
      <c r="C3490">
        <v>5.0</v>
      </c>
      <c r="D3490" t="inlineStr">
        <is>
          <t>MPa^0.5</t>
        </is>
      </c>
      <c r="E3490"/>
      <c r="F3490"/>
      <c r="G3490" t="inlineStr">
        <is>
          <t>heuristic group-contribution/nearest-neighbour</t>
        </is>
      </c>
      <c r="H3490" t="inlineStr">
        <is>
          <t>S013_EST_HSP_HEURISTIC</t>
        </is>
      </c>
      <c r="I3490" t="inlineStr">
        <is>
          <t>estimated</t>
        </is>
      </c>
      <c r="J3490">
        <v>0.37</v>
      </c>
      <c r="K3490" t="inlineStr">
        <is>
          <t>Provisional HSP for screening; replace with experimental/literature value before model lock.</t>
        </is>
      </c>
    </row>
    <row r="3491">
      <c r="A3491" t="inlineStr">
        <is>
          <t>OIL_TRISTEARIN_DYNASAN_118</t>
        </is>
      </c>
      <c r="B3491" t="inlineStr">
        <is>
          <t>Hildebrand_delta_T</t>
        </is>
      </c>
      <c r="C3491">
        <v>17.9</v>
      </c>
      <c r="D3491" t="inlineStr">
        <is>
          <t>MPa^0.5</t>
        </is>
      </c>
      <c r="E3491"/>
      <c r="F3491"/>
      <c r="G3491" t="inlineStr">
        <is>
          <t>sqrt(deltaD^2+deltaP^2+deltaH^2)</t>
        </is>
      </c>
      <c r="H3491" t="inlineStr">
        <is>
          <t>S012_CALCULATED</t>
        </is>
      </c>
      <c r="I3491" t="inlineStr">
        <is>
          <t>calculated</t>
        </is>
      </c>
      <c r="J3491">
        <v>0.42</v>
      </c>
      <c r="K3491" t="inlineStr">
        <is>
          <t>Derived from stored Hansen components.</t>
        </is>
      </c>
    </row>
    <row r="3492">
      <c r="A3492" t="inlineStr">
        <is>
          <t>OIL_TRISTEARIN_DYNASAN_118</t>
        </is>
      </c>
      <c r="B3492" t="inlineStr">
        <is>
          <t>HSP_radius_R0</t>
        </is>
      </c>
      <c r="C3492">
        <v>7.0</v>
      </c>
      <c r="D3492" t="inlineStr">
        <is>
          <t>MPa^0.5</t>
        </is>
      </c>
      <c r="E3492"/>
      <c r="F3492"/>
      <c r="G3492" t="inlineStr">
        <is>
          <t>literature/heuristic solubility sphere</t>
        </is>
      </c>
      <c r="H3492" t="inlineStr">
        <is>
          <t>S013_EST_HSP_HEURISTIC</t>
        </is>
      </c>
      <c r="I3492" t="inlineStr">
        <is>
          <t>estimated</t>
        </is>
      </c>
      <c r="J3492">
        <v>0.37</v>
      </c>
      <c r="K3492" t="inlineStr">
        <is>
          <t>Screening radius only unless experimentally determined.</t>
        </is>
      </c>
    </row>
    <row r="3493">
      <c r="A3493" t="inlineStr">
        <is>
          <t>OIL_CETYL_PALMITATE</t>
        </is>
      </c>
      <c r="B3493" t="inlineStr">
        <is>
          <t>molecular_weight_g_mol</t>
        </is>
      </c>
      <c r="C3493">
        <v>480.85</v>
      </c>
      <c r="D3493" t="inlineStr">
        <is>
          <t>g/mol</t>
        </is>
      </c>
      <c r="E3493"/>
      <c r="F3493"/>
      <c r="G3493"/>
      <c r="H3493" t="inlineStr">
        <is>
          <t>S001_PUBCHEM</t>
        </is>
      </c>
      <c r="I3493" t="inlineStr">
        <is>
          <t>database-derived</t>
        </is>
      </c>
      <c r="J3493">
        <v>0.75</v>
      </c>
      <c r="K3493"/>
    </row>
    <row r="3494">
      <c r="A3494" t="inlineStr">
        <is>
          <t>OIL_CETYL_PALMITATE</t>
        </is>
      </c>
      <c r="B3494" t="inlineStr">
        <is>
          <t>density_g_ml</t>
        </is>
      </c>
      <c r="C3494">
        <v>0.82</v>
      </c>
      <c r="D3494" t="inlineStr">
        <is>
          <t>g/mL</t>
        </is>
      </c>
      <c r="E3494"/>
      <c r="F3494"/>
      <c r="G3494" t="inlineStr">
        <is>
          <t>20-25 °C unless otherwise specified</t>
        </is>
      </c>
      <c r="H3494" t="inlineStr">
        <is>
          <t>S007_EXCIPIENTS_HANDBOOK</t>
        </is>
      </c>
      <c r="I3494" t="inlineStr">
        <is>
          <t>handbook</t>
        </is>
      </c>
      <c r="J3494">
        <v>0.6</v>
      </c>
      <c r="K3494"/>
    </row>
    <row r="3495">
      <c r="A3495" t="inlineStr">
        <is>
          <t>OIL_CETYL_PALMITATE</t>
        </is>
      </c>
      <c r="B3495" t="inlineStr">
        <is>
          <t>melting_point_C</t>
        </is>
      </c>
      <c r="C3495">
        <v>50</v>
      </c>
      <c r="D3495" t="inlineStr">
        <is>
          <t>°C</t>
        </is>
      </c>
      <c r="E3495"/>
      <c r="F3495"/>
      <c r="G3495" t="inlineStr">
        <is>
          <t>melting/drop point range; grade-dependent</t>
        </is>
      </c>
      <c r="H3495" t="inlineStr">
        <is>
          <t>S007_EXCIPIENTS_HANDBOOK</t>
        </is>
      </c>
      <c r="I3495" t="inlineStr">
        <is>
          <t>handbook</t>
        </is>
      </c>
      <c r="J3495">
        <v>0.68</v>
      </c>
      <c r="K3495"/>
    </row>
    <row r="3496">
      <c r="A3496" t="inlineStr">
        <is>
          <t>OIL_CETYL_PALMITATE</t>
        </is>
      </c>
      <c r="B3496" t="inlineStr">
        <is>
          <t>lipid_state</t>
        </is>
      </c>
      <c r="C3496" t="inlineStr">
        <is>
          <t>solid</t>
        </is>
      </c>
      <c r="D3496"/>
      <c r="E3496"/>
      <c r="F3496"/>
      <c r="G3496"/>
      <c r="H3496" t="inlineStr">
        <is>
          <t>S007_EXCIPIENTS_HANDBOOK</t>
        </is>
      </c>
      <c r="I3496" t="inlineStr">
        <is>
          <t>curated</t>
        </is>
      </c>
      <c r="J3496">
        <v>0.75</v>
      </c>
      <c r="K3496"/>
    </row>
    <row r="3497">
      <c r="A3497" t="inlineStr">
        <is>
          <t>OIL_CETYL_PALMITATE</t>
        </is>
      </c>
      <c r="B3497" t="inlineStr">
        <is>
          <t>fatty_chain_length</t>
        </is>
      </c>
      <c r="C3497" t="inlineStr">
        <is>
          <t>C16 alcohol + C16 acid</t>
        </is>
      </c>
      <c r="D3497"/>
      <c r="E3497"/>
      <c r="F3497"/>
      <c r="G3497"/>
      <c r="H3497" t="inlineStr">
        <is>
          <t>S007_EXCIPIENTS_HANDBOOK</t>
        </is>
      </c>
      <c r="I3497" t="inlineStr">
        <is>
          <t>curated</t>
        </is>
      </c>
      <c r="J3497">
        <v>0.7</v>
      </c>
      <c r="K3497"/>
    </row>
    <row r="3498">
      <c r="A3498" t="inlineStr">
        <is>
          <t>OIL_CETYL_PALMITATE</t>
        </is>
      </c>
      <c r="B3498" t="inlineStr">
        <is>
          <t>unsaturation</t>
        </is>
      </c>
      <c r="C3498">
        <v>0</v>
      </c>
      <c r="D3498" t="inlineStr">
        <is>
          <t>double_bonds</t>
        </is>
      </c>
      <c r="E3498"/>
      <c r="F3498"/>
      <c r="G3498"/>
      <c r="H3498" t="inlineStr">
        <is>
          <t>S007_EXCIPIENTS_HANDBOOK</t>
        </is>
      </c>
      <c r="I3498" t="inlineStr">
        <is>
          <t>curated</t>
        </is>
      </c>
      <c r="J3498">
        <v>0.7</v>
      </c>
      <c r="K3498"/>
    </row>
    <row r="3499">
      <c r="A3499" t="inlineStr">
        <is>
          <t>OIL_CETYL_PALMITATE</t>
        </is>
      </c>
      <c r="B3499" t="inlineStr">
        <is>
          <t>crystallinity_risk</t>
        </is>
      </c>
      <c r="C3499" t="inlineStr">
        <is>
          <t>high</t>
        </is>
      </c>
      <c r="D3499"/>
      <c r="E3499"/>
      <c r="F3499"/>
      <c r="G3499" t="inlineStr">
        <is>
          <t>SLN/NLC crystallization heuristic</t>
        </is>
      </c>
      <c r="H3499" t="inlineStr">
        <is>
          <t>S007_EXCIPIENTS_HANDBOOK</t>
        </is>
      </c>
      <c r="I3499" t="inlineStr">
        <is>
          <t>curated</t>
        </is>
      </c>
      <c r="J3499">
        <v>0.6</v>
      </c>
      <c r="K3499"/>
    </row>
    <row r="3500">
      <c r="A3500" t="inlineStr">
        <is>
          <t>OIL_CETYL_PALMITATE</t>
        </is>
      </c>
      <c r="B3500" t="inlineStr">
        <is>
          <t>polymorphism_notes</t>
        </is>
      </c>
      <c r="C3500" t="inlineStr">
        <is>
          <t>polymorphic behavior possible; DSC/XRPD required for final formulation</t>
        </is>
      </c>
      <c r="D3500"/>
      <c r="E3500"/>
      <c r="F3500"/>
      <c r="G3500"/>
      <c r="H3500" t="inlineStr">
        <is>
          <t>S014_AULTON</t>
        </is>
      </c>
      <c r="I3500" t="inlineStr">
        <is>
          <t>curated</t>
        </is>
      </c>
      <c r="J3500">
        <v>0.65</v>
      </c>
      <c r="K3500"/>
    </row>
    <row r="3501">
      <c r="A3501" t="inlineStr">
        <is>
          <t>OIL_CETYL_PALMITATE</t>
        </is>
      </c>
      <c r="B3501" t="inlineStr">
        <is>
          <t>drug_solubilization_notes</t>
        </is>
      </c>
      <c r="C3501" t="inlineStr">
        <is>
          <t>wax lipid matrix</t>
        </is>
      </c>
      <c r="D3501"/>
      <c r="E3501"/>
      <c r="F3501"/>
      <c r="G3501"/>
      <c r="H3501" t="inlineStr">
        <is>
          <t>S014_AULTON</t>
        </is>
      </c>
      <c r="I3501" t="inlineStr">
        <is>
          <t>curated</t>
        </is>
      </c>
      <c r="J3501">
        <v>0.6</v>
      </c>
      <c r="K3501"/>
    </row>
    <row r="3502">
      <c r="A3502" t="inlineStr">
        <is>
          <t>OIL_CETYL_PALMITATE</t>
        </is>
      </c>
      <c r="B3502" t="inlineStr">
        <is>
          <t>route_suitability</t>
        </is>
      </c>
      <c r="C3502" t="inlineStr">
        <is>
          <t>SLN/NLC/nanoemulsion/lipid matrix; route-grade dependent</t>
        </is>
      </c>
      <c r="D3502"/>
      <c r="E3502"/>
      <c r="F3502"/>
      <c r="G3502"/>
      <c r="H3502" t="inlineStr">
        <is>
          <t>S008_FDA_IID</t>
        </is>
      </c>
      <c r="I3502" t="inlineStr">
        <is>
          <t>curated</t>
        </is>
      </c>
      <c r="J3502">
        <v>0.55</v>
      </c>
      <c r="K3502"/>
    </row>
    <row r="3503">
      <c r="A3503" t="inlineStr">
        <is>
          <t>OIL_CETYL_PALMITATE</t>
        </is>
      </c>
      <c r="B3503" t="inlineStr">
        <is>
          <t>molar_volume_cm3_mol</t>
        </is>
      </c>
      <c r="C3503">
        <v>586.4</v>
      </c>
      <c r="D3503" t="inlineStr">
        <is>
          <t>cm3/mol</t>
        </is>
      </c>
      <c r="E3503"/>
      <c r="F3503"/>
      <c r="G3503" t="inlineStr">
        <is>
          <t>MW/density estimate</t>
        </is>
      </c>
      <c r="H3503" t="inlineStr">
        <is>
          <t>S012_CALCULATED</t>
        </is>
      </c>
      <c r="I3503" t="inlineStr">
        <is>
          <t>estimated</t>
        </is>
      </c>
      <c r="J3503">
        <v>0.48</v>
      </c>
      <c r="K3503" t="inlineStr">
        <is>
          <t>Estimated from MW/density; replace with measured molar volume or density-specific grade data.</t>
        </is>
      </c>
    </row>
    <row r="3504">
      <c r="A3504" t="inlineStr">
        <is>
          <t>OIL_CETYL_PALMITATE</t>
        </is>
      </c>
      <c r="B3504" t="inlineStr">
        <is>
          <t>Hansen_delta_D</t>
        </is>
      </c>
      <c r="C3504">
        <v>17.0</v>
      </c>
      <c r="D3504" t="inlineStr">
        <is>
          <t>MPa^0.5</t>
        </is>
      </c>
      <c r="E3504"/>
      <c r="F3504"/>
      <c r="G3504" t="inlineStr">
        <is>
          <t>heuristic group-contribution/nearest-neighbour</t>
        </is>
      </c>
      <c r="H3504" t="inlineStr">
        <is>
          <t>S013_EST_HSP_HEURISTIC</t>
        </is>
      </c>
      <c r="I3504" t="inlineStr">
        <is>
          <t>estimated</t>
        </is>
      </c>
      <c r="J3504">
        <v>0.37</v>
      </c>
      <c r="K3504" t="inlineStr">
        <is>
          <t>Provisional HSP for screening; replace with experimental/literature value before model lock.</t>
        </is>
      </c>
    </row>
    <row r="3505">
      <c r="A3505" t="inlineStr">
        <is>
          <t>OIL_CETYL_PALMITATE</t>
        </is>
      </c>
      <c r="B3505" t="inlineStr">
        <is>
          <t>Hansen_delta_P</t>
        </is>
      </c>
      <c r="C3505">
        <v>2.5</v>
      </c>
      <c r="D3505" t="inlineStr">
        <is>
          <t>MPa^0.5</t>
        </is>
      </c>
      <c r="E3505"/>
      <c r="F3505"/>
      <c r="G3505" t="inlineStr">
        <is>
          <t>heuristic group-contribution/nearest-neighbour</t>
        </is>
      </c>
      <c r="H3505" t="inlineStr">
        <is>
          <t>S013_EST_HSP_HEURISTIC</t>
        </is>
      </c>
      <c r="I3505" t="inlineStr">
        <is>
          <t>estimated</t>
        </is>
      </c>
      <c r="J3505">
        <v>0.37</v>
      </c>
      <c r="K3505" t="inlineStr">
        <is>
          <t>Provisional HSP for screening; replace with experimental/literature value before model lock.</t>
        </is>
      </c>
    </row>
    <row r="3506">
      <c r="A3506" t="inlineStr">
        <is>
          <t>OIL_CETYL_PALMITATE</t>
        </is>
      </c>
      <c r="B3506" t="inlineStr">
        <is>
          <t>Hansen_delta_H</t>
        </is>
      </c>
      <c r="C3506">
        <v>5.0</v>
      </c>
      <c r="D3506" t="inlineStr">
        <is>
          <t>MPa^0.5</t>
        </is>
      </c>
      <c r="E3506"/>
      <c r="F3506"/>
      <c r="G3506" t="inlineStr">
        <is>
          <t>heuristic group-contribution/nearest-neighbour</t>
        </is>
      </c>
      <c r="H3506" t="inlineStr">
        <is>
          <t>S013_EST_HSP_HEURISTIC</t>
        </is>
      </c>
      <c r="I3506" t="inlineStr">
        <is>
          <t>estimated</t>
        </is>
      </c>
      <c r="J3506">
        <v>0.37</v>
      </c>
      <c r="K3506" t="inlineStr">
        <is>
          <t>Provisional HSP for screening; replace with experimental/literature value before model lock.</t>
        </is>
      </c>
    </row>
    <row r="3507">
      <c r="A3507" t="inlineStr">
        <is>
          <t>OIL_CETYL_PALMITATE</t>
        </is>
      </c>
      <c r="B3507" t="inlineStr">
        <is>
          <t>Hildebrand_delta_T</t>
        </is>
      </c>
      <c r="C3507">
        <v>17.9</v>
      </c>
      <c r="D3507" t="inlineStr">
        <is>
          <t>MPa^0.5</t>
        </is>
      </c>
      <c r="E3507"/>
      <c r="F3507"/>
      <c r="G3507" t="inlineStr">
        <is>
          <t>sqrt(deltaD^2+deltaP^2+deltaH^2)</t>
        </is>
      </c>
      <c r="H3507" t="inlineStr">
        <is>
          <t>S012_CALCULATED</t>
        </is>
      </c>
      <c r="I3507" t="inlineStr">
        <is>
          <t>calculated</t>
        </is>
      </c>
      <c r="J3507">
        <v>0.42</v>
      </c>
      <c r="K3507" t="inlineStr">
        <is>
          <t>Derived from stored Hansen components.</t>
        </is>
      </c>
    </row>
    <row r="3508">
      <c r="A3508" t="inlineStr">
        <is>
          <t>OIL_CETYL_PALMITATE</t>
        </is>
      </c>
      <c r="B3508" t="inlineStr">
        <is>
          <t>HSP_radius_R0</t>
        </is>
      </c>
      <c r="C3508">
        <v>7.0</v>
      </c>
      <c r="D3508" t="inlineStr">
        <is>
          <t>MPa^0.5</t>
        </is>
      </c>
      <c r="E3508"/>
      <c r="F3508"/>
      <c r="G3508" t="inlineStr">
        <is>
          <t>literature/heuristic solubility sphere</t>
        </is>
      </c>
      <c r="H3508" t="inlineStr">
        <is>
          <t>S013_EST_HSP_HEURISTIC</t>
        </is>
      </c>
      <c r="I3508" t="inlineStr">
        <is>
          <t>estimated</t>
        </is>
      </c>
      <c r="J3508">
        <v>0.37</v>
      </c>
      <c r="K3508" t="inlineStr">
        <is>
          <t>Screening radius only unless experimentally determined.</t>
        </is>
      </c>
    </row>
    <row r="3509">
      <c r="A3509" t="inlineStr">
        <is>
          <t>OIL_WITEPSOL_H15</t>
        </is>
      </c>
      <c r="B3509" t="inlineStr">
        <is>
          <t>average_MW</t>
        </is>
      </c>
      <c r="C3509">
        <v>650</v>
      </c>
      <c r="D3509" t="inlineStr">
        <is>
          <t>g/mol</t>
        </is>
      </c>
      <c r="E3509"/>
      <c r="F3509"/>
      <c r="G3509" t="inlineStr">
        <is>
          <t>mixture average/grade-dependent</t>
        </is>
      </c>
      <c r="H3509" t="inlineStr">
        <is>
          <t>S007_EXCIPIENTS_HANDBOOK</t>
        </is>
      </c>
      <c r="I3509" t="inlineStr">
        <is>
          <t>supplier-reported</t>
        </is>
      </c>
      <c r="J3509">
        <v>0.55</v>
      </c>
      <c r="K3509"/>
    </row>
    <row r="3510">
      <c r="A3510" t="inlineStr">
        <is>
          <t>OIL_WITEPSOL_H15</t>
        </is>
      </c>
      <c r="B3510" t="inlineStr">
        <is>
          <t>density_g_ml</t>
        </is>
      </c>
      <c r="C3510">
        <v>0.95</v>
      </c>
      <c r="D3510" t="inlineStr">
        <is>
          <t>g/mL</t>
        </is>
      </c>
      <c r="E3510"/>
      <c r="F3510"/>
      <c r="G3510" t="inlineStr">
        <is>
          <t>20-25 °C unless otherwise specified</t>
        </is>
      </c>
      <c r="H3510" t="inlineStr">
        <is>
          <t>S007_EXCIPIENTS_HANDBOOK</t>
        </is>
      </c>
      <c r="I3510" t="inlineStr">
        <is>
          <t>handbook</t>
        </is>
      </c>
      <c r="J3510">
        <v>0.6</v>
      </c>
      <c r="K3510"/>
    </row>
    <row r="3511">
      <c r="A3511" t="inlineStr">
        <is>
          <t>OIL_WITEPSOL_H15</t>
        </is>
      </c>
      <c r="B3511" t="inlineStr">
        <is>
          <t>melting_point_C</t>
        </is>
      </c>
      <c r="C3511">
        <v>34</v>
      </c>
      <c r="D3511" t="inlineStr">
        <is>
          <t>°C</t>
        </is>
      </c>
      <c r="E3511"/>
      <c r="F3511"/>
      <c r="G3511" t="inlineStr">
        <is>
          <t>melting/drop point range; grade-dependent</t>
        </is>
      </c>
      <c r="H3511" t="inlineStr">
        <is>
          <t>S007_EXCIPIENTS_HANDBOOK</t>
        </is>
      </c>
      <c r="I3511" t="inlineStr">
        <is>
          <t>handbook</t>
        </is>
      </c>
      <c r="J3511">
        <v>0.68</v>
      </c>
      <c r="K3511"/>
    </row>
    <row r="3512">
      <c r="A3512" t="inlineStr">
        <is>
          <t>OIL_WITEPSOL_H15</t>
        </is>
      </c>
      <c r="B3512" t="inlineStr">
        <is>
          <t>lipid_state</t>
        </is>
      </c>
      <c r="C3512" t="inlineStr">
        <is>
          <t>solid/semi-solid</t>
        </is>
      </c>
      <c r="D3512"/>
      <c r="E3512"/>
      <c r="F3512"/>
      <c r="G3512"/>
      <c r="H3512" t="inlineStr">
        <is>
          <t>S007_EXCIPIENTS_HANDBOOK</t>
        </is>
      </c>
      <c r="I3512" t="inlineStr">
        <is>
          <t>curated</t>
        </is>
      </c>
      <c r="J3512">
        <v>0.75</v>
      </c>
      <c r="K3512"/>
    </row>
    <row r="3513">
      <c r="A3513" t="inlineStr">
        <is>
          <t>OIL_WITEPSOL_H15</t>
        </is>
      </c>
      <c r="B3513" t="inlineStr">
        <is>
          <t>fatty_chain_length</t>
        </is>
      </c>
      <c r="C3513" t="inlineStr">
        <is>
          <t>C12-C18 triglyceride mixture</t>
        </is>
      </c>
      <c r="D3513"/>
      <c r="E3513"/>
      <c r="F3513"/>
      <c r="G3513"/>
      <c r="H3513" t="inlineStr">
        <is>
          <t>S007_EXCIPIENTS_HANDBOOK</t>
        </is>
      </c>
      <c r="I3513" t="inlineStr">
        <is>
          <t>curated</t>
        </is>
      </c>
      <c r="J3513">
        <v>0.7</v>
      </c>
      <c r="K3513"/>
    </row>
    <row r="3514">
      <c r="A3514" t="inlineStr">
        <is>
          <t>OIL_WITEPSOL_H15</t>
        </is>
      </c>
      <c r="B3514" t="inlineStr">
        <is>
          <t>unsaturation</t>
        </is>
      </c>
      <c r="C3514">
        <v>0</v>
      </c>
      <c r="D3514" t="inlineStr">
        <is>
          <t>double_bonds</t>
        </is>
      </c>
      <c r="E3514"/>
      <c r="F3514"/>
      <c r="G3514"/>
      <c r="H3514" t="inlineStr">
        <is>
          <t>S007_EXCIPIENTS_HANDBOOK</t>
        </is>
      </c>
      <c r="I3514" t="inlineStr">
        <is>
          <t>curated</t>
        </is>
      </c>
      <c r="J3514">
        <v>0.7</v>
      </c>
      <c r="K3514"/>
    </row>
    <row r="3515">
      <c r="A3515" t="inlineStr">
        <is>
          <t>OIL_WITEPSOL_H15</t>
        </is>
      </c>
      <c r="B3515" t="inlineStr">
        <is>
          <t>crystallinity_risk</t>
        </is>
      </c>
      <c r="C3515" t="inlineStr">
        <is>
          <t>moderate</t>
        </is>
      </c>
      <c r="D3515"/>
      <c r="E3515"/>
      <c r="F3515"/>
      <c r="G3515" t="inlineStr">
        <is>
          <t>SLN/NLC crystallization heuristic</t>
        </is>
      </c>
      <c r="H3515" t="inlineStr">
        <is>
          <t>S007_EXCIPIENTS_HANDBOOK</t>
        </is>
      </c>
      <c r="I3515" t="inlineStr">
        <is>
          <t>curated</t>
        </is>
      </c>
      <c r="J3515">
        <v>0.6</v>
      </c>
      <c r="K3515"/>
    </row>
    <row r="3516">
      <c r="A3516" t="inlineStr">
        <is>
          <t>OIL_WITEPSOL_H15</t>
        </is>
      </c>
      <c r="B3516" t="inlineStr">
        <is>
          <t>polymorphism_notes</t>
        </is>
      </c>
      <c r="C3516" t="inlineStr">
        <is>
          <t>polymorphic behavior possible; DSC/XRPD required for final formulation</t>
        </is>
      </c>
      <c r="D3516"/>
      <c r="E3516"/>
      <c r="F3516"/>
      <c r="G3516"/>
      <c r="H3516" t="inlineStr">
        <is>
          <t>S014_AULTON</t>
        </is>
      </c>
      <c r="I3516" t="inlineStr">
        <is>
          <t>curated</t>
        </is>
      </c>
      <c r="J3516">
        <v>0.65</v>
      </c>
      <c r="K3516"/>
    </row>
    <row r="3517">
      <c r="A3517" t="inlineStr">
        <is>
          <t>OIL_WITEPSOL_H15</t>
        </is>
      </c>
      <c r="B3517" t="inlineStr">
        <is>
          <t>drug_solubilization_notes</t>
        </is>
      </c>
      <c r="C3517" t="inlineStr">
        <is>
          <t>grade-specific hard fat</t>
        </is>
      </c>
      <c r="D3517"/>
      <c r="E3517"/>
      <c r="F3517"/>
      <c r="G3517"/>
      <c r="H3517" t="inlineStr">
        <is>
          <t>S014_AULTON</t>
        </is>
      </c>
      <c r="I3517" t="inlineStr">
        <is>
          <t>curated</t>
        </is>
      </c>
      <c r="J3517">
        <v>0.6</v>
      </c>
      <c r="K3517"/>
    </row>
    <row r="3518">
      <c r="A3518" t="inlineStr">
        <is>
          <t>OIL_WITEPSOL_H15</t>
        </is>
      </c>
      <c r="B3518" t="inlineStr">
        <is>
          <t>route_suitability</t>
        </is>
      </c>
      <c r="C3518" t="inlineStr">
        <is>
          <t>SLN/NLC/nanoemulsion/lipid matrix; route-grade dependent</t>
        </is>
      </c>
      <c r="D3518"/>
      <c r="E3518"/>
      <c r="F3518"/>
      <c r="G3518"/>
      <c r="H3518" t="inlineStr">
        <is>
          <t>S008_FDA_IID</t>
        </is>
      </c>
      <c r="I3518" t="inlineStr">
        <is>
          <t>curated</t>
        </is>
      </c>
      <c r="J3518">
        <v>0.55</v>
      </c>
      <c r="K3518"/>
    </row>
    <row r="3519">
      <c r="A3519" t="inlineStr">
        <is>
          <t>OIL_WITEPSOL_H15</t>
        </is>
      </c>
      <c r="B3519" t="inlineStr">
        <is>
          <t>molar_volume_cm3_mol</t>
        </is>
      </c>
      <c r="C3519">
        <v>684.21</v>
      </c>
      <c r="D3519" t="inlineStr">
        <is>
          <t>cm3/mol</t>
        </is>
      </c>
      <c r="E3519"/>
      <c r="F3519"/>
      <c r="G3519" t="inlineStr">
        <is>
          <t>MW/density estimate</t>
        </is>
      </c>
      <c r="H3519" t="inlineStr">
        <is>
          <t>S012_CALCULATED</t>
        </is>
      </c>
      <c r="I3519" t="inlineStr">
        <is>
          <t>estimated</t>
        </is>
      </c>
      <c r="J3519">
        <v>0.35</v>
      </c>
      <c r="K3519" t="inlineStr">
        <is>
          <t>Estimated from MW/density; replace with measured molar volume or density-specific grade data.</t>
        </is>
      </c>
    </row>
    <row r="3520">
      <c r="A3520" t="inlineStr">
        <is>
          <t>OIL_WITEPSOL_H15</t>
        </is>
      </c>
      <c r="B3520" t="inlineStr">
        <is>
          <t>Hansen_delta_D</t>
        </is>
      </c>
      <c r="C3520">
        <v>17.0</v>
      </c>
      <c r="D3520" t="inlineStr">
        <is>
          <t>MPa^0.5</t>
        </is>
      </c>
      <c r="E3520"/>
      <c r="F3520"/>
      <c r="G3520" t="inlineStr">
        <is>
          <t>heuristic group-contribution/nearest-neighbour</t>
        </is>
      </c>
      <c r="H3520" t="inlineStr">
        <is>
          <t>S013_EST_HSP_HEURISTIC</t>
        </is>
      </c>
      <c r="I3520" t="inlineStr">
        <is>
          <t>estimated</t>
        </is>
      </c>
      <c r="J3520">
        <v>0.37</v>
      </c>
      <c r="K3520" t="inlineStr">
        <is>
          <t>Provisional HSP for screening; replace with experimental/literature value before model lock.</t>
        </is>
      </c>
    </row>
    <row r="3521">
      <c r="A3521" t="inlineStr">
        <is>
          <t>OIL_WITEPSOL_H15</t>
        </is>
      </c>
      <c r="B3521" t="inlineStr">
        <is>
          <t>Hansen_delta_P</t>
        </is>
      </c>
      <c r="C3521">
        <v>2.5</v>
      </c>
      <c r="D3521" t="inlineStr">
        <is>
          <t>MPa^0.5</t>
        </is>
      </c>
      <c r="E3521"/>
      <c r="F3521"/>
      <c r="G3521" t="inlineStr">
        <is>
          <t>heuristic group-contribution/nearest-neighbour</t>
        </is>
      </c>
      <c r="H3521" t="inlineStr">
        <is>
          <t>S013_EST_HSP_HEURISTIC</t>
        </is>
      </c>
      <c r="I3521" t="inlineStr">
        <is>
          <t>estimated</t>
        </is>
      </c>
      <c r="J3521">
        <v>0.37</v>
      </c>
      <c r="K3521" t="inlineStr">
        <is>
          <t>Provisional HSP for screening; replace with experimental/literature value before model lock.</t>
        </is>
      </c>
    </row>
    <row r="3522">
      <c r="A3522" t="inlineStr">
        <is>
          <t>OIL_WITEPSOL_H15</t>
        </is>
      </c>
      <c r="B3522" t="inlineStr">
        <is>
          <t>Hansen_delta_H</t>
        </is>
      </c>
      <c r="C3522">
        <v>5.0</v>
      </c>
      <c r="D3522" t="inlineStr">
        <is>
          <t>MPa^0.5</t>
        </is>
      </c>
      <c r="E3522"/>
      <c r="F3522"/>
      <c r="G3522" t="inlineStr">
        <is>
          <t>heuristic group-contribution/nearest-neighbour</t>
        </is>
      </c>
      <c r="H3522" t="inlineStr">
        <is>
          <t>S013_EST_HSP_HEURISTIC</t>
        </is>
      </c>
      <c r="I3522" t="inlineStr">
        <is>
          <t>estimated</t>
        </is>
      </c>
      <c r="J3522">
        <v>0.37</v>
      </c>
      <c r="K3522" t="inlineStr">
        <is>
          <t>Provisional HSP for screening; replace with experimental/literature value before model lock.</t>
        </is>
      </c>
    </row>
    <row r="3523">
      <c r="A3523" t="inlineStr">
        <is>
          <t>OIL_WITEPSOL_H15</t>
        </is>
      </c>
      <c r="B3523" t="inlineStr">
        <is>
          <t>Hildebrand_delta_T</t>
        </is>
      </c>
      <c r="C3523">
        <v>17.9</v>
      </c>
      <c r="D3523" t="inlineStr">
        <is>
          <t>MPa^0.5</t>
        </is>
      </c>
      <c r="E3523"/>
      <c r="F3523"/>
      <c r="G3523" t="inlineStr">
        <is>
          <t>sqrt(deltaD^2+deltaP^2+deltaH^2)</t>
        </is>
      </c>
      <c r="H3523" t="inlineStr">
        <is>
          <t>S012_CALCULATED</t>
        </is>
      </c>
      <c r="I3523" t="inlineStr">
        <is>
          <t>calculated</t>
        </is>
      </c>
      <c r="J3523">
        <v>0.42</v>
      </c>
      <c r="K3523" t="inlineStr">
        <is>
          <t>Derived from stored Hansen components.</t>
        </is>
      </c>
    </row>
    <row r="3524">
      <c r="A3524" t="inlineStr">
        <is>
          <t>OIL_WITEPSOL_H15</t>
        </is>
      </c>
      <c r="B3524" t="inlineStr">
        <is>
          <t>HSP_radius_R0</t>
        </is>
      </c>
      <c r="C3524">
        <v>7.0</v>
      </c>
      <c r="D3524" t="inlineStr">
        <is>
          <t>MPa^0.5</t>
        </is>
      </c>
      <c r="E3524"/>
      <c r="F3524"/>
      <c r="G3524" t="inlineStr">
        <is>
          <t>literature/heuristic solubility sphere</t>
        </is>
      </c>
      <c r="H3524" t="inlineStr">
        <is>
          <t>S013_EST_HSP_HEURISTIC</t>
        </is>
      </c>
      <c r="I3524" t="inlineStr">
        <is>
          <t>estimated</t>
        </is>
      </c>
      <c r="J3524">
        <v>0.37</v>
      </c>
      <c r="K3524" t="inlineStr">
        <is>
          <t>Screening radius only unless experimentally determined.</t>
        </is>
      </c>
    </row>
    <row r="3525">
      <c r="A3525" t="inlineStr">
        <is>
          <t>OIL_WITEPSOL_W35</t>
        </is>
      </c>
      <c r="B3525" t="inlineStr">
        <is>
          <t>average_MW</t>
        </is>
      </c>
      <c r="C3525">
        <v>650</v>
      </c>
      <c r="D3525" t="inlineStr">
        <is>
          <t>g/mol</t>
        </is>
      </c>
      <c r="E3525"/>
      <c r="F3525"/>
      <c r="G3525" t="inlineStr">
        <is>
          <t>mixture average/grade-dependent</t>
        </is>
      </c>
      <c r="H3525" t="inlineStr">
        <is>
          <t>S007_EXCIPIENTS_HANDBOOK</t>
        </is>
      </c>
      <c r="I3525" t="inlineStr">
        <is>
          <t>supplier-reported</t>
        </is>
      </c>
      <c r="J3525">
        <v>0.55</v>
      </c>
      <c r="K3525"/>
    </row>
    <row r="3526">
      <c r="A3526" t="inlineStr">
        <is>
          <t>OIL_WITEPSOL_W35</t>
        </is>
      </c>
      <c r="B3526" t="inlineStr">
        <is>
          <t>density_g_ml</t>
        </is>
      </c>
      <c r="C3526">
        <v>0.95</v>
      </c>
      <c r="D3526" t="inlineStr">
        <is>
          <t>g/mL</t>
        </is>
      </c>
      <c r="E3526"/>
      <c r="F3526"/>
      <c r="G3526" t="inlineStr">
        <is>
          <t>20-25 °C unless otherwise specified</t>
        </is>
      </c>
      <c r="H3526" t="inlineStr">
        <is>
          <t>S007_EXCIPIENTS_HANDBOOK</t>
        </is>
      </c>
      <c r="I3526" t="inlineStr">
        <is>
          <t>handbook</t>
        </is>
      </c>
      <c r="J3526">
        <v>0.6</v>
      </c>
      <c r="K3526"/>
    </row>
    <row r="3527">
      <c r="A3527" t="inlineStr">
        <is>
          <t>OIL_WITEPSOL_W35</t>
        </is>
      </c>
      <c r="B3527" t="inlineStr">
        <is>
          <t>melting_point_C</t>
        </is>
      </c>
      <c r="C3527">
        <v>35</v>
      </c>
      <c r="D3527" t="inlineStr">
        <is>
          <t>°C</t>
        </is>
      </c>
      <c r="E3527"/>
      <c r="F3527"/>
      <c r="G3527" t="inlineStr">
        <is>
          <t>melting/drop point range; grade-dependent</t>
        </is>
      </c>
      <c r="H3527" t="inlineStr">
        <is>
          <t>S007_EXCIPIENTS_HANDBOOK</t>
        </is>
      </c>
      <c r="I3527" t="inlineStr">
        <is>
          <t>handbook</t>
        </is>
      </c>
      <c r="J3527">
        <v>0.68</v>
      </c>
      <c r="K3527"/>
    </row>
    <row r="3528">
      <c r="A3528" t="inlineStr">
        <is>
          <t>OIL_WITEPSOL_W35</t>
        </is>
      </c>
      <c r="B3528" t="inlineStr">
        <is>
          <t>lipid_state</t>
        </is>
      </c>
      <c r="C3528" t="inlineStr">
        <is>
          <t>solid/semi-solid</t>
        </is>
      </c>
      <c r="D3528"/>
      <c r="E3528"/>
      <c r="F3528"/>
      <c r="G3528"/>
      <c r="H3528" t="inlineStr">
        <is>
          <t>S007_EXCIPIENTS_HANDBOOK</t>
        </is>
      </c>
      <c r="I3528" t="inlineStr">
        <is>
          <t>curated</t>
        </is>
      </c>
      <c r="J3528">
        <v>0.75</v>
      </c>
      <c r="K3528"/>
    </row>
    <row r="3529">
      <c r="A3529" t="inlineStr">
        <is>
          <t>OIL_WITEPSOL_W35</t>
        </is>
      </c>
      <c r="B3529" t="inlineStr">
        <is>
          <t>fatty_chain_length</t>
        </is>
      </c>
      <c r="C3529" t="inlineStr">
        <is>
          <t>C12-C18 triglyceride mixture</t>
        </is>
      </c>
      <c r="D3529"/>
      <c r="E3529"/>
      <c r="F3529"/>
      <c r="G3529"/>
      <c r="H3529" t="inlineStr">
        <is>
          <t>S007_EXCIPIENTS_HANDBOOK</t>
        </is>
      </c>
      <c r="I3529" t="inlineStr">
        <is>
          <t>curated</t>
        </is>
      </c>
      <c r="J3529">
        <v>0.7</v>
      </c>
      <c r="K3529"/>
    </row>
    <row r="3530">
      <c r="A3530" t="inlineStr">
        <is>
          <t>OIL_WITEPSOL_W35</t>
        </is>
      </c>
      <c r="B3530" t="inlineStr">
        <is>
          <t>unsaturation</t>
        </is>
      </c>
      <c r="C3530">
        <v>0</v>
      </c>
      <c r="D3530" t="inlineStr">
        <is>
          <t>double_bonds</t>
        </is>
      </c>
      <c r="E3530"/>
      <c r="F3530"/>
      <c r="G3530"/>
      <c r="H3530" t="inlineStr">
        <is>
          <t>S007_EXCIPIENTS_HANDBOOK</t>
        </is>
      </c>
      <c r="I3530" t="inlineStr">
        <is>
          <t>curated</t>
        </is>
      </c>
      <c r="J3530">
        <v>0.7</v>
      </c>
      <c r="K3530"/>
    </row>
    <row r="3531">
      <c r="A3531" t="inlineStr">
        <is>
          <t>OIL_WITEPSOL_W35</t>
        </is>
      </c>
      <c r="B3531" t="inlineStr">
        <is>
          <t>crystallinity_risk</t>
        </is>
      </c>
      <c r="C3531" t="inlineStr">
        <is>
          <t>moderate</t>
        </is>
      </c>
      <c r="D3531"/>
      <c r="E3531"/>
      <c r="F3531"/>
      <c r="G3531" t="inlineStr">
        <is>
          <t>SLN/NLC crystallization heuristic</t>
        </is>
      </c>
      <c r="H3531" t="inlineStr">
        <is>
          <t>S007_EXCIPIENTS_HANDBOOK</t>
        </is>
      </c>
      <c r="I3531" t="inlineStr">
        <is>
          <t>curated</t>
        </is>
      </c>
      <c r="J3531">
        <v>0.6</v>
      </c>
      <c r="K3531"/>
    </row>
    <row r="3532">
      <c r="A3532" t="inlineStr">
        <is>
          <t>OIL_WITEPSOL_W35</t>
        </is>
      </c>
      <c r="B3532" t="inlineStr">
        <is>
          <t>polymorphism_notes</t>
        </is>
      </c>
      <c r="C3532" t="inlineStr">
        <is>
          <t>polymorphic behavior possible; DSC/XRPD required for final formulation</t>
        </is>
      </c>
      <c r="D3532"/>
      <c r="E3532"/>
      <c r="F3532"/>
      <c r="G3532"/>
      <c r="H3532" t="inlineStr">
        <is>
          <t>S014_AULTON</t>
        </is>
      </c>
      <c r="I3532" t="inlineStr">
        <is>
          <t>curated</t>
        </is>
      </c>
      <c r="J3532">
        <v>0.65</v>
      </c>
      <c r="K3532"/>
    </row>
    <row r="3533">
      <c r="A3533" t="inlineStr">
        <is>
          <t>OIL_WITEPSOL_W35</t>
        </is>
      </c>
      <c r="B3533" t="inlineStr">
        <is>
          <t>drug_solubilization_notes</t>
        </is>
      </c>
      <c r="C3533" t="inlineStr">
        <is>
          <t>grade-specific hard fat</t>
        </is>
      </c>
      <c r="D3533"/>
      <c r="E3533"/>
      <c r="F3533"/>
      <c r="G3533"/>
      <c r="H3533" t="inlineStr">
        <is>
          <t>S014_AULTON</t>
        </is>
      </c>
      <c r="I3533" t="inlineStr">
        <is>
          <t>curated</t>
        </is>
      </c>
      <c r="J3533">
        <v>0.6</v>
      </c>
      <c r="K3533"/>
    </row>
    <row r="3534">
      <c r="A3534" t="inlineStr">
        <is>
          <t>OIL_WITEPSOL_W35</t>
        </is>
      </c>
      <c r="B3534" t="inlineStr">
        <is>
          <t>route_suitability</t>
        </is>
      </c>
      <c r="C3534" t="inlineStr">
        <is>
          <t>SLN/NLC/nanoemulsion/lipid matrix; route-grade dependent</t>
        </is>
      </c>
      <c r="D3534"/>
      <c r="E3534"/>
      <c r="F3534"/>
      <c r="G3534"/>
      <c r="H3534" t="inlineStr">
        <is>
          <t>S008_FDA_IID</t>
        </is>
      </c>
      <c r="I3534" t="inlineStr">
        <is>
          <t>curated</t>
        </is>
      </c>
      <c r="J3534">
        <v>0.55</v>
      </c>
      <c r="K3534"/>
    </row>
    <row r="3535">
      <c r="A3535" t="inlineStr">
        <is>
          <t>OIL_WITEPSOL_W35</t>
        </is>
      </c>
      <c r="B3535" t="inlineStr">
        <is>
          <t>molar_volume_cm3_mol</t>
        </is>
      </c>
      <c r="C3535">
        <v>684.21</v>
      </c>
      <c r="D3535" t="inlineStr">
        <is>
          <t>cm3/mol</t>
        </is>
      </c>
      <c r="E3535"/>
      <c r="F3535"/>
      <c r="G3535" t="inlineStr">
        <is>
          <t>MW/density estimate</t>
        </is>
      </c>
      <c r="H3535" t="inlineStr">
        <is>
          <t>S012_CALCULATED</t>
        </is>
      </c>
      <c r="I3535" t="inlineStr">
        <is>
          <t>estimated</t>
        </is>
      </c>
      <c r="J3535">
        <v>0.35</v>
      </c>
      <c r="K3535" t="inlineStr">
        <is>
          <t>Estimated from MW/density; replace with measured molar volume or density-specific grade data.</t>
        </is>
      </c>
    </row>
    <row r="3536">
      <c r="A3536" t="inlineStr">
        <is>
          <t>OIL_WITEPSOL_W35</t>
        </is>
      </c>
      <c r="B3536" t="inlineStr">
        <is>
          <t>Hansen_delta_D</t>
        </is>
      </c>
      <c r="C3536">
        <v>17.0</v>
      </c>
      <c r="D3536" t="inlineStr">
        <is>
          <t>MPa^0.5</t>
        </is>
      </c>
      <c r="E3536"/>
      <c r="F3536"/>
      <c r="G3536" t="inlineStr">
        <is>
          <t>heuristic group-contribution/nearest-neighbour</t>
        </is>
      </c>
      <c r="H3536" t="inlineStr">
        <is>
          <t>S013_EST_HSP_HEURISTIC</t>
        </is>
      </c>
      <c r="I3536" t="inlineStr">
        <is>
          <t>estimated</t>
        </is>
      </c>
      <c r="J3536">
        <v>0.37</v>
      </c>
      <c r="K3536" t="inlineStr">
        <is>
          <t>Provisional HSP for screening; replace with experimental/literature value before model lock.</t>
        </is>
      </c>
    </row>
    <row r="3537">
      <c r="A3537" t="inlineStr">
        <is>
          <t>OIL_WITEPSOL_W35</t>
        </is>
      </c>
      <c r="B3537" t="inlineStr">
        <is>
          <t>Hansen_delta_P</t>
        </is>
      </c>
      <c r="C3537">
        <v>2.5</v>
      </c>
      <c r="D3537" t="inlineStr">
        <is>
          <t>MPa^0.5</t>
        </is>
      </c>
      <c r="E3537"/>
      <c r="F3537"/>
      <c r="G3537" t="inlineStr">
        <is>
          <t>heuristic group-contribution/nearest-neighbour</t>
        </is>
      </c>
      <c r="H3537" t="inlineStr">
        <is>
          <t>S013_EST_HSP_HEURISTIC</t>
        </is>
      </c>
      <c r="I3537" t="inlineStr">
        <is>
          <t>estimated</t>
        </is>
      </c>
      <c r="J3537">
        <v>0.37</v>
      </c>
      <c r="K3537" t="inlineStr">
        <is>
          <t>Provisional HSP for screening; replace with experimental/literature value before model lock.</t>
        </is>
      </c>
    </row>
    <row r="3538">
      <c r="A3538" t="inlineStr">
        <is>
          <t>OIL_WITEPSOL_W35</t>
        </is>
      </c>
      <c r="B3538" t="inlineStr">
        <is>
          <t>Hansen_delta_H</t>
        </is>
      </c>
      <c r="C3538">
        <v>5.0</v>
      </c>
      <c r="D3538" t="inlineStr">
        <is>
          <t>MPa^0.5</t>
        </is>
      </c>
      <c r="E3538"/>
      <c r="F3538"/>
      <c r="G3538" t="inlineStr">
        <is>
          <t>heuristic group-contribution/nearest-neighbour</t>
        </is>
      </c>
      <c r="H3538" t="inlineStr">
        <is>
          <t>S013_EST_HSP_HEURISTIC</t>
        </is>
      </c>
      <c r="I3538" t="inlineStr">
        <is>
          <t>estimated</t>
        </is>
      </c>
      <c r="J3538">
        <v>0.37</v>
      </c>
      <c r="K3538" t="inlineStr">
        <is>
          <t>Provisional HSP for screening; replace with experimental/literature value before model lock.</t>
        </is>
      </c>
    </row>
    <row r="3539">
      <c r="A3539" t="inlineStr">
        <is>
          <t>OIL_WITEPSOL_W35</t>
        </is>
      </c>
      <c r="B3539" t="inlineStr">
        <is>
          <t>Hildebrand_delta_T</t>
        </is>
      </c>
      <c r="C3539">
        <v>17.9</v>
      </c>
      <c r="D3539" t="inlineStr">
        <is>
          <t>MPa^0.5</t>
        </is>
      </c>
      <c r="E3539"/>
      <c r="F3539"/>
      <c r="G3539" t="inlineStr">
        <is>
          <t>sqrt(deltaD^2+deltaP^2+deltaH^2)</t>
        </is>
      </c>
      <c r="H3539" t="inlineStr">
        <is>
          <t>S012_CALCULATED</t>
        </is>
      </c>
      <c r="I3539" t="inlineStr">
        <is>
          <t>calculated</t>
        </is>
      </c>
      <c r="J3539">
        <v>0.42</v>
      </c>
      <c r="K3539" t="inlineStr">
        <is>
          <t>Derived from stored Hansen components.</t>
        </is>
      </c>
    </row>
    <row r="3540">
      <c r="A3540" t="inlineStr">
        <is>
          <t>OIL_WITEPSOL_W35</t>
        </is>
      </c>
      <c r="B3540" t="inlineStr">
        <is>
          <t>HSP_radius_R0</t>
        </is>
      </c>
      <c r="C3540">
        <v>7.0</v>
      </c>
      <c r="D3540" t="inlineStr">
        <is>
          <t>MPa^0.5</t>
        </is>
      </c>
      <c r="E3540"/>
      <c r="F3540"/>
      <c r="G3540" t="inlineStr">
        <is>
          <t>literature/heuristic solubility sphere</t>
        </is>
      </c>
      <c r="H3540" t="inlineStr">
        <is>
          <t>S013_EST_HSP_HEURISTIC</t>
        </is>
      </c>
      <c r="I3540" t="inlineStr">
        <is>
          <t>estimated</t>
        </is>
      </c>
      <c r="J3540">
        <v>0.37</v>
      </c>
      <c r="K3540" t="inlineStr">
        <is>
          <t>Screening radius only unless experimentally determined.</t>
        </is>
      </c>
    </row>
    <row r="3541">
      <c r="A3541" t="inlineStr">
        <is>
          <t>OIL_GELUCIRE_44_14</t>
        </is>
      </c>
      <c r="B3541" t="inlineStr">
        <is>
          <t>average_MW</t>
        </is>
      </c>
      <c r="C3541">
        <v>1500</v>
      </c>
      <c r="D3541" t="inlineStr">
        <is>
          <t>g/mol</t>
        </is>
      </c>
      <c r="E3541"/>
      <c r="F3541"/>
      <c r="G3541" t="inlineStr">
        <is>
          <t>mixture average/grade-dependent</t>
        </is>
      </c>
      <c r="H3541" t="inlineStr">
        <is>
          <t>S009_GATTEFOSSE</t>
        </is>
      </c>
      <c r="I3541" t="inlineStr">
        <is>
          <t>supplier-reported</t>
        </is>
      </c>
      <c r="J3541">
        <v>0.55</v>
      </c>
      <c r="K3541"/>
    </row>
    <row r="3542">
      <c r="A3542" t="inlineStr">
        <is>
          <t>OIL_GELUCIRE_44_14</t>
        </is>
      </c>
      <c r="B3542" t="inlineStr">
        <is>
          <t>density_g_ml</t>
        </is>
      </c>
      <c r="C3542">
        <v>1.05</v>
      </c>
      <c r="D3542" t="inlineStr">
        <is>
          <t>g/mL</t>
        </is>
      </c>
      <c r="E3542"/>
      <c r="F3542"/>
      <c r="G3542" t="inlineStr">
        <is>
          <t>20-25 °C unless otherwise specified</t>
        </is>
      </c>
      <c r="H3542" t="inlineStr">
        <is>
          <t>S009_GATTEFOSSE</t>
        </is>
      </c>
      <c r="I3542" t="inlineStr">
        <is>
          <t>handbook</t>
        </is>
      </c>
      <c r="J3542">
        <v>0.6</v>
      </c>
      <c r="K3542"/>
    </row>
    <row r="3543">
      <c r="A3543" t="inlineStr">
        <is>
          <t>OIL_GELUCIRE_44_14</t>
        </is>
      </c>
      <c r="B3543" t="inlineStr">
        <is>
          <t>melting_point_C</t>
        </is>
      </c>
      <c r="C3543">
        <v>44</v>
      </c>
      <c r="D3543" t="inlineStr">
        <is>
          <t>°C</t>
        </is>
      </c>
      <c r="E3543"/>
      <c r="F3543"/>
      <c r="G3543" t="inlineStr">
        <is>
          <t>melting/drop point range; grade-dependent</t>
        </is>
      </c>
      <c r="H3543" t="inlineStr">
        <is>
          <t>S009_GATTEFOSSE</t>
        </is>
      </c>
      <c r="I3543" t="inlineStr">
        <is>
          <t>handbook</t>
        </is>
      </c>
      <c r="J3543">
        <v>0.68</v>
      </c>
      <c r="K3543"/>
    </row>
    <row r="3544">
      <c r="A3544" t="inlineStr">
        <is>
          <t>OIL_GELUCIRE_44_14</t>
        </is>
      </c>
      <c r="B3544" t="inlineStr">
        <is>
          <t>lipid_state</t>
        </is>
      </c>
      <c r="C3544" t="inlineStr">
        <is>
          <t>solid/semi-solid</t>
        </is>
      </c>
      <c r="D3544"/>
      <c r="E3544"/>
      <c r="F3544"/>
      <c r="G3544"/>
      <c r="H3544" t="inlineStr">
        <is>
          <t>S009_GATTEFOSSE</t>
        </is>
      </c>
      <c r="I3544" t="inlineStr">
        <is>
          <t>curated</t>
        </is>
      </c>
      <c r="J3544">
        <v>0.75</v>
      </c>
      <c r="K3544"/>
    </row>
    <row r="3545">
      <c r="A3545" t="inlineStr">
        <is>
          <t>OIL_GELUCIRE_44_14</t>
        </is>
      </c>
      <c r="B3545" t="inlineStr">
        <is>
          <t>fatty_chain_length</t>
        </is>
      </c>
      <c r="C3545" t="inlineStr">
        <is>
          <t>PEG lauroyl glyceride mixture</t>
        </is>
      </c>
      <c r="D3545"/>
      <c r="E3545"/>
      <c r="F3545"/>
      <c r="G3545"/>
      <c r="H3545" t="inlineStr">
        <is>
          <t>S009_GATTEFOSSE</t>
        </is>
      </c>
      <c r="I3545" t="inlineStr">
        <is>
          <t>curated</t>
        </is>
      </c>
      <c r="J3545">
        <v>0.7</v>
      </c>
      <c r="K3545"/>
    </row>
    <row r="3546">
      <c r="A3546" t="inlineStr">
        <is>
          <t>OIL_GELUCIRE_44_14</t>
        </is>
      </c>
      <c r="B3546" t="inlineStr">
        <is>
          <t>unsaturation</t>
        </is>
      </c>
      <c r="C3546">
        <v>0</v>
      </c>
      <c r="D3546" t="inlineStr">
        <is>
          <t>double_bonds</t>
        </is>
      </c>
      <c r="E3546"/>
      <c r="F3546"/>
      <c r="G3546"/>
      <c r="H3546" t="inlineStr">
        <is>
          <t>S009_GATTEFOSSE</t>
        </is>
      </c>
      <c r="I3546" t="inlineStr">
        <is>
          <t>curated</t>
        </is>
      </c>
      <c r="J3546">
        <v>0.7</v>
      </c>
      <c r="K3546"/>
    </row>
    <row r="3547">
      <c r="A3547" t="inlineStr">
        <is>
          <t>OIL_GELUCIRE_44_14</t>
        </is>
      </c>
      <c r="B3547" t="inlineStr">
        <is>
          <t>crystallinity_risk</t>
        </is>
      </c>
      <c r="C3547" t="inlineStr">
        <is>
          <t>moderate</t>
        </is>
      </c>
      <c r="D3547"/>
      <c r="E3547"/>
      <c r="F3547"/>
      <c r="G3547" t="inlineStr">
        <is>
          <t>SLN/NLC crystallization heuristic</t>
        </is>
      </c>
      <c r="H3547" t="inlineStr">
        <is>
          <t>S009_GATTEFOSSE</t>
        </is>
      </c>
      <c r="I3547" t="inlineStr">
        <is>
          <t>curated</t>
        </is>
      </c>
      <c r="J3547">
        <v>0.6</v>
      </c>
      <c r="K3547"/>
    </row>
    <row r="3548">
      <c r="A3548" t="inlineStr">
        <is>
          <t>OIL_GELUCIRE_44_14</t>
        </is>
      </c>
      <c r="B3548" t="inlineStr">
        <is>
          <t>polymorphism_notes</t>
        </is>
      </c>
      <c r="C3548" t="inlineStr">
        <is>
          <t>polymorphic behavior possible; DSC/XRPD required for final formulation</t>
        </is>
      </c>
      <c r="D3548"/>
      <c r="E3548"/>
      <c r="F3548"/>
      <c r="G3548"/>
      <c r="H3548" t="inlineStr">
        <is>
          <t>S014_AULTON</t>
        </is>
      </c>
      <c r="I3548" t="inlineStr">
        <is>
          <t>curated</t>
        </is>
      </c>
      <c r="J3548">
        <v>0.65</v>
      </c>
      <c r="K3548"/>
    </row>
    <row r="3549">
      <c r="A3549" t="inlineStr">
        <is>
          <t>OIL_GELUCIRE_44_14</t>
        </is>
      </c>
      <c r="B3549" t="inlineStr">
        <is>
          <t>drug_solubilization_notes</t>
        </is>
      </c>
      <c r="C3549" t="inlineStr">
        <is>
          <t>self-emulsifying solid surfactant lipid</t>
        </is>
      </c>
      <c r="D3549"/>
      <c r="E3549"/>
      <c r="F3549"/>
      <c r="G3549"/>
      <c r="H3549" t="inlineStr">
        <is>
          <t>S014_AULTON</t>
        </is>
      </c>
      <c r="I3549" t="inlineStr">
        <is>
          <t>curated</t>
        </is>
      </c>
      <c r="J3549">
        <v>0.6</v>
      </c>
      <c r="K3549"/>
    </row>
    <row r="3550">
      <c r="A3550" t="inlineStr">
        <is>
          <t>OIL_GELUCIRE_44_14</t>
        </is>
      </c>
      <c r="B3550" t="inlineStr">
        <is>
          <t>route_suitability</t>
        </is>
      </c>
      <c r="C3550" t="inlineStr">
        <is>
          <t>SLN/NLC/nanoemulsion/lipid matrix; route-grade dependent</t>
        </is>
      </c>
      <c r="D3550"/>
      <c r="E3550"/>
      <c r="F3550"/>
      <c r="G3550"/>
      <c r="H3550" t="inlineStr">
        <is>
          <t>S008_FDA_IID</t>
        </is>
      </c>
      <c r="I3550" t="inlineStr">
        <is>
          <t>curated</t>
        </is>
      </c>
      <c r="J3550">
        <v>0.55</v>
      </c>
      <c r="K3550"/>
    </row>
    <row r="3551">
      <c r="A3551" t="inlineStr">
        <is>
          <t>OIL_GELUCIRE_44_14</t>
        </is>
      </c>
      <c r="B3551" t="inlineStr">
        <is>
          <t>HLB_if_amphiphilic</t>
        </is>
      </c>
      <c r="C3551">
        <v>14</v>
      </c>
      <c r="D3551" t="inlineStr">
        <is>
          <t>HLB</t>
        </is>
      </c>
      <c r="E3551"/>
      <c r="F3551"/>
      <c r="G3551"/>
      <c r="H3551" t="inlineStr">
        <is>
          <t>S009_GATTEFOSSE</t>
        </is>
      </c>
      <c r="I3551" t="inlineStr">
        <is>
          <t>supplier-reported</t>
        </is>
      </c>
      <c r="J3551">
        <v>0.58</v>
      </c>
      <c r="K3551"/>
    </row>
    <row r="3552">
      <c r="A3552" t="inlineStr">
        <is>
          <t>OIL_GELUCIRE_44_14</t>
        </is>
      </c>
      <c r="B3552" t="inlineStr">
        <is>
          <t>molar_volume_cm3_mol</t>
        </is>
      </c>
      <c r="C3552">
        <v>1428.57</v>
      </c>
      <c r="D3552" t="inlineStr">
        <is>
          <t>cm3/mol</t>
        </is>
      </c>
      <c r="E3552"/>
      <c r="F3552"/>
      <c r="G3552" t="inlineStr">
        <is>
          <t>MW/density estimate</t>
        </is>
      </c>
      <c r="H3552" t="inlineStr">
        <is>
          <t>S012_CALCULATED</t>
        </is>
      </c>
      <c r="I3552" t="inlineStr">
        <is>
          <t>estimated</t>
        </is>
      </c>
      <c r="J3552">
        <v>0.35</v>
      </c>
      <c r="K3552" t="inlineStr">
        <is>
          <t>Estimated from MW/density; replace with measured molar volume or density-specific grade data.</t>
        </is>
      </c>
    </row>
    <row r="3553">
      <c r="A3553" t="inlineStr">
        <is>
          <t>OIL_GELUCIRE_44_14</t>
        </is>
      </c>
      <c r="B3553" t="inlineStr">
        <is>
          <t>Hansen_delta_D</t>
        </is>
      </c>
      <c r="C3553">
        <v>17.0</v>
      </c>
      <c r="D3553" t="inlineStr">
        <is>
          <t>MPa^0.5</t>
        </is>
      </c>
      <c r="E3553"/>
      <c r="F3553"/>
      <c r="G3553" t="inlineStr">
        <is>
          <t>heuristic group-contribution/nearest-neighbour</t>
        </is>
      </c>
      <c r="H3553" t="inlineStr">
        <is>
          <t>S013_EST_HSP_HEURISTIC</t>
        </is>
      </c>
      <c r="I3553" t="inlineStr">
        <is>
          <t>estimated</t>
        </is>
      </c>
      <c r="J3553">
        <v>0.37</v>
      </c>
      <c r="K3553" t="inlineStr">
        <is>
          <t>Provisional HSP for screening; replace with experimental/literature value before model lock.</t>
        </is>
      </c>
    </row>
    <row r="3554">
      <c r="A3554" t="inlineStr">
        <is>
          <t>OIL_GELUCIRE_44_14</t>
        </is>
      </c>
      <c r="B3554" t="inlineStr">
        <is>
          <t>Hansen_delta_P</t>
        </is>
      </c>
      <c r="C3554">
        <v>4.5</v>
      </c>
      <c r="D3554" t="inlineStr">
        <is>
          <t>MPa^0.5</t>
        </is>
      </c>
      <c r="E3554"/>
      <c r="F3554"/>
      <c r="G3554" t="inlineStr">
        <is>
          <t>heuristic group-contribution/nearest-neighbour</t>
        </is>
      </c>
      <c r="H3554" t="inlineStr">
        <is>
          <t>S013_EST_HSP_HEURISTIC</t>
        </is>
      </c>
      <c r="I3554" t="inlineStr">
        <is>
          <t>estimated</t>
        </is>
      </c>
      <c r="J3554">
        <v>0.37</v>
      </c>
      <c r="K3554" t="inlineStr">
        <is>
          <t>Provisional HSP for screening; replace with experimental/literature value before model lock.</t>
        </is>
      </c>
    </row>
    <row r="3555">
      <c r="A3555" t="inlineStr">
        <is>
          <t>OIL_GELUCIRE_44_14</t>
        </is>
      </c>
      <c r="B3555" t="inlineStr">
        <is>
          <t>Hansen_delta_H</t>
        </is>
      </c>
      <c r="C3555">
        <v>7.0</v>
      </c>
      <c r="D3555" t="inlineStr">
        <is>
          <t>MPa^0.5</t>
        </is>
      </c>
      <c r="E3555"/>
      <c r="F3555"/>
      <c r="G3555" t="inlineStr">
        <is>
          <t>heuristic group-contribution/nearest-neighbour</t>
        </is>
      </c>
      <c r="H3555" t="inlineStr">
        <is>
          <t>S013_EST_HSP_HEURISTIC</t>
        </is>
      </c>
      <c r="I3555" t="inlineStr">
        <is>
          <t>estimated</t>
        </is>
      </c>
      <c r="J3555">
        <v>0.37</v>
      </c>
      <c r="K3555" t="inlineStr">
        <is>
          <t>Provisional HSP for screening; replace with experimental/literature value before model lock.</t>
        </is>
      </c>
    </row>
    <row r="3556">
      <c r="A3556" t="inlineStr">
        <is>
          <t>OIL_GELUCIRE_44_14</t>
        </is>
      </c>
      <c r="B3556" t="inlineStr">
        <is>
          <t>Hildebrand_delta_T</t>
        </is>
      </c>
      <c r="C3556">
        <v>18.93</v>
      </c>
      <c r="D3556" t="inlineStr">
        <is>
          <t>MPa^0.5</t>
        </is>
      </c>
      <c r="E3556"/>
      <c r="F3556"/>
      <c r="G3556" t="inlineStr">
        <is>
          <t>sqrt(deltaD^2+deltaP^2+deltaH^2)</t>
        </is>
      </c>
      <c r="H3556" t="inlineStr">
        <is>
          <t>S012_CALCULATED</t>
        </is>
      </c>
      <c r="I3556" t="inlineStr">
        <is>
          <t>calculated</t>
        </is>
      </c>
      <c r="J3556">
        <v>0.42</v>
      </c>
      <c r="K3556" t="inlineStr">
        <is>
          <t>Derived from stored Hansen components.</t>
        </is>
      </c>
    </row>
    <row r="3557">
      <c r="A3557" t="inlineStr">
        <is>
          <t>OIL_GELUCIRE_44_14</t>
        </is>
      </c>
      <c r="B3557" t="inlineStr">
        <is>
          <t>HSP_radius_R0</t>
        </is>
      </c>
      <c r="C3557">
        <v>7.0</v>
      </c>
      <c r="D3557" t="inlineStr">
        <is>
          <t>MPa^0.5</t>
        </is>
      </c>
      <c r="E3557"/>
      <c r="F3557"/>
      <c r="G3557" t="inlineStr">
        <is>
          <t>literature/heuristic solubility sphere</t>
        </is>
      </c>
      <c r="H3557" t="inlineStr">
        <is>
          <t>S013_EST_HSP_HEURISTIC</t>
        </is>
      </c>
      <c r="I3557" t="inlineStr">
        <is>
          <t>estimated</t>
        </is>
      </c>
      <c r="J3557">
        <v>0.37</v>
      </c>
      <c r="K3557" t="inlineStr">
        <is>
          <t>Screening radius only unless experimentally determined.</t>
        </is>
      </c>
    </row>
    <row r="3558">
      <c r="A3558" t="inlineStr">
        <is>
          <t>OIL_GELUCIRE_50_13</t>
        </is>
      </c>
      <c r="B3558" t="inlineStr">
        <is>
          <t>average_MW</t>
        </is>
      </c>
      <c r="C3558">
        <v>1700</v>
      </c>
      <c r="D3558" t="inlineStr">
        <is>
          <t>g/mol</t>
        </is>
      </c>
      <c r="E3558"/>
      <c r="F3558"/>
      <c r="G3558" t="inlineStr">
        <is>
          <t>mixture average/grade-dependent</t>
        </is>
      </c>
      <c r="H3558" t="inlineStr">
        <is>
          <t>S009_GATTEFOSSE</t>
        </is>
      </c>
      <c r="I3558" t="inlineStr">
        <is>
          <t>supplier-reported</t>
        </is>
      </c>
      <c r="J3558">
        <v>0.55</v>
      </c>
      <c r="K3558"/>
    </row>
    <row r="3559">
      <c r="A3559" t="inlineStr">
        <is>
          <t>OIL_GELUCIRE_50_13</t>
        </is>
      </c>
      <c r="B3559" t="inlineStr">
        <is>
          <t>density_g_ml</t>
        </is>
      </c>
      <c r="C3559">
        <v>1.05</v>
      </c>
      <c r="D3559" t="inlineStr">
        <is>
          <t>g/mL</t>
        </is>
      </c>
      <c r="E3559"/>
      <c r="F3559"/>
      <c r="G3559" t="inlineStr">
        <is>
          <t>20-25 °C unless otherwise specified</t>
        </is>
      </c>
      <c r="H3559" t="inlineStr">
        <is>
          <t>S009_GATTEFOSSE</t>
        </is>
      </c>
      <c r="I3559" t="inlineStr">
        <is>
          <t>handbook</t>
        </is>
      </c>
      <c r="J3559">
        <v>0.6</v>
      </c>
      <c r="K3559"/>
    </row>
    <row r="3560">
      <c r="A3560" t="inlineStr">
        <is>
          <t>OIL_GELUCIRE_50_13</t>
        </is>
      </c>
      <c r="B3560" t="inlineStr">
        <is>
          <t>melting_point_C</t>
        </is>
      </c>
      <c r="C3560">
        <v>50</v>
      </c>
      <c r="D3560" t="inlineStr">
        <is>
          <t>°C</t>
        </is>
      </c>
      <c r="E3560"/>
      <c r="F3560"/>
      <c r="G3560" t="inlineStr">
        <is>
          <t>melting/drop point range; grade-dependent</t>
        </is>
      </c>
      <c r="H3560" t="inlineStr">
        <is>
          <t>S009_GATTEFOSSE</t>
        </is>
      </c>
      <c r="I3560" t="inlineStr">
        <is>
          <t>handbook</t>
        </is>
      </c>
      <c r="J3560">
        <v>0.68</v>
      </c>
      <c r="K3560"/>
    </row>
    <row r="3561">
      <c r="A3561" t="inlineStr">
        <is>
          <t>OIL_GELUCIRE_50_13</t>
        </is>
      </c>
      <c r="B3561" t="inlineStr">
        <is>
          <t>lipid_state</t>
        </is>
      </c>
      <c r="C3561" t="inlineStr">
        <is>
          <t>solid</t>
        </is>
      </c>
      <c r="D3561"/>
      <c r="E3561"/>
      <c r="F3561"/>
      <c r="G3561"/>
      <c r="H3561" t="inlineStr">
        <is>
          <t>S009_GATTEFOSSE</t>
        </is>
      </c>
      <c r="I3561" t="inlineStr">
        <is>
          <t>curated</t>
        </is>
      </c>
      <c r="J3561">
        <v>0.75</v>
      </c>
      <c r="K3561"/>
    </row>
    <row r="3562">
      <c r="A3562" t="inlineStr">
        <is>
          <t>OIL_GELUCIRE_50_13</t>
        </is>
      </c>
      <c r="B3562" t="inlineStr">
        <is>
          <t>fatty_chain_length</t>
        </is>
      </c>
      <c r="C3562" t="inlineStr">
        <is>
          <t>PEG stearoyl glyceride mixture</t>
        </is>
      </c>
      <c r="D3562"/>
      <c r="E3562"/>
      <c r="F3562"/>
      <c r="G3562"/>
      <c r="H3562" t="inlineStr">
        <is>
          <t>S009_GATTEFOSSE</t>
        </is>
      </c>
      <c r="I3562" t="inlineStr">
        <is>
          <t>curated</t>
        </is>
      </c>
      <c r="J3562">
        <v>0.7</v>
      </c>
      <c r="K3562"/>
    </row>
    <row r="3563">
      <c r="A3563" t="inlineStr">
        <is>
          <t>OIL_GELUCIRE_50_13</t>
        </is>
      </c>
      <c r="B3563" t="inlineStr">
        <is>
          <t>unsaturation</t>
        </is>
      </c>
      <c r="C3563">
        <v>0</v>
      </c>
      <c r="D3563" t="inlineStr">
        <is>
          <t>double_bonds</t>
        </is>
      </c>
      <c r="E3563"/>
      <c r="F3563"/>
      <c r="G3563"/>
      <c r="H3563" t="inlineStr">
        <is>
          <t>S009_GATTEFOSSE</t>
        </is>
      </c>
      <c r="I3563" t="inlineStr">
        <is>
          <t>curated</t>
        </is>
      </c>
      <c r="J3563">
        <v>0.7</v>
      </c>
      <c r="K3563"/>
    </row>
    <row r="3564">
      <c r="A3564" t="inlineStr">
        <is>
          <t>OIL_GELUCIRE_50_13</t>
        </is>
      </c>
      <c r="B3564" t="inlineStr">
        <is>
          <t>crystallinity_risk</t>
        </is>
      </c>
      <c r="C3564" t="inlineStr">
        <is>
          <t>moderate</t>
        </is>
      </c>
      <c r="D3564"/>
      <c r="E3564"/>
      <c r="F3564"/>
      <c r="G3564" t="inlineStr">
        <is>
          <t>SLN/NLC crystallization heuristic</t>
        </is>
      </c>
      <c r="H3564" t="inlineStr">
        <is>
          <t>S009_GATTEFOSSE</t>
        </is>
      </c>
      <c r="I3564" t="inlineStr">
        <is>
          <t>curated</t>
        </is>
      </c>
      <c r="J3564">
        <v>0.6</v>
      </c>
      <c r="K3564"/>
    </row>
    <row r="3565">
      <c r="A3565" t="inlineStr">
        <is>
          <t>OIL_GELUCIRE_50_13</t>
        </is>
      </c>
      <c r="B3565" t="inlineStr">
        <is>
          <t>polymorphism_notes</t>
        </is>
      </c>
      <c r="C3565" t="inlineStr">
        <is>
          <t>polymorphic behavior possible; DSC/XRPD required for final formulation</t>
        </is>
      </c>
      <c r="D3565"/>
      <c r="E3565"/>
      <c r="F3565"/>
      <c r="G3565"/>
      <c r="H3565" t="inlineStr">
        <is>
          <t>S014_AULTON</t>
        </is>
      </c>
      <c r="I3565" t="inlineStr">
        <is>
          <t>curated</t>
        </is>
      </c>
      <c r="J3565">
        <v>0.65</v>
      </c>
      <c r="K3565"/>
    </row>
    <row r="3566">
      <c r="A3566" t="inlineStr">
        <is>
          <t>OIL_GELUCIRE_50_13</t>
        </is>
      </c>
      <c r="B3566" t="inlineStr">
        <is>
          <t>drug_solubilization_notes</t>
        </is>
      </c>
      <c r="C3566" t="inlineStr">
        <is>
          <t>self-emulsifying solid surfactant lipid</t>
        </is>
      </c>
      <c r="D3566"/>
      <c r="E3566"/>
      <c r="F3566"/>
      <c r="G3566"/>
      <c r="H3566" t="inlineStr">
        <is>
          <t>S014_AULTON</t>
        </is>
      </c>
      <c r="I3566" t="inlineStr">
        <is>
          <t>curated</t>
        </is>
      </c>
      <c r="J3566">
        <v>0.6</v>
      </c>
      <c r="K3566"/>
    </row>
    <row r="3567">
      <c r="A3567" t="inlineStr">
        <is>
          <t>OIL_GELUCIRE_50_13</t>
        </is>
      </c>
      <c r="B3567" t="inlineStr">
        <is>
          <t>route_suitability</t>
        </is>
      </c>
      <c r="C3567" t="inlineStr">
        <is>
          <t>SLN/NLC/nanoemulsion/lipid matrix; route-grade dependent</t>
        </is>
      </c>
      <c r="D3567"/>
      <c r="E3567"/>
      <c r="F3567"/>
      <c r="G3567"/>
      <c r="H3567" t="inlineStr">
        <is>
          <t>S008_FDA_IID</t>
        </is>
      </c>
      <c r="I3567" t="inlineStr">
        <is>
          <t>curated</t>
        </is>
      </c>
      <c r="J3567">
        <v>0.55</v>
      </c>
      <c r="K3567"/>
    </row>
    <row r="3568">
      <c r="A3568" t="inlineStr">
        <is>
          <t>OIL_GELUCIRE_50_13</t>
        </is>
      </c>
      <c r="B3568" t="inlineStr">
        <is>
          <t>HLB_if_amphiphilic</t>
        </is>
      </c>
      <c r="C3568">
        <v>13</v>
      </c>
      <c r="D3568" t="inlineStr">
        <is>
          <t>HLB</t>
        </is>
      </c>
      <c r="E3568"/>
      <c r="F3568"/>
      <c r="G3568"/>
      <c r="H3568" t="inlineStr">
        <is>
          <t>S009_GATTEFOSSE</t>
        </is>
      </c>
      <c r="I3568" t="inlineStr">
        <is>
          <t>supplier-reported</t>
        </is>
      </c>
      <c r="J3568">
        <v>0.58</v>
      </c>
      <c r="K3568"/>
    </row>
    <row r="3569">
      <c r="A3569" t="inlineStr">
        <is>
          <t>OIL_GELUCIRE_50_13</t>
        </is>
      </c>
      <c r="B3569" t="inlineStr">
        <is>
          <t>molar_volume_cm3_mol</t>
        </is>
      </c>
      <c r="C3569">
        <v>1619.05</v>
      </c>
      <c r="D3569" t="inlineStr">
        <is>
          <t>cm3/mol</t>
        </is>
      </c>
      <c r="E3569"/>
      <c r="F3569"/>
      <c r="G3569" t="inlineStr">
        <is>
          <t>MW/density estimate</t>
        </is>
      </c>
      <c r="H3569" t="inlineStr">
        <is>
          <t>S012_CALCULATED</t>
        </is>
      </c>
      <c r="I3569" t="inlineStr">
        <is>
          <t>estimated</t>
        </is>
      </c>
      <c r="J3569">
        <v>0.35</v>
      </c>
      <c r="K3569" t="inlineStr">
        <is>
          <t>Estimated from MW/density; replace with measured molar volume or density-specific grade data.</t>
        </is>
      </c>
    </row>
    <row r="3570">
      <c r="A3570" t="inlineStr">
        <is>
          <t>OIL_GELUCIRE_50_13</t>
        </is>
      </c>
      <c r="B3570" t="inlineStr">
        <is>
          <t>Hansen_delta_D</t>
        </is>
      </c>
      <c r="C3570">
        <v>17.0</v>
      </c>
      <c r="D3570" t="inlineStr">
        <is>
          <t>MPa^0.5</t>
        </is>
      </c>
      <c r="E3570"/>
      <c r="F3570"/>
      <c r="G3570" t="inlineStr">
        <is>
          <t>heuristic group-contribution/nearest-neighbour</t>
        </is>
      </c>
      <c r="H3570" t="inlineStr">
        <is>
          <t>S013_EST_HSP_HEURISTIC</t>
        </is>
      </c>
      <c r="I3570" t="inlineStr">
        <is>
          <t>estimated</t>
        </is>
      </c>
      <c r="J3570">
        <v>0.37</v>
      </c>
      <c r="K3570" t="inlineStr">
        <is>
          <t>Provisional HSP for screening; replace with experimental/literature value before model lock.</t>
        </is>
      </c>
    </row>
    <row r="3571">
      <c r="A3571" t="inlineStr">
        <is>
          <t>OIL_GELUCIRE_50_13</t>
        </is>
      </c>
      <c r="B3571" t="inlineStr">
        <is>
          <t>Hansen_delta_P</t>
        </is>
      </c>
      <c r="C3571">
        <v>4.5</v>
      </c>
      <c r="D3571" t="inlineStr">
        <is>
          <t>MPa^0.5</t>
        </is>
      </c>
      <c r="E3571"/>
      <c r="F3571"/>
      <c r="G3571" t="inlineStr">
        <is>
          <t>heuristic group-contribution/nearest-neighbour</t>
        </is>
      </c>
      <c r="H3571" t="inlineStr">
        <is>
          <t>S013_EST_HSP_HEURISTIC</t>
        </is>
      </c>
      <c r="I3571" t="inlineStr">
        <is>
          <t>estimated</t>
        </is>
      </c>
      <c r="J3571">
        <v>0.37</v>
      </c>
      <c r="K3571" t="inlineStr">
        <is>
          <t>Provisional HSP for screening; replace with experimental/literature value before model lock.</t>
        </is>
      </c>
    </row>
    <row r="3572">
      <c r="A3572" t="inlineStr">
        <is>
          <t>OIL_GELUCIRE_50_13</t>
        </is>
      </c>
      <c r="B3572" t="inlineStr">
        <is>
          <t>Hansen_delta_H</t>
        </is>
      </c>
      <c r="C3572">
        <v>7.0</v>
      </c>
      <c r="D3572" t="inlineStr">
        <is>
          <t>MPa^0.5</t>
        </is>
      </c>
      <c r="E3572"/>
      <c r="F3572"/>
      <c r="G3572" t="inlineStr">
        <is>
          <t>heuristic group-contribution/nearest-neighbour</t>
        </is>
      </c>
      <c r="H3572" t="inlineStr">
        <is>
          <t>S013_EST_HSP_HEURISTIC</t>
        </is>
      </c>
      <c r="I3572" t="inlineStr">
        <is>
          <t>estimated</t>
        </is>
      </c>
      <c r="J3572">
        <v>0.37</v>
      </c>
      <c r="K3572" t="inlineStr">
        <is>
          <t>Provisional HSP for screening; replace with experimental/literature value before model lock.</t>
        </is>
      </c>
    </row>
    <row r="3573">
      <c r="A3573" t="inlineStr">
        <is>
          <t>OIL_GELUCIRE_50_13</t>
        </is>
      </c>
      <c r="B3573" t="inlineStr">
        <is>
          <t>Hildebrand_delta_T</t>
        </is>
      </c>
      <c r="C3573">
        <v>18.93</v>
      </c>
      <c r="D3573" t="inlineStr">
        <is>
          <t>MPa^0.5</t>
        </is>
      </c>
      <c r="E3573"/>
      <c r="F3573"/>
      <c r="G3573" t="inlineStr">
        <is>
          <t>sqrt(deltaD^2+deltaP^2+deltaH^2)</t>
        </is>
      </c>
      <c r="H3573" t="inlineStr">
        <is>
          <t>S012_CALCULATED</t>
        </is>
      </c>
      <c r="I3573" t="inlineStr">
        <is>
          <t>calculated</t>
        </is>
      </c>
      <c r="J3573">
        <v>0.42</v>
      </c>
      <c r="K3573" t="inlineStr">
        <is>
          <t>Derived from stored Hansen components.</t>
        </is>
      </c>
    </row>
    <row r="3574">
      <c r="A3574" t="inlineStr">
        <is>
          <t>OIL_GELUCIRE_50_13</t>
        </is>
      </c>
      <c r="B3574" t="inlineStr">
        <is>
          <t>HSP_radius_R0</t>
        </is>
      </c>
      <c r="C3574">
        <v>7.0</v>
      </c>
      <c r="D3574" t="inlineStr">
        <is>
          <t>MPa^0.5</t>
        </is>
      </c>
      <c r="E3574"/>
      <c r="F3574"/>
      <c r="G3574" t="inlineStr">
        <is>
          <t>literature/heuristic solubility sphere</t>
        </is>
      </c>
      <c r="H3574" t="inlineStr">
        <is>
          <t>S013_EST_HSP_HEURISTIC</t>
        </is>
      </c>
      <c r="I3574" t="inlineStr">
        <is>
          <t>estimated</t>
        </is>
      </c>
      <c r="J3574">
        <v>0.37</v>
      </c>
      <c r="K3574" t="inlineStr">
        <is>
          <t>Screening radius only unless experimentally determined.</t>
        </is>
      </c>
    </row>
    <row r="3575">
      <c r="A3575" t="inlineStr">
        <is>
          <t>OIL_GELUCIRE_43_01</t>
        </is>
      </c>
      <c r="B3575" t="inlineStr">
        <is>
          <t>average_MW</t>
        </is>
      </c>
      <c r="C3575">
        <v>600</v>
      </c>
      <c r="D3575" t="inlineStr">
        <is>
          <t>g/mol</t>
        </is>
      </c>
      <c r="E3575"/>
      <c r="F3575"/>
      <c r="G3575" t="inlineStr">
        <is>
          <t>mixture average/grade-dependent</t>
        </is>
      </c>
      <c r="H3575" t="inlineStr">
        <is>
          <t>S009_GATTEFOSSE</t>
        </is>
      </c>
      <c r="I3575" t="inlineStr">
        <is>
          <t>supplier-reported</t>
        </is>
      </c>
      <c r="J3575">
        <v>0.55</v>
      </c>
      <c r="K3575"/>
    </row>
    <row r="3576">
      <c r="A3576" t="inlineStr">
        <is>
          <t>OIL_GELUCIRE_43_01</t>
        </is>
      </c>
      <c r="B3576" t="inlineStr">
        <is>
          <t>density_g_ml</t>
        </is>
      </c>
      <c r="C3576">
        <v>0.95</v>
      </c>
      <c r="D3576" t="inlineStr">
        <is>
          <t>g/mL</t>
        </is>
      </c>
      <c r="E3576"/>
      <c r="F3576"/>
      <c r="G3576" t="inlineStr">
        <is>
          <t>20-25 °C unless otherwise specified</t>
        </is>
      </c>
      <c r="H3576" t="inlineStr">
        <is>
          <t>S009_GATTEFOSSE</t>
        </is>
      </c>
      <c r="I3576" t="inlineStr">
        <is>
          <t>handbook</t>
        </is>
      </c>
      <c r="J3576">
        <v>0.6</v>
      </c>
      <c r="K3576"/>
    </row>
    <row r="3577">
      <c r="A3577" t="inlineStr">
        <is>
          <t>OIL_GELUCIRE_43_01</t>
        </is>
      </c>
      <c r="B3577" t="inlineStr">
        <is>
          <t>melting_point_C</t>
        </is>
      </c>
      <c r="C3577">
        <v>43</v>
      </c>
      <c r="D3577" t="inlineStr">
        <is>
          <t>°C</t>
        </is>
      </c>
      <c r="E3577"/>
      <c r="F3577"/>
      <c r="G3577" t="inlineStr">
        <is>
          <t>melting/drop point range; grade-dependent</t>
        </is>
      </c>
      <c r="H3577" t="inlineStr">
        <is>
          <t>S009_GATTEFOSSE</t>
        </is>
      </c>
      <c r="I3577" t="inlineStr">
        <is>
          <t>handbook</t>
        </is>
      </c>
      <c r="J3577">
        <v>0.68</v>
      </c>
      <c r="K3577"/>
    </row>
    <row r="3578">
      <c r="A3578" t="inlineStr">
        <is>
          <t>OIL_GELUCIRE_43_01</t>
        </is>
      </c>
      <c r="B3578" t="inlineStr">
        <is>
          <t>lipid_state</t>
        </is>
      </c>
      <c r="C3578" t="inlineStr">
        <is>
          <t>solid</t>
        </is>
      </c>
      <c r="D3578"/>
      <c r="E3578"/>
      <c r="F3578"/>
      <c r="G3578"/>
      <c r="H3578" t="inlineStr">
        <is>
          <t>S009_GATTEFOSSE</t>
        </is>
      </c>
      <c r="I3578" t="inlineStr">
        <is>
          <t>curated</t>
        </is>
      </c>
      <c r="J3578">
        <v>0.75</v>
      </c>
      <c r="K3578"/>
    </row>
    <row r="3579">
      <c r="A3579" t="inlineStr">
        <is>
          <t>OIL_GELUCIRE_43_01</t>
        </is>
      </c>
      <c r="B3579" t="inlineStr">
        <is>
          <t>fatty_chain_length</t>
        </is>
      </c>
      <c r="C3579" t="inlineStr">
        <is>
          <t>C12-C18 glyceride mixture</t>
        </is>
      </c>
      <c r="D3579"/>
      <c r="E3579"/>
      <c r="F3579"/>
      <c r="G3579"/>
      <c r="H3579" t="inlineStr">
        <is>
          <t>S009_GATTEFOSSE</t>
        </is>
      </c>
      <c r="I3579" t="inlineStr">
        <is>
          <t>curated</t>
        </is>
      </c>
      <c r="J3579">
        <v>0.7</v>
      </c>
      <c r="K3579"/>
    </row>
    <row r="3580">
      <c r="A3580" t="inlineStr">
        <is>
          <t>OIL_GELUCIRE_43_01</t>
        </is>
      </c>
      <c r="B3580" t="inlineStr">
        <is>
          <t>unsaturation</t>
        </is>
      </c>
      <c r="C3580">
        <v>0</v>
      </c>
      <c r="D3580" t="inlineStr">
        <is>
          <t>double_bonds</t>
        </is>
      </c>
      <c r="E3580"/>
      <c r="F3580"/>
      <c r="G3580"/>
      <c r="H3580" t="inlineStr">
        <is>
          <t>S009_GATTEFOSSE</t>
        </is>
      </c>
      <c r="I3580" t="inlineStr">
        <is>
          <t>curated</t>
        </is>
      </c>
      <c r="J3580">
        <v>0.7</v>
      </c>
      <c r="K3580"/>
    </row>
    <row r="3581">
      <c r="A3581" t="inlineStr">
        <is>
          <t>OIL_GELUCIRE_43_01</t>
        </is>
      </c>
      <c r="B3581" t="inlineStr">
        <is>
          <t>crystallinity_risk</t>
        </is>
      </c>
      <c r="C3581" t="inlineStr">
        <is>
          <t>high</t>
        </is>
      </c>
      <c r="D3581"/>
      <c r="E3581"/>
      <c r="F3581"/>
      <c r="G3581" t="inlineStr">
        <is>
          <t>SLN/NLC crystallization heuristic</t>
        </is>
      </c>
      <c r="H3581" t="inlineStr">
        <is>
          <t>S009_GATTEFOSSE</t>
        </is>
      </c>
      <c r="I3581" t="inlineStr">
        <is>
          <t>curated</t>
        </is>
      </c>
      <c r="J3581">
        <v>0.6</v>
      </c>
      <c r="K3581"/>
    </row>
    <row r="3582">
      <c r="A3582" t="inlineStr">
        <is>
          <t>OIL_GELUCIRE_43_01</t>
        </is>
      </c>
      <c r="B3582" t="inlineStr">
        <is>
          <t>polymorphism_notes</t>
        </is>
      </c>
      <c r="C3582" t="inlineStr">
        <is>
          <t>polymorphic behavior possible; DSC/XRPD required for final formulation</t>
        </is>
      </c>
      <c r="D3582"/>
      <c r="E3582"/>
      <c r="F3582"/>
      <c r="G3582"/>
      <c r="H3582" t="inlineStr">
        <is>
          <t>S014_AULTON</t>
        </is>
      </c>
      <c r="I3582" t="inlineStr">
        <is>
          <t>curated</t>
        </is>
      </c>
      <c r="J3582">
        <v>0.65</v>
      </c>
      <c r="K3582"/>
    </row>
    <row r="3583">
      <c r="A3583" t="inlineStr">
        <is>
          <t>OIL_GELUCIRE_43_01</t>
        </is>
      </c>
      <c r="B3583" t="inlineStr">
        <is>
          <t>drug_solubilization_notes</t>
        </is>
      </c>
      <c r="C3583" t="inlineStr">
        <is>
          <t>hydrophobic sustained-release lipid</t>
        </is>
      </c>
      <c r="D3583"/>
      <c r="E3583"/>
      <c r="F3583"/>
      <c r="G3583"/>
      <c r="H3583" t="inlineStr">
        <is>
          <t>S014_AULTON</t>
        </is>
      </c>
      <c r="I3583" t="inlineStr">
        <is>
          <t>curated</t>
        </is>
      </c>
      <c r="J3583">
        <v>0.6</v>
      </c>
      <c r="K3583"/>
    </row>
    <row r="3584">
      <c r="A3584" t="inlineStr">
        <is>
          <t>OIL_GELUCIRE_43_01</t>
        </is>
      </c>
      <c r="B3584" t="inlineStr">
        <is>
          <t>route_suitability</t>
        </is>
      </c>
      <c r="C3584" t="inlineStr">
        <is>
          <t>SLN/NLC/nanoemulsion/lipid matrix; route-grade dependent</t>
        </is>
      </c>
      <c r="D3584"/>
      <c r="E3584"/>
      <c r="F3584"/>
      <c r="G3584"/>
      <c r="H3584" t="inlineStr">
        <is>
          <t>S008_FDA_IID</t>
        </is>
      </c>
      <c r="I3584" t="inlineStr">
        <is>
          <t>curated</t>
        </is>
      </c>
      <c r="J3584">
        <v>0.55</v>
      </c>
      <c r="K3584"/>
    </row>
    <row r="3585">
      <c r="A3585" t="inlineStr">
        <is>
          <t>OIL_GELUCIRE_43_01</t>
        </is>
      </c>
      <c r="B3585" t="inlineStr">
        <is>
          <t>HLB_if_amphiphilic</t>
        </is>
      </c>
      <c r="C3585">
        <v>1</v>
      </c>
      <c r="D3585" t="inlineStr">
        <is>
          <t>HLB</t>
        </is>
      </c>
      <c r="E3585"/>
      <c r="F3585"/>
      <c r="G3585"/>
      <c r="H3585" t="inlineStr">
        <is>
          <t>S009_GATTEFOSSE</t>
        </is>
      </c>
      <c r="I3585" t="inlineStr">
        <is>
          <t>supplier-reported</t>
        </is>
      </c>
      <c r="J3585">
        <v>0.58</v>
      </c>
      <c r="K3585"/>
    </row>
    <row r="3586">
      <c r="A3586" t="inlineStr">
        <is>
          <t>OIL_GELUCIRE_43_01</t>
        </is>
      </c>
      <c r="B3586" t="inlineStr">
        <is>
          <t>molar_volume_cm3_mol</t>
        </is>
      </c>
      <c r="C3586">
        <v>631.58</v>
      </c>
      <c r="D3586" t="inlineStr">
        <is>
          <t>cm3/mol</t>
        </is>
      </c>
      <c r="E3586"/>
      <c r="F3586"/>
      <c r="G3586" t="inlineStr">
        <is>
          <t>MW/density estimate</t>
        </is>
      </c>
      <c r="H3586" t="inlineStr">
        <is>
          <t>S012_CALCULATED</t>
        </is>
      </c>
      <c r="I3586" t="inlineStr">
        <is>
          <t>estimated</t>
        </is>
      </c>
      <c r="J3586">
        <v>0.35</v>
      </c>
      <c r="K3586" t="inlineStr">
        <is>
          <t>Estimated from MW/density; replace with measured molar volume or density-specific grade data.</t>
        </is>
      </c>
    </row>
    <row r="3587">
      <c r="A3587" t="inlineStr">
        <is>
          <t>OIL_GELUCIRE_43_01</t>
        </is>
      </c>
      <c r="B3587" t="inlineStr">
        <is>
          <t>Hansen_delta_D</t>
        </is>
      </c>
      <c r="C3587">
        <v>17.0</v>
      </c>
      <c r="D3587" t="inlineStr">
        <is>
          <t>MPa^0.5</t>
        </is>
      </c>
      <c r="E3587"/>
      <c r="F3587"/>
      <c r="G3587" t="inlineStr">
        <is>
          <t>heuristic group-contribution/nearest-neighbour</t>
        </is>
      </c>
      <c r="H3587" t="inlineStr">
        <is>
          <t>S013_EST_HSP_HEURISTIC</t>
        </is>
      </c>
      <c r="I3587" t="inlineStr">
        <is>
          <t>estimated</t>
        </is>
      </c>
      <c r="J3587">
        <v>0.37</v>
      </c>
      <c r="K3587" t="inlineStr">
        <is>
          <t>Provisional HSP for screening; replace with experimental/literature value before model lock.</t>
        </is>
      </c>
    </row>
    <row r="3588">
      <c r="A3588" t="inlineStr">
        <is>
          <t>OIL_GELUCIRE_43_01</t>
        </is>
      </c>
      <c r="B3588" t="inlineStr">
        <is>
          <t>Hansen_delta_P</t>
        </is>
      </c>
      <c r="C3588">
        <v>4.5</v>
      </c>
      <c r="D3588" t="inlineStr">
        <is>
          <t>MPa^0.5</t>
        </is>
      </c>
      <c r="E3588"/>
      <c r="F3588"/>
      <c r="G3588" t="inlineStr">
        <is>
          <t>heuristic group-contribution/nearest-neighbour</t>
        </is>
      </c>
      <c r="H3588" t="inlineStr">
        <is>
          <t>S013_EST_HSP_HEURISTIC</t>
        </is>
      </c>
      <c r="I3588" t="inlineStr">
        <is>
          <t>estimated</t>
        </is>
      </c>
      <c r="J3588">
        <v>0.37</v>
      </c>
      <c r="K3588" t="inlineStr">
        <is>
          <t>Provisional HSP for screening; replace with experimental/literature value before model lock.</t>
        </is>
      </c>
    </row>
    <row r="3589">
      <c r="A3589" t="inlineStr">
        <is>
          <t>OIL_GELUCIRE_43_01</t>
        </is>
      </c>
      <c r="B3589" t="inlineStr">
        <is>
          <t>Hansen_delta_H</t>
        </is>
      </c>
      <c r="C3589">
        <v>7.0</v>
      </c>
      <c r="D3589" t="inlineStr">
        <is>
          <t>MPa^0.5</t>
        </is>
      </c>
      <c r="E3589"/>
      <c r="F3589"/>
      <c r="G3589" t="inlineStr">
        <is>
          <t>heuristic group-contribution/nearest-neighbour</t>
        </is>
      </c>
      <c r="H3589" t="inlineStr">
        <is>
          <t>S013_EST_HSP_HEURISTIC</t>
        </is>
      </c>
      <c r="I3589" t="inlineStr">
        <is>
          <t>estimated</t>
        </is>
      </c>
      <c r="J3589">
        <v>0.37</v>
      </c>
      <c r="K3589" t="inlineStr">
        <is>
          <t>Provisional HSP for screening; replace with experimental/literature value before model lock.</t>
        </is>
      </c>
    </row>
    <row r="3590">
      <c r="A3590" t="inlineStr">
        <is>
          <t>OIL_GELUCIRE_43_01</t>
        </is>
      </c>
      <c r="B3590" t="inlineStr">
        <is>
          <t>Hildebrand_delta_T</t>
        </is>
      </c>
      <c r="C3590">
        <v>18.93</v>
      </c>
      <c r="D3590" t="inlineStr">
        <is>
          <t>MPa^0.5</t>
        </is>
      </c>
      <c r="E3590"/>
      <c r="F3590"/>
      <c r="G3590" t="inlineStr">
        <is>
          <t>sqrt(deltaD^2+deltaP^2+deltaH^2)</t>
        </is>
      </c>
      <c r="H3590" t="inlineStr">
        <is>
          <t>S012_CALCULATED</t>
        </is>
      </c>
      <c r="I3590" t="inlineStr">
        <is>
          <t>calculated</t>
        </is>
      </c>
      <c r="J3590">
        <v>0.42</v>
      </c>
      <c r="K3590" t="inlineStr">
        <is>
          <t>Derived from stored Hansen components.</t>
        </is>
      </c>
    </row>
    <row r="3591">
      <c r="A3591" t="inlineStr">
        <is>
          <t>OIL_GELUCIRE_43_01</t>
        </is>
      </c>
      <c r="B3591" t="inlineStr">
        <is>
          <t>HSP_radius_R0</t>
        </is>
      </c>
      <c r="C3591">
        <v>7.0</v>
      </c>
      <c r="D3591" t="inlineStr">
        <is>
          <t>MPa^0.5</t>
        </is>
      </c>
      <c r="E3591"/>
      <c r="F3591"/>
      <c r="G3591" t="inlineStr">
        <is>
          <t>literature/heuristic solubility sphere</t>
        </is>
      </c>
      <c r="H3591" t="inlineStr">
        <is>
          <t>S013_EST_HSP_HEURISTIC</t>
        </is>
      </c>
      <c r="I3591" t="inlineStr">
        <is>
          <t>estimated</t>
        </is>
      </c>
      <c r="J3591">
        <v>0.37</v>
      </c>
      <c r="K3591" t="inlineStr">
        <is>
          <t>Screening radius only unless experimentally determined.</t>
        </is>
      </c>
    </row>
    <row r="3592">
      <c r="A3592" t="inlineStr">
        <is>
          <t>OIL_ETHYL_OLEATE</t>
        </is>
      </c>
      <c r="B3592" t="inlineStr">
        <is>
          <t>molecular_weight_g_mol</t>
        </is>
      </c>
      <c r="C3592">
        <v>310.51</v>
      </c>
      <c r="D3592" t="inlineStr">
        <is>
          <t>g/mol</t>
        </is>
      </c>
      <c r="E3592"/>
      <c r="F3592"/>
      <c r="G3592"/>
      <c r="H3592" t="inlineStr">
        <is>
          <t>S001_PUBCHEM</t>
        </is>
      </c>
      <c r="I3592" t="inlineStr">
        <is>
          <t>database-derived</t>
        </is>
      </c>
      <c r="J3592">
        <v>0.75</v>
      </c>
      <c r="K3592"/>
    </row>
    <row r="3593">
      <c r="A3593" t="inlineStr">
        <is>
          <t>OIL_ETHYL_OLEATE</t>
        </is>
      </c>
      <c r="B3593" t="inlineStr">
        <is>
          <t>density_g_ml</t>
        </is>
      </c>
      <c r="C3593">
        <v>0.87</v>
      </c>
      <c r="D3593" t="inlineStr">
        <is>
          <t>g/mL</t>
        </is>
      </c>
      <c r="E3593"/>
      <c r="F3593"/>
      <c r="G3593" t="inlineStr">
        <is>
          <t>20-25 °C unless otherwise specified</t>
        </is>
      </c>
      <c r="H3593" t="inlineStr">
        <is>
          <t>S007_EXCIPIENTS_HANDBOOK</t>
        </is>
      </c>
      <c r="I3593" t="inlineStr">
        <is>
          <t>handbook</t>
        </is>
      </c>
      <c r="J3593">
        <v>0.6</v>
      </c>
      <c r="K3593"/>
    </row>
    <row r="3594">
      <c r="A3594" t="inlineStr">
        <is>
          <t>OIL_ETHYL_OLEATE</t>
        </is>
      </c>
      <c r="B3594" t="inlineStr">
        <is>
          <t>melting_point_C</t>
        </is>
      </c>
      <c r="C3594">
        <v>-32</v>
      </c>
      <c r="D3594" t="inlineStr">
        <is>
          <t>°C</t>
        </is>
      </c>
      <c r="E3594"/>
      <c r="F3594"/>
      <c r="G3594" t="inlineStr">
        <is>
          <t>melting/drop point range; grade-dependent</t>
        </is>
      </c>
      <c r="H3594" t="inlineStr">
        <is>
          <t>S007_EXCIPIENTS_HANDBOOK</t>
        </is>
      </c>
      <c r="I3594" t="inlineStr">
        <is>
          <t>handbook</t>
        </is>
      </c>
      <c r="J3594">
        <v>0.68</v>
      </c>
      <c r="K3594"/>
    </row>
    <row r="3595">
      <c r="A3595" t="inlineStr">
        <is>
          <t>OIL_ETHYL_OLEATE</t>
        </is>
      </c>
      <c r="B3595" t="inlineStr">
        <is>
          <t>lipid_state</t>
        </is>
      </c>
      <c r="C3595" t="inlineStr">
        <is>
          <t>liquid</t>
        </is>
      </c>
      <c r="D3595"/>
      <c r="E3595"/>
      <c r="F3595"/>
      <c r="G3595"/>
      <c r="H3595" t="inlineStr">
        <is>
          <t>S007_EXCIPIENTS_HANDBOOK</t>
        </is>
      </c>
      <c r="I3595" t="inlineStr">
        <is>
          <t>curated</t>
        </is>
      </c>
      <c r="J3595">
        <v>0.75</v>
      </c>
      <c r="K3595"/>
    </row>
    <row r="3596">
      <c r="A3596" t="inlineStr">
        <is>
          <t>OIL_ETHYL_OLEATE</t>
        </is>
      </c>
      <c r="B3596" t="inlineStr">
        <is>
          <t>fatty_chain_length</t>
        </is>
      </c>
      <c r="C3596" t="inlineStr">
        <is>
          <t>C18:1 ethyl ester</t>
        </is>
      </c>
      <c r="D3596"/>
      <c r="E3596"/>
      <c r="F3596"/>
      <c r="G3596"/>
      <c r="H3596" t="inlineStr">
        <is>
          <t>S007_EXCIPIENTS_HANDBOOK</t>
        </is>
      </c>
      <c r="I3596" t="inlineStr">
        <is>
          <t>curated</t>
        </is>
      </c>
      <c r="J3596">
        <v>0.7</v>
      </c>
      <c r="K3596"/>
    </row>
    <row r="3597">
      <c r="A3597" t="inlineStr">
        <is>
          <t>OIL_ETHYL_OLEATE</t>
        </is>
      </c>
      <c r="B3597" t="inlineStr">
        <is>
          <t>unsaturation</t>
        </is>
      </c>
      <c r="C3597">
        <v>1</v>
      </c>
      <c r="D3597" t="inlineStr">
        <is>
          <t>double_bonds</t>
        </is>
      </c>
      <c r="E3597"/>
      <c r="F3597"/>
      <c r="G3597"/>
      <c r="H3597" t="inlineStr">
        <is>
          <t>S007_EXCIPIENTS_HANDBOOK</t>
        </is>
      </c>
      <c r="I3597" t="inlineStr">
        <is>
          <t>curated</t>
        </is>
      </c>
      <c r="J3597">
        <v>0.7</v>
      </c>
      <c r="K3597"/>
    </row>
    <row r="3598">
      <c r="A3598" t="inlineStr">
        <is>
          <t>OIL_ETHYL_OLEATE</t>
        </is>
      </c>
      <c r="B3598" t="inlineStr">
        <is>
          <t>crystallinity_risk</t>
        </is>
      </c>
      <c r="C3598" t="inlineStr">
        <is>
          <t>low</t>
        </is>
      </c>
      <c r="D3598"/>
      <c r="E3598"/>
      <c r="F3598"/>
      <c r="G3598" t="inlineStr">
        <is>
          <t>SLN/NLC crystallization heuristic</t>
        </is>
      </c>
      <c r="H3598" t="inlineStr">
        <is>
          <t>S007_EXCIPIENTS_HANDBOOK</t>
        </is>
      </c>
      <c r="I3598" t="inlineStr">
        <is>
          <t>curated</t>
        </is>
      </c>
      <c r="J3598">
        <v>0.6</v>
      </c>
      <c r="K3598"/>
    </row>
    <row r="3599">
      <c r="A3599" t="inlineStr">
        <is>
          <t>OIL_ETHYL_OLEATE</t>
        </is>
      </c>
      <c r="B3599" t="inlineStr">
        <is>
          <t>polymorphism_notes</t>
        </is>
      </c>
      <c r="C3599" t="inlineStr">
        <is>
          <t>polymorphic behavior possible; DSC/XRPD required for final formulation</t>
        </is>
      </c>
      <c r="D3599"/>
      <c r="E3599"/>
      <c r="F3599"/>
      <c r="G3599"/>
      <c r="H3599" t="inlineStr">
        <is>
          <t>S014_AULTON</t>
        </is>
      </c>
      <c r="I3599" t="inlineStr">
        <is>
          <t>curated</t>
        </is>
      </c>
      <c r="J3599">
        <v>0.65</v>
      </c>
      <c r="K3599"/>
    </row>
    <row r="3600">
      <c r="A3600" t="inlineStr">
        <is>
          <t>OIL_ETHYL_OLEATE</t>
        </is>
      </c>
      <c r="B3600" t="inlineStr">
        <is>
          <t>drug_solubilization_notes</t>
        </is>
      </c>
      <c r="C3600" t="inlineStr">
        <is>
          <t>excellent lipophilic solvent for many BCS II APIs</t>
        </is>
      </c>
      <c r="D3600"/>
      <c r="E3600"/>
      <c r="F3600"/>
      <c r="G3600"/>
      <c r="H3600" t="inlineStr">
        <is>
          <t>S014_AULTON</t>
        </is>
      </c>
      <c r="I3600" t="inlineStr">
        <is>
          <t>curated</t>
        </is>
      </c>
      <c r="J3600">
        <v>0.6</v>
      </c>
      <c r="K3600"/>
    </row>
    <row r="3601">
      <c r="A3601" t="inlineStr">
        <is>
          <t>OIL_ETHYL_OLEATE</t>
        </is>
      </c>
      <c r="B3601" t="inlineStr">
        <is>
          <t>route_suitability</t>
        </is>
      </c>
      <c r="C3601" t="inlineStr">
        <is>
          <t>SLN/NLC/nanoemulsion/lipid matrix; route-grade dependent</t>
        </is>
      </c>
      <c r="D3601"/>
      <c r="E3601"/>
      <c r="F3601"/>
      <c r="G3601"/>
      <c r="H3601" t="inlineStr">
        <is>
          <t>S008_FDA_IID</t>
        </is>
      </c>
      <c r="I3601" t="inlineStr">
        <is>
          <t>curated</t>
        </is>
      </c>
      <c r="J3601">
        <v>0.55</v>
      </c>
      <c r="K3601"/>
    </row>
    <row r="3602">
      <c r="A3602" t="inlineStr">
        <is>
          <t>OIL_ETHYL_OLEATE</t>
        </is>
      </c>
      <c r="B3602" t="inlineStr">
        <is>
          <t>molar_volume_cm3_mol</t>
        </is>
      </c>
      <c r="C3602">
        <v>356.91</v>
      </c>
      <c r="D3602" t="inlineStr">
        <is>
          <t>cm3/mol</t>
        </is>
      </c>
      <c r="E3602"/>
      <c r="F3602"/>
      <c r="G3602" t="inlineStr">
        <is>
          <t>MW/density estimate</t>
        </is>
      </c>
      <c r="H3602" t="inlineStr">
        <is>
          <t>S012_CALCULATED</t>
        </is>
      </c>
      <c r="I3602" t="inlineStr">
        <is>
          <t>estimated</t>
        </is>
      </c>
      <c r="J3602">
        <v>0.48</v>
      </c>
      <c r="K3602" t="inlineStr">
        <is>
          <t>Estimated from MW/density; replace with measured molar volume or density-specific grade data.</t>
        </is>
      </c>
    </row>
    <row r="3603">
      <c r="A3603" t="inlineStr">
        <is>
          <t>OIL_ETHYL_OLEATE</t>
        </is>
      </c>
      <c r="B3603" t="inlineStr">
        <is>
          <t>Hansen_delta_D</t>
        </is>
      </c>
      <c r="C3603">
        <v>17.0</v>
      </c>
      <c r="D3603" t="inlineStr">
        <is>
          <t>MPa^0.5</t>
        </is>
      </c>
      <c r="E3603"/>
      <c r="F3603"/>
      <c r="G3603" t="inlineStr">
        <is>
          <t>heuristic group-contribution/nearest-neighbour</t>
        </is>
      </c>
      <c r="H3603" t="inlineStr">
        <is>
          <t>S013_EST_HSP_HEURISTIC</t>
        </is>
      </c>
      <c r="I3603" t="inlineStr">
        <is>
          <t>estimated</t>
        </is>
      </c>
      <c r="J3603">
        <v>0.37</v>
      </c>
      <c r="K3603" t="inlineStr">
        <is>
          <t>Provisional HSP for screening; replace with experimental/literature value before model lock.</t>
        </is>
      </c>
    </row>
    <row r="3604">
      <c r="A3604" t="inlineStr">
        <is>
          <t>OIL_ETHYL_OLEATE</t>
        </is>
      </c>
      <c r="B3604" t="inlineStr">
        <is>
          <t>Hansen_delta_P</t>
        </is>
      </c>
      <c r="C3604">
        <v>2.5</v>
      </c>
      <c r="D3604" t="inlineStr">
        <is>
          <t>MPa^0.5</t>
        </is>
      </c>
      <c r="E3604"/>
      <c r="F3604"/>
      <c r="G3604" t="inlineStr">
        <is>
          <t>heuristic group-contribution/nearest-neighbour</t>
        </is>
      </c>
      <c r="H3604" t="inlineStr">
        <is>
          <t>S013_EST_HSP_HEURISTIC</t>
        </is>
      </c>
      <c r="I3604" t="inlineStr">
        <is>
          <t>estimated</t>
        </is>
      </c>
      <c r="J3604">
        <v>0.37</v>
      </c>
      <c r="K3604" t="inlineStr">
        <is>
          <t>Provisional HSP for screening; replace with experimental/literature value before model lock.</t>
        </is>
      </c>
    </row>
    <row r="3605">
      <c r="A3605" t="inlineStr">
        <is>
          <t>OIL_ETHYL_OLEATE</t>
        </is>
      </c>
      <c r="B3605" t="inlineStr">
        <is>
          <t>Hansen_delta_H</t>
        </is>
      </c>
      <c r="C3605">
        <v>5.0</v>
      </c>
      <c r="D3605" t="inlineStr">
        <is>
          <t>MPa^0.5</t>
        </is>
      </c>
      <c r="E3605"/>
      <c r="F3605"/>
      <c r="G3605" t="inlineStr">
        <is>
          <t>heuristic group-contribution/nearest-neighbour</t>
        </is>
      </c>
      <c r="H3605" t="inlineStr">
        <is>
          <t>S013_EST_HSP_HEURISTIC</t>
        </is>
      </c>
      <c r="I3605" t="inlineStr">
        <is>
          <t>estimated</t>
        </is>
      </c>
      <c r="J3605">
        <v>0.37</v>
      </c>
      <c r="K3605" t="inlineStr">
        <is>
          <t>Provisional HSP for screening; replace with experimental/literature value before model lock.</t>
        </is>
      </c>
    </row>
    <row r="3606">
      <c r="A3606" t="inlineStr">
        <is>
          <t>OIL_ETHYL_OLEATE</t>
        </is>
      </c>
      <c r="B3606" t="inlineStr">
        <is>
          <t>Hildebrand_delta_T</t>
        </is>
      </c>
      <c r="C3606">
        <v>17.9</v>
      </c>
      <c r="D3606" t="inlineStr">
        <is>
          <t>MPa^0.5</t>
        </is>
      </c>
      <c r="E3606"/>
      <c r="F3606"/>
      <c r="G3606" t="inlineStr">
        <is>
          <t>sqrt(deltaD^2+deltaP^2+deltaH^2)</t>
        </is>
      </c>
      <c r="H3606" t="inlineStr">
        <is>
          <t>S012_CALCULATED</t>
        </is>
      </c>
      <c r="I3606" t="inlineStr">
        <is>
          <t>calculated</t>
        </is>
      </c>
      <c r="J3606">
        <v>0.42</v>
      </c>
      <c r="K3606" t="inlineStr">
        <is>
          <t>Derived from stored Hansen components.</t>
        </is>
      </c>
    </row>
    <row r="3607">
      <c r="A3607" t="inlineStr">
        <is>
          <t>OIL_ETHYL_OLEATE</t>
        </is>
      </c>
      <c r="B3607" t="inlineStr">
        <is>
          <t>HSP_radius_R0</t>
        </is>
      </c>
      <c r="C3607">
        <v>7.0</v>
      </c>
      <c r="D3607" t="inlineStr">
        <is>
          <t>MPa^0.5</t>
        </is>
      </c>
      <c r="E3607"/>
      <c r="F3607"/>
      <c r="G3607" t="inlineStr">
        <is>
          <t>literature/heuristic solubility sphere</t>
        </is>
      </c>
      <c r="H3607" t="inlineStr">
        <is>
          <t>S013_EST_HSP_HEURISTIC</t>
        </is>
      </c>
      <c r="I3607" t="inlineStr">
        <is>
          <t>estimated</t>
        </is>
      </c>
      <c r="J3607">
        <v>0.37</v>
      </c>
      <c r="K3607" t="inlineStr">
        <is>
          <t>Screening radius only unless experimentally determined.</t>
        </is>
      </c>
    </row>
    <row r="3608">
      <c r="A3608" t="inlineStr">
        <is>
          <t>OIL_MEDIUM_CHAIN_TRIGLYCERIDES</t>
        </is>
      </c>
      <c r="B3608" t="inlineStr">
        <is>
          <t>average_MW</t>
        </is>
      </c>
      <c r="C3608">
        <v>500</v>
      </c>
      <c r="D3608" t="inlineStr">
        <is>
          <t>g/mol</t>
        </is>
      </c>
      <c r="E3608"/>
      <c r="F3608"/>
      <c r="G3608" t="inlineStr">
        <is>
          <t>mixture average/grade-dependent</t>
        </is>
      </c>
      <c r="H3608" t="inlineStr">
        <is>
          <t>S007_EXCIPIENTS_HANDBOOK</t>
        </is>
      </c>
      <c r="I3608" t="inlineStr">
        <is>
          <t>supplier-reported</t>
        </is>
      </c>
      <c r="J3608">
        <v>0.55</v>
      </c>
      <c r="K3608"/>
    </row>
    <row r="3609">
      <c r="A3609" t="inlineStr">
        <is>
          <t>OIL_MEDIUM_CHAIN_TRIGLYCERIDES</t>
        </is>
      </c>
      <c r="B3609" t="inlineStr">
        <is>
          <t>density_g_ml</t>
        </is>
      </c>
      <c r="C3609">
        <v>0.95</v>
      </c>
      <c r="D3609" t="inlineStr">
        <is>
          <t>g/mL</t>
        </is>
      </c>
      <c r="E3609"/>
      <c r="F3609"/>
      <c r="G3609" t="inlineStr">
        <is>
          <t>20-25 °C unless otherwise specified</t>
        </is>
      </c>
      <c r="H3609" t="inlineStr">
        <is>
          <t>S007_EXCIPIENTS_HANDBOOK</t>
        </is>
      </c>
      <c r="I3609" t="inlineStr">
        <is>
          <t>handbook</t>
        </is>
      </c>
      <c r="J3609">
        <v>0.6</v>
      </c>
      <c r="K3609"/>
    </row>
    <row r="3610">
      <c r="A3610" t="inlineStr">
        <is>
          <t>OIL_MEDIUM_CHAIN_TRIGLYCERIDES</t>
        </is>
      </c>
      <c r="B3610" t="inlineStr">
        <is>
          <t>melting_point_C</t>
        </is>
      </c>
      <c r="C3610">
        <v>-5</v>
      </c>
      <c r="D3610" t="inlineStr">
        <is>
          <t>°C</t>
        </is>
      </c>
      <c r="E3610"/>
      <c r="F3610"/>
      <c r="G3610" t="inlineStr">
        <is>
          <t>melting/drop point range; grade-dependent</t>
        </is>
      </c>
      <c r="H3610" t="inlineStr">
        <is>
          <t>S007_EXCIPIENTS_HANDBOOK</t>
        </is>
      </c>
      <c r="I3610" t="inlineStr">
        <is>
          <t>handbook</t>
        </is>
      </c>
      <c r="J3610">
        <v>0.68</v>
      </c>
      <c r="K3610"/>
    </row>
    <row r="3611">
      <c r="A3611" t="inlineStr">
        <is>
          <t>OIL_MEDIUM_CHAIN_TRIGLYCERIDES</t>
        </is>
      </c>
      <c r="B3611" t="inlineStr">
        <is>
          <t>lipid_state</t>
        </is>
      </c>
      <c r="C3611" t="inlineStr">
        <is>
          <t>liquid</t>
        </is>
      </c>
      <c r="D3611"/>
      <c r="E3611"/>
      <c r="F3611"/>
      <c r="G3611"/>
      <c r="H3611" t="inlineStr">
        <is>
          <t>S007_EXCIPIENTS_HANDBOOK</t>
        </is>
      </c>
      <c r="I3611" t="inlineStr">
        <is>
          <t>curated</t>
        </is>
      </c>
      <c r="J3611">
        <v>0.75</v>
      </c>
      <c r="K3611"/>
    </row>
    <row r="3612">
      <c r="A3612" t="inlineStr">
        <is>
          <t>OIL_MEDIUM_CHAIN_TRIGLYCERIDES</t>
        </is>
      </c>
      <c r="B3612" t="inlineStr">
        <is>
          <t>fatty_chain_length</t>
        </is>
      </c>
      <c r="C3612" t="inlineStr">
        <is>
          <t>C8-C10 triglycerides</t>
        </is>
      </c>
      <c r="D3612"/>
      <c r="E3612"/>
      <c r="F3612"/>
      <c r="G3612"/>
      <c r="H3612" t="inlineStr">
        <is>
          <t>S007_EXCIPIENTS_HANDBOOK</t>
        </is>
      </c>
      <c r="I3612" t="inlineStr">
        <is>
          <t>curated</t>
        </is>
      </c>
      <c r="J3612">
        <v>0.7</v>
      </c>
      <c r="K3612"/>
    </row>
    <row r="3613">
      <c r="A3613" t="inlineStr">
        <is>
          <t>OIL_MEDIUM_CHAIN_TRIGLYCERIDES</t>
        </is>
      </c>
      <c r="B3613" t="inlineStr">
        <is>
          <t>unsaturation</t>
        </is>
      </c>
      <c r="C3613">
        <v>0</v>
      </c>
      <c r="D3613" t="inlineStr">
        <is>
          <t>double_bonds</t>
        </is>
      </c>
      <c r="E3613"/>
      <c r="F3613"/>
      <c r="G3613"/>
      <c r="H3613" t="inlineStr">
        <is>
          <t>S007_EXCIPIENTS_HANDBOOK</t>
        </is>
      </c>
      <c r="I3613" t="inlineStr">
        <is>
          <t>curated</t>
        </is>
      </c>
      <c r="J3613">
        <v>0.7</v>
      </c>
      <c r="K3613"/>
    </row>
    <row r="3614">
      <c r="A3614" t="inlineStr">
        <is>
          <t>OIL_MEDIUM_CHAIN_TRIGLYCERIDES</t>
        </is>
      </c>
      <c r="B3614" t="inlineStr">
        <is>
          <t>crystallinity_risk</t>
        </is>
      </c>
      <c r="C3614" t="inlineStr">
        <is>
          <t>low</t>
        </is>
      </c>
      <c r="D3614"/>
      <c r="E3614"/>
      <c r="F3614"/>
      <c r="G3614" t="inlineStr">
        <is>
          <t>SLN/NLC crystallization heuristic</t>
        </is>
      </c>
      <c r="H3614" t="inlineStr">
        <is>
          <t>S007_EXCIPIENTS_HANDBOOK</t>
        </is>
      </c>
      <c r="I3614" t="inlineStr">
        <is>
          <t>curated</t>
        </is>
      </c>
      <c r="J3614">
        <v>0.6</v>
      </c>
      <c r="K3614"/>
    </row>
    <row r="3615">
      <c r="A3615" t="inlineStr">
        <is>
          <t>OIL_MEDIUM_CHAIN_TRIGLYCERIDES</t>
        </is>
      </c>
      <c r="B3615" t="inlineStr">
        <is>
          <t>polymorphism_notes</t>
        </is>
      </c>
      <c r="C3615" t="inlineStr">
        <is>
          <t>polymorphic behavior possible; DSC/XRPD required for final formulation</t>
        </is>
      </c>
      <c r="D3615"/>
      <c r="E3615"/>
      <c r="F3615"/>
      <c r="G3615"/>
      <c r="H3615" t="inlineStr">
        <is>
          <t>S014_AULTON</t>
        </is>
      </c>
      <c r="I3615" t="inlineStr">
        <is>
          <t>curated</t>
        </is>
      </c>
      <c r="J3615">
        <v>0.65</v>
      </c>
      <c r="K3615"/>
    </row>
    <row r="3616">
      <c r="A3616" t="inlineStr">
        <is>
          <t>OIL_MEDIUM_CHAIN_TRIGLYCERIDES</t>
        </is>
      </c>
      <c r="B3616" t="inlineStr">
        <is>
          <t>drug_solubilization_notes</t>
        </is>
      </c>
      <c r="C3616" t="inlineStr">
        <is>
          <t>MCT oil for nanoemulsions/NLC</t>
        </is>
      </c>
      <c r="D3616"/>
      <c r="E3616"/>
      <c r="F3616"/>
      <c r="G3616"/>
      <c r="H3616" t="inlineStr">
        <is>
          <t>S014_AULTON</t>
        </is>
      </c>
      <c r="I3616" t="inlineStr">
        <is>
          <t>curated</t>
        </is>
      </c>
      <c r="J3616">
        <v>0.6</v>
      </c>
      <c r="K3616"/>
    </row>
    <row r="3617">
      <c r="A3617" t="inlineStr">
        <is>
          <t>OIL_MEDIUM_CHAIN_TRIGLYCERIDES</t>
        </is>
      </c>
      <c r="B3617" t="inlineStr">
        <is>
          <t>route_suitability</t>
        </is>
      </c>
      <c r="C3617" t="inlineStr">
        <is>
          <t>SLN/NLC/nanoemulsion/lipid matrix; route-grade dependent</t>
        </is>
      </c>
      <c r="D3617"/>
      <c r="E3617"/>
      <c r="F3617"/>
      <c r="G3617"/>
      <c r="H3617" t="inlineStr">
        <is>
          <t>S008_FDA_IID</t>
        </is>
      </c>
      <c r="I3617" t="inlineStr">
        <is>
          <t>curated</t>
        </is>
      </c>
      <c r="J3617">
        <v>0.55</v>
      </c>
      <c r="K3617"/>
    </row>
    <row r="3618">
      <c r="A3618" t="inlineStr">
        <is>
          <t>OIL_MEDIUM_CHAIN_TRIGLYCERIDES</t>
        </is>
      </c>
      <c r="B3618" t="inlineStr">
        <is>
          <t>molar_volume_cm3_mol</t>
        </is>
      </c>
      <c r="C3618">
        <v>526.32</v>
      </c>
      <c r="D3618" t="inlineStr">
        <is>
          <t>cm3/mol</t>
        </is>
      </c>
      <c r="E3618"/>
      <c r="F3618"/>
      <c r="G3618" t="inlineStr">
        <is>
          <t>MW/density estimate</t>
        </is>
      </c>
      <c r="H3618" t="inlineStr">
        <is>
          <t>S012_CALCULATED</t>
        </is>
      </c>
      <c r="I3618" t="inlineStr">
        <is>
          <t>estimated</t>
        </is>
      </c>
      <c r="J3618">
        <v>0.35</v>
      </c>
      <c r="K3618" t="inlineStr">
        <is>
          <t>Estimated from MW/density; replace with measured molar volume or density-specific grade data.</t>
        </is>
      </c>
    </row>
    <row r="3619">
      <c r="A3619" t="inlineStr">
        <is>
          <t>OIL_MEDIUM_CHAIN_TRIGLYCERIDES</t>
        </is>
      </c>
      <c r="B3619" t="inlineStr">
        <is>
          <t>Hansen_delta_D</t>
        </is>
      </c>
      <c r="C3619">
        <v>17.0</v>
      </c>
      <c r="D3619" t="inlineStr">
        <is>
          <t>MPa^0.5</t>
        </is>
      </c>
      <c r="E3619"/>
      <c r="F3619"/>
      <c r="G3619" t="inlineStr">
        <is>
          <t>heuristic group-contribution/nearest-neighbour</t>
        </is>
      </c>
      <c r="H3619" t="inlineStr">
        <is>
          <t>S013_EST_HSP_HEURISTIC</t>
        </is>
      </c>
      <c r="I3619" t="inlineStr">
        <is>
          <t>estimated</t>
        </is>
      </c>
      <c r="J3619">
        <v>0.37</v>
      </c>
      <c r="K3619" t="inlineStr">
        <is>
          <t>Provisional HSP for screening; replace with experimental/literature value before model lock.</t>
        </is>
      </c>
    </row>
    <row r="3620">
      <c r="A3620" t="inlineStr">
        <is>
          <t>OIL_MEDIUM_CHAIN_TRIGLYCERIDES</t>
        </is>
      </c>
      <c r="B3620" t="inlineStr">
        <is>
          <t>Hansen_delta_P</t>
        </is>
      </c>
      <c r="C3620">
        <v>2.5</v>
      </c>
      <c r="D3620" t="inlineStr">
        <is>
          <t>MPa^0.5</t>
        </is>
      </c>
      <c r="E3620"/>
      <c r="F3620"/>
      <c r="G3620" t="inlineStr">
        <is>
          <t>heuristic group-contribution/nearest-neighbour</t>
        </is>
      </c>
      <c r="H3620" t="inlineStr">
        <is>
          <t>S013_EST_HSP_HEURISTIC</t>
        </is>
      </c>
      <c r="I3620" t="inlineStr">
        <is>
          <t>estimated</t>
        </is>
      </c>
      <c r="J3620">
        <v>0.37</v>
      </c>
      <c r="K3620" t="inlineStr">
        <is>
          <t>Provisional HSP for screening; replace with experimental/literature value before model lock.</t>
        </is>
      </c>
    </row>
    <row r="3621">
      <c r="A3621" t="inlineStr">
        <is>
          <t>OIL_MEDIUM_CHAIN_TRIGLYCERIDES</t>
        </is>
      </c>
      <c r="B3621" t="inlineStr">
        <is>
          <t>Hansen_delta_H</t>
        </is>
      </c>
      <c r="C3621">
        <v>5.0</v>
      </c>
      <c r="D3621" t="inlineStr">
        <is>
          <t>MPa^0.5</t>
        </is>
      </c>
      <c r="E3621"/>
      <c r="F3621"/>
      <c r="G3621" t="inlineStr">
        <is>
          <t>heuristic group-contribution/nearest-neighbour</t>
        </is>
      </c>
      <c r="H3621" t="inlineStr">
        <is>
          <t>S013_EST_HSP_HEURISTIC</t>
        </is>
      </c>
      <c r="I3621" t="inlineStr">
        <is>
          <t>estimated</t>
        </is>
      </c>
      <c r="J3621">
        <v>0.37</v>
      </c>
      <c r="K3621" t="inlineStr">
        <is>
          <t>Provisional HSP for screening; replace with experimental/literature value before model lock.</t>
        </is>
      </c>
    </row>
    <row r="3622">
      <c r="A3622" t="inlineStr">
        <is>
          <t>OIL_MEDIUM_CHAIN_TRIGLYCERIDES</t>
        </is>
      </c>
      <c r="B3622" t="inlineStr">
        <is>
          <t>Hildebrand_delta_T</t>
        </is>
      </c>
      <c r="C3622">
        <v>17.9</v>
      </c>
      <c r="D3622" t="inlineStr">
        <is>
          <t>MPa^0.5</t>
        </is>
      </c>
      <c r="E3622"/>
      <c r="F3622"/>
      <c r="G3622" t="inlineStr">
        <is>
          <t>sqrt(deltaD^2+deltaP^2+deltaH^2)</t>
        </is>
      </c>
      <c r="H3622" t="inlineStr">
        <is>
          <t>S012_CALCULATED</t>
        </is>
      </c>
      <c r="I3622" t="inlineStr">
        <is>
          <t>calculated</t>
        </is>
      </c>
      <c r="J3622">
        <v>0.42</v>
      </c>
      <c r="K3622" t="inlineStr">
        <is>
          <t>Derived from stored Hansen components.</t>
        </is>
      </c>
    </row>
    <row r="3623">
      <c r="A3623" t="inlineStr">
        <is>
          <t>OIL_MEDIUM_CHAIN_TRIGLYCERIDES</t>
        </is>
      </c>
      <c r="B3623" t="inlineStr">
        <is>
          <t>HSP_radius_R0</t>
        </is>
      </c>
      <c r="C3623">
        <v>7.0</v>
      </c>
      <c r="D3623" t="inlineStr">
        <is>
          <t>MPa^0.5</t>
        </is>
      </c>
      <c r="E3623"/>
      <c r="F3623"/>
      <c r="G3623" t="inlineStr">
        <is>
          <t>literature/heuristic solubility sphere</t>
        </is>
      </c>
      <c r="H3623" t="inlineStr">
        <is>
          <t>S013_EST_HSP_HEURISTIC</t>
        </is>
      </c>
      <c r="I3623" t="inlineStr">
        <is>
          <t>estimated</t>
        </is>
      </c>
      <c r="J3623">
        <v>0.37</v>
      </c>
      <c r="K3623" t="inlineStr">
        <is>
          <t>Screening radius only unless experimentally determined.</t>
        </is>
      </c>
    </row>
    <row r="3624">
      <c r="A3624" t="inlineStr">
        <is>
          <t>OIL_MIGLYOL_812</t>
        </is>
      </c>
      <c r="B3624" t="inlineStr">
        <is>
          <t>average_MW</t>
        </is>
      </c>
      <c r="C3624">
        <v>500</v>
      </c>
      <c r="D3624" t="inlineStr">
        <is>
          <t>g/mol</t>
        </is>
      </c>
      <c r="E3624"/>
      <c r="F3624"/>
      <c r="G3624" t="inlineStr">
        <is>
          <t>mixture average/grade-dependent</t>
        </is>
      </c>
      <c r="H3624" t="inlineStr">
        <is>
          <t>S007_EXCIPIENTS_HANDBOOK</t>
        </is>
      </c>
      <c r="I3624" t="inlineStr">
        <is>
          <t>supplier-reported</t>
        </is>
      </c>
      <c r="J3624">
        <v>0.55</v>
      </c>
      <c r="K3624"/>
    </row>
    <row r="3625">
      <c r="A3625" t="inlineStr">
        <is>
          <t>OIL_MIGLYOL_812</t>
        </is>
      </c>
      <c r="B3625" t="inlineStr">
        <is>
          <t>density_g_ml</t>
        </is>
      </c>
      <c r="C3625">
        <v>0.95</v>
      </c>
      <c r="D3625" t="inlineStr">
        <is>
          <t>g/mL</t>
        </is>
      </c>
      <c r="E3625"/>
      <c r="F3625"/>
      <c r="G3625" t="inlineStr">
        <is>
          <t>20-25 °C unless otherwise specified</t>
        </is>
      </c>
      <c r="H3625" t="inlineStr">
        <is>
          <t>S007_EXCIPIENTS_HANDBOOK</t>
        </is>
      </c>
      <c r="I3625" t="inlineStr">
        <is>
          <t>handbook</t>
        </is>
      </c>
      <c r="J3625">
        <v>0.6</v>
      </c>
      <c r="K3625"/>
    </row>
    <row r="3626">
      <c r="A3626" t="inlineStr">
        <is>
          <t>OIL_MIGLYOL_812</t>
        </is>
      </c>
      <c r="B3626" t="inlineStr">
        <is>
          <t>melting_point_C</t>
        </is>
      </c>
      <c r="C3626">
        <v>-5</v>
      </c>
      <c r="D3626" t="inlineStr">
        <is>
          <t>°C</t>
        </is>
      </c>
      <c r="E3626"/>
      <c r="F3626"/>
      <c r="G3626" t="inlineStr">
        <is>
          <t>melting/drop point range; grade-dependent</t>
        </is>
      </c>
      <c r="H3626" t="inlineStr">
        <is>
          <t>S007_EXCIPIENTS_HANDBOOK</t>
        </is>
      </c>
      <c r="I3626" t="inlineStr">
        <is>
          <t>handbook</t>
        </is>
      </c>
      <c r="J3626">
        <v>0.68</v>
      </c>
      <c r="K3626"/>
    </row>
    <row r="3627">
      <c r="A3627" t="inlineStr">
        <is>
          <t>OIL_MIGLYOL_812</t>
        </is>
      </c>
      <c r="B3627" t="inlineStr">
        <is>
          <t>lipid_state</t>
        </is>
      </c>
      <c r="C3627" t="inlineStr">
        <is>
          <t>liquid</t>
        </is>
      </c>
      <c r="D3627"/>
      <c r="E3627"/>
      <c r="F3627"/>
      <c r="G3627"/>
      <c r="H3627" t="inlineStr">
        <is>
          <t>S007_EXCIPIENTS_HANDBOOK</t>
        </is>
      </c>
      <c r="I3627" t="inlineStr">
        <is>
          <t>curated</t>
        </is>
      </c>
      <c r="J3627">
        <v>0.75</v>
      </c>
      <c r="K3627"/>
    </row>
    <row r="3628">
      <c r="A3628" t="inlineStr">
        <is>
          <t>OIL_MIGLYOL_812</t>
        </is>
      </c>
      <c r="B3628" t="inlineStr">
        <is>
          <t>fatty_chain_length</t>
        </is>
      </c>
      <c r="C3628" t="inlineStr">
        <is>
          <t>C8-C10 triglycerides</t>
        </is>
      </c>
      <c r="D3628"/>
      <c r="E3628"/>
      <c r="F3628"/>
      <c r="G3628"/>
      <c r="H3628" t="inlineStr">
        <is>
          <t>S007_EXCIPIENTS_HANDBOOK</t>
        </is>
      </c>
      <c r="I3628" t="inlineStr">
        <is>
          <t>curated</t>
        </is>
      </c>
      <c r="J3628">
        <v>0.7</v>
      </c>
      <c r="K3628"/>
    </row>
    <row r="3629">
      <c r="A3629" t="inlineStr">
        <is>
          <t>OIL_MIGLYOL_812</t>
        </is>
      </c>
      <c r="B3629" t="inlineStr">
        <is>
          <t>unsaturation</t>
        </is>
      </c>
      <c r="C3629">
        <v>0</v>
      </c>
      <c r="D3629" t="inlineStr">
        <is>
          <t>double_bonds</t>
        </is>
      </c>
      <c r="E3629"/>
      <c r="F3629"/>
      <c r="G3629"/>
      <c r="H3629" t="inlineStr">
        <is>
          <t>S007_EXCIPIENTS_HANDBOOK</t>
        </is>
      </c>
      <c r="I3629" t="inlineStr">
        <is>
          <t>curated</t>
        </is>
      </c>
      <c r="J3629">
        <v>0.7</v>
      </c>
      <c r="K3629"/>
    </row>
    <row r="3630">
      <c r="A3630" t="inlineStr">
        <is>
          <t>OIL_MIGLYOL_812</t>
        </is>
      </c>
      <c r="B3630" t="inlineStr">
        <is>
          <t>crystallinity_risk</t>
        </is>
      </c>
      <c r="C3630" t="inlineStr">
        <is>
          <t>low</t>
        </is>
      </c>
      <c r="D3630"/>
      <c r="E3630"/>
      <c r="F3630"/>
      <c r="G3630" t="inlineStr">
        <is>
          <t>SLN/NLC crystallization heuristic</t>
        </is>
      </c>
      <c r="H3630" t="inlineStr">
        <is>
          <t>S007_EXCIPIENTS_HANDBOOK</t>
        </is>
      </c>
      <c r="I3630" t="inlineStr">
        <is>
          <t>curated</t>
        </is>
      </c>
      <c r="J3630">
        <v>0.6</v>
      </c>
      <c r="K3630"/>
    </row>
    <row r="3631">
      <c r="A3631" t="inlineStr">
        <is>
          <t>OIL_MIGLYOL_812</t>
        </is>
      </c>
      <c r="B3631" t="inlineStr">
        <is>
          <t>polymorphism_notes</t>
        </is>
      </c>
      <c r="C3631" t="inlineStr">
        <is>
          <t>polymorphic behavior possible; DSC/XRPD required for final formulation</t>
        </is>
      </c>
      <c r="D3631"/>
      <c r="E3631"/>
      <c r="F3631"/>
      <c r="G3631"/>
      <c r="H3631" t="inlineStr">
        <is>
          <t>S014_AULTON</t>
        </is>
      </c>
      <c r="I3631" t="inlineStr">
        <is>
          <t>curated</t>
        </is>
      </c>
      <c r="J3631">
        <v>0.65</v>
      </c>
      <c r="K3631"/>
    </row>
    <row r="3632">
      <c r="A3632" t="inlineStr">
        <is>
          <t>OIL_MIGLYOL_812</t>
        </is>
      </c>
      <c r="B3632" t="inlineStr">
        <is>
          <t>drug_solubilization_notes</t>
        </is>
      </c>
      <c r="C3632" t="inlineStr">
        <is>
          <t>MCT oil; caprylic/capric triglycerides</t>
        </is>
      </c>
      <c r="D3632"/>
      <c r="E3632"/>
      <c r="F3632"/>
      <c r="G3632"/>
      <c r="H3632" t="inlineStr">
        <is>
          <t>S014_AULTON</t>
        </is>
      </c>
      <c r="I3632" t="inlineStr">
        <is>
          <t>curated</t>
        </is>
      </c>
      <c r="J3632">
        <v>0.6</v>
      </c>
      <c r="K3632"/>
    </row>
    <row r="3633">
      <c r="A3633" t="inlineStr">
        <is>
          <t>OIL_MIGLYOL_812</t>
        </is>
      </c>
      <c r="B3633" t="inlineStr">
        <is>
          <t>route_suitability</t>
        </is>
      </c>
      <c r="C3633" t="inlineStr">
        <is>
          <t>SLN/NLC/nanoemulsion/lipid matrix; route-grade dependent</t>
        </is>
      </c>
      <c r="D3633"/>
      <c r="E3633"/>
      <c r="F3633"/>
      <c r="G3633"/>
      <c r="H3633" t="inlineStr">
        <is>
          <t>S008_FDA_IID</t>
        </is>
      </c>
      <c r="I3633" t="inlineStr">
        <is>
          <t>curated</t>
        </is>
      </c>
      <c r="J3633">
        <v>0.55</v>
      </c>
      <c r="K3633"/>
    </row>
    <row r="3634">
      <c r="A3634" t="inlineStr">
        <is>
          <t>OIL_MIGLYOL_812</t>
        </is>
      </c>
      <c r="B3634" t="inlineStr">
        <is>
          <t>molar_volume_cm3_mol</t>
        </is>
      </c>
      <c r="C3634">
        <v>526.32</v>
      </c>
      <c r="D3634" t="inlineStr">
        <is>
          <t>cm3/mol</t>
        </is>
      </c>
      <c r="E3634"/>
      <c r="F3634"/>
      <c r="G3634" t="inlineStr">
        <is>
          <t>MW/density estimate</t>
        </is>
      </c>
      <c r="H3634" t="inlineStr">
        <is>
          <t>S012_CALCULATED</t>
        </is>
      </c>
      <c r="I3634" t="inlineStr">
        <is>
          <t>estimated</t>
        </is>
      </c>
      <c r="J3634">
        <v>0.35</v>
      </c>
      <c r="K3634" t="inlineStr">
        <is>
          <t>Estimated from MW/density; replace with measured molar volume or density-specific grade data.</t>
        </is>
      </c>
    </row>
    <row r="3635">
      <c r="A3635" t="inlineStr">
        <is>
          <t>OIL_MIGLYOL_812</t>
        </is>
      </c>
      <c r="B3635" t="inlineStr">
        <is>
          <t>Hansen_delta_D</t>
        </is>
      </c>
      <c r="C3635">
        <v>17.0</v>
      </c>
      <c r="D3635" t="inlineStr">
        <is>
          <t>MPa^0.5</t>
        </is>
      </c>
      <c r="E3635"/>
      <c r="F3635"/>
      <c r="G3635" t="inlineStr">
        <is>
          <t>heuristic group-contribution/nearest-neighbour</t>
        </is>
      </c>
      <c r="H3635" t="inlineStr">
        <is>
          <t>S013_EST_HSP_HEURISTIC</t>
        </is>
      </c>
      <c r="I3635" t="inlineStr">
        <is>
          <t>estimated</t>
        </is>
      </c>
      <c r="J3635">
        <v>0.37</v>
      </c>
      <c r="K3635" t="inlineStr">
        <is>
          <t>Provisional HSP for screening; replace with experimental/literature value before model lock.</t>
        </is>
      </c>
    </row>
    <row r="3636">
      <c r="A3636" t="inlineStr">
        <is>
          <t>OIL_MIGLYOL_812</t>
        </is>
      </c>
      <c r="B3636" t="inlineStr">
        <is>
          <t>Hansen_delta_P</t>
        </is>
      </c>
      <c r="C3636">
        <v>2.5</v>
      </c>
      <c r="D3636" t="inlineStr">
        <is>
          <t>MPa^0.5</t>
        </is>
      </c>
      <c r="E3636"/>
      <c r="F3636"/>
      <c r="G3636" t="inlineStr">
        <is>
          <t>heuristic group-contribution/nearest-neighbour</t>
        </is>
      </c>
      <c r="H3636" t="inlineStr">
        <is>
          <t>S013_EST_HSP_HEURISTIC</t>
        </is>
      </c>
      <c r="I3636" t="inlineStr">
        <is>
          <t>estimated</t>
        </is>
      </c>
      <c r="J3636">
        <v>0.37</v>
      </c>
      <c r="K3636" t="inlineStr">
        <is>
          <t>Provisional HSP for screening; replace with experimental/literature value before model lock.</t>
        </is>
      </c>
    </row>
    <row r="3637">
      <c r="A3637" t="inlineStr">
        <is>
          <t>OIL_MIGLYOL_812</t>
        </is>
      </c>
      <c r="B3637" t="inlineStr">
        <is>
          <t>Hansen_delta_H</t>
        </is>
      </c>
      <c r="C3637">
        <v>5.0</v>
      </c>
      <c r="D3637" t="inlineStr">
        <is>
          <t>MPa^0.5</t>
        </is>
      </c>
      <c r="E3637"/>
      <c r="F3637"/>
      <c r="G3637" t="inlineStr">
        <is>
          <t>heuristic group-contribution/nearest-neighbour</t>
        </is>
      </c>
      <c r="H3637" t="inlineStr">
        <is>
          <t>S013_EST_HSP_HEURISTIC</t>
        </is>
      </c>
      <c r="I3637" t="inlineStr">
        <is>
          <t>estimated</t>
        </is>
      </c>
      <c r="J3637">
        <v>0.37</v>
      </c>
      <c r="K3637" t="inlineStr">
        <is>
          <t>Provisional HSP for screening; replace with experimental/literature value before model lock.</t>
        </is>
      </c>
    </row>
    <row r="3638">
      <c r="A3638" t="inlineStr">
        <is>
          <t>OIL_MIGLYOL_812</t>
        </is>
      </c>
      <c r="B3638" t="inlineStr">
        <is>
          <t>Hildebrand_delta_T</t>
        </is>
      </c>
      <c r="C3638">
        <v>17.9</v>
      </c>
      <c r="D3638" t="inlineStr">
        <is>
          <t>MPa^0.5</t>
        </is>
      </c>
      <c r="E3638"/>
      <c r="F3638"/>
      <c r="G3638" t="inlineStr">
        <is>
          <t>sqrt(deltaD^2+deltaP^2+deltaH^2)</t>
        </is>
      </c>
      <c r="H3638" t="inlineStr">
        <is>
          <t>S012_CALCULATED</t>
        </is>
      </c>
      <c r="I3638" t="inlineStr">
        <is>
          <t>calculated</t>
        </is>
      </c>
      <c r="J3638">
        <v>0.42</v>
      </c>
      <c r="K3638" t="inlineStr">
        <is>
          <t>Derived from stored Hansen components.</t>
        </is>
      </c>
    </row>
    <row r="3639">
      <c r="A3639" t="inlineStr">
        <is>
          <t>OIL_MIGLYOL_812</t>
        </is>
      </c>
      <c r="B3639" t="inlineStr">
        <is>
          <t>HSP_radius_R0</t>
        </is>
      </c>
      <c r="C3639">
        <v>7.0</v>
      </c>
      <c r="D3639" t="inlineStr">
        <is>
          <t>MPa^0.5</t>
        </is>
      </c>
      <c r="E3639"/>
      <c r="F3639"/>
      <c r="G3639" t="inlineStr">
        <is>
          <t>literature/heuristic solubility sphere</t>
        </is>
      </c>
      <c r="H3639" t="inlineStr">
        <is>
          <t>S013_EST_HSP_HEURISTIC</t>
        </is>
      </c>
      <c r="I3639" t="inlineStr">
        <is>
          <t>estimated</t>
        </is>
      </c>
      <c r="J3639">
        <v>0.37</v>
      </c>
      <c r="K3639" t="inlineStr">
        <is>
          <t>Screening radius only unless experimentally determined.</t>
        </is>
      </c>
    </row>
    <row r="3640">
      <c r="A3640" t="inlineStr">
        <is>
          <t>OIL_MIGLYOL_840</t>
        </is>
      </c>
      <c r="B3640" t="inlineStr">
        <is>
          <t>average_MW</t>
        </is>
      </c>
      <c r="C3640">
        <v>540</v>
      </c>
      <c r="D3640" t="inlineStr">
        <is>
          <t>g/mol</t>
        </is>
      </c>
      <c r="E3640"/>
      <c r="F3640"/>
      <c r="G3640" t="inlineStr">
        <is>
          <t>mixture average/grade-dependent</t>
        </is>
      </c>
      <c r="H3640" t="inlineStr">
        <is>
          <t>S007_EXCIPIENTS_HANDBOOK</t>
        </is>
      </c>
      <c r="I3640" t="inlineStr">
        <is>
          <t>supplier-reported</t>
        </is>
      </c>
      <c r="J3640">
        <v>0.55</v>
      </c>
      <c r="K3640"/>
    </row>
    <row r="3641">
      <c r="A3641" t="inlineStr">
        <is>
          <t>OIL_MIGLYOL_840</t>
        </is>
      </c>
      <c r="B3641" t="inlineStr">
        <is>
          <t>density_g_ml</t>
        </is>
      </c>
      <c r="C3641">
        <v>0.94</v>
      </c>
      <c r="D3641" t="inlineStr">
        <is>
          <t>g/mL</t>
        </is>
      </c>
      <c r="E3641"/>
      <c r="F3641"/>
      <c r="G3641" t="inlineStr">
        <is>
          <t>20-25 °C unless otherwise specified</t>
        </is>
      </c>
      <c r="H3641" t="inlineStr">
        <is>
          <t>S007_EXCIPIENTS_HANDBOOK</t>
        </is>
      </c>
      <c r="I3641" t="inlineStr">
        <is>
          <t>handbook</t>
        </is>
      </c>
      <c r="J3641">
        <v>0.6</v>
      </c>
      <c r="K3641"/>
    </row>
    <row r="3642">
      <c r="A3642" t="inlineStr">
        <is>
          <t>OIL_MIGLYOL_840</t>
        </is>
      </c>
      <c r="B3642" t="inlineStr">
        <is>
          <t>melting_point_C</t>
        </is>
      </c>
      <c r="C3642">
        <v>-10</v>
      </c>
      <c r="D3642" t="inlineStr">
        <is>
          <t>°C</t>
        </is>
      </c>
      <c r="E3642"/>
      <c r="F3642"/>
      <c r="G3642" t="inlineStr">
        <is>
          <t>melting/drop point range; grade-dependent</t>
        </is>
      </c>
      <c r="H3642" t="inlineStr">
        <is>
          <t>S007_EXCIPIENTS_HANDBOOK</t>
        </is>
      </c>
      <c r="I3642" t="inlineStr">
        <is>
          <t>handbook</t>
        </is>
      </c>
      <c r="J3642">
        <v>0.68</v>
      </c>
      <c r="K3642"/>
    </row>
    <row r="3643">
      <c r="A3643" t="inlineStr">
        <is>
          <t>OIL_MIGLYOL_840</t>
        </is>
      </c>
      <c r="B3643" t="inlineStr">
        <is>
          <t>lipid_state</t>
        </is>
      </c>
      <c r="C3643" t="inlineStr">
        <is>
          <t>liquid</t>
        </is>
      </c>
      <c r="D3643"/>
      <c r="E3643"/>
      <c r="F3643"/>
      <c r="G3643"/>
      <c r="H3643" t="inlineStr">
        <is>
          <t>S007_EXCIPIENTS_HANDBOOK</t>
        </is>
      </c>
      <c r="I3643" t="inlineStr">
        <is>
          <t>curated</t>
        </is>
      </c>
      <c r="J3643">
        <v>0.75</v>
      </c>
      <c r="K3643"/>
    </row>
    <row r="3644">
      <c r="A3644" t="inlineStr">
        <is>
          <t>OIL_MIGLYOL_840</t>
        </is>
      </c>
      <c r="B3644" t="inlineStr">
        <is>
          <t>fatty_chain_length</t>
        </is>
      </c>
      <c r="C3644" t="inlineStr">
        <is>
          <t>propylene glycol dicaprylocaprate</t>
        </is>
      </c>
      <c r="D3644"/>
      <c r="E3644"/>
      <c r="F3644"/>
      <c r="G3644"/>
      <c r="H3644" t="inlineStr">
        <is>
          <t>S007_EXCIPIENTS_HANDBOOK</t>
        </is>
      </c>
      <c r="I3644" t="inlineStr">
        <is>
          <t>curated</t>
        </is>
      </c>
      <c r="J3644">
        <v>0.7</v>
      </c>
      <c r="K3644"/>
    </row>
    <row r="3645">
      <c r="A3645" t="inlineStr">
        <is>
          <t>OIL_MIGLYOL_840</t>
        </is>
      </c>
      <c r="B3645" t="inlineStr">
        <is>
          <t>unsaturation</t>
        </is>
      </c>
      <c r="C3645">
        <v>0</v>
      </c>
      <c r="D3645" t="inlineStr">
        <is>
          <t>double_bonds</t>
        </is>
      </c>
      <c r="E3645"/>
      <c r="F3645"/>
      <c r="G3645"/>
      <c r="H3645" t="inlineStr">
        <is>
          <t>S007_EXCIPIENTS_HANDBOOK</t>
        </is>
      </c>
      <c r="I3645" t="inlineStr">
        <is>
          <t>curated</t>
        </is>
      </c>
      <c r="J3645">
        <v>0.7</v>
      </c>
      <c r="K3645"/>
    </row>
    <row r="3646">
      <c r="A3646" t="inlineStr">
        <is>
          <t>OIL_MIGLYOL_840</t>
        </is>
      </c>
      <c r="B3646" t="inlineStr">
        <is>
          <t>crystallinity_risk</t>
        </is>
      </c>
      <c r="C3646" t="inlineStr">
        <is>
          <t>low</t>
        </is>
      </c>
      <c r="D3646"/>
      <c r="E3646"/>
      <c r="F3646"/>
      <c r="G3646" t="inlineStr">
        <is>
          <t>SLN/NLC crystallization heuristic</t>
        </is>
      </c>
      <c r="H3646" t="inlineStr">
        <is>
          <t>S007_EXCIPIENTS_HANDBOOK</t>
        </is>
      </c>
      <c r="I3646" t="inlineStr">
        <is>
          <t>curated</t>
        </is>
      </c>
      <c r="J3646">
        <v>0.6</v>
      </c>
      <c r="K3646"/>
    </row>
    <row r="3647">
      <c r="A3647" t="inlineStr">
        <is>
          <t>OIL_MIGLYOL_840</t>
        </is>
      </c>
      <c r="B3647" t="inlineStr">
        <is>
          <t>polymorphism_notes</t>
        </is>
      </c>
      <c r="C3647" t="inlineStr">
        <is>
          <t>polymorphic behavior possible; DSC/XRPD required for final formulation</t>
        </is>
      </c>
      <c r="D3647"/>
      <c r="E3647"/>
      <c r="F3647"/>
      <c r="G3647"/>
      <c r="H3647" t="inlineStr">
        <is>
          <t>S014_AULTON</t>
        </is>
      </c>
      <c r="I3647" t="inlineStr">
        <is>
          <t>curated</t>
        </is>
      </c>
      <c r="J3647">
        <v>0.65</v>
      </c>
      <c r="K3647"/>
    </row>
    <row r="3648">
      <c r="A3648" t="inlineStr">
        <is>
          <t>OIL_MIGLYOL_840</t>
        </is>
      </c>
      <c r="B3648" t="inlineStr">
        <is>
          <t>drug_solubilization_notes</t>
        </is>
      </c>
      <c r="C3648" t="inlineStr">
        <is>
          <t>low-viscosity liquid lipid</t>
        </is>
      </c>
      <c r="D3648"/>
      <c r="E3648"/>
      <c r="F3648"/>
      <c r="G3648"/>
      <c r="H3648" t="inlineStr">
        <is>
          <t>S014_AULTON</t>
        </is>
      </c>
      <c r="I3648" t="inlineStr">
        <is>
          <t>curated</t>
        </is>
      </c>
      <c r="J3648">
        <v>0.6</v>
      </c>
      <c r="K3648"/>
    </row>
    <row r="3649">
      <c r="A3649" t="inlineStr">
        <is>
          <t>OIL_MIGLYOL_840</t>
        </is>
      </c>
      <c r="B3649" t="inlineStr">
        <is>
          <t>route_suitability</t>
        </is>
      </c>
      <c r="C3649" t="inlineStr">
        <is>
          <t>SLN/NLC/nanoemulsion/lipid matrix; route-grade dependent</t>
        </is>
      </c>
      <c r="D3649"/>
      <c r="E3649"/>
      <c r="F3649"/>
      <c r="G3649"/>
      <c r="H3649" t="inlineStr">
        <is>
          <t>S008_FDA_IID</t>
        </is>
      </c>
      <c r="I3649" t="inlineStr">
        <is>
          <t>curated</t>
        </is>
      </c>
      <c r="J3649">
        <v>0.55</v>
      </c>
      <c r="K3649"/>
    </row>
    <row r="3650">
      <c r="A3650" t="inlineStr">
        <is>
          <t>OIL_MIGLYOL_840</t>
        </is>
      </c>
      <c r="B3650" t="inlineStr">
        <is>
          <t>molar_volume_cm3_mol</t>
        </is>
      </c>
      <c r="C3650">
        <v>574.47</v>
      </c>
      <c r="D3650" t="inlineStr">
        <is>
          <t>cm3/mol</t>
        </is>
      </c>
      <c r="E3650"/>
      <c r="F3650"/>
      <c r="G3650" t="inlineStr">
        <is>
          <t>MW/density estimate</t>
        </is>
      </c>
      <c r="H3650" t="inlineStr">
        <is>
          <t>S012_CALCULATED</t>
        </is>
      </c>
      <c r="I3650" t="inlineStr">
        <is>
          <t>estimated</t>
        </is>
      </c>
      <c r="J3650">
        <v>0.35</v>
      </c>
      <c r="K3650" t="inlineStr">
        <is>
          <t>Estimated from MW/density; replace with measured molar volume or density-specific grade data.</t>
        </is>
      </c>
    </row>
    <row r="3651">
      <c r="A3651" t="inlineStr">
        <is>
          <t>OIL_MIGLYOL_840</t>
        </is>
      </c>
      <c r="B3651" t="inlineStr">
        <is>
          <t>Hansen_delta_D</t>
        </is>
      </c>
      <c r="C3651">
        <v>17.0</v>
      </c>
      <c r="D3651" t="inlineStr">
        <is>
          <t>MPa^0.5</t>
        </is>
      </c>
      <c r="E3651"/>
      <c r="F3651"/>
      <c r="G3651" t="inlineStr">
        <is>
          <t>heuristic group-contribution/nearest-neighbour</t>
        </is>
      </c>
      <c r="H3651" t="inlineStr">
        <is>
          <t>S013_EST_HSP_HEURISTIC</t>
        </is>
      </c>
      <c r="I3651" t="inlineStr">
        <is>
          <t>estimated</t>
        </is>
      </c>
      <c r="J3651">
        <v>0.37</v>
      </c>
      <c r="K3651" t="inlineStr">
        <is>
          <t>Provisional HSP for screening; replace with experimental/literature value before model lock.</t>
        </is>
      </c>
    </row>
    <row r="3652">
      <c r="A3652" t="inlineStr">
        <is>
          <t>OIL_MIGLYOL_840</t>
        </is>
      </c>
      <c r="B3652" t="inlineStr">
        <is>
          <t>Hansen_delta_P</t>
        </is>
      </c>
      <c r="C3652">
        <v>2.5</v>
      </c>
      <c r="D3652" t="inlineStr">
        <is>
          <t>MPa^0.5</t>
        </is>
      </c>
      <c r="E3652"/>
      <c r="F3652"/>
      <c r="G3652" t="inlineStr">
        <is>
          <t>heuristic group-contribution/nearest-neighbour</t>
        </is>
      </c>
      <c r="H3652" t="inlineStr">
        <is>
          <t>S013_EST_HSP_HEURISTIC</t>
        </is>
      </c>
      <c r="I3652" t="inlineStr">
        <is>
          <t>estimated</t>
        </is>
      </c>
      <c r="J3652">
        <v>0.37</v>
      </c>
      <c r="K3652" t="inlineStr">
        <is>
          <t>Provisional HSP for screening; replace with experimental/literature value before model lock.</t>
        </is>
      </c>
    </row>
    <row r="3653">
      <c r="A3653" t="inlineStr">
        <is>
          <t>OIL_MIGLYOL_840</t>
        </is>
      </c>
      <c r="B3653" t="inlineStr">
        <is>
          <t>Hansen_delta_H</t>
        </is>
      </c>
      <c r="C3653">
        <v>5.0</v>
      </c>
      <c r="D3653" t="inlineStr">
        <is>
          <t>MPa^0.5</t>
        </is>
      </c>
      <c r="E3653"/>
      <c r="F3653"/>
      <c r="G3653" t="inlineStr">
        <is>
          <t>heuristic group-contribution/nearest-neighbour</t>
        </is>
      </c>
      <c r="H3653" t="inlineStr">
        <is>
          <t>S013_EST_HSP_HEURISTIC</t>
        </is>
      </c>
      <c r="I3653" t="inlineStr">
        <is>
          <t>estimated</t>
        </is>
      </c>
      <c r="J3653">
        <v>0.37</v>
      </c>
      <c r="K3653" t="inlineStr">
        <is>
          <t>Provisional HSP for screening; replace with experimental/literature value before model lock.</t>
        </is>
      </c>
    </row>
    <row r="3654">
      <c r="A3654" t="inlineStr">
        <is>
          <t>OIL_MIGLYOL_840</t>
        </is>
      </c>
      <c r="B3654" t="inlineStr">
        <is>
          <t>Hildebrand_delta_T</t>
        </is>
      </c>
      <c r="C3654">
        <v>17.9</v>
      </c>
      <c r="D3654" t="inlineStr">
        <is>
          <t>MPa^0.5</t>
        </is>
      </c>
      <c r="E3654"/>
      <c r="F3654"/>
      <c r="G3654" t="inlineStr">
        <is>
          <t>sqrt(deltaD^2+deltaP^2+deltaH^2)</t>
        </is>
      </c>
      <c r="H3654" t="inlineStr">
        <is>
          <t>S012_CALCULATED</t>
        </is>
      </c>
      <c r="I3654" t="inlineStr">
        <is>
          <t>calculated</t>
        </is>
      </c>
      <c r="J3654">
        <v>0.42</v>
      </c>
      <c r="K3654" t="inlineStr">
        <is>
          <t>Derived from stored Hansen components.</t>
        </is>
      </c>
    </row>
    <row r="3655">
      <c r="A3655" t="inlineStr">
        <is>
          <t>OIL_MIGLYOL_840</t>
        </is>
      </c>
      <c r="B3655" t="inlineStr">
        <is>
          <t>HSP_radius_R0</t>
        </is>
      </c>
      <c r="C3655">
        <v>7.0</v>
      </c>
      <c r="D3655" t="inlineStr">
        <is>
          <t>MPa^0.5</t>
        </is>
      </c>
      <c r="E3655"/>
      <c r="F3655"/>
      <c r="G3655" t="inlineStr">
        <is>
          <t>literature/heuristic solubility sphere</t>
        </is>
      </c>
      <c r="H3655" t="inlineStr">
        <is>
          <t>S013_EST_HSP_HEURISTIC</t>
        </is>
      </c>
      <c r="I3655" t="inlineStr">
        <is>
          <t>estimated</t>
        </is>
      </c>
      <c r="J3655">
        <v>0.37</v>
      </c>
      <c r="K3655" t="inlineStr">
        <is>
          <t>Screening radius only unless experimentally determined.</t>
        </is>
      </c>
    </row>
    <row r="3656">
      <c r="A3656" t="inlineStr">
        <is>
          <t>OIL_LABRAFAC_PG</t>
        </is>
      </c>
      <c r="B3656" t="inlineStr">
        <is>
          <t>average_MW</t>
        </is>
      </c>
      <c r="C3656">
        <v>400</v>
      </c>
      <c r="D3656" t="inlineStr">
        <is>
          <t>g/mol</t>
        </is>
      </c>
      <c r="E3656"/>
      <c r="F3656"/>
      <c r="G3656" t="inlineStr">
        <is>
          <t>mixture average/grade-dependent</t>
        </is>
      </c>
      <c r="H3656" t="inlineStr">
        <is>
          <t>S009_GATTEFOSSE</t>
        </is>
      </c>
      <c r="I3656" t="inlineStr">
        <is>
          <t>supplier-reported</t>
        </is>
      </c>
      <c r="J3656">
        <v>0.55</v>
      </c>
      <c r="K3656"/>
    </row>
    <row r="3657">
      <c r="A3657" t="inlineStr">
        <is>
          <t>OIL_LABRAFAC_PG</t>
        </is>
      </c>
      <c r="B3657" t="inlineStr">
        <is>
          <t>density_g_ml</t>
        </is>
      </c>
      <c r="C3657">
        <v>0.95</v>
      </c>
      <c r="D3657" t="inlineStr">
        <is>
          <t>g/mL</t>
        </is>
      </c>
      <c r="E3657"/>
      <c r="F3657"/>
      <c r="G3657" t="inlineStr">
        <is>
          <t>20-25 °C unless otherwise specified</t>
        </is>
      </c>
      <c r="H3657" t="inlineStr">
        <is>
          <t>S009_GATTEFOSSE</t>
        </is>
      </c>
      <c r="I3657" t="inlineStr">
        <is>
          <t>handbook</t>
        </is>
      </c>
      <c r="J3657">
        <v>0.6</v>
      </c>
      <c r="K3657"/>
    </row>
    <row r="3658">
      <c r="A3658" t="inlineStr">
        <is>
          <t>OIL_LABRAFAC_PG</t>
        </is>
      </c>
      <c r="B3658" t="inlineStr">
        <is>
          <t>melting_point_C</t>
        </is>
      </c>
      <c r="C3658">
        <v>-10</v>
      </c>
      <c r="D3658" t="inlineStr">
        <is>
          <t>°C</t>
        </is>
      </c>
      <c r="E3658"/>
      <c r="F3658"/>
      <c r="G3658" t="inlineStr">
        <is>
          <t>melting/drop point range; grade-dependent</t>
        </is>
      </c>
      <c r="H3658" t="inlineStr">
        <is>
          <t>S009_GATTEFOSSE</t>
        </is>
      </c>
      <c r="I3658" t="inlineStr">
        <is>
          <t>handbook</t>
        </is>
      </c>
      <c r="J3658">
        <v>0.68</v>
      </c>
      <c r="K3658"/>
    </row>
    <row r="3659">
      <c r="A3659" t="inlineStr">
        <is>
          <t>OIL_LABRAFAC_PG</t>
        </is>
      </c>
      <c r="B3659" t="inlineStr">
        <is>
          <t>lipid_state</t>
        </is>
      </c>
      <c r="C3659" t="inlineStr">
        <is>
          <t>liquid</t>
        </is>
      </c>
      <c r="D3659"/>
      <c r="E3659"/>
      <c r="F3659"/>
      <c r="G3659"/>
      <c r="H3659" t="inlineStr">
        <is>
          <t>S009_GATTEFOSSE</t>
        </is>
      </c>
      <c r="I3659" t="inlineStr">
        <is>
          <t>curated</t>
        </is>
      </c>
      <c r="J3659">
        <v>0.75</v>
      </c>
      <c r="K3659"/>
    </row>
    <row r="3660">
      <c r="A3660" t="inlineStr">
        <is>
          <t>OIL_LABRAFAC_PG</t>
        </is>
      </c>
      <c r="B3660" t="inlineStr">
        <is>
          <t>fatty_chain_length</t>
        </is>
      </c>
      <c r="C3660" t="inlineStr">
        <is>
          <t>propylene glycol caprylate/caprate</t>
        </is>
      </c>
      <c r="D3660"/>
      <c r="E3660"/>
      <c r="F3660"/>
      <c r="G3660"/>
      <c r="H3660" t="inlineStr">
        <is>
          <t>S009_GATTEFOSSE</t>
        </is>
      </c>
      <c r="I3660" t="inlineStr">
        <is>
          <t>curated</t>
        </is>
      </c>
      <c r="J3660">
        <v>0.7</v>
      </c>
      <c r="K3660"/>
    </row>
    <row r="3661">
      <c r="A3661" t="inlineStr">
        <is>
          <t>OIL_LABRAFAC_PG</t>
        </is>
      </c>
      <c r="B3661" t="inlineStr">
        <is>
          <t>unsaturation</t>
        </is>
      </c>
      <c r="C3661">
        <v>0</v>
      </c>
      <c r="D3661" t="inlineStr">
        <is>
          <t>double_bonds</t>
        </is>
      </c>
      <c r="E3661"/>
      <c r="F3661"/>
      <c r="G3661"/>
      <c r="H3661" t="inlineStr">
        <is>
          <t>S009_GATTEFOSSE</t>
        </is>
      </c>
      <c r="I3661" t="inlineStr">
        <is>
          <t>curated</t>
        </is>
      </c>
      <c r="J3661">
        <v>0.7</v>
      </c>
      <c r="K3661"/>
    </row>
    <row r="3662">
      <c r="A3662" t="inlineStr">
        <is>
          <t>OIL_LABRAFAC_PG</t>
        </is>
      </c>
      <c r="B3662" t="inlineStr">
        <is>
          <t>crystallinity_risk</t>
        </is>
      </c>
      <c r="C3662" t="inlineStr">
        <is>
          <t>low</t>
        </is>
      </c>
      <c r="D3662"/>
      <c r="E3662"/>
      <c r="F3662"/>
      <c r="G3662" t="inlineStr">
        <is>
          <t>SLN/NLC crystallization heuristic</t>
        </is>
      </c>
      <c r="H3662" t="inlineStr">
        <is>
          <t>S009_GATTEFOSSE</t>
        </is>
      </c>
      <c r="I3662" t="inlineStr">
        <is>
          <t>curated</t>
        </is>
      </c>
      <c r="J3662">
        <v>0.6</v>
      </c>
      <c r="K3662"/>
    </row>
    <row r="3663">
      <c r="A3663" t="inlineStr">
        <is>
          <t>OIL_LABRAFAC_PG</t>
        </is>
      </c>
      <c r="B3663" t="inlineStr">
        <is>
          <t>polymorphism_notes</t>
        </is>
      </c>
      <c r="C3663" t="inlineStr">
        <is>
          <t>polymorphic behavior possible; DSC/XRPD required for final formulation</t>
        </is>
      </c>
      <c r="D3663"/>
      <c r="E3663"/>
      <c r="F3663"/>
      <c r="G3663"/>
      <c r="H3663" t="inlineStr">
        <is>
          <t>S014_AULTON</t>
        </is>
      </c>
      <c r="I3663" t="inlineStr">
        <is>
          <t>curated</t>
        </is>
      </c>
      <c r="J3663">
        <v>0.65</v>
      </c>
      <c r="K3663"/>
    </row>
    <row r="3664">
      <c r="A3664" t="inlineStr">
        <is>
          <t>OIL_LABRAFAC_PG</t>
        </is>
      </c>
      <c r="B3664" t="inlineStr">
        <is>
          <t>drug_solubilization_notes</t>
        </is>
      </c>
      <c r="C3664" t="inlineStr">
        <is>
          <t>cosurfactant/liquid lipid</t>
        </is>
      </c>
      <c r="D3664"/>
      <c r="E3664"/>
      <c r="F3664"/>
      <c r="G3664"/>
      <c r="H3664" t="inlineStr">
        <is>
          <t>S014_AULTON</t>
        </is>
      </c>
      <c r="I3664" t="inlineStr">
        <is>
          <t>curated</t>
        </is>
      </c>
      <c r="J3664">
        <v>0.6</v>
      </c>
      <c r="K3664"/>
    </row>
    <row r="3665">
      <c r="A3665" t="inlineStr">
        <is>
          <t>OIL_LABRAFAC_PG</t>
        </is>
      </c>
      <c r="B3665" t="inlineStr">
        <is>
          <t>route_suitability</t>
        </is>
      </c>
      <c r="C3665" t="inlineStr">
        <is>
          <t>SLN/NLC/nanoemulsion/lipid matrix; route-grade dependent</t>
        </is>
      </c>
      <c r="D3665"/>
      <c r="E3665"/>
      <c r="F3665"/>
      <c r="G3665"/>
      <c r="H3665" t="inlineStr">
        <is>
          <t>S008_FDA_IID</t>
        </is>
      </c>
      <c r="I3665" t="inlineStr">
        <is>
          <t>curated</t>
        </is>
      </c>
      <c r="J3665">
        <v>0.55</v>
      </c>
      <c r="K3665"/>
    </row>
    <row r="3666">
      <c r="A3666" t="inlineStr">
        <is>
          <t>OIL_LABRAFAC_PG</t>
        </is>
      </c>
      <c r="B3666" t="inlineStr">
        <is>
          <t>HLB_if_amphiphilic</t>
        </is>
      </c>
      <c r="C3666">
        <v>2</v>
      </c>
      <c r="D3666" t="inlineStr">
        <is>
          <t>HLB</t>
        </is>
      </c>
      <c r="E3666"/>
      <c r="F3666"/>
      <c r="G3666"/>
      <c r="H3666" t="inlineStr">
        <is>
          <t>S009_GATTEFOSSE</t>
        </is>
      </c>
      <c r="I3666" t="inlineStr">
        <is>
          <t>supplier-reported</t>
        </is>
      </c>
      <c r="J3666">
        <v>0.58</v>
      </c>
      <c r="K3666"/>
    </row>
    <row r="3667">
      <c r="A3667" t="inlineStr">
        <is>
          <t>OIL_LABRAFAC_PG</t>
        </is>
      </c>
      <c r="B3667" t="inlineStr">
        <is>
          <t>molar_volume_cm3_mol</t>
        </is>
      </c>
      <c r="C3667">
        <v>421.05</v>
      </c>
      <c r="D3667" t="inlineStr">
        <is>
          <t>cm3/mol</t>
        </is>
      </c>
      <c r="E3667"/>
      <c r="F3667"/>
      <c r="G3667" t="inlineStr">
        <is>
          <t>MW/density estimate</t>
        </is>
      </c>
      <c r="H3667" t="inlineStr">
        <is>
          <t>S012_CALCULATED</t>
        </is>
      </c>
      <c r="I3667" t="inlineStr">
        <is>
          <t>estimated</t>
        </is>
      </c>
      <c r="J3667">
        <v>0.35</v>
      </c>
      <c r="K3667" t="inlineStr">
        <is>
          <t>Estimated from MW/density; replace with measured molar volume or density-specific grade data.</t>
        </is>
      </c>
    </row>
    <row r="3668">
      <c r="A3668" t="inlineStr">
        <is>
          <t>OIL_LABRAFAC_PG</t>
        </is>
      </c>
      <c r="B3668" t="inlineStr">
        <is>
          <t>Hansen_delta_D</t>
        </is>
      </c>
      <c r="C3668">
        <v>17.0</v>
      </c>
      <c r="D3668" t="inlineStr">
        <is>
          <t>MPa^0.5</t>
        </is>
      </c>
      <c r="E3668"/>
      <c r="F3668"/>
      <c r="G3668" t="inlineStr">
        <is>
          <t>heuristic group-contribution/nearest-neighbour</t>
        </is>
      </c>
      <c r="H3668" t="inlineStr">
        <is>
          <t>S013_EST_HSP_HEURISTIC</t>
        </is>
      </c>
      <c r="I3668" t="inlineStr">
        <is>
          <t>estimated</t>
        </is>
      </c>
      <c r="J3668">
        <v>0.37</v>
      </c>
      <c r="K3668" t="inlineStr">
        <is>
          <t>Provisional HSP for screening; replace with experimental/literature value before model lock.</t>
        </is>
      </c>
    </row>
    <row r="3669">
      <c r="A3669" t="inlineStr">
        <is>
          <t>OIL_LABRAFAC_PG</t>
        </is>
      </c>
      <c r="B3669" t="inlineStr">
        <is>
          <t>Hansen_delta_P</t>
        </is>
      </c>
      <c r="C3669">
        <v>4.5</v>
      </c>
      <c r="D3669" t="inlineStr">
        <is>
          <t>MPa^0.5</t>
        </is>
      </c>
      <c r="E3669"/>
      <c r="F3669"/>
      <c r="G3669" t="inlineStr">
        <is>
          <t>heuristic group-contribution/nearest-neighbour</t>
        </is>
      </c>
      <c r="H3669" t="inlineStr">
        <is>
          <t>S013_EST_HSP_HEURISTIC</t>
        </is>
      </c>
      <c r="I3669" t="inlineStr">
        <is>
          <t>estimated</t>
        </is>
      </c>
      <c r="J3669">
        <v>0.37</v>
      </c>
      <c r="K3669" t="inlineStr">
        <is>
          <t>Provisional HSP for screening; replace with experimental/literature value before model lock.</t>
        </is>
      </c>
    </row>
    <row r="3670">
      <c r="A3670" t="inlineStr">
        <is>
          <t>OIL_LABRAFAC_PG</t>
        </is>
      </c>
      <c r="B3670" t="inlineStr">
        <is>
          <t>Hansen_delta_H</t>
        </is>
      </c>
      <c r="C3670">
        <v>7.0</v>
      </c>
      <c r="D3670" t="inlineStr">
        <is>
          <t>MPa^0.5</t>
        </is>
      </c>
      <c r="E3670"/>
      <c r="F3670"/>
      <c r="G3670" t="inlineStr">
        <is>
          <t>heuristic group-contribution/nearest-neighbour</t>
        </is>
      </c>
      <c r="H3670" t="inlineStr">
        <is>
          <t>S013_EST_HSP_HEURISTIC</t>
        </is>
      </c>
      <c r="I3670" t="inlineStr">
        <is>
          <t>estimated</t>
        </is>
      </c>
      <c r="J3670">
        <v>0.37</v>
      </c>
      <c r="K3670" t="inlineStr">
        <is>
          <t>Provisional HSP for screening; replace with experimental/literature value before model lock.</t>
        </is>
      </c>
    </row>
    <row r="3671">
      <c r="A3671" t="inlineStr">
        <is>
          <t>OIL_LABRAFAC_PG</t>
        </is>
      </c>
      <c r="B3671" t="inlineStr">
        <is>
          <t>Hildebrand_delta_T</t>
        </is>
      </c>
      <c r="C3671">
        <v>18.93</v>
      </c>
      <c r="D3671" t="inlineStr">
        <is>
          <t>MPa^0.5</t>
        </is>
      </c>
      <c r="E3671"/>
      <c r="F3671"/>
      <c r="G3671" t="inlineStr">
        <is>
          <t>sqrt(deltaD^2+deltaP^2+deltaH^2)</t>
        </is>
      </c>
      <c r="H3671" t="inlineStr">
        <is>
          <t>S012_CALCULATED</t>
        </is>
      </c>
      <c r="I3671" t="inlineStr">
        <is>
          <t>calculated</t>
        </is>
      </c>
      <c r="J3671">
        <v>0.42</v>
      </c>
      <c r="K3671" t="inlineStr">
        <is>
          <t>Derived from stored Hansen components.</t>
        </is>
      </c>
    </row>
    <row r="3672">
      <c r="A3672" t="inlineStr">
        <is>
          <t>OIL_LABRAFAC_PG</t>
        </is>
      </c>
      <c r="B3672" t="inlineStr">
        <is>
          <t>HSP_radius_R0</t>
        </is>
      </c>
      <c r="C3672">
        <v>7.0</v>
      </c>
      <c r="D3672" t="inlineStr">
        <is>
          <t>MPa^0.5</t>
        </is>
      </c>
      <c r="E3672"/>
      <c r="F3672"/>
      <c r="G3672" t="inlineStr">
        <is>
          <t>literature/heuristic solubility sphere</t>
        </is>
      </c>
      <c r="H3672" t="inlineStr">
        <is>
          <t>S013_EST_HSP_HEURISTIC</t>
        </is>
      </c>
      <c r="I3672" t="inlineStr">
        <is>
          <t>estimated</t>
        </is>
      </c>
      <c r="J3672">
        <v>0.37</v>
      </c>
      <c r="K3672" t="inlineStr">
        <is>
          <t>Screening radius only unless experimentally determined.</t>
        </is>
      </c>
    </row>
    <row r="3673">
      <c r="A3673" t="inlineStr">
        <is>
          <t>OIL_CAPRYOL_90</t>
        </is>
      </c>
      <c r="B3673" t="inlineStr">
        <is>
          <t>average_MW</t>
        </is>
      </c>
      <c r="C3673">
        <v>218</v>
      </c>
      <c r="D3673" t="inlineStr">
        <is>
          <t>g/mol</t>
        </is>
      </c>
      <c r="E3673"/>
      <c r="F3673"/>
      <c r="G3673" t="inlineStr">
        <is>
          <t>mixture average/grade-dependent</t>
        </is>
      </c>
      <c r="H3673" t="inlineStr">
        <is>
          <t>S009_GATTEFOSSE</t>
        </is>
      </c>
      <c r="I3673" t="inlineStr">
        <is>
          <t>supplier-reported</t>
        </is>
      </c>
      <c r="J3673">
        <v>0.55</v>
      </c>
      <c r="K3673"/>
    </row>
    <row r="3674">
      <c r="A3674" t="inlineStr">
        <is>
          <t>OIL_CAPRYOL_90</t>
        </is>
      </c>
      <c r="B3674" t="inlineStr">
        <is>
          <t>density_g_ml</t>
        </is>
      </c>
      <c r="C3674">
        <v>0.95</v>
      </c>
      <c r="D3674" t="inlineStr">
        <is>
          <t>g/mL</t>
        </is>
      </c>
      <c r="E3674"/>
      <c r="F3674"/>
      <c r="G3674" t="inlineStr">
        <is>
          <t>20-25 °C unless otherwise specified</t>
        </is>
      </c>
      <c r="H3674" t="inlineStr">
        <is>
          <t>S009_GATTEFOSSE</t>
        </is>
      </c>
      <c r="I3674" t="inlineStr">
        <is>
          <t>handbook</t>
        </is>
      </c>
      <c r="J3674">
        <v>0.6</v>
      </c>
      <c r="K3674"/>
    </row>
    <row r="3675">
      <c r="A3675" t="inlineStr">
        <is>
          <t>OIL_CAPRYOL_90</t>
        </is>
      </c>
      <c r="B3675" t="inlineStr">
        <is>
          <t>melting_point_C</t>
        </is>
      </c>
      <c r="C3675">
        <v>-10</v>
      </c>
      <c r="D3675" t="inlineStr">
        <is>
          <t>°C</t>
        </is>
      </c>
      <c r="E3675"/>
      <c r="F3675"/>
      <c r="G3675" t="inlineStr">
        <is>
          <t>melting/drop point range; grade-dependent</t>
        </is>
      </c>
      <c r="H3675" t="inlineStr">
        <is>
          <t>S009_GATTEFOSSE</t>
        </is>
      </c>
      <c r="I3675" t="inlineStr">
        <is>
          <t>handbook</t>
        </is>
      </c>
      <c r="J3675">
        <v>0.68</v>
      </c>
      <c r="K3675"/>
    </row>
    <row r="3676">
      <c r="A3676" t="inlineStr">
        <is>
          <t>OIL_CAPRYOL_90</t>
        </is>
      </c>
      <c r="B3676" t="inlineStr">
        <is>
          <t>lipid_state</t>
        </is>
      </c>
      <c r="C3676" t="inlineStr">
        <is>
          <t>liquid</t>
        </is>
      </c>
      <c r="D3676"/>
      <c r="E3676"/>
      <c r="F3676"/>
      <c r="G3676"/>
      <c r="H3676" t="inlineStr">
        <is>
          <t>S009_GATTEFOSSE</t>
        </is>
      </c>
      <c r="I3676" t="inlineStr">
        <is>
          <t>curated</t>
        </is>
      </c>
      <c r="J3676">
        <v>0.75</v>
      </c>
      <c r="K3676"/>
    </row>
    <row r="3677">
      <c r="A3677" t="inlineStr">
        <is>
          <t>OIL_CAPRYOL_90</t>
        </is>
      </c>
      <c r="B3677" t="inlineStr">
        <is>
          <t>fatty_chain_length</t>
        </is>
      </c>
      <c r="C3677" t="inlineStr">
        <is>
          <t>propylene glycol monocaprylate</t>
        </is>
      </c>
      <c r="D3677"/>
      <c r="E3677"/>
      <c r="F3677"/>
      <c r="G3677"/>
      <c r="H3677" t="inlineStr">
        <is>
          <t>S009_GATTEFOSSE</t>
        </is>
      </c>
      <c r="I3677" t="inlineStr">
        <is>
          <t>curated</t>
        </is>
      </c>
      <c r="J3677">
        <v>0.7</v>
      </c>
      <c r="K3677"/>
    </row>
    <row r="3678">
      <c r="A3678" t="inlineStr">
        <is>
          <t>OIL_CAPRYOL_90</t>
        </is>
      </c>
      <c r="B3678" t="inlineStr">
        <is>
          <t>unsaturation</t>
        </is>
      </c>
      <c r="C3678">
        <v>0</v>
      </c>
      <c r="D3678" t="inlineStr">
        <is>
          <t>double_bonds</t>
        </is>
      </c>
      <c r="E3678"/>
      <c r="F3678"/>
      <c r="G3678"/>
      <c r="H3678" t="inlineStr">
        <is>
          <t>S009_GATTEFOSSE</t>
        </is>
      </c>
      <c r="I3678" t="inlineStr">
        <is>
          <t>curated</t>
        </is>
      </c>
      <c r="J3678">
        <v>0.7</v>
      </c>
      <c r="K3678"/>
    </row>
    <row r="3679">
      <c r="A3679" t="inlineStr">
        <is>
          <t>OIL_CAPRYOL_90</t>
        </is>
      </c>
      <c r="B3679" t="inlineStr">
        <is>
          <t>crystallinity_risk</t>
        </is>
      </c>
      <c r="C3679" t="inlineStr">
        <is>
          <t>low</t>
        </is>
      </c>
      <c r="D3679"/>
      <c r="E3679"/>
      <c r="F3679"/>
      <c r="G3679" t="inlineStr">
        <is>
          <t>SLN/NLC crystallization heuristic</t>
        </is>
      </c>
      <c r="H3679" t="inlineStr">
        <is>
          <t>S009_GATTEFOSSE</t>
        </is>
      </c>
      <c r="I3679" t="inlineStr">
        <is>
          <t>curated</t>
        </is>
      </c>
      <c r="J3679">
        <v>0.6</v>
      </c>
      <c r="K3679"/>
    </row>
    <row r="3680">
      <c r="A3680" t="inlineStr">
        <is>
          <t>OIL_CAPRYOL_90</t>
        </is>
      </c>
      <c r="B3680" t="inlineStr">
        <is>
          <t>polymorphism_notes</t>
        </is>
      </c>
      <c r="C3680" t="inlineStr">
        <is>
          <t>polymorphic behavior possible; DSC/XRPD required for final formulation</t>
        </is>
      </c>
      <c r="D3680"/>
      <c r="E3680"/>
      <c r="F3680"/>
      <c r="G3680"/>
      <c r="H3680" t="inlineStr">
        <is>
          <t>S014_AULTON</t>
        </is>
      </c>
      <c r="I3680" t="inlineStr">
        <is>
          <t>curated</t>
        </is>
      </c>
      <c r="J3680">
        <v>0.65</v>
      </c>
      <c r="K3680"/>
    </row>
    <row r="3681">
      <c r="A3681" t="inlineStr">
        <is>
          <t>OIL_CAPRYOL_90</t>
        </is>
      </c>
      <c r="B3681" t="inlineStr">
        <is>
          <t>drug_solubilization_notes</t>
        </is>
      </c>
      <c r="C3681" t="inlineStr">
        <is>
          <t>solubilizing liquid lipid</t>
        </is>
      </c>
      <c r="D3681"/>
      <c r="E3681"/>
      <c r="F3681"/>
      <c r="G3681"/>
      <c r="H3681" t="inlineStr">
        <is>
          <t>S014_AULTON</t>
        </is>
      </c>
      <c r="I3681" t="inlineStr">
        <is>
          <t>curated</t>
        </is>
      </c>
      <c r="J3681">
        <v>0.6</v>
      </c>
      <c r="K3681"/>
    </row>
    <row r="3682">
      <c r="A3682" t="inlineStr">
        <is>
          <t>OIL_CAPRYOL_90</t>
        </is>
      </c>
      <c r="B3682" t="inlineStr">
        <is>
          <t>route_suitability</t>
        </is>
      </c>
      <c r="C3682" t="inlineStr">
        <is>
          <t>SLN/NLC/nanoemulsion/lipid matrix; route-grade dependent</t>
        </is>
      </c>
      <c r="D3682"/>
      <c r="E3682"/>
      <c r="F3682"/>
      <c r="G3682"/>
      <c r="H3682" t="inlineStr">
        <is>
          <t>S008_FDA_IID</t>
        </is>
      </c>
      <c r="I3682" t="inlineStr">
        <is>
          <t>curated</t>
        </is>
      </c>
      <c r="J3682">
        <v>0.55</v>
      </c>
      <c r="K3682"/>
    </row>
    <row r="3683">
      <c r="A3683" t="inlineStr">
        <is>
          <t>OIL_CAPRYOL_90</t>
        </is>
      </c>
      <c r="B3683" t="inlineStr">
        <is>
          <t>HLB_if_amphiphilic</t>
        </is>
      </c>
      <c r="C3683">
        <v>6</v>
      </c>
      <c r="D3683" t="inlineStr">
        <is>
          <t>HLB</t>
        </is>
      </c>
      <c r="E3683"/>
      <c r="F3683"/>
      <c r="G3683"/>
      <c r="H3683" t="inlineStr">
        <is>
          <t>S009_GATTEFOSSE</t>
        </is>
      </c>
      <c r="I3683" t="inlineStr">
        <is>
          <t>supplier-reported</t>
        </is>
      </c>
      <c r="J3683">
        <v>0.58</v>
      </c>
      <c r="K3683"/>
    </row>
    <row r="3684">
      <c r="A3684" t="inlineStr">
        <is>
          <t>OIL_CAPRYOL_90</t>
        </is>
      </c>
      <c r="B3684" t="inlineStr">
        <is>
          <t>molar_volume_cm3_mol</t>
        </is>
      </c>
      <c r="C3684">
        <v>229.47</v>
      </c>
      <c r="D3684" t="inlineStr">
        <is>
          <t>cm3/mol</t>
        </is>
      </c>
      <c r="E3684"/>
      <c r="F3684"/>
      <c r="G3684" t="inlineStr">
        <is>
          <t>MW/density estimate</t>
        </is>
      </c>
      <c r="H3684" t="inlineStr">
        <is>
          <t>S012_CALCULATED</t>
        </is>
      </c>
      <c r="I3684" t="inlineStr">
        <is>
          <t>estimated</t>
        </is>
      </c>
      <c r="J3684">
        <v>0.35</v>
      </c>
      <c r="K3684" t="inlineStr">
        <is>
          <t>Estimated from MW/density; replace with measured molar volume or density-specific grade data.</t>
        </is>
      </c>
    </row>
    <row r="3685">
      <c r="A3685" t="inlineStr">
        <is>
          <t>OIL_CAPRYOL_90</t>
        </is>
      </c>
      <c r="B3685" t="inlineStr">
        <is>
          <t>Hansen_delta_D</t>
        </is>
      </c>
      <c r="C3685">
        <v>17.0</v>
      </c>
      <c r="D3685" t="inlineStr">
        <is>
          <t>MPa^0.5</t>
        </is>
      </c>
      <c r="E3685"/>
      <c r="F3685"/>
      <c r="G3685" t="inlineStr">
        <is>
          <t>heuristic group-contribution/nearest-neighbour</t>
        </is>
      </c>
      <c r="H3685" t="inlineStr">
        <is>
          <t>S013_EST_HSP_HEURISTIC</t>
        </is>
      </c>
      <c r="I3685" t="inlineStr">
        <is>
          <t>estimated</t>
        </is>
      </c>
      <c r="J3685">
        <v>0.37</v>
      </c>
      <c r="K3685" t="inlineStr">
        <is>
          <t>Provisional HSP for screening; replace with experimental/literature value before model lock.</t>
        </is>
      </c>
    </row>
    <row r="3686">
      <c r="A3686" t="inlineStr">
        <is>
          <t>OIL_CAPRYOL_90</t>
        </is>
      </c>
      <c r="B3686" t="inlineStr">
        <is>
          <t>Hansen_delta_P</t>
        </is>
      </c>
      <c r="C3686">
        <v>4.5</v>
      </c>
      <c r="D3686" t="inlineStr">
        <is>
          <t>MPa^0.5</t>
        </is>
      </c>
      <c r="E3686"/>
      <c r="F3686"/>
      <c r="G3686" t="inlineStr">
        <is>
          <t>heuristic group-contribution/nearest-neighbour</t>
        </is>
      </c>
      <c r="H3686" t="inlineStr">
        <is>
          <t>S013_EST_HSP_HEURISTIC</t>
        </is>
      </c>
      <c r="I3686" t="inlineStr">
        <is>
          <t>estimated</t>
        </is>
      </c>
      <c r="J3686">
        <v>0.37</v>
      </c>
      <c r="K3686" t="inlineStr">
        <is>
          <t>Provisional HSP for screening; replace with experimental/literature value before model lock.</t>
        </is>
      </c>
    </row>
    <row r="3687">
      <c r="A3687" t="inlineStr">
        <is>
          <t>OIL_CAPRYOL_90</t>
        </is>
      </c>
      <c r="B3687" t="inlineStr">
        <is>
          <t>Hansen_delta_H</t>
        </is>
      </c>
      <c r="C3687">
        <v>7.0</v>
      </c>
      <c r="D3687" t="inlineStr">
        <is>
          <t>MPa^0.5</t>
        </is>
      </c>
      <c r="E3687"/>
      <c r="F3687"/>
      <c r="G3687" t="inlineStr">
        <is>
          <t>heuristic group-contribution/nearest-neighbour</t>
        </is>
      </c>
      <c r="H3687" t="inlineStr">
        <is>
          <t>S013_EST_HSP_HEURISTIC</t>
        </is>
      </c>
      <c r="I3687" t="inlineStr">
        <is>
          <t>estimated</t>
        </is>
      </c>
      <c r="J3687">
        <v>0.37</v>
      </c>
      <c r="K3687" t="inlineStr">
        <is>
          <t>Provisional HSP for screening; replace with experimental/literature value before model lock.</t>
        </is>
      </c>
    </row>
    <row r="3688">
      <c r="A3688" t="inlineStr">
        <is>
          <t>OIL_CAPRYOL_90</t>
        </is>
      </c>
      <c r="B3688" t="inlineStr">
        <is>
          <t>Hildebrand_delta_T</t>
        </is>
      </c>
      <c r="C3688">
        <v>18.93</v>
      </c>
      <c r="D3688" t="inlineStr">
        <is>
          <t>MPa^0.5</t>
        </is>
      </c>
      <c r="E3688"/>
      <c r="F3688"/>
      <c r="G3688" t="inlineStr">
        <is>
          <t>sqrt(deltaD^2+deltaP^2+deltaH^2)</t>
        </is>
      </c>
      <c r="H3688" t="inlineStr">
        <is>
          <t>S012_CALCULATED</t>
        </is>
      </c>
      <c r="I3688" t="inlineStr">
        <is>
          <t>calculated</t>
        </is>
      </c>
      <c r="J3688">
        <v>0.42</v>
      </c>
      <c r="K3688" t="inlineStr">
        <is>
          <t>Derived from stored Hansen components.</t>
        </is>
      </c>
    </row>
    <row r="3689">
      <c r="A3689" t="inlineStr">
        <is>
          <t>OIL_CAPRYOL_90</t>
        </is>
      </c>
      <c r="B3689" t="inlineStr">
        <is>
          <t>HSP_radius_R0</t>
        </is>
      </c>
      <c r="C3689">
        <v>7.0</v>
      </c>
      <c r="D3689" t="inlineStr">
        <is>
          <t>MPa^0.5</t>
        </is>
      </c>
      <c r="E3689"/>
      <c r="F3689"/>
      <c r="G3689" t="inlineStr">
        <is>
          <t>literature/heuristic solubility sphere</t>
        </is>
      </c>
      <c r="H3689" t="inlineStr">
        <is>
          <t>S013_EST_HSP_HEURISTIC</t>
        </is>
      </c>
      <c r="I3689" t="inlineStr">
        <is>
          <t>estimated</t>
        </is>
      </c>
      <c r="J3689">
        <v>0.37</v>
      </c>
      <c r="K3689" t="inlineStr">
        <is>
          <t>Screening radius only unless experimentally determined.</t>
        </is>
      </c>
    </row>
    <row r="3690">
      <c r="A3690" t="inlineStr">
        <is>
          <t>OIL_MAISINE_CC</t>
        </is>
      </c>
      <c r="B3690" t="inlineStr">
        <is>
          <t>average_MW</t>
        </is>
      </c>
      <c r="C3690">
        <v>350</v>
      </c>
      <c r="D3690" t="inlineStr">
        <is>
          <t>g/mol</t>
        </is>
      </c>
      <c r="E3690"/>
      <c r="F3690"/>
      <c r="G3690" t="inlineStr">
        <is>
          <t>mixture average/grade-dependent</t>
        </is>
      </c>
      <c r="H3690" t="inlineStr">
        <is>
          <t>S009_GATTEFOSSE</t>
        </is>
      </c>
      <c r="I3690" t="inlineStr">
        <is>
          <t>supplier-reported</t>
        </is>
      </c>
      <c r="J3690">
        <v>0.55</v>
      </c>
      <c r="K3690"/>
    </row>
    <row r="3691">
      <c r="A3691" t="inlineStr">
        <is>
          <t>OIL_MAISINE_CC</t>
        </is>
      </c>
      <c r="B3691" t="inlineStr">
        <is>
          <t>density_g_ml</t>
        </is>
      </c>
      <c r="C3691">
        <v>0.93</v>
      </c>
      <c r="D3691" t="inlineStr">
        <is>
          <t>g/mL</t>
        </is>
      </c>
      <c r="E3691"/>
      <c r="F3691"/>
      <c r="G3691" t="inlineStr">
        <is>
          <t>20-25 °C unless otherwise specified</t>
        </is>
      </c>
      <c r="H3691" t="inlineStr">
        <is>
          <t>S009_GATTEFOSSE</t>
        </is>
      </c>
      <c r="I3691" t="inlineStr">
        <is>
          <t>handbook</t>
        </is>
      </c>
      <c r="J3691">
        <v>0.6</v>
      </c>
      <c r="K3691"/>
    </row>
    <row r="3692">
      <c r="A3692" t="inlineStr">
        <is>
          <t>OIL_MAISINE_CC</t>
        </is>
      </c>
      <c r="B3692" t="inlineStr">
        <is>
          <t>melting_point_C</t>
        </is>
      </c>
      <c r="C3692">
        <v>-10</v>
      </c>
      <c r="D3692" t="inlineStr">
        <is>
          <t>°C</t>
        </is>
      </c>
      <c r="E3692"/>
      <c r="F3692"/>
      <c r="G3692" t="inlineStr">
        <is>
          <t>melting/drop point range; grade-dependent</t>
        </is>
      </c>
      <c r="H3692" t="inlineStr">
        <is>
          <t>S009_GATTEFOSSE</t>
        </is>
      </c>
      <c r="I3692" t="inlineStr">
        <is>
          <t>handbook</t>
        </is>
      </c>
      <c r="J3692">
        <v>0.68</v>
      </c>
      <c r="K3692"/>
    </row>
    <row r="3693">
      <c r="A3693" t="inlineStr">
        <is>
          <t>OIL_MAISINE_CC</t>
        </is>
      </c>
      <c r="B3693" t="inlineStr">
        <is>
          <t>lipid_state</t>
        </is>
      </c>
      <c r="C3693" t="inlineStr">
        <is>
          <t>liquid</t>
        </is>
      </c>
      <c r="D3693"/>
      <c r="E3693"/>
      <c r="F3693"/>
      <c r="G3693"/>
      <c r="H3693" t="inlineStr">
        <is>
          <t>S009_GATTEFOSSE</t>
        </is>
      </c>
      <c r="I3693" t="inlineStr">
        <is>
          <t>curated</t>
        </is>
      </c>
      <c r="J3693">
        <v>0.75</v>
      </c>
      <c r="K3693"/>
    </row>
    <row r="3694">
      <c r="A3694" t="inlineStr">
        <is>
          <t>OIL_MAISINE_CC</t>
        </is>
      </c>
      <c r="B3694" t="inlineStr">
        <is>
          <t>fatty_chain_length</t>
        </is>
      </c>
      <c r="C3694" t="inlineStr">
        <is>
          <t>glyceryl monolinoleate-rich</t>
        </is>
      </c>
      <c r="D3694"/>
      <c r="E3694"/>
      <c r="F3694"/>
      <c r="G3694"/>
      <c r="H3694" t="inlineStr">
        <is>
          <t>S009_GATTEFOSSE</t>
        </is>
      </c>
      <c r="I3694" t="inlineStr">
        <is>
          <t>curated</t>
        </is>
      </c>
      <c r="J3694">
        <v>0.7</v>
      </c>
      <c r="K3694"/>
    </row>
    <row r="3695">
      <c r="A3695" t="inlineStr">
        <is>
          <t>OIL_MAISINE_CC</t>
        </is>
      </c>
      <c r="B3695" t="inlineStr">
        <is>
          <t>unsaturation</t>
        </is>
      </c>
      <c r="C3695">
        <v>2</v>
      </c>
      <c r="D3695" t="inlineStr">
        <is>
          <t>double_bonds</t>
        </is>
      </c>
      <c r="E3695"/>
      <c r="F3695"/>
      <c r="G3695"/>
      <c r="H3695" t="inlineStr">
        <is>
          <t>S009_GATTEFOSSE</t>
        </is>
      </c>
      <c r="I3695" t="inlineStr">
        <is>
          <t>curated</t>
        </is>
      </c>
      <c r="J3695">
        <v>0.7</v>
      </c>
      <c r="K3695"/>
    </row>
    <row r="3696">
      <c r="A3696" t="inlineStr">
        <is>
          <t>OIL_MAISINE_CC</t>
        </is>
      </c>
      <c r="B3696" t="inlineStr">
        <is>
          <t>crystallinity_risk</t>
        </is>
      </c>
      <c r="C3696" t="inlineStr">
        <is>
          <t>low</t>
        </is>
      </c>
      <c r="D3696"/>
      <c r="E3696"/>
      <c r="F3696"/>
      <c r="G3696" t="inlineStr">
        <is>
          <t>SLN/NLC crystallization heuristic</t>
        </is>
      </c>
      <c r="H3696" t="inlineStr">
        <is>
          <t>S009_GATTEFOSSE</t>
        </is>
      </c>
      <c r="I3696" t="inlineStr">
        <is>
          <t>curated</t>
        </is>
      </c>
      <c r="J3696">
        <v>0.6</v>
      </c>
      <c r="K3696"/>
    </row>
    <row r="3697">
      <c r="A3697" t="inlineStr">
        <is>
          <t>OIL_MAISINE_CC</t>
        </is>
      </c>
      <c r="B3697" t="inlineStr">
        <is>
          <t>polymorphism_notes</t>
        </is>
      </c>
      <c r="C3697" t="inlineStr">
        <is>
          <t>polymorphic behavior possible; DSC/XRPD required for final formulation</t>
        </is>
      </c>
      <c r="D3697"/>
      <c r="E3697"/>
      <c r="F3697"/>
      <c r="G3697"/>
      <c r="H3697" t="inlineStr">
        <is>
          <t>S014_AULTON</t>
        </is>
      </c>
      <c r="I3697" t="inlineStr">
        <is>
          <t>curated</t>
        </is>
      </c>
      <c r="J3697">
        <v>0.65</v>
      </c>
      <c r="K3697"/>
    </row>
    <row r="3698">
      <c r="A3698" t="inlineStr">
        <is>
          <t>OIL_MAISINE_CC</t>
        </is>
      </c>
      <c r="B3698" t="inlineStr">
        <is>
          <t>drug_solubilization_notes</t>
        </is>
      </c>
      <c r="C3698" t="inlineStr">
        <is>
          <t>unsaturated glyceride mixture</t>
        </is>
      </c>
      <c r="D3698"/>
      <c r="E3698"/>
      <c r="F3698"/>
      <c r="G3698"/>
      <c r="H3698" t="inlineStr">
        <is>
          <t>S014_AULTON</t>
        </is>
      </c>
      <c r="I3698" t="inlineStr">
        <is>
          <t>curated</t>
        </is>
      </c>
      <c r="J3698">
        <v>0.6</v>
      </c>
      <c r="K3698"/>
    </row>
    <row r="3699">
      <c r="A3699" t="inlineStr">
        <is>
          <t>OIL_MAISINE_CC</t>
        </is>
      </c>
      <c r="B3699" t="inlineStr">
        <is>
          <t>route_suitability</t>
        </is>
      </c>
      <c r="C3699" t="inlineStr">
        <is>
          <t>SLN/NLC/nanoemulsion/lipid matrix; route-grade dependent</t>
        </is>
      </c>
      <c r="D3699"/>
      <c r="E3699"/>
      <c r="F3699"/>
      <c r="G3699"/>
      <c r="H3699" t="inlineStr">
        <is>
          <t>S008_FDA_IID</t>
        </is>
      </c>
      <c r="I3699" t="inlineStr">
        <is>
          <t>curated</t>
        </is>
      </c>
      <c r="J3699">
        <v>0.55</v>
      </c>
      <c r="K3699"/>
    </row>
    <row r="3700">
      <c r="A3700" t="inlineStr">
        <is>
          <t>OIL_MAISINE_CC</t>
        </is>
      </c>
      <c r="B3700" t="inlineStr">
        <is>
          <t>HLB_if_amphiphilic</t>
        </is>
      </c>
      <c r="C3700">
        <v>1</v>
      </c>
      <c r="D3700" t="inlineStr">
        <is>
          <t>HLB</t>
        </is>
      </c>
      <c r="E3700"/>
      <c r="F3700"/>
      <c r="G3700"/>
      <c r="H3700" t="inlineStr">
        <is>
          <t>S009_GATTEFOSSE</t>
        </is>
      </c>
      <c r="I3700" t="inlineStr">
        <is>
          <t>supplier-reported</t>
        </is>
      </c>
      <c r="J3700">
        <v>0.58</v>
      </c>
      <c r="K3700"/>
    </row>
    <row r="3701">
      <c r="A3701" t="inlineStr">
        <is>
          <t>OIL_MAISINE_CC</t>
        </is>
      </c>
      <c r="B3701" t="inlineStr">
        <is>
          <t>molar_volume_cm3_mol</t>
        </is>
      </c>
      <c r="C3701">
        <v>376.34</v>
      </c>
      <c r="D3701" t="inlineStr">
        <is>
          <t>cm3/mol</t>
        </is>
      </c>
      <c r="E3701"/>
      <c r="F3701"/>
      <c r="G3701" t="inlineStr">
        <is>
          <t>MW/density estimate</t>
        </is>
      </c>
      <c r="H3701" t="inlineStr">
        <is>
          <t>S012_CALCULATED</t>
        </is>
      </c>
      <c r="I3701" t="inlineStr">
        <is>
          <t>estimated</t>
        </is>
      </c>
      <c r="J3701">
        <v>0.35</v>
      </c>
      <c r="K3701" t="inlineStr">
        <is>
          <t>Estimated from MW/density; replace with measured molar volume or density-specific grade data.</t>
        </is>
      </c>
    </row>
    <row r="3702">
      <c r="A3702" t="inlineStr">
        <is>
          <t>OIL_MAISINE_CC</t>
        </is>
      </c>
      <c r="B3702" t="inlineStr">
        <is>
          <t>Hansen_delta_D</t>
        </is>
      </c>
      <c r="C3702">
        <v>17.0</v>
      </c>
      <c r="D3702" t="inlineStr">
        <is>
          <t>MPa^0.5</t>
        </is>
      </c>
      <c r="E3702"/>
      <c r="F3702"/>
      <c r="G3702" t="inlineStr">
        <is>
          <t>heuristic group-contribution/nearest-neighbour</t>
        </is>
      </c>
      <c r="H3702" t="inlineStr">
        <is>
          <t>S013_EST_HSP_HEURISTIC</t>
        </is>
      </c>
      <c r="I3702" t="inlineStr">
        <is>
          <t>estimated</t>
        </is>
      </c>
      <c r="J3702">
        <v>0.37</v>
      </c>
      <c r="K3702" t="inlineStr">
        <is>
          <t>Provisional HSP for screening; replace with experimental/literature value before model lock.</t>
        </is>
      </c>
    </row>
    <row r="3703">
      <c r="A3703" t="inlineStr">
        <is>
          <t>OIL_MAISINE_CC</t>
        </is>
      </c>
      <c r="B3703" t="inlineStr">
        <is>
          <t>Hansen_delta_P</t>
        </is>
      </c>
      <c r="C3703">
        <v>4.5</v>
      </c>
      <c r="D3703" t="inlineStr">
        <is>
          <t>MPa^0.5</t>
        </is>
      </c>
      <c r="E3703"/>
      <c r="F3703"/>
      <c r="G3703" t="inlineStr">
        <is>
          <t>heuristic group-contribution/nearest-neighbour</t>
        </is>
      </c>
      <c r="H3703" t="inlineStr">
        <is>
          <t>S013_EST_HSP_HEURISTIC</t>
        </is>
      </c>
      <c r="I3703" t="inlineStr">
        <is>
          <t>estimated</t>
        </is>
      </c>
      <c r="J3703">
        <v>0.37</v>
      </c>
      <c r="K3703" t="inlineStr">
        <is>
          <t>Provisional HSP for screening; replace with experimental/literature value before model lock.</t>
        </is>
      </c>
    </row>
    <row r="3704">
      <c r="A3704" t="inlineStr">
        <is>
          <t>OIL_MAISINE_CC</t>
        </is>
      </c>
      <c r="B3704" t="inlineStr">
        <is>
          <t>Hansen_delta_H</t>
        </is>
      </c>
      <c r="C3704">
        <v>7.0</v>
      </c>
      <c r="D3704" t="inlineStr">
        <is>
          <t>MPa^0.5</t>
        </is>
      </c>
      <c r="E3704"/>
      <c r="F3704"/>
      <c r="G3704" t="inlineStr">
        <is>
          <t>heuristic group-contribution/nearest-neighbour</t>
        </is>
      </c>
      <c r="H3704" t="inlineStr">
        <is>
          <t>S013_EST_HSP_HEURISTIC</t>
        </is>
      </c>
      <c r="I3704" t="inlineStr">
        <is>
          <t>estimated</t>
        </is>
      </c>
      <c r="J3704">
        <v>0.37</v>
      </c>
      <c r="K3704" t="inlineStr">
        <is>
          <t>Provisional HSP for screening; replace with experimental/literature value before model lock.</t>
        </is>
      </c>
    </row>
    <row r="3705">
      <c r="A3705" t="inlineStr">
        <is>
          <t>OIL_MAISINE_CC</t>
        </is>
      </c>
      <c r="B3705" t="inlineStr">
        <is>
          <t>Hildebrand_delta_T</t>
        </is>
      </c>
      <c r="C3705">
        <v>18.93</v>
      </c>
      <c r="D3705" t="inlineStr">
        <is>
          <t>MPa^0.5</t>
        </is>
      </c>
      <c r="E3705"/>
      <c r="F3705"/>
      <c r="G3705" t="inlineStr">
        <is>
          <t>sqrt(deltaD^2+deltaP^2+deltaH^2)</t>
        </is>
      </c>
      <c r="H3705" t="inlineStr">
        <is>
          <t>S012_CALCULATED</t>
        </is>
      </c>
      <c r="I3705" t="inlineStr">
        <is>
          <t>calculated</t>
        </is>
      </c>
      <c r="J3705">
        <v>0.42</v>
      </c>
      <c r="K3705" t="inlineStr">
        <is>
          <t>Derived from stored Hansen components.</t>
        </is>
      </c>
    </row>
    <row r="3706">
      <c r="A3706" t="inlineStr">
        <is>
          <t>OIL_MAISINE_CC</t>
        </is>
      </c>
      <c r="B3706" t="inlineStr">
        <is>
          <t>HSP_radius_R0</t>
        </is>
      </c>
      <c r="C3706">
        <v>7.0</v>
      </c>
      <c r="D3706" t="inlineStr">
        <is>
          <t>MPa^0.5</t>
        </is>
      </c>
      <c r="E3706"/>
      <c r="F3706"/>
      <c r="G3706" t="inlineStr">
        <is>
          <t>literature/heuristic solubility sphere</t>
        </is>
      </c>
      <c r="H3706" t="inlineStr">
        <is>
          <t>S013_EST_HSP_HEURISTIC</t>
        </is>
      </c>
      <c r="I3706" t="inlineStr">
        <is>
          <t>estimated</t>
        </is>
      </c>
      <c r="J3706">
        <v>0.37</v>
      </c>
      <c r="K3706" t="inlineStr">
        <is>
          <t>Screening radius only unless experimentally determined.</t>
        </is>
      </c>
    </row>
    <row r="3707">
      <c r="A3707" t="inlineStr">
        <is>
          <t>OIL_PECEOL</t>
        </is>
      </c>
      <c r="B3707" t="inlineStr">
        <is>
          <t>average_MW</t>
        </is>
      </c>
      <c r="C3707">
        <v>350</v>
      </c>
      <c r="D3707" t="inlineStr">
        <is>
          <t>g/mol</t>
        </is>
      </c>
      <c r="E3707"/>
      <c r="F3707"/>
      <c r="G3707" t="inlineStr">
        <is>
          <t>mixture average/grade-dependent</t>
        </is>
      </c>
      <c r="H3707" t="inlineStr">
        <is>
          <t>S009_GATTEFOSSE</t>
        </is>
      </c>
      <c r="I3707" t="inlineStr">
        <is>
          <t>supplier-reported</t>
        </is>
      </c>
      <c r="J3707">
        <v>0.55</v>
      </c>
      <c r="K3707"/>
    </row>
    <row r="3708">
      <c r="A3708" t="inlineStr">
        <is>
          <t>OIL_PECEOL</t>
        </is>
      </c>
      <c r="B3708" t="inlineStr">
        <is>
          <t>density_g_ml</t>
        </is>
      </c>
      <c r="C3708">
        <v>0.94</v>
      </c>
      <c r="D3708" t="inlineStr">
        <is>
          <t>g/mL</t>
        </is>
      </c>
      <c r="E3708"/>
      <c r="F3708"/>
      <c r="G3708" t="inlineStr">
        <is>
          <t>20-25 °C unless otherwise specified</t>
        </is>
      </c>
      <c r="H3708" t="inlineStr">
        <is>
          <t>S009_GATTEFOSSE</t>
        </is>
      </c>
      <c r="I3708" t="inlineStr">
        <is>
          <t>handbook</t>
        </is>
      </c>
      <c r="J3708">
        <v>0.6</v>
      </c>
      <c r="K3708"/>
    </row>
    <row r="3709">
      <c r="A3709" t="inlineStr">
        <is>
          <t>OIL_PECEOL</t>
        </is>
      </c>
      <c r="B3709" t="inlineStr">
        <is>
          <t>melting_point_C</t>
        </is>
      </c>
      <c r="C3709">
        <v>-10</v>
      </c>
      <c r="D3709" t="inlineStr">
        <is>
          <t>°C</t>
        </is>
      </c>
      <c r="E3709"/>
      <c r="F3709"/>
      <c r="G3709" t="inlineStr">
        <is>
          <t>melting/drop point range; grade-dependent</t>
        </is>
      </c>
      <c r="H3709" t="inlineStr">
        <is>
          <t>S009_GATTEFOSSE</t>
        </is>
      </c>
      <c r="I3709" t="inlineStr">
        <is>
          <t>handbook</t>
        </is>
      </c>
      <c r="J3709">
        <v>0.68</v>
      </c>
      <c r="K3709"/>
    </row>
    <row r="3710">
      <c r="A3710" t="inlineStr">
        <is>
          <t>OIL_PECEOL</t>
        </is>
      </c>
      <c r="B3710" t="inlineStr">
        <is>
          <t>lipid_state</t>
        </is>
      </c>
      <c r="C3710" t="inlineStr">
        <is>
          <t>liquid</t>
        </is>
      </c>
      <c r="D3710"/>
      <c r="E3710"/>
      <c r="F3710"/>
      <c r="G3710"/>
      <c r="H3710" t="inlineStr">
        <is>
          <t>S009_GATTEFOSSE</t>
        </is>
      </c>
      <c r="I3710" t="inlineStr">
        <is>
          <t>curated</t>
        </is>
      </c>
      <c r="J3710">
        <v>0.75</v>
      </c>
      <c r="K3710"/>
    </row>
    <row r="3711">
      <c r="A3711" t="inlineStr">
        <is>
          <t>OIL_PECEOL</t>
        </is>
      </c>
      <c r="B3711" t="inlineStr">
        <is>
          <t>fatty_chain_length</t>
        </is>
      </c>
      <c r="C3711" t="inlineStr">
        <is>
          <t>glyceryl monooleate</t>
        </is>
      </c>
      <c r="D3711"/>
      <c r="E3711"/>
      <c r="F3711"/>
      <c r="G3711"/>
      <c r="H3711" t="inlineStr">
        <is>
          <t>S009_GATTEFOSSE</t>
        </is>
      </c>
      <c r="I3711" t="inlineStr">
        <is>
          <t>curated</t>
        </is>
      </c>
      <c r="J3711">
        <v>0.7</v>
      </c>
      <c r="K3711"/>
    </row>
    <row r="3712">
      <c r="A3712" t="inlineStr">
        <is>
          <t>OIL_PECEOL</t>
        </is>
      </c>
      <c r="B3712" t="inlineStr">
        <is>
          <t>unsaturation</t>
        </is>
      </c>
      <c r="C3712">
        <v>1</v>
      </c>
      <c r="D3712" t="inlineStr">
        <is>
          <t>double_bonds</t>
        </is>
      </c>
      <c r="E3712"/>
      <c r="F3712"/>
      <c r="G3712"/>
      <c r="H3712" t="inlineStr">
        <is>
          <t>S009_GATTEFOSSE</t>
        </is>
      </c>
      <c r="I3712" t="inlineStr">
        <is>
          <t>curated</t>
        </is>
      </c>
      <c r="J3712">
        <v>0.7</v>
      </c>
      <c r="K3712"/>
    </row>
    <row r="3713">
      <c r="A3713" t="inlineStr">
        <is>
          <t>OIL_PECEOL</t>
        </is>
      </c>
      <c r="B3713" t="inlineStr">
        <is>
          <t>crystallinity_risk</t>
        </is>
      </c>
      <c r="C3713" t="inlineStr">
        <is>
          <t>low</t>
        </is>
      </c>
      <c r="D3713"/>
      <c r="E3713"/>
      <c r="F3713"/>
      <c r="G3713" t="inlineStr">
        <is>
          <t>SLN/NLC crystallization heuristic</t>
        </is>
      </c>
      <c r="H3713" t="inlineStr">
        <is>
          <t>S009_GATTEFOSSE</t>
        </is>
      </c>
      <c r="I3713" t="inlineStr">
        <is>
          <t>curated</t>
        </is>
      </c>
      <c r="J3713">
        <v>0.6</v>
      </c>
      <c r="K3713"/>
    </row>
    <row r="3714">
      <c r="A3714" t="inlineStr">
        <is>
          <t>OIL_PECEOL</t>
        </is>
      </c>
      <c r="B3714" t="inlineStr">
        <is>
          <t>polymorphism_notes</t>
        </is>
      </c>
      <c r="C3714" t="inlineStr">
        <is>
          <t>polymorphic behavior possible; DSC/XRPD required for final formulation</t>
        </is>
      </c>
      <c r="D3714"/>
      <c r="E3714"/>
      <c r="F3714"/>
      <c r="G3714"/>
      <c r="H3714" t="inlineStr">
        <is>
          <t>S014_AULTON</t>
        </is>
      </c>
      <c r="I3714" t="inlineStr">
        <is>
          <t>curated</t>
        </is>
      </c>
      <c r="J3714">
        <v>0.65</v>
      </c>
      <c r="K3714"/>
    </row>
    <row r="3715">
      <c r="A3715" t="inlineStr">
        <is>
          <t>OIL_PECEOL</t>
        </is>
      </c>
      <c r="B3715" t="inlineStr">
        <is>
          <t>drug_solubilization_notes</t>
        </is>
      </c>
      <c r="C3715" t="inlineStr">
        <is>
          <t>monoglyceride liquid lipid</t>
        </is>
      </c>
      <c r="D3715"/>
      <c r="E3715"/>
      <c r="F3715"/>
      <c r="G3715"/>
      <c r="H3715" t="inlineStr">
        <is>
          <t>S014_AULTON</t>
        </is>
      </c>
      <c r="I3715" t="inlineStr">
        <is>
          <t>curated</t>
        </is>
      </c>
      <c r="J3715">
        <v>0.6</v>
      </c>
      <c r="K3715"/>
    </row>
    <row r="3716">
      <c r="A3716" t="inlineStr">
        <is>
          <t>OIL_PECEOL</t>
        </is>
      </c>
      <c r="B3716" t="inlineStr">
        <is>
          <t>route_suitability</t>
        </is>
      </c>
      <c r="C3716" t="inlineStr">
        <is>
          <t>SLN/NLC/nanoemulsion/lipid matrix; route-grade dependent</t>
        </is>
      </c>
      <c r="D3716"/>
      <c r="E3716"/>
      <c r="F3716"/>
      <c r="G3716"/>
      <c r="H3716" t="inlineStr">
        <is>
          <t>S008_FDA_IID</t>
        </is>
      </c>
      <c r="I3716" t="inlineStr">
        <is>
          <t>curated</t>
        </is>
      </c>
      <c r="J3716">
        <v>0.55</v>
      </c>
      <c r="K3716"/>
    </row>
    <row r="3717">
      <c r="A3717" t="inlineStr">
        <is>
          <t>OIL_PECEOL</t>
        </is>
      </c>
      <c r="B3717" t="inlineStr">
        <is>
          <t>HLB_if_amphiphilic</t>
        </is>
      </c>
      <c r="C3717">
        <v>3</v>
      </c>
      <c r="D3717" t="inlineStr">
        <is>
          <t>HLB</t>
        </is>
      </c>
      <c r="E3717"/>
      <c r="F3717"/>
      <c r="G3717"/>
      <c r="H3717" t="inlineStr">
        <is>
          <t>S009_GATTEFOSSE</t>
        </is>
      </c>
      <c r="I3717" t="inlineStr">
        <is>
          <t>supplier-reported</t>
        </is>
      </c>
      <c r="J3717">
        <v>0.58</v>
      </c>
      <c r="K3717"/>
    </row>
    <row r="3718">
      <c r="A3718" t="inlineStr">
        <is>
          <t>OIL_PECEOL</t>
        </is>
      </c>
      <c r="B3718" t="inlineStr">
        <is>
          <t>molar_volume_cm3_mol</t>
        </is>
      </c>
      <c r="C3718">
        <v>372.34</v>
      </c>
      <c r="D3718" t="inlineStr">
        <is>
          <t>cm3/mol</t>
        </is>
      </c>
      <c r="E3718"/>
      <c r="F3718"/>
      <c r="G3718" t="inlineStr">
        <is>
          <t>MW/density estimate</t>
        </is>
      </c>
      <c r="H3718" t="inlineStr">
        <is>
          <t>S012_CALCULATED</t>
        </is>
      </c>
      <c r="I3718" t="inlineStr">
        <is>
          <t>estimated</t>
        </is>
      </c>
      <c r="J3718">
        <v>0.35</v>
      </c>
      <c r="K3718" t="inlineStr">
        <is>
          <t>Estimated from MW/density; replace with measured molar volume or density-specific grade data.</t>
        </is>
      </c>
    </row>
    <row r="3719">
      <c r="A3719" t="inlineStr">
        <is>
          <t>OIL_PECEOL</t>
        </is>
      </c>
      <c r="B3719" t="inlineStr">
        <is>
          <t>Hansen_delta_D</t>
        </is>
      </c>
      <c r="C3719">
        <v>17.0</v>
      </c>
      <c r="D3719" t="inlineStr">
        <is>
          <t>MPa^0.5</t>
        </is>
      </c>
      <c r="E3719"/>
      <c r="F3719"/>
      <c r="G3719" t="inlineStr">
        <is>
          <t>heuristic group-contribution/nearest-neighbour</t>
        </is>
      </c>
      <c r="H3719" t="inlineStr">
        <is>
          <t>S013_EST_HSP_HEURISTIC</t>
        </is>
      </c>
      <c r="I3719" t="inlineStr">
        <is>
          <t>estimated</t>
        </is>
      </c>
      <c r="J3719">
        <v>0.37</v>
      </c>
      <c r="K3719" t="inlineStr">
        <is>
          <t>Provisional HSP for screening; replace with experimental/literature value before model lock.</t>
        </is>
      </c>
    </row>
    <row r="3720">
      <c r="A3720" t="inlineStr">
        <is>
          <t>OIL_PECEOL</t>
        </is>
      </c>
      <c r="B3720" t="inlineStr">
        <is>
          <t>Hansen_delta_P</t>
        </is>
      </c>
      <c r="C3720">
        <v>4.5</v>
      </c>
      <c r="D3720" t="inlineStr">
        <is>
          <t>MPa^0.5</t>
        </is>
      </c>
      <c r="E3720"/>
      <c r="F3720"/>
      <c r="G3720" t="inlineStr">
        <is>
          <t>heuristic group-contribution/nearest-neighbour</t>
        </is>
      </c>
      <c r="H3720" t="inlineStr">
        <is>
          <t>S013_EST_HSP_HEURISTIC</t>
        </is>
      </c>
      <c r="I3720" t="inlineStr">
        <is>
          <t>estimated</t>
        </is>
      </c>
      <c r="J3720">
        <v>0.37</v>
      </c>
      <c r="K3720" t="inlineStr">
        <is>
          <t>Provisional HSP for screening; replace with experimental/literature value before model lock.</t>
        </is>
      </c>
    </row>
    <row r="3721">
      <c r="A3721" t="inlineStr">
        <is>
          <t>OIL_PECEOL</t>
        </is>
      </c>
      <c r="B3721" t="inlineStr">
        <is>
          <t>Hansen_delta_H</t>
        </is>
      </c>
      <c r="C3721">
        <v>7.0</v>
      </c>
      <c r="D3721" t="inlineStr">
        <is>
          <t>MPa^0.5</t>
        </is>
      </c>
      <c r="E3721"/>
      <c r="F3721"/>
      <c r="G3721" t="inlineStr">
        <is>
          <t>heuristic group-contribution/nearest-neighbour</t>
        </is>
      </c>
      <c r="H3721" t="inlineStr">
        <is>
          <t>S013_EST_HSP_HEURISTIC</t>
        </is>
      </c>
      <c r="I3721" t="inlineStr">
        <is>
          <t>estimated</t>
        </is>
      </c>
      <c r="J3721">
        <v>0.37</v>
      </c>
      <c r="K3721" t="inlineStr">
        <is>
          <t>Provisional HSP for screening; replace with experimental/literature value before model lock.</t>
        </is>
      </c>
    </row>
    <row r="3722">
      <c r="A3722" t="inlineStr">
        <is>
          <t>OIL_PECEOL</t>
        </is>
      </c>
      <c r="B3722" t="inlineStr">
        <is>
          <t>Hildebrand_delta_T</t>
        </is>
      </c>
      <c r="C3722">
        <v>18.93</v>
      </c>
      <c r="D3722" t="inlineStr">
        <is>
          <t>MPa^0.5</t>
        </is>
      </c>
      <c r="E3722"/>
      <c r="F3722"/>
      <c r="G3722" t="inlineStr">
        <is>
          <t>sqrt(deltaD^2+deltaP^2+deltaH^2)</t>
        </is>
      </c>
      <c r="H3722" t="inlineStr">
        <is>
          <t>S012_CALCULATED</t>
        </is>
      </c>
      <c r="I3722" t="inlineStr">
        <is>
          <t>calculated</t>
        </is>
      </c>
      <c r="J3722">
        <v>0.42</v>
      </c>
      <c r="K3722" t="inlineStr">
        <is>
          <t>Derived from stored Hansen components.</t>
        </is>
      </c>
    </row>
    <row r="3723">
      <c r="A3723" t="inlineStr">
        <is>
          <t>OIL_PECEOL</t>
        </is>
      </c>
      <c r="B3723" t="inlineStr">
        <is>
          <t>HSP_radius_R0</t>
        </is>
      </c>
      <c r="C3723">
        <v>7.0</v>
      </c>
      <c r="D3723" t="inlineStr">
        <is>
          <t>MPa^0.5</t>
        </is>
      </c>
      <c r="E3723"/>
      <c r="F3723"/>
      <c r="G3723" t="inlineStr">
        <is>
          <t>literature/heuristic solubility sphere</t>
        </is>
      </c>
      <c r="H3723" t="inlineStr">
        <is>
          <t>S013_EST_HSP_HEURISTIC</t>
        </is>
      </c>
      <c r="I3723" t="inlineStr">
        <is>
          <t>estimated</t>
        </is>
      </c>
      <c r="J3723">
        <v>0.37</v>
      </c>
      <c r="K3723" t="inlineStr">
        <is>
          <t>Screening radius only unless experimentally determined.</t>
        </is>
      </c>
    </row>
    <row r="3724">
      <c r="A3724" t="inlineStr">
        <is>
          <t>OIL_LABRAFIL_M1944CS</t>
        </is>
      </c>
      <c r="B3724" t="inlineStr">
        <is>
          <t>average_MW</t>
        </is>
      </c>
      <c r="C3724">
        <v>600</v>
      </c>
      <c r="D3724" t="inlineStr">
        <is>
          <t>g/mol</t>
        </is>
      </c>
      <c r="E3724"/>
      <c r="F3724"/>
      <c r="G3724" t="inlineStr">
        <is>
          <t>mixture average/grade-dependent</t>
        </is>
      </c>
      <c r="H3724" t="inlineStr">
        <is>
          <t>S009_GATTEFOSSE</t>
        </is>
      </c>
      <c r="I3724" t="inlineStr">
        <is>
          <t>supplier-reported</t>
        </is>
      </c>
      <c r="J3724">
        <v>0.55</v>
      </c>
      <c r="K3724"/>
    </row>
    <row r="3725">
      <c r="A3725" t="inlineStr">
        <is>
          <t>OIL_LABRAFIL_M1944CS</t>
        </is>
      </c>
      <c r="B3725" t="inlineStr">
        <is>
          <t>density_g_ml</t>
        </is>
      </c>
      <c r="C3725">
        <v>0.95</v>
      </c>
      <c r="D3725" t="inlineStr">
        <is>
          <t>g/mL</t>
        </is>
      </c>
      <c r="E3725"/>
      <c r="F3725"/>
      <c r="G3725" t="inlineStr">
        <is>
          <t>20-25 °C unless otherwise specified</t>
        </is>
      </c>
      <c r="H3725" t="inlineStr">
        <is>
          <t>S009_GATTEFOSSE</t>
        </is>
      </c>
      <c r="I3725" t="inlineStr">
        <is>
          <t>handbook</t>
        </is>
      </c>
      <c r="J3725">
        <v>0.6</v>
      </c>
      <c r="K3725"/>
    </row>
    <row r="3726">
      <c r="A3726" t="inlineStr">
        <is>
          <t>OIL_LABRAFIL_M1944CS</t>
        </is>
      </c>
      <c r="B3726" t="inlineStr">
        <is>
          <t>melting_point_C</t>
        </is>
      </c>
      <c r="C3726">
        <v>-10</v>
      </c>
      <c r="D3726" t="inlineStr">
        <is>
          <t>°C</t>
        </is>
      </c>
      <c r="E3726"/>
      <c r="F3726"/>
      <c r="G3726" t="inlineStr">
        <is>
          <t>melting/drop point range; grade-dependent</t>
        </is>
      </c>
      <c r="H3726" t="inlineStr">
        <is>
          <t>S009_GATTEFOSSE</t>
        </is>
      </c>
      <c r="I3726" t="inlineStr">
        <is>
          <t>handbook</t>
        </is>
      </c>
      <c r="J3726">
        <v>0.68</v>
      </c>
      <c r="K3726"/>
    </row>
    <row r="3727">
      <c r="A3727" t="inlineStr">
        <is>
          <t>OIL_LABRAFIL_M1944CS</t>
        </is>
      </c>
      <c r="B3727" t="inlineStr">
        <is>
          <t>lipid_state</t>
        </is>
      </c>
      <c r="C3727" t="inlineStr">
        <is>
          <t>liquid</t>
        </is>
      </c>
      <c r="D3727"/>
      <c r="E3727"/>
      <c r="F3727"/>
      <c r="G3727"/>
      <c r="H3727" t="inlineStr">
        <is>
          <t>S009_GATTEFOSSE</t>
        </is>
      </c>
      <c r="I3727" t="inlineStr">
        <is>
          <t>curated</t>
        </is>
      </c>
      <c r="J3727">
        <v>0.75</v>
      </c>
      <c r="K3727"/>
    </row>
    <row r="3728">
      <c r="A3728" t="inlineStr">
        <is>
          <t>OIL_LABRAFIL_M1944CS</t>
        </is>
      </c>
      <c r="B3728" t="inlineStr">
        <is>
          <t>fatty_chain_length</t>
        </is>
      </c>
      <c r="C3728" t="inlineStr">
        <is>
          <t>oleoyl polyoxyl glycerides</t>
        </is>
      </c>
      <c r="D3728"/>
      <c r="E3728"/>
      <c r="F3728"/>
      <c r="G3728"/>
      <c r="H3728" t="inlineStr">
        <is>
          <t>S009_GATTEFOSSE</t>
        </is>
      </c>
      <c r="I3728" t="inlineStr">
        <is>
          <t>curated</t>
        </is>
      </c>
      <c r="J3728">
        <v>0.7</v>
      </c>
      <c r="K3728"/>
    </row>
    <row r="3729">
      <c r="A3729" t="inlineStr">
        <is>
          <t>OIL_LABRAFIL_M1944CS</t>
        </is>
      </c>
      <c r="B3729" t="inlineStr">
        <is>
          <t>unsaturation</t>
        </is>
      </c>
      <c r="C3729">
        <v>1</v>
      </c>
      <c r="D3729" t="inlineStr">
        <is>
          <t>double_bonds</t>
        </is>
      </c>
      <c r="E3729"/>
      <c r="F3729"/>
      <c r="G3729"/>
      <c r="H3729" t="inlineStr">
        <is>
          <t>S009_GATTEFOSSE</t>
        </is>
      </c>
      <c r="I3729" t="inlineStr">
        <is>
          <t>curated</t>
        </is>
      </c>
      <c r="J3729">
        <v>0.7</v>
      </c>
      <c r="K3729"/>
    </row>
    <row r="3730">
      <c r="A3730" t="inlineStr">
        <is>
          <t>OIL_LABRAFIL_M1944CS</t>
        </is>
      </c>
      <c r="B3730" t="inlineStr">
        <is>
          <t>crystallinity_risk</t>
        </is>
      </c>
      <c r="C3730" t="inlineStr">
        <is>
          <t>low</t>
        </is>
      </c>
      <c r="D3730"/>
      <c r="E3730"/>
      <c r="F3730"/>
      <c r="G3730" t="inlineStr">
        <is>
          <t>SLN/NLC crystallization heuristic</t>
        </is>
      </c>
      <c r="H3730" t="inlineStr">
        <is>
          <t>S009_GATTEFOSSE</t>
        </is>
      </c>
      <c r="I3730" t="inlineStr">
        <is>
          <t>curated</t>
        </is>
      </c>
      <c r="J3730">
        <v>0.6</v>
      </c>
      <c r="K3730"/>
    </row>
    <row r="3731">
      <c r="A3731" t="inlineStr">
        <is>
          <t>OIL_LABRAFIL_M1944CS</t>
        </is>
      </c>
      <c r="B3731" t="inlineStr">
        <is>
          <t>polymorphism_notes</t>
        </is>
      </c>
      <c r="C3731" t="inlineStr">
        <is>
          <t>polymorphic behavior possible; DSC/XRPD required for final formulation</t>
        </is>
      </c>
      <c r="D3731"/>
      <c r="E3731"/>
      <c r="F3731"/>
      <c r="G3731"/>
      <c r="H3731" t="inlineStr">
        <is>
          <t>S014_AULTON</t>
        </is>
      </c>
      <c r="I3731" t="inlineStr">
        <is>
          <t>curated</t>
        </is>
      </c>
      <c r="J3731">
        <v>0.65</v>
      </c>
      <c r="K3731"/>
    </row>
    <row r="3732">
      <c r="A3732" t="inlineStr">
        <is>
          <t>OIL_LABRAFIL_M1944CS</t>
        </is>
      </c>
      <c r="B3732" t="inlineStr">
        <is>
          <t>drug_solubilization_notes</t>
        </is>
      </c>
      <c r="C3732" t="inlineStr">
        <is>
          <t>self-emulsifying oily surfactant</t>
        </is>
      </c>
      <c r="D3732"/>
      <c r="E3732"/>
      <c r="F3732"/>
      <c r="G3732"/>
      <c r="H3732" t="inlineStr">
        <is>
          <t>S014_AULTON</t>
        </is>
      </c>
      <c r="I3732" t="inlineStr">
        <is>
          <t>curated</t>
        </is>
      </c>
      <c r="J3732">
        <v>0.6</v>
      </c>
      <c r="K3732"/>
    </row>
    <row r="3733">
      <c r="A3733" t="inlineStr">
        <is>
          <t>OIL_LABRAFIL_M1944CS</t>
        </is>
      </c>
      <c r="B3733" t="inlineStr">
        <is>
          <t>route_suitability</t>
        </is>
      </c>
      <c r="C3733" t="inlineStr">
        <is>
          <t>SLN/NLC/nanoemulsion/lipid matrix; route-grade dependent</t>
        </is>
      </c>
      <c r="D3733"/>
      <c r="E3733"/>
      <c r="F3733"/>
      <c r="G3733"/>
      <c r="H3733" t="inlineStr">
        <is>
          <t>S008_FDA_IID</t>
        </is>
      </c>
      <c r="I3733" t="inlineStr">
        <is>
          <t>curated</t>
        </is>
      </c>
      <c r="J3733">
        <v>0.55</v>
      </c>
      <c r="K3733"/>
    </row>
    <row r="3734">
      <c r="A3734" t="inlineStr">
        <is>
          <t>OIL_LABRAFIL_M1944CS</t>
        </is>
      </c>
      <c r="B3734" t="inlineStr">
        <is>
          <t>HLB_if_amphiphilic</t>
        </is>
      </c>
      <c r="C3734">
        <v>4</v>
      </c>
      <c r="D3734" t="inlineStr">
        <is>
          <t>HLB</t>
        </is>
      </c>
      <c r="E3734"/>
      <c r="F3734"/>
      <c r="G3734"/>
      <c r="H3734" t="inlineStr">
        <is>
          <t>S009_GATTEFOSSE</t>
        </is>
      </c>
      <c r="I3734" t="inlineStr">
        <is>
          <t>supplier-reported</t>
        </is>
      </c>
      <c r="J3734">
        <v>0.58</v>
      </c>
      <c r="K3734"/>
    </row>
    <row r="3735">
      <c r="A3735" t="inlineStr">
        <is>
          <t>OIL_LABRAFIL_M1944CS</t>
        </is>
      </c>
      <c r="B3735" t="inlineStr">
        <is>
          <t>molar_volume_cm3_mol</t>
        </is>
      </c>
      <c r="C3735">
        <v>631.58</v>
      </c>
      <c r="D3735" t="inlineStr">
        <is>
          <t>cm3/mol</t>
        </is>
      </c>
      <c r="E3735"/>
      <c r="F3735"/>
      <c r="G3735" t="inlineStr">
        <is>
          <t>MW/density estimate</t>
        </is>
      </c>
      <c r="H3735" t="inlineStr">
        <is>
          <t>S012_CALCULATED</t>
        </is>
      </c>
      <c r="I3735" t="inlineStr">
        <is>
          <t>estimated</t>
        </is>
      </c>
      <c r="J3735">
        <v>0.35</v>
      </c>
      <c r="K3735" t="inlineStr">
        <is>
          <t>Estimated from MW/density; replace with measured molar volume or density-specific grade data.</t>
        </is>
      </c>
    </row>
    <row r="3736">
      <c r="A3736" t="inlineStr">
        <is>
          <t>OIL_LABRAFIL_M1944CS</t>
        </is>
      </c>
      <c r="B3736" t="inlineStr">
        <is>
          <t>Hansen_delta_D</t>
        </is>
      </c>
      <c r="C3736">
        <v>17.0</v>
      </c>
      <c r="D3736" t="inlineStr">
        <is>
          <t>MPa^0.5</t>
        </is>
      </c>
      <c r="E3736"/>
      <c r="F3736"/>
      <c r="G3736" t="inlineStr">
        <is>
          <t>heuristic group-contribution/nearest-neighbour</t>
        </is>
      </c>
      <c r="H3736" t="inlineStr">
        <is>
          <t>S013_EST_HSP_HEURISTIC</t>
        </is>
      </c>
      <c r="I3736" t="inlineStr">
        <is>
          <t>estimated</t>
        </is>
      </c>
      <c r="J3736">
        <v>0.37</v>
      </c>
      <c r="K3736" t="inlineStr">
        <is>
          <t>Provisional HSP for screening; replace with experimental/literature value before model lock.</t>
        </is>
      </c>
    </row>
    <row r="3737">
      <c r="A3737" t="inlineStr">
        <is>
          <t>OIL_LABRAFIL_M1944CS</t>
        </is>
      </c>
      <c r="B3737" t="inlineStr">
        <is>
          <t>Hansen_delta_P</t>
        </is>
      </c>
      <c r="C3737">
        <v>4.5</v>
      </c>
      <c r="D3737" t="inlineStr">
        <is>
          <t>MPa^0.5</t>
        </is>
      </c>
      <c r="E3737"/>
      <c r="F3737"/>
      <c r="G3737" t="inlineStr">
        <is>
          <t>heuristic group-contribution/nearest-neighbour</t>
        </is>
      </c>
      <c r="H3737" t="inlineStr">
        <is>
          <t>S013_EST_HSP_HEURISTIC</t>
        </is>
      </c>
      <c r="I3737" t="inlineStr">
        <is>
          <t>estimated</t>
        </is>
      </c>
      <c r="J3737">
        <v>0.37</v>
      </c>
      <c r="K3737" t="inlineStr">
        <is>
          <t>Provisional HSP for screening; replace with experimental/literature value before model lock.</t>
        </is>
      </c>
    </row>
    <row r="3738">
      <c r="A3738" t="inlineStr">
        <is>
          <t>OIL_LABRAFIL_M1944CS</t>
        </is>
      </c>
      <c r="B3738" t="inlineStr">
        <is>
          <t>Hansen_delta_H</t>
        </is>
      </c>
      <c r="C3738">
        <v>7.0</v>
      </c>
      <c r="D3738" t="inlineStr">
        <is>
          <t>MPa^0.5</t>
        </is>
      </c>
      <c r="E3738"/>
      <c r="F3738"/>
      <c r="G3738" t="inlineStr">
        <is>
          <t>heuristic group-contribution/nearest-neighbour</t>
        </is>
      </c>
      <c r="H3738" t="inlineStr">
        <is>
          <t>S013_EST_HSP_HEURISTIC</t>
        </is>
      </c>
      <c r="I3738" t="inlineStr">
        <is>
          <t>estimated</t>
        </is>
      </c>
      <c r="J3738">
        <v>0.37</v>
      </c>
      <c r="K3738" t="inlineStr">
        <is>
          <t>Provisional HSP for screening; replace with experimental/literature value before model lock.</t>
        </is>
      </c>
    </row>
    <row r="3739">
      <c r="A3739" t="inlineStr">
        <is>
          <t>OIL_LABRAFIL_M1944CS</t>
        </is>
      </c>
      <c r="B3739" t="inlineStr">
        <is>
          <t>Hildebrand_delta_T</t>
        </is>
      </c>
      <c r="C3739">
        <v>18.93</v>
      </c>
      <c r="D3739" t="inlineStr">
        <is>
          <t>MPa^0.5</t>
        </is>
      </c>
      <c r="E3739"/>
      <c r="F3739"/>
      <c r="G3739" t="inlineStr">
        <is>
          <t>sqrt(deltaD^2+deltaP^2+deltaH^2)</t>
        </is>
      </c>
      <c r="H3739" t="inlineStr">
        <is>
          <t>S012_CALCULATED</t>
        </is>
      </c>
      <c r="I3739" t="inlineStr">
        <is>
          <t>calculated</t>
        </is>
      </c>
      <c r="J3739">
        <v>0.42</v>
      </c>
      <c r="K3739" t="inlineStr">
        <is>
          <t>Derived from stored Hansen components.</t>
        </is>
      </c>
    </row>
    <row r="3740">
      <c r="A3740" t="inlineStr">
        <is>
          <t>OIL_LABRAFIL_M1944CS</t>
        </is>
      </c>
      <c r="B3740" t="inlineStr">
        <is>
          <t>HSP_radius_R0</t>
        </is>
      </c>
      <c r="C3740">
        <v>7.0</v>
      </c>
      <c r="D3740" t="inlineStr">
        <is>
          <t>MPa^0.5</t>
        </is>
      </c>
      <c r="E3740"/>
      <c r="F3740"/>
      <c r="G3740" t="inlineStr">
        <is>
          <t>literature/heuristic solubility sphere</t>
        </is>
      </c>
      <c r="H3740" t="inlineStr">
        <is>
          <t>S013_EST_HSP_HEURISTIC</t>
        </is>
      </c>
      <c r="I3740" t="inlineStr">
        <is>
          <t>estimated</t>
        </is>
      </c>
      <c r="J3740">
        <v>0.37</v>
      </c>
      <c r="K3740" t="inlineStr">
        <is>
          <t>Screening radius only unless experimentally determined.</t>
        </is>
      </c>
    </row>
    <row r="3741">
      <c r="A3741" t="inlineStr">
        <is>
          <t>OIL_LABRAFIL_M2125CS</t>
        </is>
      </c>
      <c r="B3741" t="inlineStr">
        <is>
          <t>average_MW</t>
        </is>
      </c>
      <c r="C3741">
        <v>600</v>
      </c>
      <c r="D3741" t="inlineStr">
        <is>
          <t>g/mol</t>
        </is>
      </c>
      <c r="E3741"/>
      <c r="F3741"/>
      <c r="G3741" t="inlineStr">
        <is>
          <t>mixture average/grade-dependent</t>
        </is>
      </c>
      <c r="H3741" t="inlineStr">
        <is>
          <t>S009_GATTEFOSSE</t>
        </is>
      </c>
      <c r="I3741" t="inlineStr">
        <is>
          <t>supplier-reported</t>
        </is>
      </c>
      <c r="J3741">
        <v>0.55</v>
      </c>
      <c r="K3741"/>
    </row>
    <row r="3742">
      <c r="A3742" t="inlineStr">
        <is>
          <t>OIL_LABRAFIL_M2125CS</t>
        </is>
      </c>
      <c r="B3742" t="inlineStr">
        <is>
          <t>density_g_ml</t>
        </is>
      </c>
      <c r="C3742">
        <v>0.95</v>
      </c>
      <c r="D3742" t="inlineStr">
        <is>
          <t>g/mL</t>
        </is>
      </c>
      <c r="E3742"/>
      <c r="F3742"/>
      <c r="G3742" t="inlineStr">
        <is>
          <t>20-25 °C unless otherwise specified</t>
        </is>
      </c>
      <c r="H3742" t="inlineStr">
        <is>
          <t>S009_GATTEFOSSE</t>
        </is>
      </c>
      <c r="I3742" t="inlineStr">
        <is>
          <t>handbook</t>
        </is>
      </c>
      <c r="J3742">
        <v>0.6</v>
      </c>
      <c r="K3742"/>
    </row>
    <row r="3743">
      <c r="A3743" t="inlineStr">
        <is>
          <t>OIL_LABRAFIL_M2125CS</t>
        </is>
      </c>
      <c r="B3743" t="inlineStr">
        <is>
          <t>melting_point_C</t>
        </is>
      </c>
      <c r="C3743">
        <v>-10</v>
      </c>
      <c r="D3743" t="inlineStr">
        <is>
          <t>°C</t>
        </is>
      </c>
      <c r="E3743"/>
      <c r="F3743"/>
      <c r="G3743" t="inlineStr">
        <is>
          <t>melting/drop point range; grade-dependent</t>
        </is>
      </c>
      <c r="H3743" t="inlineStr">
        <is>
          <t>S009_GATTEFOSSE</t>
        </is>
      </c>
      <c r="I3743" t="inlineStr">
        <is>
          <t>handbook</t>
        </is>
      </c>
      <c r="J3743">
        <v>0.68</v>
      </c>
      <c r="K3743"/>
    </row>
    <row r="3744">
      <c r="A3744" t="inlineStr">
        <is>
          <t>OIL_LABRAFIL_M2125CS</t>
        </is>
      </c>
      <c r="B3744" t="inlineStr">
        <is>
          <t>lipid_state</t>
        </is>
      </c>
      <c r="C3744" t="inlineStr">
        <is>
          <t>liquid</t>
        </is>
      </c>
      <c r="D3744"/>
      <c r="E3744"/>
      <c r="F3744"/>
      <c r="G3744"/>
      <c r="H3744" t="inlineStr">
        <is>
          <t>S009_GATTEFOSSE</t>
        </is>
      </c>
      <c r="I3744" t="inlineStr">
        <is>
          <t>curated</t>
        </is>
      </c>
      <c r="J3744">
        <v>0.75</v>
      </c>
      <c r="K3744"/>
    </row>
    <row r="3745">
      <c r="A3745" t="inlineStr">
        <is>
          <t>OIL_LABRAFIL_M2125CS</t>
        </is>
      </c>
      <c r="B3745" t="inlineStr">
        <is>
          <t>fatty_chain_length</t>
        </is>
      </c>
      <c r="C3745" t="inlineStr">
        <is>
          <t>linoleoyl polyoxyl glycerides</t>
        </is>
      </c>
      <c r="D3745"/>
      <c r="E3745"/>
      <c r="F3745"/>
      <c r="G3745"/>
      <c r="H3745" t="inlineStr">
        <is>
          <t>S009_GATTEFOSSE</t>
        </is>
      </c>
      <c r="I3745" t="inlineStr">
        <is>
          <t>curated</t>
        </is>
      </c>
      <c r="J3745">
        <v>0.7</v>
      </c>
      <c r="K3745"/>
    </row>
    <row r="3746">
      <c r="A3746" t="inlineStr">
        <is>
          <t>OIL_LABRAFIL_M2125CS</t>
        </is>
      </c>
      <c r="B3746" t="inlineStr">
        <is>
          <t>unsaturation</t>
        </is>
      </c>
      <c r="C3746">
        <v>2</v>
      </c>
      <c r="D3746" t="inlineStr">
        <is>
          <t>double_bonds</t>
        </is>
      </c>
      <c r="E3746"/>
      <c r="F3746"/>
      <c r="G3746"/>
      <c r="H3746" t="inlineStr">
        <is>
          <t>S009_GATTEFOSSE</t>
        </is>
      </c>
      <c r="I3746" t="inlineStr">
        <is>
          <t>curated</t>
        </is>
      </c>
      <c r="J3746">
        <v>0.7</v>
      </c>
      <c r="K3746"/>
    </row>
    <row r="3747">
      <c r="A3747" t="inlineStr">
        <is>
          <t>OIL_LABRAFIL_M2125CS</t>
        </is>
      </c>
      <c r="B3747" t="inlineStr">
        <is>
          <t>crystallinity_risk</t>
        </is>
      </c>
      <c r="C3747" t="inlineStr">
        <is>
          <t>low</t>
        </is>
      </c>
      <c r="D3747"/>
      <c r="E3747"/>
      <c r="F3747"/>
      <c r="G3747" t="inlineStr">
        <is>
          <t>SLN/NLC crystallization heuristic</t>
        </is>
      </c>
      <c r="H3747" t="inlineStr">
        <is>
          <t>S009_GATTEFOSSE</t>
        </is>
      </c>
      <c r="I3747" t="inlineStr">
        <is>
          <t>curated</t>
        </is>
      </c>
      <c r="J3747">
        <v>0.6</v>
      </c>
      <c r="K3747"/>
    </row>
    <row r="3748">
      <c r="A3748" t="inlineStr">
        <is>
          <t>OIL_LABRAFIL_M2125CS</t>
        </is>
      </c>
      <c r="B3748" t="inlineStr">
        <is>
          <t>polymorphism_notes</t>
        </is>
      </c>
      <c r="C3748" t="inlineStr">
        <is>
          <t>polymorphic behavior possible; DSC/XRPD required for final formulation</t>
        </is>
      </c>
      <c r="D3748"/>
      <c r="E3748"/>
      <c r="F3748"/>
      <c r="G3748"/>
      <c r="H3748" t="inlineStr">
        <is>
          <t>S014_AULTON</t>
        </is>
      </c>
      <c r="I3748" t="inlineStr">
        <is>
          <t>curated</t>
        </is>
      </c>
      <c r="J3748">
        <v>0.65</v>
      </c>
      <c r="K3748"/>
    </row>
    <row r="3749">
      <c r="A3749" t="inlineStr">
        <is>
          <t>OIL_LABRAFIL_M2125CS</t>
        </is>
      </c>
      <c r="B3749" t="inlineStr">
        <is>
          <t>drug_solubilization_notes</t>
        </is>
      </c>
      <c r="C3749" t="inlineStr">
        <is>
          <t>self-emulsifying oily surfactant</t>
        </is>
      </c>
      <c r="D3749"/>
      <c r="E3749"/>
      <c r="F3749"/>
      <c r="G3749"/>
      <c r="H3749" t="inlineStr">
        <is>
          <t>S014_AULTON</t>
        </is>
      </c>
      <c r="I3749" t="inlineStr">
        <is>
          <t>curated</t>
        </is>
      </c>
      <c r="J3749">
        <v>0.6</v>
      </c>
      <c r="K3749"/>
    </row>
    <row r="3750">
      <c r="A3750" t="inlineStr">
        <is>
          <t>OIL_LABRAFIL_M2125CS</t>
        </is>
      </c>
      <c r="B3750" t="inlineStr">
        <is>
          <t>route_suitability</t>
        </is>
      </c>
      <c r="C3750" t="inlineStr">
        <is>
          <t>SLN/NLC/nanoemulsion/lipid matrix; route-grade dependent</t>
        </is>
      </c>
      <c r="D3750"/>
      <c r="E3750"/>
      <c r="F3750"/>
      <c r="G3750"/>
      <c r="H3750" t="inlineStr">
        <is>
          <t>S008_FDA_IID</t>
        </is>
      </c>
      <c r="I3750" t="inlineStr">
        <is>
          <t>curated</t>
        </is>
      </c>
      <c r="J3750">
        <v>0.55</v>
      </c>
      <c r="K3750"/>
    </row>
    <row r="3751">
      <c r="A3751" t="inlineStr">
        <is>
          <t>OIL_LABRAFIL_M2125CS</t>
        </is>
      </c>
      <c r="B3751" t="inlineStr">
        <is>
          <t>HLB_if_amphiphilic</t>
        </is>
      </c>
      <c r="C3751">
        <v>4</v>
      </c>
      <c r="D3751" t="inlineStr">
        <is>
          <t>HLB</t>
        </is>
      </c>
      <c r="E3751"/>
      <c r="F3751"/>
      <c r="G3751"/>
      <c r="H3751" t="inlineStr">
        <is>
          <t>S009_GATTEFOSSE</t>
        </is>
      </c>
      <c r="I3751" t="inlineStr">
        <is>
          <t>supplier-reported</t>
        </is>
      </c>
      <c r="J3751">
        <v>0.58</v>
      </c>
      <c r="K3751"/>
    </row>
    <row r="3752">
      <c r="A3752" t="inlineStr">
        <is>
          <t>OIL_LABRAFIL_M2125CS</t>
        </is>
      </c>
      <c r="B3752" t="inlineStr">
        <is>
          <t>molar_volume_cm3_mol</t>
        </is>
      </c>
      <c r="C3752">
        <v>631.58</v>
      </c>
      <c r="D3752" t="inlineStr">
        <is>
          <t>cm3/mol</t>
        </is>
      </c>
      <c r="E3752"/>
      <c r="F3752"/>
      <c r="G3752" t="inlineStr">
        <is>
          <t>MW/density estimate</t>
        </is>
      </c>
      <c r="H3752" t="inlineStr">
        <is>
          <t>S012_CALCULATED</t>
        </is>
      </c>
      <c r="I3752" t="inlineStr">
        <is>
          <t>estimated</t>
        </is>
      </c>
      <c r="J3752">
        <v>0.35</v>
      </c>
      <c r="K3752" t="inlineStr">
        <is>
          <t>Estimated from MW/density; replace with measured molar volume or density-specific grade data.</t>
        </is>
      </c>
    </row>
    <row r="3753">
      <c r="A3753" t="inlineStr">
        <is>
          <t>OIL_LABRAFIL_M2125CS</t>
        </is>
      </c>
      <c r="B3753" t="inlineStr">
        <is>
          <t>Hansen_delta_D</t>
        </is>
      </c>
      <c r="C3753">
        <v>17.0</v>
      </c>
      <c r="D3753" t="inlineStr">
        <is>
          <t>MPa^0.5</t>
        </is>
      </c>
      <c r="E3753"/>
      <c r="F3753"/>
      <c r="G3753" t="inlineStr">
        <is>
          <t>heuristic group-contribution/nearest-neighbour</t>
        </is>
      </c>
      <c r="H3753" t="inlineStr">
        <is>
          <t>S013_EST_HSP_HEURISTIC</t>
        </is>
      </c>
      <c r="I3753" t="inlineStr">
        <is>
          <t>estimated</t>
        </is>
      </c>
      <c r="J3753">
        <v>0.37</v>
      </c>
      <c r="K3753" t="inlineStr">
        <is>
          <t>Provisional HSP for screening; replace with experimental/literature value before model lock.</t>
        </is>
      </c>
    </row>
    <row r="3754">
      <c r="A3754" t="inlineStr">
        <is>
          <t>OIL_LABRAFIL_M2125CS</t>
        </is>
      </c>
      <c r="B3754" t="inlineStr">
        <is>
          <t>Hansen_delta_P</t>
        </is>
      </c>
      <c r="C3754">
        <v>4.5</v>
      </c>
      <c r="D3754" t="inlineStr">
        <is>
          <t>MPa^0.5</t>
        </is>
      </c>
      <c r="E3754"/>
      <c r="F3754"/>
      <c r="G3754" t="inlineStr">
        <is>
          <t>heuristic group-contribution/nearest-neighbour</t>
        </is>
      </c>
      <c r="H3754" t="inlineStr">
        <is>
          <t>S013_EST_HSP_HEURISTIC</t>
        </is>
      </c>
      <c r="I3754" t="inlineStr">
        <is>
          <t>estimated</t>
        </is>
      </c>
      <c r="J3754">
        <v>0.37</v>
      </c>
      <c r="K3754" t="inlineStr">
        <is>
          <t>Provisional HSP for screening; replace with experimental/literature value before model lock.</t>
        </is>
      </c>
    </row>
    <row r="3755">
      <c r="A3755" t="inlineStr">
        <is>
          <t>OIL_LABRAFIL_M2125CS</t>
        </is>
      </c>
      <c r="B3755" t="inlineStr">
        <is>
          <t>Hansen_delta_H</t>
        </is>
      </c>
      <c r="C3755">
        <v>7.0</v>
      </c>
      <c r="D3755" t="inlineStr">
        <is>
          <t>MPa^0.5</t>
        </is>
      </c>
      <c r="E3755"/>
      <c r="F3755"/>
      <c r="G3755" t="inlineStr">
        <is>
          <t>heuristic group-contribution/nearest-neighbour</t>
        </is>
      </c>
      <c r="H3755" t="inlineStr">
        <is>
          <t>S013_EST_HSP_HEURISTIC</t>
        </is>
      </c>
      <c r="I3755" t="inlineStr">
        <is>
          <t>estimated</t>
        </is>
      </c>
      <c r="J3755">
        <v>0.37</v>
      </c>
      <c r="K3755" t="inlineStr">
        <is>
          <t>Provisional HSP for screening; replace with experimental/literature value before model lock.</t>
        </is>
      </c>
    </row>
    <row r="3756">
      <c r="A3756" t="inlineStr">
        <is>
          <t>OIL_LABRAFIL_M2125CS</t>
        </is>
      </c>
      <c r="B3756" t="inlineStr">
        <is>
          <t>Hildebrand_delta_T</t>
        </is>
      </c>
      <c r="C3756">
        <v>18.93</v>
      </c>
      <c r="D3756" t="inlineStr">
        <is>
          <t>MPa^0.5</t>
        </is>
      </c>
      <c r="E3756"/>
      <c r="F3756"/>
      <c r="G3756" t="inlineStr">
        <is>
          <t>sqrt(deltaD^2+deltaP^2+deltaH^2)</t>
        </is>
      </c>
      <c r="H3756" t="inlineStr">
        <is>
          <t>S012_CALCULATED</t>
        </is>
      </c>
      <c r="I3756" t="inlineStr">
        <is>
          <t>calculated</t>
        </is>
      </c>
      <c r="J3756">
        <v>0.42</v>
      </c>
      <c r="K3756" t="inlineStr">
        <is>
          <t>Derived from stored Hansen components.</t>
        </is>
      </c>
    </row>
    <row r="3757">
      <c r="A3757" t="inlineStr">
        <is>
          <t>OIL_LABRAFIL_M2125CS</t>
        </is>
      </c>
      <c r="B3757" t="inlineStr">
        <is>
          <t>HSP_radius_R0</t>
        </is>
      </c>
      <c r="C3757">
        <v>7.0</v>
      </c>
      <c r="D3757" t="inlineStr">
        <is>
          <t>MPa^0.5</t>
        </is>
      </c>
      <c r="E3757"/>
      <c r="F3757"/>
      <c r="G3757" t="inlineStr">
        <is>
          <t>literature/heuristic solubility sphere</t>
        </is>
      </c>
      <c r="H3757" t="inlineStr">
        <is>
          <t>S013_EST_HSP_HEURISTIC</t>
        </is>
      </c>
      <c r="I3757" t="inlineStr">
        <is>
          <t>estimated</t>
        </is>
      </c>
      <c r="J3757">
        <v>0.37</v>
      </c>
      <c r="K3757" t="inlineStr">
        <is>
          <t>Screening radius only unless experimentally determined.</t>
        </is>
      </c>
    </row>
    <row r="3758">
      <c r="A3758" t="inlineStr">
        <is>
          <t>OIL_ISOPROPYL_MYRISTATE</t>
        </is>
      </c>
      <c r="B3758" t="inlineStr">
        <is>
          <t>molecular_weight_g_mol</t>
        </is>
      </c>
      <c r="C3758">
        <v>270.45</v>
      </c>
      <c r="D3758" t="inlineStr">
        <is>
          <t>g/mol</t>
        </is>
      </c>
      <c r="E3758"/>
      <c r="F3758"/>
      <c r="G3758"/>
      <c r="H3758" t="inlineStr">
        <is>
          <t>S001_PUBCHEM</t>
        </is>
      </c>
      <c r="I3758" t="inlineStr">
        <is>
          <t>database-derived</t>
        </is>
      </c>
      <c r="J3758">
        <v>0.75</v>
      </c>
      <c r="K3758"/>
    </row>
    <row r="3759">
      <c r="A3759" t="inlineStr">
        <is>
          <t>OIL_ISOPROPYL_MYRISTATE</t>
        </is>
      </c>
      <c r="B3759" t="inlineStr">
        <is>
          <t>density_g_ml</t>
        </is>
      </c>
      <c r="C3759">
        <v>0.85</v>
      </c>
      <c r="D3759" t="inlineStr">
        <is>
          <t>g/mL</t>
        </is>
      </c>
      <c r="E3759"/>
      <c r="F3759"/>
      <c r="G3759" t="inlineStr">
        <is>
          <t>20-25 °C unless otherwise specified</t>
        </is>
      </c>
      <c r="H3759" t="inlineStr">
        <is>
          <t>S007_EXCIPIENTS_HANDBOOK</t>
        </is>
      </c>
      <c r="I3759" t="inlineStr">
        <is>
          <t>handbook</t>
        </is>
      </c>
      <c r="J3759">
        <v>0.6</v>
      </c>
      <c r="K3759"/>
    </row>
    <row r="3760">
      <c r="A3760" t="inlineStr">
        <is>
          <t>OIL_ISOPROPYL_MYRISTATE</t>
        </is>
      </c>
      <c r="B3760" t="inlineStr">
        <is>
          <t>melting_point_C</t>
        </is>
      </c>
      <c r="C3760">
        <v>-5</v>
      </c>
      <c r="D3760" t="inlineStr">
        <is>
          <t>°C</t>
        </is>
      </c>
      <c r="E3760"/>
      <c r="F3760"/>
      <c r="G3760" t="inlineStr">
        <is>
          <t>melting/drop point range; grade-dependent</t>
        </is>
      </c>
      <c r="H3760" t="inlineStr">
        <is>
          <t>S007_EXCIPIENTS_HANDBOOK</t>
        </is>
      </c>
      <c r="I3760" t="inlineStr">
        <is>
          <t>handbook</t>
        </is>
      </c>
      <c r="J3760">
        <v>0.68</v>
      </c>
      <c r="K3760"/>
    </row>
    <row r="3761">
      <c r="A3761" t="inlineStr">
        <is>
          <t>OIL_ISOPROPYL_MYRISTATE</t>
        </is>
      </c>
      <c r="B3761" t="inlineStr">
        <is>
          <t>lipid_state</t>
        </is>
      </c>
      <c r="C3761" t="inlineStr">
        <is>
          <t>liquid</t>
        </is>
      </c>
      <c r="D3761"/>
      <c r="E3761"/>
      <c r="F3761"/>
      <c r="G3761"/>
      <c r="H3761" t="inlineStr">
        <is>
          <t>S007_EXCIPIENTS_HANDBOOK</t>
        </is>
      </c>
      <c r="I3761" t="inlineStr">
        <is>
          <t>curated</t>
        </is>
      </c>
      <c r="J3761">
        <v>0.75</v>
      </c>
      <c r="K3761"/>
    </row>
    <row r="3762">
      <c r="A3762" t="inlineStr">
        <is>
          <t>OIL_ISOPROPYL_MYRISTATE</t>
        </is>
      </c>
      <c r="B3762" t="inlineStr">
        <is>
          <t>fatty_chain_length</t>
        </is>
      </c>
      <c r="C3762" t="inlineStr">
        <is>
          <t>C14 ester</t>
        </is>
      </c>
      <c r="D3762"/>
      <c r="E3762"/>
      <c r="F3762"/>
      <c r="G3762"/>
      <c r="H3762" t="inlineStr">
        <is>
          <t>S007_EXCIPIENTS_HANDBOOK</t>
        </is>
      </c>
      <c r="I3762" t="inlineStr">
        <is>
          <t>curated</t>
        </is>
      </c>
      <c r="J3762">
        <v>0.7</v>
      </c>
      <c r="K3762"/>
    </row>
    <row r="3763">
      <c r="A3763" t="inlineStr">
        <is>
          <t>OIL_ISOPROPYL_MYRISTATE</t>
        </is>
      </c>
      <c r="B3763" t="inlineStr">
        <is>
          <t>unsaturation</t>
        </is>
      </c>
      <c r="C3763">
        <v>0</v>
      </c>
      <c r="D3763" t="inlineStr">
        <is>
          <t>double_bonds</t>
        </is>
      </c>
      <c r="E3763"/>
      <c r="F3763"/>
      <c r="G3763"/>
      <c r="H3763" t="inlineStr">
        <is>
          <t>S007_EXCIPIENTS_HANDBOOK</t>
        </is>
      </c>
      <c r="I3763" t="inlineStr">
        <is>
          <t>curated</t>
        </is>
      </c>
      <c r="J3763">
        <v>0.7</v>
      </c>
      <c r="K3763"/>
    </row>
    <row r="3764">
      <c r="A3764" t="inlineStr">
        <is>
          <t>OIL_ISOPROPYL_MYRISTATE</t>
        </is>
      </c>
      <c r="B3764" t="inlineStr">
        <is>
          <t>crystallinity_risk</t>
        </is>
      </c>
      <c r="C3764" t="inlineStr">
        <is>
          <t>low</t>
        </is>
      </c>
      <c r="D3764"/>
      <c r="E3764"/>
      <c r="F3764"/>
      <c r="G3764" t="inlineStr">
        <is>
          <t>SLN/NLC crystallization heuristic</t>
        </is>
      </c>
      <c r="H3764" t="inlineStr">
        <is>
          <t>S007_EXCIPIENTS_HANDBOOK</t>
        </is>
      </c>
      <c r="I3764" t="inlineStr">
        <is>
          <t>curated</t>
        </is>
      </c>
      <c r="J3764">
        <v>0.6</v>
      </c>
      <c r="K3764"/>
    </row>
    <row r="3765">
      <c r="A3765" t="inlineStr">
        <is>
          <t>OIL_ISOPROPYL_MYRISTATE</t>
        </is>
      </c>
      <c r="B3765" t="inlineStr">
        <is>
          <t>polymorphism_notes</t>
        </is>
      </c>
      <c r="C3765" t="inlineStr">
        <is>
          <t>polymorphic behavior possible; DSC/XRPD required for final formulation</t>
        </is>
      </c>
      <c r="D3765"/>
      <c r="E3765"/>
      <c r="F3765"/>
      <c r="G3765"/>
      <c r="H3765" t="inlineStr">
        <is>
          <t>S014_AULTON</t>
        </is>
      </c>
      <c r="I3765" t="inlineStr">
        <is>
          <t>curated</t>
        </is>
      </c>
      <c r="J3765">
        <v>0.65</v>
      </c>
      <c r="K3765"/>
    </row>
    <row r="3766">
      <c r="A3766" t="inlineStr">
        <is>
          <t>OIL_ISOPROPYL_MYRISTATE</t>
        </is>
      </c>
      <c r="B3766" t="inlineStr">
        <is>
          <t>drug_solubilization_notes</t>
        </is>
      </c>
      <c r="C3766" t="inlineStr">
        <is>
          <t>lipophilic solvent/penetration enhancer</t>
        </is>
      </c>
      <c r="D3766"/>
      <c r="E3766"/>
      <c r="F3766"/>
      <c r="G3766"/>
      <c r="H3766" t="inlineStr">
        <is>
          <t>S014_AULTON</t>
        </is>
      </c>
      <c r="I3766" t="inlineStr">
        <is>
          <t>curated</t>
        </is>
      </c>
      <c r="J3766">
        <v>0.6</v>
      </c>
      <c r="K3766"/>
    </row>
    <row r="3767">
      <c r="A3767" t="inlineStr">
        <is>
          <t>OIL_ISOPROPYL_MYRISTATE</t>
        </is>
      </c>
      <c r="B3767" t="inlineStr">
        <is>
          <t>route_suitability</t>
        </is>
      </c>
      <c r="C3767" t="inlineStr">
        <is>
          <t>SLN/NLC/nanoemulsion/lipid matrix; route-grade dependent</t>
        </is>
      </c>
      <c r="D3767"/>
      <c r="E3767"/>
      <c r="F3767"/>
      <c r="G3767"/>
      <c r="H3767" t="inlineStr">
        <is>
          <t>S008_FDA_IID</t>
        </is>
      </c>
      <c r="I3767" t="inlineStr">
        <is>
          <t>curated</t>
        </is>
      </c>
      <c r="J3767">
        <v>0.55</v>
      </c>
      <c r="K3767"/>
    </row>
    <row r="3768">
      <c r="A3768" t="inlineStr">
        <is>
          <t>OIL_ISOPROPYL_MYRISTATE</t>
        </is>
      </c>
      <c r="B3768" t="inlineStr">
        <is>
          <t>molar_volume_cm3_mol</t>
        </is>
      </c>
      <c r="C3768">
        <v>318.18</v>
      </c>
      <c r="D3768" t="inlineStr">
        <is>
          <t>cm3/mol</t>
        </is>
      </c>
      <c r="E3768"/>
      <c r="F3768"/>
      <c r="G3768" t="inlineStr">
        <is>
          <t>MW/density estimate</t>
        </is>
      </c>
      <c r="H3768" t="inlineStr">
        <is>
          <t>S012_CALCULATED</t>
        </is>
      </c>
      <c r="I3768" t="inlineStr">
        <is>
          <t>estimated</t>
        </is>
      </c>
      <c r="J3768">
        <v>0.48</v>
      </c>
      <c r="K3768" t="inlineStr">
        <is>
          <t>Estimated from MW/density; replace with measured molar volume or density-specific grade data.</t>
        </is>
      </c>
    </row>
    <row r="3769">
      <c r="A3769" t="inlineStr">
        <is>
          <t>OIL_ISOPROPYL_MYRISTATE</t>
        </is>
      </c>
      <c r="B3769" t="inlineStr">
        <is>
          <t>Hansen_delta_D</t>
        </is>
      </c>
      <c r="C3769">
        <v>17.0</v>
      </c>
      <c r="D3769" t="inlineStr">
        <is>
          <t>MPa^0.5</t>
        </is>
      </c>
      <c r="E3769"/>
      <c r="F3769"/>
      <c r="G3769" t="inlineStr">
        <is>
          <t>heuristic group-contribution/nearest-neighbour</t>
        </is>
      </c>
      <c r="H3769" t="inlineStr">
        <is>
          <t>S013_EST_HSP_HEURISTIC</t>
        </is>
      </c>
      <c r="I3769" t="inlineStr">
        <is>
          <t>estimated</t>
        </is>
      </c>
      <c r="J3769">
        <v>0.37</v>
      </c>
      <c r="K3769" t="inlineStr">
        <is>
          <t>Provisional HSP for screening; replace with experimental/literature value before model lock.</t>
        </is>
      </c>
    </row>
    <row r="3770">
      <c r="A3770" t="inlineStr">
        <is>
          <t>OIL_ISOPROPYL_MYRISTATE</t>
        </is>
      </c>
      <c r="B3770" t="inlineStr">
        <is>
          <t>Hansen_delta_P</t>
        </is>
      </c>
      <c r="C3770">
        <v>2.5</v>
      </c>
      <c r="D3770" t="inlineStr">
        <is>
          <t>MPa^0.5</t>
        </is>
      </c>
      <c r="E3770"/>
      <c r="F3770"/>
      <c r="G3770" t="inlineStr">
        <is>
          <t>heuristic group-contribution/nearest-neighbour</t>
        </is>
      </c>
      <c r="H3770" t="inlineStr">
        <is>
          <t>S013_EST_HSP_HEURISTIC</t>
        </is>
      </c>
      <c r="I3770" t="inlineStr">
        <is>
          <t>estimated</t>
        </is>
      </c>
      <c r="J3770">
        <v>0.37</v>
      </c>
      <c r="K3770" t="inlineStr">
        <is>
          <t>Provisional HSP for screening; replace with experimental/literature value before model lock.</t>
        </is>
      </c>
    </row>
    <row r="3771">
      <c r="A3771" t="inlineStr">
        <is>
          <t>OIL_ISOPROPYL_MYRISTATE</t>
        </is>
      </c>
      <c r="B3771" t="inlineStr">
        <is>
          <t>Hansen_delta_H</t>
        </is>
      </c>
      <c r="C3771">
        <v>5.0</v>
      </c>
      <c r="D3771" t="inlineStr">
        <is>
          <t>MPa^0.5</t>
        </is>
      </c>
      <c r="E3771"/>
      <c r="F3771"/>
      <c r="G3771" t="inlineStr">
        <is>
          <t>heuristic group-contribution/nearest-neighbour</t>
        </is>
      </c>
      <c r="H3771" t="inlineStr">
        <is>
          <t>S013_EST_HSP_HEURISTIC</t>
        </is>
      </c>
      <c r="I3771" t="inlineStr">
        <is>
          <t>estimated</t>
        </is>
      </c>
      <c r="J3771">
        <v>0.37</v>
      </c>
      <c r="K3771" t="inlineStr">
        <is>
          <t>Provisional HSP for screening; replace with experimental/literature value before model lock.</t>
        </is>
      </c>
    </row>
    <row r="3772">
      <c r="A3772" t="inlineStr">
        <is>
          <t>OIL_ISOPROPYL_MYRISTATE</t>
        </is>
      </c>
      <c r="B3772" t="inlineStr">
        <is>
          <t>Hildebrand_delta_T</t>
        </is>
      </c>
      <c r="C3772">
        <v>17.9</v>
      </c>
      <c r="D3772" t="inlineStr">
        <is>
          <t>MPa^0.5</t>
        </is>
      </c>
      <c r="E3772"/>
      <c r="F3772"/>
      <c r="G3772" t="inlineStr">
        <is>
          <t>sqrt(deltaD^2+deltaP^2+deltaH^2)</t>
        </is>
      </c>
      <c r="H3772" t="inlineStr">
        <is>
          <t>S012_CALCULATED</t>
        </is>
      </c>
      <c r="I3772" t="inlineStr">
        <is>
          <t>calculated</t>
        </is>
      </c>
      <c r="J3772">
        <v>0.42</v>
      </c>
      <c r="K3772" t="inlineStr">
        <is>
          <t>Derived from stored Hansen components.</t>
        </is>
      </c>
    </row>
    <row r="3773">
      <c r="A3773" t="inlineStr">
        <is>
          <t>OIL_ISOPROPYL_MYRISTATE</t>
        </is>
      </c>
      <c r="B3773" t="inlineStr">
        <is>
          <t>HSP_radius_R0</t>
        </is>
      </c>
      <c r="C3773">
        <v>7.0</v>
      </c>
      <c r="D3773" t="inlineStr">
        <is>
          <t>MPa^0.5</t>
        </is>
      </c>
      <c r="E3773"/>
      <c r="F3773"/>
      <c r="G3773" t="inlineStr">
        <is>
          <t>literature/heuristic solubility sphere</t>
        </is>
      </c>
      <c r="H3773" t="inlineStr">
        <is>
          <t>S013_EST_HSP_HEURISTIC</t>
        </is>
      </c>
      <c r="I3773" t="inlineStr">
        <is>
          <t>estimated</t>
        </is>
      </c>
      <c r="J3773">
        <v>0.37</v>
      </c>
      <c r="K3773" t="inlineStr">
        <is>
          <t>Screening radius only unless experimentally determined.</t>
        </is>
      </c>
    </row>
    <row r="3774">
      <c r="A3774" t="inlineStr">
        <is>
          <t>OIL_CASTOR_OIL</t>
        </is>
      </c>
      <c r="B3774" t="inlineStr">
        <is>
          <t>average_MW</t>
        </is>
      </c>
      <c r="C3774">
        <v>930</v>
      </c>
      <c r="D3774" t="inlineStr">
        <is>
          <t>g/mol</t>
        </is>
      </c>
      <c r="E3774"/>
      <c r="F3774"/>
      <c r="G3774" t="inlineStr">
        <is>
          <t>mixture average/grade-dependent</t>
        </is>
      </c>
      <c r="H3774" t="inlineStr">
        <is>
          <t>S007_EXCIPIENTS_HANDBOOK</t>
        </is>
      </c>
      <c r="I3774" t="inlineStr">
        <is>
          <t>supplier-reported</t>
        </is>
      </c>
      <c r="J3774">
        <v>0.55</v>
      </c>
      <c r="K3774"/>
    </row>
    <row r="3775">
      <c r="A3775" t="inlineStr">
        <is>
          <t>OIL_CASTOR_OIL</t>
        </is>
      </c>
      <c r="B3775" t="inlineStr">
        <is>
          <t>density_g_ml</t>
        </is>
      </c>
      <c r="C3775">
        <v>0.96</v>
      </c>
      <c r="D3775" t="inlineStr">
        <is>
          <t>g/mL</t>
        </is>
      </c>
      <c r="E3775"/>
      <c r="F3775"/>
      <c r="G3775" t="inlineStr">
        <is>
          <t>20-25 °C unless otherwise specified</t>
        </is>
      </c>
      <c r="H3775" t="inlineStr">
        <is>
          <t>S007_EXCIPIENTS_HANDBOOK</t>
        </is>
      </c>
      <c r="I3775" t="inlineStr">
        <is>
          <t>handbook</t>
        </is>
      </c>
      <c r="J3775">
        <v>0.6</v>
      </c>
      <c r="K3775"/>
    </row>
    <row r="3776">
      <c r="A3776" t="inlineStr">
        <is>
          <t>OIL_CASTOR_OIL</t>
        </is>
      </c>
      <c r="B3776" t="inlineStr">
        <is>
          <t>melting_point_C</t>
        </is>
      </c>
      <c r="C3776">
        <v>-10</v>
      </c>
      <c r="D3776" t="inlineStr">
        <is>
          <t>°C</t>
        </is>
      </c>
      <c r="E3776"/>
      <c r="F3776"/>
      <c r="G3776" t="inlineStr">
        <is>
          <t>melting/drop point range; grade-dependent</t>
        </is>
      </c>
      <c r="H3776" t="inlineStr">
        <is>
          <t>S007_EXCIPIENTS_HANDBOOK</t>
        </is>
      </c>
      <c r="I3776" t="inlineStr">
        <is>
          <t>handbook</t>
        </is>
      </c>
      <c r="J3776">
        <v>0.68</v>
      </c>
      <c r="K3776"/>
    </row>
    <row r="3777">
      <c r="A3777" t="inlineStr">
        <is>
          <t>OIL_CASTOR_OIL</t>
        </is>
      </c>
      <c r="B3777" t="inlineStr">
        <is>
          <t>lipid_state</t>
        </is>
      </c>
      <c r="C3777" t="inlineStr">
        <is>
          <t>liquid</t>
        </is>
      </c>
      <c r="D3777"/>
      <c r="E3777"/>
      <c r="F3777"/>
      <c r="G3777"/>
      <c r="H3777" t="inlineStr">
        <is>
          <t>S007_EXCIPIENTS_HANDBOOK</t>
        </is>
      </c>
      <c r="I3777" t="inlineStr">
        <is>
          <t>curated</t>
        </is>
      </c>
      <c r="J3777">
        <v>0.75</v>
      </c>
      <c r="K3777"/>
    </row>
    <row r="3778">
      <c r="A3778" t="inlineStr">
        <is>
          <t>OIL_CASTOR_OIL</t>
        </is>
      </c>
      <c r="B3778" t="inlineStr">
        <is>
          <t>fatty_chain_length</t>
        </is>
      </c>
      <c r="C3778" t="inlineStr">
        <is>
          <t>ricinoleic triglycerides</t>
        </is>
      </c>
      <c r="D3778"/>
      <c r="E3778"/>
      <c r="F3778"/>
      <c r="G3778"/>
      <c r="H3778" t="inlineStr">
        <is>
          <t>S007_EXCIPIENTS_HANDBOOK</t>
        </is>
      </c>
      <c r="I3778" t="inlineStr">
        <is>
          <t>curated</t>
        </is>
      </c>
      <c r="J3778">
        <v>0.7</v>
      </c>
      <c r="K3778"/>
    </row>
    <row r="3779">
      <c r="A3779" t="inlineStr">
        <is>
          <t>OIL_CASTOR_OIL</t>
        </is>
      </c>
      <c r="B3779" t="inlineStr">
        <is>
          <t>unsaturation</t>
        </is>
      </c>
      <c r="C3779">
        <v>1</v>
      </c>
      <c r="D3779" t="inlineStr">
        <is>
          <t>double_bonds</t>
        </is>
      </c>
      <c r="E3779"/>
      <c r="F3779"/>
      <c r="G3779"/>
      <c r="H3779" t="inlineStr">
        <is>
          <t>S007_EXCIPIENTS_HANDBOOK</t>
        </is>
      </c>
      <c r="I3779" t="inlineStr">
        <is>
          <t>curated</t>
        </is>
      </c>
      <c r="J3779">
        <v>0.7</v>
      </c>
      <c r="K3779"/>
    </row>
    <row r="3780">
      <c r="A3780" t="inlineStr">
        <is>
          <t>OIL_CASTOR_OIL</t>
        </is>
      </c>
      <c r="B3780" t="inlineStr">
        <is>
          <t>crystallinity_risk</t>
        </is>
      </c>
      <c r="C3780" t="inlineStr">
        <is>
          <t>low</t>
        </is>
      </c>
      <c r="D3780"/>
      <c r="E3780"/>
      <c r="F3780"/>
      <c r="G3780" t="inlineStr">
        <is>
          <t>SLN/NLC crystallization heuristic</t>
        </is>
      </c>
      <c r="H3780" t="inlineStr">
        <is>
          <t>S007_EXCIPIENTS_HANDBOOK</t>
        </is>
      </c>
      <c r="I3780" t="inlineStr">
        <is>
          <t>curated</t>
        </is>
      </c>
      <c r="J3780">
        <v>0.6</v>
      </c>
      <c r="K3780"/>
    </row>
    <row r="3781">
      <c r="A3781" t="inlineStr">
        <is>
          <t>OIL_CASTOR_OIL</t>
        </is>
      </c>
      <c r="B3781" t="inlineStr">
        <is>
          <t>polymorphism_notes</t>
        </is>
      </c>
      <c r="C3781" t="inlineStr">
        <is>
          <t>polymorphic behavior possible; DSC/XRPD required for final formulation</t>
        </is>
      </c>
      <c r="D3781"/>
      <c r="E3781"/>
      <c r="F3781"/>
      <c r="G3781"/>
      <c r="H3781" t="inlineStr">
        <is>
          <t>S014_AULTON</t>
        </is>
      </c>
      <c r="I3781" t="inlineStr">
        <is>
          <t>curated</t>
        </is>
      </c>
      <c r="J3781">
        <v>0.65</v>
      </c>
      <c r="K3781"/>
    </row>
    <row r="3782">
      <c r="A3782" t="inlineStr">
        <is>
          <t>OIL_CASTOR_OIL</t>
        </is>
      </c>
      <c r="B3782" t="inlineStr">
        <is>
          <t>drug_solubilization_notes</t>
        </is>
      </c>
      <c r="C3782" t="inlineStr">
        <is>
          <t>viscous hydroxylated oil</t>
        </is>
      </c>
      <c r="D3782"/>
      <c r="E3782"/>
      <c r="F3782"/>
      <c r="G3782"/>
      <c r="H3782" t="inlineStr">
        <is>
          <t>S014_AULTON</t>
        </is>
      </c>
      <c r="I3782" t="inlineStr">
        <is>
          <t>curated</t>
        </is>
      </c>
      <c r="J3782">
        <v>0.6</v>
      </c>
      <c r="K3782"/>
    </row>
    <row r="3783">
      <c r="A3783" t="inlineStr">
        <is>
          <t>OIL_CASTOR_OIL</t>
        </is>
      </c>
      <c r="B3783" t="inlineStr">
        <is>
          <t>route_suitability</t>
        </is>
      </c>
      <c r="C3783" t="inlineStr">
        <is>
          <t>SLN/NLC/nanoemulsion/lipid matrix; route-grade dependent</t>
        </is>
      </c>
      <c r="D3783"/>
      <c r="E3783"/>
      <c r="F3783"/>
      <c r="G3783"/>
      <c r="H3783" t="inlineStr">
        <is>
          <t>S008_FDA_IID</t>
        </is>
      </c>
      <c r="I3783" t="inlineStr">
        <is>
          <t>curated</t>
        </is>
      </c>
      <c r="J3783">
        <v>0.55</v>
      </c>
      <c r="K3783"/>
    </row>
    <row r="3784">
      <c r="A3784" t="inlineStr">
        <is>
          <t>OIL_CASTOR_OIL</t>
        </is>
      </c>
      <c r="B3784" t="inlineStr">
        <is>
          <t>molar_volume_cm3_mol</t>
        </is>
      </c>
      <c r="C3784">
        <v>968.75</v>
      </c>
      <c r="D3784" t="inlineStr">
        <is>
          <t>cm3/mol</t>
        </is>
      </c>
      <c r="E3784"/>
      <c r="F3784"/>
      <c r="G3784" t="inlineStr">
        <is>
          <t>MW/density estimate</t>
        </is>
      </c>
      <c r="H3784" t="inlineStr">
        <is>
          <t>S012_CALCULATED</t>
        </is>
      </c>
      <c r="I3784" t="inlineStr">
        <is>
          <t>estimated</t>
        </is>
      </c>
      <c r="J3784">
        <v>0.35</v>
      </c>
      <c r="K3784" t="inlineStr">
        <is>
          <t>Estimated from MW/density; replace with measured molar volume or density-specific grade data.</t>
        </is>
      </c>
    </row>
    <row r="3785">
      <c r="A3785" t="inlineStr">
        <is>
          <t>OIL_CASTOR_OIL</t>
        </is>
      </c>
      <c r="B3785" t="inlineStr">
        <is>
          <t>Hansen_delta_D</t>
        </is>
      </c>
      <c r="C3785">
        <v>17.0</v>
      </c>
      <c r="D3785" t="inlineStr">
        <is>
          <t>MPa^0.5</t>
        </is>
      </c>
      <c r="E3785"/>
      <c r="F3785"/>
      <c r="G3785" t="inlineStr">
        <is>
          <t>heuristic group-contribution/nearest-neighbour</t>
        </is>
      </c>
      <c r="H3785" t="inlineStr">
        <is>
          <t>S013_EST_HSP_HEURISTIC</t>
        </is>
      </c>
      <c r="I3785" t="inlineStr">
        <is>
          <t>estimated</t>
        </is>
      </c>
      <c r="J3785">
        <v>0.37</v>
      </c>
      <c r="K3785" t="inlineStr">
        <is>
          <t>Provisional HSP for screening; replace with experimental/literature value before model lock.</t>
        </is>
      </c>
    </row>
    <row r="3786">
      <c r="A3786" t="inlineStr">
        <is>
          <t>OIL_CASTOR_OIL</t>
        </is>
      </c>
      <c r="B3786" t="inlineStr">
        <is>
          <t>Hansen_delta_P</t>
        </is>
      </c>
      <c r="C3786">
        <v>2.5</v>
      </c>
      <c r="D3786" t="inlineStr">
        <is>
          <t>MPa^0.5</t>
        </is>
      </c>
      <c r="E3786"/>
      <c r="F3786"/>
      <c r="G3786" t="inlineStr">
        <is>
          <t>heuristic group-contribution/nearest-neighbour</t>
        </is>
      </c>
      <c r="H3786" t="inlineStr">
        <is>
          <t>S013_EST_HSP_HEURISTIC</t>
        </is>
      </c>
      <c r="I3786" t="inlineStr">
        <is>
          <t>estimated</t>
        </is>
      </c>
      <c r="J3786">
        <v>0.37</v>
      </c>
      <c r="K3786" t="inlineStr">
        <is>
          <t>Provisional HSP for screening; replace with experimental/literature value before model lock.</t>
        </is>
      </c>
    </row>
    <row r="3787">
      <c r="A3787" t="inlineStr">
        <is>
          <t>OIL_CASTOR_OIL</t>
        </is>
      </c>
      <c r="B3787" t="inlineStr">
        <is>
          <t>Hansen_delta_H</t>
        </is>
      </c>
      <c r="C3787">
        <v>5.0</v>
      </c>
      <c r="D3787" t="inlineStr">
        <is>
          <t>MPa^0.5</t>
        </is>
      </c>
      <c r="E3787"/>
      <c r="F3787"/>
      <c r="G3787" t="inlineStr">
        <is>
          <t>heuristic group-contribution/nearest-neighbour</t>
        </is>
      </c>
      <c r="H3787" t="inlineStr">
        <is>
          <t>S013_EST_HSP_HEURISTIC</t>
        </is>
      </c>
      <c r="I3787" t="inlineStr">
        <is>
          <t>estimated</t>
        </is>
      </c>
      <c r="J3787">
        <v>0.37</v>
      </c>
      <c r="K3787" t="inlineStr">
        <is>
          <t>Provisional HSP for screening; replace with experimental/literature value before model lock.</t>
        </is>
      </c>
    </row>
    <row r="3788">
      <c r="A3788" t="inlineStr">
        <is>
          <t>OIL_CASTOR_OIL</t>
        </is>
      </c>
      <c r="B3788" t="inlineStr">
        <is>
          <t>Hildebrand_delta_T</t>
        </is>
      </c>
      <c r="C3788">
        <v>17.9</v>
      </c>
      <c r="D3788" t="inlineStr">
        <is>
          <t>MPa^0.5</t>
        </is>
      </c>
      <c r="E3788"/>
      <c r="F3788"/>
      <c r="G3788" t="inlineStr">
        <is>
          <t>sqrt(deltaD^2+deltaP^2+deltaH^2)</t>
        </is>
      </c>
      <c r="H3788" t="inlineStr">
        <is>
          <t>S012_CALCULATED</t>
        </is>
      </c>
      <c r="I3788" t="inlineStr">
        <is>
          <t>calculated</t>
        </is>
      </c>
      <c r="J3788">
        <v>0.42</v>
      </c>
      <c r="K3788" t="inlineStr">
        <is>
          <t>Derived from stored Hansen components.</t>
        </is>
      </c>
    </row>
    <row r="3789">
      <c r="A3789" t="inlineStr">
        <is>
          <t>OIL_CASTOR_OIL</t>
        </is>
      </c>
      <c r="B3789" t="inlineStr">
        <is>
          <t>HSP_radius_R0</t>
        </is>
      </c>
      <c r="C3789">
        <v>7.0</v>
      </c>
      <c r="D3789" t="inlineStr">
        <is>
          <t>MPa^0.5</t>
        </is>
      </c>
      <c r="E3789"/>
      <c r="F3789"/>
      <c r="G3789" t="inlineStr">
        <is>
          <t>literature/heuristic solubility sphere</t>
        </is>
      </c>
      <c r="H3789" t="inlineStr">
        <is>
          <t>S013_EST_HSP_HEURISTIC</t>
        </is>
      </c>
      <c r="I3789" t="inlineStr">
        <is>
          <t>estimated</t>
        </is>
      </c>
      <c r="J3789">
        <v>0.37</v>
      </c>
      <c r="K3789" t="inlineStr">
        <is>
          <t>Screening radius only unless experimentally determined.</t>
        </is>
      </c>
    </row>
    <row r="3790">
      <c r="A3790" t="inlineStr">
        <is>
          <t>OIL_SOYBEAN_OIL</t>
        </is>
      </c>
      <c r="B3790" t="inlineStr">
        <is>
          <t>average_MW</t>
        </is>
      </c>
      <c r="C3790">
        <v>880</v>
      </c>
      <c r="D3790" t="inlineStr">
        <is>
          <t>g/mol</t>
        </is>
      </c>
      <c r="E3790"/>
      <c r="F3790"/>
      <c r="G3790" t="inlineStr">
        <is>
          <t>mixture average/grade-dependent</t>
        </is>
      </c>
      <c r="H3790" t="inlineStr">
        <is>
          <t>S007_EXCIPIENTS_HANDBOOK</t>
        </is>
      </c>
      <c r="I3790" t="inlineStr">
        <is>
          <t>supplier-reported</t>
        </is>
      </c>
      <c r="J3790">
        <v>0.55</v>
      </c>
      <c r="K3790"/>
    </row>
    <row r="3791">
      <c r="A3791" t="inlineStr">
        <is>
          <t>OIL_SOYBEAN_OIL</t>
        </is>
      </c>
      <c r="B3791" t="inlineStr">
        <is>
          <t>density_g_ml</t>
        </is>
      </c>
      <c r="C3791">
        <v>0.92</v>
      </c>
      <c r="D3791" t="inlineStr">
        <is>
          <t>g/mL</t>
        </is>
      </c>
      <c r="E3791"/>
      <c r="F3791"/>
      <c r="G3791" t="inlineStr">
        <is>
          <t>20-25 °C unless otherwise specified</t>
        </is>
      </c>
      <c r="H3791" t="inlineStr">
        <is>
          <t>S007_EXCIPIENTS_HANDBOOK</t>
        </is>
      </c>
      <c r="I3791" t="inlineStr">
        <is>
          <t>handbook</t>
        </is>
      </c>
      <c r="J3791">
        <v>0.6</v>
      </c>
      <c r="K3791"/>
    </row>
    <row r="3792">
      <c r="A3792" t="inlineStr">
        <is>
          <t>OIL_SOYBEAN_OIL</t>
        </is>
      </c>
      <c r="B3792" t="inlineStr">
        <is>
          <t>melting_point_C</t>
        </is>
      </c>
      <c r="C3792">
        <v>-15</v>
      </c>
      <c r="D3792" t="inlineStr">
        <is>
          <t>°C</t>
        </is>
      </c>
      <c r="E3792"/>
      <c r="F3792"/>
      <c r="G3792" t="inlineStr">
        <is>
          <t>melting/drop point range; grade-dependent</t>
        </is>
      </c>
      <c r="H3792" t="inlineStr">
        <is>
          <t>S007_EXCIPIENTS_HANDBOOK</t>
        </is>
      </c>
      <c r="I3792" t="inlineStr">
        <is>
          <t>handbook</t>
        </is>
      </c>
      <c r="J3792">
        <v>0.68</v>
      </c>
      <c r="K3792"/>
    </row>
    <row r="3793">
      <c r="A3793" t="inlineStr">
        <is>
          <t>OIL_SOYBEAN_OIL</t>
        </is>
      </c>
      <c r="B3793" t="inlineStr">
        <is>
          <t>lipid_state</t>
        </is>
      </c>
      <c r="C3793" t="inlineStr">
        <is>
          <t>liquid</t>
        </is>
      </c>
      <c r="D3793"/>
      <c r="E3793"/>
      <c r="F3793"/>
      <c r="G3793"/>
      <c r="H3793" t="inlineStr">
        <is>
          <t>S007_EXCIPIENTS_HANDBOOK</t>
        </is>
      </c>
      <c r="I3793" t="inlineStr">
        <is>
          <t>curated</t>
        </is>
      </c>
      <c r="J3793">
        <v>0.75</v>
      </c>
      <c r="K3793"/>
    </row>
    <row r="3794">
      <c r="A3794" t="inlineStr">
        <is>
          <t>OIL_SOYBEAN_OIL</t>
        </is>
      </c>
      <c r="B3794" t="inlineStr">
        <is>
          <t>fatty_chain_length</t>
        </is>
      </c>
      <c r="C3794" t="inlineStr">
        <is>
          <t>mixed unsaturated triglycerides</t>
        </is>
      </c>
      <c r="D3794"/>
      <c r="E3794"/>
      <c r="F3794"/>
      <c r="G3794"/>
      <c r="H3794" t="inlineStr">
        <is>
          <t>S007_EXCIPIENTS_HANDBOOK</t>
        </is>
      </c>
      <c r="I3794" t="inlineStr">
        <is>
          <t>curated</t>
        </is>
      </c>
      <c r="J3794">
        <v>0.7</v>
      </c>
      <c r="K3794"/>
    </row>
    <row r="3795">
      <c r="A3795" t="inlineStr">
        <is>
          <t>OIL_SOYBEAN_OIL</t>
        </is>
      </c>
      <c r="B3795" t="inlineStr">
        <is>
          <t>unsaturation</t>
        </is>
      </c>
      <c r="C3795">
        <v>2</v>
      </c>
      <c r="D3795" t="inlineStr">
        <is>
          <t>double_bonds</t>
        </is>
      </c>
      <c r="E3795"/>
      <c r="F3795"/>
      <c r="G3795"/>
      <c r="H3795" t="inlineStr">
        <is>
          <t>S007_EXCIPIENTS_HANDBOOK</t>
        </is>
      </c>
      <c r="I3795" t="inlineStr">
        <is>
          <t>curated</t>
        </is>
      </c>
      <c r="J3795">
        <v>0.7</v>
      </c>
      <c r="K3795"/>
    </row>
    <row r="3796">
      <c r="A3796" t="inlineStr">
        <is>
          <t>OIL_SOYBEAN_OIL</t>
        </is>
      </c>
      <c r="B3796" t="inlineStr">
        <is>
          <t>crystallinity_risk</t>
        </is>
      </c>
      <c r="C3796" t="inlineStr">
        <is>
          <t>low</t>
        </is>
      </c>
      <c r="D3796"/>
      <c r="E3796"/>
      <c r="F3796"/>
      <c r="G3796" t="inlineStr">
        <is>
          <t>SLN/NLC crystallization heuristic</t>
        </is>
      </c>
      <c r="H3796" t="inlineStr">
        <is>
          <t>S007_EXCIPIENTS_HANDBOOK</t>
        </is>
      </c>
      <c r="I3796" t="inlineStr">
        <is>
          <t>curated</t>
        </is>
      </c>
      <c r="J3796">
        <v>0.6</v>
      </c>
      <c r="K3796"/>
    </row>
    <row r="3797">
      <c r="A3797" t="inlineStr">
        <is>
          <t>OIL_SOYBEAN_OIL</t>
        </is>
      </c>
      <c r="B3797" t="inlineStr">
        <is>
          <t>polymorphism_notes</t>
        </is>
      </c>
      <c r="C3797" t="inlineStr">
        <is>
          <t>polymorphic behavior possible; DSC/XRPD required for final formulation</t>
        </is>
      </c>
      <c r="D3797"/>
      <c r="E3797"/>
      <c r="F3797"/>
      <c r="G3797"/>
      <c r="H3797" t="inlineStr">
        <is>
          <t>S014_AULTON</t>
        </is>
      </c>
      <c r="I3797" t="inlineStr">
        <is>
          <t>curated</t>
        </is>
      </c>
      <c r="J3797">
        <v>0.65</v>
      </c>
      <c r="K3797"/>
    </row>
    <row r="3798">
      <c r="A3798" t="inlineStr">
        <is>
          <t>OIL_SOYBEAN_OIL</t>
        </is>
      </c>
      <c r="B3798" t="inlineStr">
        <is>
          <t>drug_solubilization_notes</t>
        </is>
      </c>
      <c r="C3798" t="inlineStr">
        <is>
          <t>parenteral lipid emulsion precedent</t>
        </is>
      </c>
      <c r="D3798"/>
      <c r="E3798"/>
      <c r="F3798"/>
      <c r="G3798"/>
      <c r="H3798" t="inlineStr">
        <is>
          <t>S014_AULTON</t>
        </is>
      </c>
      <c r="I3798" t="inlineStr">
        <is>
          <t>curated</t>
        </is>
      </c>
      <c r="J3798">
        <v>0.6</v>
      </c>
      <c r="K3798"/>
    </row>
    <row r="3799">
      <c r="A3799" t="inlineStr">
        <is>
          <t>OIL_SOYBEAN_OIL</t>
        </is>
      </c>
      <c r="B3799" t="inlineStr">
        <is>
          <t>route_suitability</t>
        </is>
      </c>
      <c r="C3799" t="inlineStr">
        <is>
          <t>SLN/NLC/nanoemulsion/lipid matrix; route-grade dependent</t>
        </is>
      </c>
      <c r="D3799"/>
      <c r="E3799"/>
      <c r="F3799"/>
      <c r="G3799"/>
      <c r="H3799" t="inlineStr">
        <is>
          <t>S008_FDA_IID</t>
        </is>
      </c>
      <c r="I3799" t="inlineStr">
        <is>
          <t>curated</t>
        </is>
      </c>
      <c r="J3799">
        <v>0.55</v>
      </c>
      <c r="K3799"/>
    </row>
    <row r="3800">
      <c r="A3800" t="inlineStr">
        <is>
          <t>OIL_SOYBEAN_OIL</t>
        </is>
      </c>
      <c r="B3800" t="inlineStr">
        <is>
          <t>molar_volume_cm3_mol</t>
        </is>
      </c>
      <c r="C3800">
        <v>956.52</v>
      </c>
      <c r="D3800" t="inlineStr">
        <is>
          <t>cm3/mol</t>
        </is>
      </c>
      <c r="E3800"/>
      <c r="F3800"/>
      <c r="G3800" t="inlineStr">
        <is>
          <t>MW/density estimate</t>
        </is>
      </c>
      <c r="H3800" t="inlineStr">
        <is>
          <t>S012_CALCULATED</t>
        </is>
      </c>
      <c r="I3800" t="inlineStr">
        <is>
          <t>estimated</t>
        </is>
      </c>
      <c r="J3800">
        <v>0.35</v>
      </c>
      <c r="K3800" t="inlineStr">
        <is>
          <t>Estimated from MW/density; replace with measured molar volume or density-specific grade data.</t>
        </is>
      </c>
    </row>
    <row r="3801">
      <c r="A3801" t="inlineStr">
        <is>
          <t>OIL_SOYBEAN_OIL</t>
        </is>
      </c>
      <c r="B3801" t="inlineStr">
        <is>
          <t>Hansen_delta_D</t>
        </is>
      </c>
      <c r="C3801">
        <v>17.0</v>
      </c>
      <c r="D3801" t="inlineStr">
        <is>
          <t>MPa^0.5</t>
        </is>
      </c>
      <c r="E3801"/>
      <c r="F3801"/>
      <c r="G3801" t="inlineStr">
        <is>
          <t>heuristic group-contribution/nearest-neighbour</t>
        </is>
      </c>
      <c r="H3801" t="inlineStr">
        <is>
          <t>S013_EST_HSP_HEURISTIC</t>
        </is>
      </c>
      <c r="I3801" t="inlineStr">
        <is>
          <t>estimated</t>
        </is>
      </c>
      <c r="J3801">
        <v>0.37</v>
      </c>
      <c r="K3801" t="inlineStr">
        <is>
          <t>Provisional HSP for screening; replace with experimental/literature value before model lock.</t>
        </is>
      </c>
    </row>
    <row r="3802">
      <c r="A3802" t="inlineStr">
        <is>
          <t>OIL_SOYBEAN_OIL</t>
        </is>
      </c>
      <c r="B3802" t="inlineStr">
        <is>
          <t>Hansen_delta_P</t>
        </is>
      </c>
      <c r="C3802">
        <v>2.5</v>
      </c>
      <c r="D3802" t="inlineStr">
        <is>
          <t>MPa^0.5</t>
        </is>
      </c>
      <c r="E3802"/>
      <c r="F3802"/>
      <c r="G3802" t="inlineStr">
        <is>
          <t>heuristic group-contribution/nearest-neighbour</t>
        </is>
      </c>
      <c r="H3802" t="inlineStr">
        <is>
          <t>S013_EST_HSP_HEURISTIC</t>
        </is>
      </c>
      <c r="I3802" t="inlineStr">
        <is>
          <t>estimated</t>
        </is>
      </c>
      <c r="J3802">
        <v>0.37</v>
      </c>
      <c r="K3802" t="inlineStr">
        <is>
          <t>Provisional HSP for screening; replace with experimental/literature value before model lock.</t>
        </is>
      </c>
    </row>
    <row r="3803">
      <c r="A3803" t="inlineStr">
        <is>
          <t>OIL_SOYBEAN_OIL</t>
        </is>
      </c>
      <c r="B3803" t="inlineStr">
        <is>
          <t>Hansen_delta_H</t>
        </is>
      </c>
      <c r="C3803">
        <v>5.0</v>
      </c>
      <c r="D3803" t="inlineStr">
        <is>
          <t>MPa^0.5</t>
        </is>
      </c>
      <c r="E3803"/>
      <c r="F3803"/>
      <c r="G3803" t="inlineStr">
        <is>
          <t>heuristic group-contribution/nearest-neighbour</t>
        </is>
      </c>
      <c r="H3803" t="inlineStr">
        <is>
          <t>S013_EST_HSP_HEURISTIC</t>
        </is>
      </c>
      <c r="I3803" t="inlineStr">
        <is>
          <t>estimated</t>
        </is>
      </c>
      <c r="J3803">
        <v>0.37</v>
      </c>
      <c r="K3803" t="inlineStr">
        <is>
          <t>Provisional HSP for screening; replace with experimental/literature value before model lock.</t>
        </is>
      </c>
    </row>
    <row r="3804">
      <c r="A3804" t="inlineStr">
        <is>
          <t>OIL_SOYBEAN_OIL</t>
        </is>
      </c>
      <c r="B3804" t="inlineStr">
        <is>
          <t>Hildebrand_delta_T</t>
        </is>
      </c>
      <c r="C3804">
        <v>17.9</v>
      </c>
      <c r="D3804" t="inlineStr">
        <is>
          <t>MPa^0.5</t>
        </is>
      </c>
      <c r="E3804"/>
      <c r="F3804"/>
      <c r="G3804" t="inlineStr">
        <is>
          <t>sqrt(deltaD^2+deltaP^2+deltaH^2)</t>
        </is>
      </c>
      <c r="H3804" t="inlineStr">
        <is>
          <t>S012_CALCULATED</t>
        </is>
      </c>
      <c r="I3804" t="inlineStr">
        <is>
          <t>calculated</t>
        </is>
      </c>
      <c r="J3804">
        <v>0.42</v>
      </c>
      <c r="K3804" t="inlineStr">
        <is>
          <t>Derived from stored Hansen components.</t>
        </is>
      </c>
    </row>
    <row r="3805">
      <c r="A3805" t="inlineStr">
        <is>
          <t>OIL_SOYBEAN_OIL</t>
        </is>
      </c>
      <c r="B3805" t="inlineStr">
        <is>
          <t>HSP_radius_R0</t>
        </is>
      </c>
      <c r="C3805">
        <v>7.0</v>
      </c>
      <c r="D3805" t="inlineStr">
        <is>
          <t>MPa^0.5</t>
        </is>
      </c>
      <c r="E3805"/>
      <c r="F3805"/>
      <c r="G3805" t="inlineStr">
        <is>
          <t>literature/heuristic solubility sphere</t>
        </is>
      </c>
      <c r="H3805" t="inlineStr">
        <is>
          <t>S013_EST_HSP_HEURISTIC</t>
        </is>
      </c>
      <c r="I3805" t="inlineStr">
        <is>
          <t>estimated</t>
        </is>
      </c>
      <c r="J3805">
        <v>0.37</v>
      </c>
      <c r="K3805" t="inlineStr">
        <is>
          <t>Screening radius only unless experimentally determined.</t>
        </is>
      </c>
    </row>
    <row r="3806">
      <c r="A3806" t="inlineStr">
        <is>
          <t>OIL_SESAME_OIL</t>
        </is>
      </c>
      <c r="B3806" t="inlineStr">
        <is>
          <t>average_MW</t>
        </is>
      </c>
      <c r="C3806">
        <v>880</v>
      </c>
      <c r="D3806" t="inlineStr">
        <is>
          <t>g/mol</t>
        </is>
      </c>
      <c r="E3806"/>
      <c r="F3806"/>
      <c r="G3806" t="inlineStr">
        <is>
          <t>mixture average/grade-dependent</t>
        </is>
      </c>
      <c r="H3806" t="inlineStr">
        <is>
          <t>S007_EXCIPIENTS_HANDBOOK</t>
        </is>
      </c>
      <c r="I3806" t="inlineStr">
        <is>
          <t>supplier-reported</t>
        </is>
      </c>
      <c r="J3806">
        <v>0.55</v>
      </c>
      <c r="K3806"/>
    </row>
    <row r="3807">
      <c r="A3807" t="inlineStr">
        <is>
          <t>OIL_SESAME_OIL</t>
        </is>
      </c>
      <c r="B3807" t="inlineStr">
        <is>
          <t>density_g_ml</t>
        </is>
      </c>
      <c r="C3807">
        <v>0.92</v>
      </c>
      <c r="D3807" t="inlineStr">
        <is>
          <t>g/mL</t>
        </is>
      </c>
      <c r="E3807"/>
      <c r="F3807"/>
      <c r="G3807" t="inlineStr">
        <is>
          <t>20-25 °C unless otherwise specified</t>
        </is>
      </c>
      <c r="H3807" t="inlineStr">
        <is>
          <t>S007_EXCIPIENTS_HANDBOOK</t>
        </is>
      </c>
      <c r="I3807" t="inlineStr">
        <is>
          <t>handbook</t>
        </is>
      </c>
      <c r="J3807">
        <v>0.6</v>
      </c>
      <c r="K3807"/>
    </row>
    <row r="3808">
      <c r="A3808" t="inlineStr">
        <is>
          <t>OIL_SESAME_OIL</t>
        </is>
      </c>
      <c r="B3808" t="inlineStr">
        <is>
          <t>melting_point_C</t>
        </is>
      </c>
      <c r="C3808">
        <v>-5</v>
      </c>
      <c r="D3808" t="inlineStr">
        <is>
          <t>°C</t>
        </is>
      </c>
      <c r="E3808"/>
      <c r="F3808"/>
      <c r="G3808" t="inlineStr">
        <is>
          <t>melting/drop point range; grade-dependent</t>
        </is>
      </c>
      <c r="H3808" t="inlineStr">
        <is>
          <t>S007_EXCIPIENTS_HANDBOOK</t>
        </is>
      </c>
      <c r="I3808" t="inlineStr">
        <is>
          <t>handbook</t>
        </is>
      </c>
      <c r="J3808">
        <v>0.68</v>
      </c>
      <c r="K3808"/>
    </row>
    <row r="3809">
      <c r="A3809" t="inlineStr">
        <is>
          <t>OIL_SESAME_OIL</t>
        </is>
      </c>
      <c r="B3809" t="inlineStr">
        <is>
          <t>lipid_state</t>
        </is>
      </c>
      <c r="C3809" t="inlineStr">
        <is>
          <t>liquid</t>
        </is>
      </c>
      <c r="D3809"/>
      <c r="E3809"/>
      <c r="F3809"/>
      <c r="G3809"/>
      <c r="H3809" t="inlineStr">
        <is>
          <t>S007_EXCIPIENTS_HANDBOOK</t>
        </is>
      </c>
      <c r="I3809" t="inlineStr">
        <is>
          <t>curated</t>
        </is>
      </c>
      <c r="J3809">
        <v>0.75</v>
      </c>
      <c r="K3809"/>
    </row>
    <row r="3810">
      <c r="A3810" t="inlineStr">
        <is>
          <t>OIL_SESAME_OIL</t>
        </is>
      </c>
      <c r="B3810" t="inlineStr">
        <is>
          <t>fatty_chain_length</t>
        </is>
      </c>
      <c r="C3810" t="inlineStr">
        <is>
          <t>mixed unsaturated triglycerides</t>
        </is>
      </c>
      <c r="D3810"/>
      <c r="E3810"/>
      <c r="F3810"/>
      <c r="G3810"/>
      <c r="H3810" t="inlineStr">
        <is>
          <t>S007_EXCIPIENTS_HANDBOOK</t>
        </is>
      </c>
      <c r="I3810" t="inlineStr">
        <is>
          <t>curated</t>
        </is>
      </c>
      <c r="J3810">
        <v>0.7</v>
      </c>
      <c r="K3810"/>
    </row>
    <row r="3811">
      <c r="A3811" t="inlineStr">
        <is>
          <t>OIL_SESAME_OIL</t>
        </is>
      </c>
      <c r="B3811" t="inlineStr">
        <is>
          <t>unsaturation</t>
        </is>
      </c>
      <c r="C3811">
        <v>2</v>
      </c>
      <c r="D3811" t="inlineStr">
        <is>
          <t>double_bonds</t>
        </is>
      </c>
      <c r="E3811"/>
      <c r="F3811"/>
      <c r="G3811"/>
      <c r="H3811" t="inlineStr">
        <is>
          <t>S007_EXCIPIENTS_HANDBOOK</t>
        </is>
      </c>
      <c r="I3811" t="inlineStr">
        <is>
          <t>curated</t>
        </is>
      </c>
      <c r="J3811">
        <v>0.7</v>
      </c>
      <c r="K3811"/>
    </row>
    <row r="3812">
      <c r="A3812" t="inlineStr">
        <is>
          <t>OIL_SESAME_OIL</t>
        </is>
      </c>
      <c r="B3812" t="inlineStr">
        <is>
          <t>crystallinity_risk</t>
        </is>
      </c>
      <c r="C3812" t="inlineStr">
        <is>
          <t>low</t>
        </is>
      </c>
      <c r="D3812"/>
      <c r="E3812"/>
      <c r="F3812"/>
      <c r="G3812" t="inlineStr">
        <is>
          <t>SLN/NLC crystallization heuristic</t>
        </is>
      </c>
      <c r="H3812" t="inlineStr">
        <is>
          <t>S007_EXCIPIENTS_HANDBOOK</t>
        </is>
      </c>
      <c r="I3812" t="inlineStr">
        <is>
          <t>curated</t>
        </is>
      </c>
      <c r="J3812">
        <v>0.6</v>
      </c>
      <c r="K3812"/>
    </row>
    <row r="3813">
      <c r="A3813" t="inlineStr">
        <is>
          <t>OIL_SESAME_OIL</t>
        </is>
      </c>
      <c r="B3813" t="inlineStr">
        <is>
          <t>polymorphism_notes</t>
        </is>
      </c>
      <c r="C3813" t="inlineStr">
        <is>
          <t>polymorphic behavior possible; DSC/XRPD required for final formulation</t>
        </is>
      </c>
      <c r="D3813"/>
      <c r="E3813"/>
      <c r="F3813"/>
      <c r="G3813"/>
      <c r="H3813" t="inlineStr">
        <is>
          <t>S014_AULTON</t>
        </is>
      </c>
      <c r="I3813" t="inlineStr">
        <is>
          <t>curated</t>
        </is>
      </c>
      <c r="J3813">
        <v>0.65</v>
      </c>
      <c r="K3813"/>
    </row>
    <row r="3814">
      <c r="A3814" t="inlineStr">
        <is>
          <t>OIL_SESAME_OIL</t>
        </is>
      </c>
      <c r="B3814" t="inlineStr">
        <is>
          <t>drug_solubilization_notes</t>
        </is>
      </c>
      <c r="C3814" t="inlineStr">
        <is>
          <t>fixed oil</t>
        </is>
      </c>
      <c r="D3814"/>
      <c r="E3814"/>
      <c r="F3814"/>
      <c r="G3814"/>
      <c r="H3814" t="inlineStr">
        <is>
          <t>S014_AULTON</t>
        </is>
      </c>
      <c r="I3814" t="inlineStr">
        <is>
          <t>curated</t>
        </is>
      </c>
      <c r="J3814">
        <v>0.6</v>
      </c>
      <c r="K3814"/>
    </row>
    <row r="3815">
      <c r="A3815" t="inlineStr">
        <is>
          <t>OIL_SESAME_OIL</t>
        </is>
      </c>
      <c r="B3815" t="inlineStr">
        <is>
          <t>route_suitability</t>
        </is>
      </c>
      <c r="C3815" t="inlineStr">
        <is>
          <t>SLN/NLC/nanoemulsion/lipid matrix; route-grade dependent</t>
        </is>
      </c>
      <c r="D3815"/>
      <c r="E3815"/>
      <c r="F3815"/>
      <c r="G3815"/>
      <c r="H3815" t="inlineStr">
        <is>
          <t>S008_FDA_IID</t>
        </is>
      </c>
      <c r="I3815" t="inlineStr">
        <is>
          <t>curated</t>
        </is>
      </c>
      <c r="J3815">
        <v>0.55</v>
      </c>
      <c r="K3815"/>
    </row>
    <row r="3816">
      <c r="A3816" t="inlineStr">
        <is>
          <t>OIL_SESAME_OIL</t>
        </is>
      </c>
      <c r="B3816" t="inlineStr">
        <is>
          <t>molar_volume_cm3_mol</t>
        </is>
      </c>
      <c r="C3816">
        <v>956.52</v>
      </c>
      <c r="D3816" t="inlineStr">
        <is>
          <t>cm3/mol</t>
        </is>
      </c>
      <c r="E3816"/>
      <c r="F3816"/>
      <c r="G3816" t="inlineStr">
        <is>
          <t>MW/density estimate</t>
        </is>
      </c>
      <c r="H3816" t="inlineStr">
        <is>
          <t>S012_CALCULATED</t>
        </is>
      </c>
      <c r="I3816" t="inlineStr">
        <is>
          <t>estimated</t>
        </is>
      </c>
      <c r="J3816">
        <v>0.35</v>
      </c>
      <c r="K3816" t="inlineStr">
        <is>
          <t>Estimated from MW/density; replace with measured molar volume or density-specific grade data.</t>
        </is>
      </c>
    </row>
    <row r="3817">
      <c r="A3817" t="inlineStr">
        <is>
          <t>OIL_SESAME_OIL</t>
        </is>
      </c>
      <c r="B3817" t="inlineStr">
        <is>
          <t>Hansen_delta_D</t>
        </is>
      </c>
      <c r="C3817">
        <v>17.0</v>
      </c>
      <c r="D3817" t="inlineStr">
        <is>
          <t>MPa^0.5</t>
        </is>
      </c>
      <c r="E3817"/>
      <c r="F3817"/>
      <c r="G3817" t="inlineStr">
        <is>
          <t>heuristic group-contribution/nearest-neighbour</t>
        </is>
      </c>
      <c r="H3817" t="inlineStr">
        <is>
          <t>S013_EST_HSP_HEURISTIC</t>
        </is>
      </c>
      <c r="I3817" t="inlineStr">
        <is>
          <t>estimated</t>
        </is>
      </c>
      <c r="J3817">
        <v>0.37</v>
      </c>
      <c r="K3817" t="inlineStr">
        <is>
          <t>Provisional HSP for screening; replace with experimental/literature value before model lock.</t>
        </is>
      </c>
    </row>
    <row r="3818">
      <c r="A3818" t="inlineStr">
        <is>
          <t>OIL_SESAME_OIL</t>
        </is>
      </c>
      <c r="B3818" t="inlineStr">
        <is>
          <t>Hansen_delta_P</t>
        </is>
      </c>
      <c r="C3818">
        <v>2.5</v>
      </c>
      <c r="D3818" t="inlineStr">
        <is>
          <t>MPa^0.5</t>
        </is>
      </c>
      <c r="E3818"/>
      <c r="F3818"/>
      <c r="G3818" t="inlineStr">
        <is>
          <t>heuristic group-contribution/nearest-neighbour</t>
        </is>
      </c>
      <c r="H3818" t="inlineStr">
        <is>
          <t>S013_EST_HSP_HEURISTIC</t>
        </is>
      </c>
      <c r="I3818" t="inlineStr">
        <is>
          <t>estimated</t>
        </is>
      </c>
      <c r="J3818">
        <v>0.37</v>
      </c>
      <c r="K3818" t="inlineStr">
        <is>
          <t>Provisional HSP for screening; replace with experimental/literature value before model lock.</t>
        </is>
      </c>
    </row>
    <row r="3819">
      <c r="A3819" t="inlineStr">
        <is>
          <t>OIL_SESAME_OIL</t>
        </is>
      </c>
      <c r="B3819" t="inlineStr">
        <is>
          <t>Hansen_delta_H</t>
        </is>
      </c>
      <c r="C3819">
        <v>5.0</v>
      </c>
      <c r="D3819" t="inlineStr">
        <is>
          <t>MPa^0.5</t>
        </is>
      </c>
      <c r="E3819"/>
      <c r="F3819"/>
      <c r="G3819" t="inlineStr">
        <is>
          <t>heuristic group-contribution/nearest-neighbour</t>
        </is>
      </c>
      <c r="H3819" t="inlineStr">
        <is>
          <t>S013_EST_HSP_HEURISTIC</t>
        </is>
      </c>
      <c r="I3819" t="inlineStr">
        <is>
          <t>estimated</t>
        </is>
      </c>
      <c r="J3819">
        <v>0.37</v>
      </c>
      <c r="K3819" t="inlineStr">
        <is>
          <t>Provisional HSP for screening; replace with experimental/literature value before model lock.</t>
        </is>
      </c>
    </row>
    <row r="3820">
      <c r="A3820" t="inlineStr">
        <is>
          <t>OIL_SESAME_OIL</t>
        </is>
      </c>
      <c r="B3820" t="inlineStr">
        <is>
          <t>Hildebrand_delta_T</t>
        </is>
      </c>
      <c r="C3820">
        <v>17.9</v>
      </c>
      <c r="D3820" t="inlineStr">
        <is>
          <t>MPa^0.5</t>
        </is>
      </c>
      <c r="E3820"/>
      <c r="F3820"/>
      <c r="G3820" t="inlineStr">
        <is>
          <t>sqrt(deltaD^2+deltaP^2+deltaH^2)</t>
        </is>
      </c>
      <c r="H3820" t="inlineStr">
        <is>
          <t>S012_CALCULATED</t>
        </is>
      </c>
      <c r="I3820" t="inlineStr">
        <is>
          <t>calculated</t>
        </is>
      </c>
      <c r="J3820">
        <v>0.42</v>
      </c>
      <c r="K3820" t="inlineStr">
        <is>
          <t>Derived from stored Hansen components.</t>
        </is>
      </c>
    </row>
    <row r="3821">
      <c r="A3821" t="inlineStr">
        <is>
          <t>OIL_SESAME_OIL</t>
        </is>
      </c>
      <c r="B3821" t="inlineStr">
        <is>
          <t>HSP_radius_R0</t>
        </is>
      </c>
      <c r="C3821">
        <v>7.0</v>
      </c>
      <c r="D3821" t="inlineStr">
        <is>
          <t>MPa^0.5</t>
        </is>
      </c>
      <c r="E3821"/>
      <c r="F3821"/>
      <c r="G3821" t="inlineStr">
        <is>
          <t>literature/heuristic solubility sphere</t>
        </is>
      </c>
      <c r="H3821" t="inlineStr">
        <is>
          <t>S013_EST_HSP_HEURISTIC</t>
        </is>
      </c>
      <c r="I3821" t="inlineStr">
        <is>
          <t>estimated</t>
        </is>
      </c>
      <c r="J3821">
        <v>0.37</v>
      </c>
      <c r="K3821" t="inlineStr">
        <is>
          <t>Screening radius only unless experimentally determined.</t>
        </is>
      </c>
    </row>
    <row r="3822">
      <c r="A3822" t="inlineStr">
        <is>
          <t>OIL_CORN_OIL</t>
        </is>
      </c>
      <c r="B3822" t="inlineStr">
        <is>
          <t>average_MW</t>
        </is>
      </c>
      <c r="C3822">
        <v>880</v>
      </c>
      <c r="D3822" t="inlineStr">
        <is>
          <t>g/mol</t>
        </is>
      </c>
      <c r="E3822"/>
      <c r="F3822"/>
      <c r="G3822" t="inlineStr">
        <is>
          <t>mixture average/grade-dependent</t>
        </is>
      </c>
      <c r="H3822" t="inlineStr">
        <is>
          <t>S007_EXCIPIENTS_HANDBOOK</t>
        </is>
      </c>
      <c r="I3822" t="inlineStr">
        <is>
          <t>supplier-reported</t>
        </is>
      </c>
      <c r="J3822">
        <v>0.55</v>
      </c>
      <c r="K3822"/>
    </row>
    <row r="3823">
      <c r="A3823" t="inlineStr">
        <is>
          <t>OIL_CORN_OIL</t>
        </is>
      </c>
      <c r="B3823" t="inlineStr">
        <is>
          <t>density_g_ml</t>
        </is>
      </c>
      <c r="C3823">
        <v>0.92</v>
      </c>
      <c r="D3823" t="inlineStr">
        <is>
          <t>g/mL</t>
        </is>
      </c>
      <c r="E3823"/>
      <c r="F3823"/>
      <c r="G3823" t="inlineStr">
        <is>
          <t>20-25 °C unless otherwise specified</t>
        </is>
      </c>
      <c r="H3823" t="inlineStr">
        <is>
          <t>S007_EXCIPIENTS_HANDBOOK</t>
        </is>
      </c>
      <c r="I3823" t="inlineStr">
        <is>
          <t>handbook</t>
        </is>
      </c>
      <c r="J3823">
        <v>0.6</v>
      </c>
      <c r="K3823"/>
    </row>
    <row r="3824">
      <c r="A3824" t="inlineStr">
        <is>
          <t>OIL_CORN_OIL</t>
        </is>
      </c>
      <c r="B3824" t="inlineStr">
        <is>
          <t>melting_point_C</t>
        </is>
      </c>
      <c r="C3824">
        <v>-15</v>
      </c>
      <c r="D3824" t="inlineStr">
        <is>
          <t>°C</t>
        </is>
      </c>
      <c r="E3824"/>
      <c r="F3824"/>
      <c r="G3824" t="inlineStr">
        <is>
          <t>melting/drop point range; grade-dependent</t>
        </is>
      </c>
      <c r="H3824" t="inlineStr">
        <is>
          <t>S007_EXCIPIENTS_HANDBOOK</t>
        </is>
      </c>
      <c r="I3824" t="inlineStr">
        <is>
          <t>handbook</t>
        </is>
      </c>
      <c r="J3824">
        <v>0.68</v>
      </c>
      <c r="K3824"/>
    </row>
    <row r="3825">
      <c r="A3825" t="inlineStr">
        <is>
          <t>OIL_CORN_OIL</t>
        </is>
      </c>
      <c r="B3825" t="inlineStr">
        <is>
          <t>lipid_state</t>
        </is>
      </c>
      <c r="C3825" t="inlineStr">
        <is>
          <t>liquid</t>
        </is>
      </c>
      <c r="D3825"/>
      <c r="E3825"/>
      <c r="F3825"/>
      <c r="G3825"/>
      <c r="H3825" t="inlineStr">
        <is>
          <t>S007_EXCIPIENTS_HANDBOOK</t>
        </is>
      </c>
      <c r="I3825" t="inlineStr">
        <is>
          <t>curated</t>
        </is>
      </c>
      <c r="J3825">
        <v>0.75</v>
      </c>
      <c r="K3825"/>
    </row>
    <row r="3826">
      <c r="A3826" t="inlineStr">
        <is>
          <t>OIL_CORN_OIL</t>
        </is>
      </c>
      <c r="B3826" t="inlineStr">
        <is>
          <t>fatty_chain_length</t>
        </is>
      </c>
      <c r="C3826" t="inlineStr">
        <is>
          <t>mixed unsaturated triglycerides</t>
        </is>
      </c>
      <c r="D3826"/>
      <c r="E3826"/>
      <c r="F3826"/>
      <c r="G3826"/>
      <c r="H3826" t="inlineStr">
        <is>
          <t>S007_EXCIPIENTS_HANDBOOK</t>
        </is>
      </c>
      <c r="I3826" t="inlineStr">
        <is>
          <t>curated</t>
        </is>
      </c>
      <c r="J3826">
        <v>0.7</v>
      </c>
      <c r="K3826"/>
    </row>
    <row r="3827">
      <c r="A3827" t="inlineStr">
        <is>
          <t>OIL_CORN_OIL</t>
        </is>
      </c>
      <c r="B3827" t="inlineStr">
        <is>
          <t>unsaturation</t>
        </is>
      </c>
      <c r="C3827">
        <v>2</v>
      </c>
      <c r="D3827" t="inlineStr">
        <is>
          <t>double_bonds</t>
        </is>
      </c>
      <c r="E3827"/>
      <c r="F3827"/>
      <c r="G3827"/>
      <c r="H3827" t="inlineStr">
        <is>
          <t>S007_EXCIPIENTS_HANDBOOK</t>
        </is>
      </c>
      <c r="I3827" t="inlineStr">
        <is>
          <t>curated</t>
        </is>
      </c>
      <c r="J3827">
        <v>0.7</v>
      </c>
      <c r="K3827"/>
    </row>
    <row r="3828">
      <c r="A3828" t="inlineStr">
        <is>
          <t>OIL_CORN_OIL</t>
        </is>
      </c>
      <c r="B3828" t="inlineStr">
        <is>
          <t>crystallinity_risk</t>
        </is>
      </c>
      <c r="C3828" t="inlineStr">
        <is>
          <t>low</t>
        </is>
      </c>
      <c r="D3828"/>
      <c r="E3828"/>
      <c r="F3828"/>
      <c r="G3828" t="inlineStr">
        <is>
          <t>SLN/NLC crystallization heuristic</t>
        </is>
      </c>
      <c r="H3828" t="inlineStr">
        <is>
          <t>S007_EXCIPIENTS_HANDBOOK</t>
        </is>
      </c>
      <c r="I3828" t="inlineStr">
        <is>
          <t>curated</t>
        </is>
      </c>
      <c r="J3828">
        <v>0.6</v>
      </c>
      <c r="K3828"/>
    </row>
    <row r="3829">
      <c r="A3829" t="inlineStr">
        <is>
          <t>OIL_CORN_OIL</t>
        </is>
      </c>
      <c r="B3829" t="inlineStr">
        <is>
          <t>polymorphism_notes</t>
        </is>
      </c>
      <c r="C3829" t="inlineStr">
        <is>
          <t>polymorphic behavior possible; DSC/XRPD required for final formulation</t>
        </is>
      </c>
      <c r="D3829"/>
      <c r="E3829"/>
      <c r="F3829"/>
      <c r="G3829"/>
      <c r="H3829" t="inlineStr">
        <is>
          <t>S014_AULTON</t>
        </is>
      </c>
      <c r="I3829" t="inlineStr">
        <is>
          <t>curated</t>
        </is>
      </c>
      <c r="J3829">
        <v>0.65</v>
      </c>
      <c r="K3829"/>
    </row>
    <row r="3830">
      <c r="A3830" t="inlineStr">
        <is>
          <t>OIL_CORN_OIL</t>
        </is>
      </c>
      <c r="B3830" t="inlineStr">
        <is>
          <t>drug_solubilization_notes</t>
        </is>
      </c>
      <c r="C3830" t="inlineStr">
        <is>
          <t>fixed oil</t>
        </is>
      </c>
      <c r="D3830"/>
      <c r="E3830"/>
      <c r="F3830"/>
      <c r="G3830"/>
      <c r="H3830" t="inlineStr">
        <is>
          <t>S014_AULTON</t>
        </is>
      </c>
      <c r="I3830" t="inlineStr">
        <is>
          <t>curated</t>
        </is>
      </c>
      <c r="J3830">
        <v>0.6</v>
      </c>
      <c r="K3830"/>
    </row>
    <row r="3831">
      <c r="A3831" t="inlineStr">
        <is>
          <t>OIL_CORN_OIL</t>
        </is>
      </c>
      <c r="B3831" t="inlineStr">
        <is>
          <t>route_suitability</t>
        </is>
      </c>
      <c r="C3831" t="inlineStr">
        <is>
          <t>SLN/NLC/nanoemulsion/lipid matrix; route-grade dependent</t>
        </is>
      </c>
      <c r="D3831"/>
      <c r="E3831"/>
      <c r="F3831"/>
      <c r="G3831"/>
      <c r="H3831" t="inlineStr">
        <is>
          <t>S008_FDA_IID</t>
        </is>
      </c>
      <c r="I3831" t="inlineStr">
        <is>
          <t>curated</t>
        </is>
      </c>
      <c r="J3831">
        <v>0.55</v>
      </c>
      <c r="K3831"/>
    </row>
    <row r="3832">
      <c r="A3832" t="inlineStr">
        <is>
          <t>OIL_CORN_OIL</t>
        </is>
      </c>
      <c r="B3832" t="inlineStr">
        <is>
          <t>molar_volume_cm3_mol</t>
        </is>
      </c>
      <c r="C3832">
        <v>956.52</v>
      </c>
      <c r="D3832" t="inlineStr">
        <is>
          <t>cm3/mol</t>
        </is>
      </c>
      <c r="E3832"/>
      <c r="F3832"/>
      <c r="G3832" t="inlineStr">
        <is>
          <t>MW/density estimate</t>
        </is>
      </c>
      <c r="H3832" t="inlineStr">
        <is>
          <t>S012_CALCULATED</t>
        </is>
      </c>
      <c r="I3832" t="inlineStr">
        <is>
          <t>estimated</t>
        </is>
      </c>
      <c r="J3832">
        <v>0.35</v>
      </c>
      <c r="K3832" t="inlineStr">
        <is>
          <t>Estimated from MW/density; replace with measured molar volume or density-specific grade data.</t>
        </is>
      </c>
    </row>
    <row r="3833">
      <c r="A3833" t="inlineStr">
        <is>
          <t>OIL_CORN_OIL</t>
        </is>
      </c>
      <c r="B3833" t="inlineStr">
        <is>
          <t>Hansen_delta_D</t>
        </is>
      </c>
      <c r="C3833">
        <v>17.0</v>
      </c>
      <c r="D3833" t="inlineStr">
        <is>
          <t>MPa^0.5</t>
        </is>
      </c>
      <c r="E3833"/>
      <c r="F3833"/>
      <c r="G3833" t="inlineStr">
        <is>
          <t>heuristic group-contribution/nearest-neighbour</t>
        </is>
      </c>
      <c r="H3833" t="inlineStr">
        <is>
          <t>S013_EST_HSP_HEURISTIC</t>
        </is>
      </c>
      <c r="I3833" t="inlineStr">
        <is>
          <t>estimated</t>
        </is>
      </c>
      <c r="J3833">
        <v>0.37</v>
      </c>
      <c r="K3833" t="inlineStr">
        <is>
          <t>Provisional HSP for screening; replace with experimental/literature value before model lock.</t>
        </is>
      </c>
    </row>
    <row r="3834">
      <c r="A3834" t="inlineStr">
        <is>
          <t>OIL_CORN_OIL</t>
        </is>
      </c>
      <c r="B3834" t="inlineStr">
        <is>
          <t>Hansen_delta_P</t>
        </is>
      </c>
      <c r="C3834">
        <v>2.5</v>
      </c>
      <c r="D3834" t="inlineStr">
        <is>
          <t>MPa^0.5</t>
        </is>
      </c>
      <c r="E3834"/>
      <c r="F3834"/>
      <c r="G3834" t="inlineStr">
        <is>
          <t>heuristic group-contribution/nearest-neighbour</t>
        </is>
      </c>
      <c r="H3834" t="inlineStr">
        <is>
          <t>S013_EST_HSP_HEURISTIC</t>
        </is>
      </c>
      <c r="I3834" t="inlineStr">
        <is>
          <t>estimated</t>
        </is>
      </c>
      <c r="J3834">
        <v>0.37</v>
      </c>
      <c r="K3834" t="inlineStr">
        <is>
          <t>Provisional HSP for screening; replace with experimental/literature value before model lock.</t>
        </is>
      </c>
    </row>
    <row r="3835">
      <c r="A3835" t="inlineStr">
        <is>
          <t>OIL_CORN_OIL</t>
        </is>
      </c>
      <c r="B3835" t="inlineStr">
        <is>
          <t>Hansen_delta_H</t>
        </is>
      </c>
      <c r="C3835">
        <v>5.0</v>
      </c>
      <c r="D3835" t="inlineStr">
        <is>
          <t>MPa^0.5</t>
        </is>
      </c>
      <c r="E3835"/>
      <c r="F3835"/>
      <c r="G3835" t="inlineStr">
        <is>
          <t>heuristic group-contribution/nearest-neighbour</t>
        </is>
      </c>
      <c r="H3835" t="inlineStr">
        <is>
          <t>S013_EST_HSP_HEURISTIC</t>
        </is>
      </c>
      <c r="I3835" t="inlineStr">
        <is>
          <t>estimated</t>
        </is>
      </c>
      <c r="J3835">
        <v>0.37</v>
      </c>
      <c r="K3835" t="inlineStr">
        <is>
          <t>Provisional HSP for screening; replace with experimental/literature value before model lock.</t>
        </is>
      </c>
    </row>
    <row r="3836">
      <c r="A3836" t="inlineStr">
        <is>
          <t>OIL_CORN_OIL</t>
        </is>
      </c>
      <c r="B3836" t="inlineStr">
        <is>
          <t>Hildebrand_delta_T</t>
        </is>
      </c>
      <c r="C3836">
        <v>17.9</v>
      </c>
      <c r="D3836" t="inlineStr">
        <is>
          <t>MPa^0.5</t>
        </is>
      </c>
      <c r="E3836"/>
      <c r="F3836"/>
      <c r="G3836" t="inlineStr">
        <is>
          <t>sqrt(deltaD^2+deltaP^2+deltaH^2)</t>
        </is>
      </c>
      <c r="H3836" t="inlineStr">
        <is>
          <t>S012_CALCULATED</t>
        </is>
      </c>
      <c r="I3836" t="inlineStr">
        <is>
          <t>calculated</t>
        </is>
      </c>
      <c r="J3836">
        <v>0.42</v>
      </c>
      <c r="K3836" t="inlineStr">
        <is>
          <t>Derived from stored Hansen components.</t>
        </is>
      </c>
    </row>
    <row r="3837">
      <c r="A3837" t="inlineStr">
        <is>
          <t>OIL_CORN_OIL</t>
        </is>
      </c>
      <c r="B3837" t="inlineStr">
        <is>
          <t>HSP_radius_R0</t>
        </is>
      </c>
      <c r="C3837">
        <v>7.0</v>
      </c>
      <c r="D3837" t="inlineStr">
        <is>
          <t>MPa^0.5</t>
        </is>
      </c>
      <c r="E3837"/>
      <c r="F3837"/>
      <c r="G3837" t="inlineStr">
        <is>
          <t>literature/heuristic solubility sphere</t>
        </is>
      </c>
      <c r="H3837" t="inlineStr">
        <is>
          <t>S013_EST_HSP_HEURISTIC</t>
        </is>
      </c>
      <c r="I3837" t="inlineStr">
        <is>
          <t>estimated</t>
        </is>
      </c>
      <c r="J3837">
        <v>0.37</v>
      </c>
      <c r="K3837" t="inlineStr">
        <is>
          <t>Screening radius only unless experimentally determined.</t>
        </is>
      </c>
    </row>
    <row r="3838">
      <c r="A3838" t="inlineStr">
        <is>
          <t>OIL_OLIVE_OIL</t>
        </is>
      </c>
      <c r="B3838" t="inlineStr">
        <is>
          <t>average_MW</t>
        </is>
      </c>
      <c r="C3838">
        <v>880</v>
      </c>
      <c r="D3838" t="inlineStr">
        <is>
          <t>g/mol</t>
        </is>
      </c>
      <c r="E3838"/>
      <c r="F3838"/>
      <c r="G3838" t="inlineStr">
        <is>
          <t>mixture average/grade-dependent</t>
        </is>
      </c>
      <c r="H3838" t="inlineStr">
        <is>
          <t>S007_EXCIPIENTS_HANDBOOK</t>
        </is>
      </c>
      <c r="I3838" t="inlineStr">
        <is>
          <t>supplier-reported</t>
        </is>
      </c>
      <c r="J3838">
        <v>0.55</v>
      </c>
      <c r="K3838"/>
    </row>
    <row r="3839">
      <c r="A3839" t="inlineStr">
        <is>
          <t>OIL_OLIVE_OIL</t>
        </is>
      </c>
      <c r="B3839" t="inlineStr">
        <is>
          <t>density_g_ml</t>
        </is>
      </c>
      <c r="C3839">
        <v>0.91</v>
      </c>
      <c r="D3839" t="inlineStr">
        <is>
          <t>g/mL</t>
        </is>
      </c>
      <c r="E3839"/>
      <c r="F3839"/>
      <c r="G3839" t="inlineStr">
        <is>
          <t>20-25 °C unless otherwise specified</t>
        </is>
      </c>
      <c r="H3839" t="inlineStr">
        <is>
          <t>S007_EXCIPIENTS_HANDBOOK</t>
        </is>
      </c>
      <c r="I3839" t="inlineStr">
        <is>
          <t>handbook</t>
        </is>
      </c>
      <c r="J3839">
        <v>0.6</v>
      </c>
      <c r="K3839"/>
    </row>
    <row r="3840">
      <c r="A3840" t="inlineStr">
        <is>
          <t>OIL_OLIVE_OIL</t>
        </is>
      </c>
      <c r="B3840" t="inlineStr">
        <is>
          <t>melting_point_C</t>
        </is>
      </c>
      <c r="C3840">
        <v>-6</v>
      </c>
      <c r="D3840" t="inlineStr">
        <is>
          <t>°C</t>
        </is>
      </c>
      <c r="E3840"/>
      <c r="F3840"/>
      <c r="G3840" t="inlineStr">
        <is>
          <t>melting/drop point range; grade-dependent</t>
        </is>
      </c>
      <c r="H3840" t="inlineStr">
        <is>
          <t>S007_EXCIPIENTS_HANDBOOK</t>
        </is>
      </c>
      <c r="I3840" t="inlineStr">
        <is>
          <t>handbook</t>
        </is>
      </c>
      <c r="J3840">
        <v>0.68</v>
      </c>
      <c r="K3840"/>
    </row>
    <row r="3841">
      <c r="A3841" t="inlineStr">
        <is>
          <t>OIL_OLIVE_OIL</t>
        </is>
      </c>
      <c r="B3841" t="inlineStr">
        <is>
          <t>lipid_state</t>
        </is>
      </c>
      <c r="C3841" t="inlineStr">
        <is>
          <t>liquid</t>
        </is>
      </c>
      <c r="D3841"/>
      <c r="E3841"/>
      <c r="F3841"/>
      <c r="G3841"/>
      <c r="H3841" t="inlineStr">
        <is>
          <t>S007_EXCIPIENTS_HANDBOOK</t>
        </is>
      </c>
      <c r="I3841" t="inlineStr">
        <is>
          <t>curated</t>
        </is>
      </c>
      <c r="J3841">
        <v>0.75</v>
      </c>
      <c r="K3841"/>
    </row>
    <row r="3842">
      <c r="A3842" t="inlineStr">
        <is>
          <t>OIL_OLIVE_OIL</t>
        </is>
      </c>
      <c r="B3842" t="inlineStr">
        <is>
          <t>fatty_chain_length</t>
        </is>
      </c>
      <c r="C3842" t="inlineStr">
        <is>
          <t>oleic-rich triglycerides</t>
        </is>
      </c>
      <c r="D3842"/>
      <c r="E3842"/>
      <c r="F3842"/>
      <c r="G3842"/>
      <c r="H3842" t="inlineStr">
        <is>
          <t>S007_EXCIPIENTS_HANDBOOK</t>
        </is>
      </c>
      <c r="I3842" t="inlineStr">
        <is>
          <t>curated</t>
        </is>
      </c>
      <c r="J3842">
        <v>0.7</v>
      </c>
      <c r="K3842"/>
    </row>
    <row r="3843">
      <c r="A3843" t="inlineStr">
        <is>
          <t>OIL_OLIVE_OIL</t>
        </is>
      </c>
      <c r="B3843" t="inlineStr">
        <is>
          <t>unsaturation</t>
        </is>
      </c>
      <c r="C3843">
        <v>1</v>
      </c>
      <c r="D3843" t="inlineStr">
        <is>
          <t>double_bonds</t>
        </is>
      </c>
      <c r="E3843"/>
      <c r="F3843"/>
      <c r="G3843"/>
      <c r="H3843" t="inlineStr">
        <is>
          <t>S007_EXCIPIENTS_HANDBOOK</t>
        </is>
      </c>
      <c r="I3843" t="inlineStr">
        <is>
          <t>curated</t>
        </is>
      </c>
      <c r="J3843">
        <v>0.7</v>
      </c>
      <c r="K3843"/>
    </row>
    <row r="3844">
      <c r="A3844" t="inlineStr">
        <is>
          <t>OIL_OLIVE_OIL</t>
        </is>
      </c>
      <c r="B3844" t="inlineStr">
        <is>
          <t>crystallinity_risk</t>
        </is>
      </c>
      <c r="C3844" t="inlineStr">
        <is>
          <t>low</t>
        </is>
      </c>
      <c r="D3844"/>
      <c r="E3844"/>
      <c r="F3844"/>
      <c r="G3844" t="inlineStr">
        <is>
          <t>SLN/NLC crystallization heuristic</t>
        </is>
      </c>
      <c r="H3844" t="inlineStr">
        <is>
          <t>S007_EXCIPIENTS_HANDBOOK</t>
        </is>
      </c>
      <c r="I3844" t="inlineStr">
        <is>
          <t>curated</t>
        </is>
      </c>
      <c r="J3844">
        <v>0.6</v>
      </c>
      <c r="K3844"/>
    </row>
    <row r="3845">
      <c r="A3845" t="inlineStr">
        <is>
          <t>OIL_OLIVE_OIL</t>
        </is>
      </c>
      <c r="B3845" t="inlineStr">
        <is>
          <t>polymorphism_notes</t>
        </is>
      </c>
      <c r="C3845" t="inlineStr">
        <is>
          <t>polymorphic behavior possible; DSC/XRPD required for final formulation</t>
        </is>
      </c>
      <c r="D3845"/>
      <c r="E3845"/>
      <c r="F3845"/>
      <c r="G3845"/>
      <c r="H3845" t="inlineStr">
        <is>
          <t>S014_AULTON</t>
        </is>
      </c>
      <c r="I3845" t="inlineStr">
        <is>
          <t>curated</t>
        </is>
      </c>
      <c r="J3845">
        <v>0.65</v>
      </c>
      <c r="K3845"/>
    </row>
    <row r="3846">
      <c r="A3846" t="inlineStr">
        <is>
          <t>OIL_OLIVE_OIL</t>
        </is>
      </c>
      <c r="B3846" t="inlineStr">
        <is>
          <t>drug_solubilization_notes</t>
        </is>
      </c>
      <c r="C3846" t="inlineStr">
        <is>
          <t>fixed oil</t>
        </is>
      </c>
      <c r="D3846"/>
      <c r="E3846"/>
      <c r="F3846"/>
      <c r="G3846"/>
      <c r="H3846" t="inlineStr">
        <is>
          <t>S014_AULTON</t>
        </is>
      </c>
      <c r="I3846" t="inlineStr">
        <is>
          <t>curated</t>
        </is>
      </c>
      <c r="J3846">
        <v>0.6</v>
      </c>
      <c r="K3846"/>
    </row>
    <row r="3847">
      <c r="A3847" t="inlineStr">
        <is>
          <t>OIL_OLIVE_OIL</t>
        </is>
      </c>
      <c r="B3847" t="inlineStr">
        <is>
          <t>route_suitability</t>
        </is>
      </c>
      <c r="C3847" t="inlineStr">
        <is>
          <t>SLN/NLC/nanoemulsion/lipid matrix; route-grade dependent</t>
        </is>
      </c>
      <c r="D3847"/>
      <c r="E3847"/>
      <c r="F3847"/>
      <c r="G3847"/>
      <c r="H3847" t="inlineStr">
        <is>
          <t>S008_FDA_IID</t>
        </is>
      </c>
      <c r="I3847" t="inlineStr">
        <is>
          <t>curated</t>
        </is>
      </c>
      <c r="J3847">
        <v>0.55</v>
      </c>
      <c r="K3847"/>
    </row>
    <row r="3848">
      <c r="A3848" t="inlineStr">
        <is>
          <t>OIL_OLIVE_OIL</t>
        </is>
      </c>
      <c r="B3848" t="inlineStr">
        <is>
          <t>molar_volume_cm3_mol</t>
        </is>
      </c>
      <c r="C3848">
        <v>967.03</v>
      </c>
      <c r="D3848" t="inlineStr">
        <is>
          <t>cm3/mol</t>
        </is>
      </c>
      <c r="E3848"/>
      <c r="F3848"/>
      <c r="G3848" t="inlineStr">
        <is>
          <t>MW/density estimate</t>
        </is>
      </c>
      <c r="H3848" t="inlineStr">
        <is>
          <t>S012_CALCULATED</t>
        </is>
      </c>
      <c r="I3848" t="inlineStr">
        <is>
          <t>estimated</t>
        </is>
      </c>
      <c r="J3848">
        <v>0.35</v>
      </c>
      <c r="K3848" t="inlineStr">
        <is>
          <t>Estimated from MW/density; replace with measured molar volume or density-specific grade data.</t>
        </is>
      </c>
    </row>
    <row r="3849">
      <c r="A3849" t="inlineStr">
        <is>
          <t>OIL_OLIVE_OIL</t>
        </is>
      </c>
      <c r="B3849" t="inlineStr">
        <is>
          <t>Hansen_delta_D</t>
        </is>
      </c>
      <c r="C3849">
        <v>17.0</v>
      </c>
      <c r="D3849" t="inlineStr">
        <is>
          <t>MPa^0.5</t>
        </is>
      </c>
      <c r="E3849"/>
      <c r="F3849"/>
      <c r="G3849" t="inlineStr">
        <is>
          <t>heuristic group-contribution/nearest-neighbour</t>
        </is>
      </c>
      <c r="H3849" t="inlineStr">
        <is>
          <t>S013_EST_HSP_HEURISTIC</t>
        </is>
      </c>
      <c r="I3849" t="inlineStr">
        <is>
          <t>estimated</t>
        </is>
      </c>
      <c r="J3849">
        <v>0.37</v>
      </c>
      <c r="K3849" t="inlineStr">
        <is>
          <t>Provisional HSP for screening; replace with experimental/literature value before model lock.</t>
        </is>
      </c>
    </row>
    <row r="3850">
      <c r="A3850" t="inlineStr">
        <is>
          <t>OIL_OLIVE_OIL</t>
        </is>
      </c>
      <c r="B3850" t="inlineStr">
        <is>
          <t>Hansen_delta_P</t>
        </is>
      </c>
      <c r="C3850">
        <v>2.5</v>
      </c>
      <c r="D3850" t="inlineStr">
        <is>
          <t>MPa^0.5</t>
        </is>
      </c>
      <c r="E3850"/>
      <c r="F3850"/>
      <c r="G3850" t="inlineStr">
        <is>
          <t>heuristic group-contribution/nearest-neighbour</t>
        </is>
      </c>
      <c r="H3850" t="inlineStr">
        <is>
          <t>S013_EST_HSP_HEURISTIC</t>
        </is>
      </c>
      <c r="I3850" t="inlineStr">
        <is>
          <t>estimated</t>
        </is>
      </c>
      <c r="J3850">
        <v>0.37</v>
      </c>
      <c r="K3850" t="inlineStr">
        <is>
          <t>Provisional HSP for screening; replace with experimental/literature value before model lock.</t>
        </is>
      </c>
    </row>
    <row r="3851">
      <c r="A3851" t="inlineStr">
        <is>
          <t>OIL_OLIVE_OIL</t>
        </is>
      </c>
      <c r="B3851" t="inlineStr">
        <is>
          <t>Hansen_delta_H</t>
        </is>
      </c>
      <c r="C3851">
        <v>5.0</v>
      </c>
      <c r="D3851" t="inlineStr">
        <is>
          <t>MPa^0.5</t>
        </is>
      </c>
      <c r="E3851"/>
      <c r="F3851"/>
      <c r="G3851" t="inlineStr">
        <is>
          <t>heuristic group-contribution/nearest-neighbour</t>
        </is>
      </c>
      <c r="H3851" t="inlineStr">
        <is>
          <t>S013_EST_HSP_HEURISTIC</t>
        </is>
      </c>
      <c r="I3851" t="inlineStr">
        <is>
          <t>estimated</t>
        </is>
      </c>
      <c r="J3851">
        <v>0.37</v>
      </c>
      <c r="K3851" t="inlineStr">
        <is>
          <t>Provisional HSP for screening; replace with experimental/literature value before model lock.</t>
        </is>
      </c>
    </row>
    <row r="3852">
      <c r="A3852" t="inlineStr">
        <is>
          <t>OIL_OLIVE_OIL</t>
        </is>
      </c>
      <c r="B3852" t="inlineStr">
        <is>
          <t>Hildebrand_delta_T</t>
        </is>
      </c>
      <c r="C3852">
        <v>17.9</v>
      </c>
      <c r="D3852" t="inlineStr">
        <is>
          <t>MPa^0.5</t>
        </is>
      </c>
      <c r="E3852"/>
      <c r="F3852"/>
      <c r="G3852" t="inlineStr">
        <is>
          <t>sqrt(deltaD^2+deltaP^2+deltaH^2)</t>
        </is>
      </c>
      <c r="H3852" t="inlineStr">
        <is>
          <t>S012_CALCULATED</t>
        </is>
      </c>
      <c r="I3852" t="inlineStr">
        <is>
          <t>calculated</t>
        </is>
      </c>
      <c r="J3852">
        <v>0.42</v>
      </c>
      <c r="K3852" t="inlineStr">
        <is>
          <t>Derived from stored Hansen components.</t>
        </is>
      </c>
    </row>
    <row r="3853">
      <c r="A3853" t="inlineStr">
        <is>
          <t>OIL_OLIVE_OIL</t>
        </is>
      </c>
      <c r="B3853" t="inlineStr">
        <is>
          <t>HSP_radius_R0</t>
        </is>
      </c>
      <c r="C3853">
        <v>7.0</v>
      </c>
      <c r="D3853" t="inlineStr">
        <is>
          <t>MPa^0.5</t>
        </is>
      </c>
      <c r="E3853"/>
      <c r="F3853"/>
      <c r="G3853" t="inlineStr">
        <is>
          <t>literature/heuristic solubility sphere</t>
        </is>
      </c>
      <c r="H3853" t="inlineStr">
        <is>
          <t>S013_EST_HSP_HEURISTIC</t>
        </is>
      </c>
      <c r="I3853" t="inlineStr">
        <is>
          <t>estimated</t>
        </is>
      </c>
      <c r="J3853">
        <v>0.37</v>
      </c>
      <c r="K3853" t="inlineStr">
        <is>
          <t>Screening radius only unless experimentally determined.</t>
        </is>
      </c>
    </row>
    <row r="3854">
      <c r="A3854" t="inlineStr">
        <is>
          <t>SOLV_WATER</t>
        </is>
      </c>
      <c r="B3854" t="inlineStr">
        <is>
          <t>molecular_weight_g_mol</t>
        </is>
      </c>
      <c r="C3854">
        <v>18.015</v>
      </c>
      <c r="D3854" t="inlineStr">
        <is>
          <t>g/mol</t>
        </is>
      </c>
      <c r="E3854"/>
      <c r="F3854"/>
      <c r="G3854"/>
      <c r="H3854" t="inlineStr">
        <is>
          <t>S001_PUBCHEM</t>
        </is>
      </c>
      <c r="I3854" t="inlineStr">
        <is>
          <t>database-derived</t>
        </is>
      </c>
      <c r="J3854">
        <v>0.9</v>
      </c>
      <c r="K3854"/>
    </row>
    <row r="3855">
      <c r="A3855" t="inlineStr">
        <is>
          <t>SOLV_WATER</t>
        </is>
      </c>
      <c r="B3855" t="inlineStr">
        <is>
          <t>density_g_ml</t>
        </is>
      </c>
      <c r="C3855">
        <v>0.997</v>
      </c>
      <c r="D3855" t="inlineStr">
        <is>
          <t>g/mL</t>
        </is>
      </c>
      <c r="E3855"/>
      <c r="F3855"/>
      <c r="G3855" t="inlineStr">
        <is>
          <t>20-25 °C</t>
        </is>
      </c>
      <c r="H3855" t="inlineStr">
        <is>
          <t>S007_EXCIPIENTS_HANDBOOK</t>
        </is>
      </c>
      <c r="I3855" t="inlineStr">
        <is>
          <t>handbook</t>
        </is>
      </c>
      <c r="J3855">
        <v>0.82</v>
      </c>
      <c r="K3855"/>
    </row>
    <row r="3856">
      <c r="A3856" t="inlineStr">
        <is>
          <t>SOLV_WATER</t>
        </is>
      </c>
      <c r="B3856" t="inlineStr">
        <is>
          <t>boiling_point_C</t>
        </is>
      </c>
      <c r="C3856">
        <v>100</v>
      </c>
      <c r="D3856" t="inlineStr">
        <is>
          <t>°C</t>
        </is>
      </c>
      <c r="E3856"/>
      <c r="F3856"/>
      <c r="G3856"/>
      <c r="H3856" t="inlineStr">
        <is>
          <t>S001_PUBCHEM</t>
        </is>
      </c>
      <c r="I3856" t="inlineStr">
        <is>
          <t>handbook</t>
        </is>
      </c>
      <c r="J3856">
        <v>0.88</v>
      </c>
      <c r="K3856"/>
    </row>
    <row r="3857">
      <c r="A3857" t="inlineStr">
        <is>
          <t>SOLV_WATER</t>
        </is>
      </c>
      <c r="B3857" t="inlineStr">
        <is>
          <t>melting_point_C</t>
        </is>
      </c>
      <c r="C3857">
        <v>0</v>
      </c>
      <c r="D3857" t="inlineStr">
        <is>
          <t>°C</t>
        </is>
      </c>
      <c r="E3857"/>
      <c r="F3857"/>
      <c r="G3857"/>
      <c r="H3857" t="inlineStr">
        <is>
          <t>S001_PUBCHEM</t>
        </is>
      </c>
      <c r="I3857" t="inlineStr">
        <is>
          <t>handbook</t>
        </is>
      </c>
      <c r="J3857">
        <v>0.88</v>
      </c>
      <c r="K3857"/>
    </row>
    <row r="3858">
      <c r="A3858" t="inlineStr">
        <is>
          <t>SOLV_WATER</t>
        </is>
      </c>
      <c r="B3858" t="inlineStr">
        <is>
          <t>dielectric_constant</t>
        </is>
      </c>
      <c r="C3858">
        <v>78.4</v>
      </c>
      <c r="D3858"/>
      <c r="E3858"/>
      <c r="F3858"/>
      <c r="G3858" t="inlineStr">
        <is>
          <t>20-25 °C approximate</t>
        </is>
      </c>
      <c r="H3858" t="inlineStr">
        <is>
          <t>S007_EXCIPIENTS_HANDBOOK</t>
        </is>
      </c>
      <c r="I3858" t="inlineStr">
        <is>
          <t>handbook</t>
        </is>
      </c>
      <c r="J3858">
        <v>0.75</v>
      </c>
      <c r="K3858"/>
    </row>
    <row r="3859">
      <c r="A3859" t="inlineStr">
        <is>
          <t>SOLV_WATER</t>
        </is>
      </c>
      <c r="B3859" t="inlineStr">
        <is>
          <t>polarity_index</t>
        </is>
      </c>
      <c r="C3859">
        <v>10.2</v>
      </c>
      <c r="D3859"/>
      <c r="E3859"/>
      <c r="F3859"/>
      <c r="G3859"/>
      <c r="H3859" t="inlineStr">
        <is>
          <t>S006_HANSEN_HANDBOOK</t>
        </is>
      </c>
      <c r="I3859" t="inlineStr">
        <is>
          <t>handbook</t>
        </is>
      </c>
      <c r="J3859">
        <v>0.7</v>
      </c>
      <c r="K3859"/>
    </row>
    <row r="3860">
      <c r="A3860" t="inlineStr">
        <is>
          <t>SOLV_WATER</t>
        </is>
      </c>
      <c r="B3860" t="inlineStr">
        <is>
          <t>water_miscibility</t>
        </is>
      </c>
      <c r="C3860" t="inlineStr">
        <is>
          <t>miscible</t>
        </is>
      </c>
      <c r="D3860"/>
      <c r="E3860"/>
      <c r="F3860"/>
      <c r="G3860"/>
      <c r="H3860" t="inlineStr">
        <is>
          <t>S007_EXCIPIENTS_HANDBOOK</t>
        </is>
      </c>
      <c r="I3860" t="inlineStr">
        <is>
          <t>handbook</t>
        </is>
      </c>
      <c r="J3860">
        <v>0.85</v>
      </c>
      <c r="K3860"/>
    </row>
    <row r="3861">
      <c r="A3861" t="inlineStr">
        <is>
          <t>SOLV_WATER</t>
        </is>
      </c>
      <c r="B3861" t="inlineStr">
        <is>
          <t>ICH_class</t>
        </is>
      </c>
      <c r="C3861" t="inlineStr">
        <is>
          <t>not applicable</t>
        </is>
      </c>
      <c r="D3861"/>
      <c r="E3861"/>
      <c r="F3861"/>
      <c r="G3861"/>
      <c r="H3861" t="inlineStr">
        <is>
          <t>S005_ICH_Q3C_R9</t>
        </is>
      </c>
      <c r="I3861" t="inlineStr">
        <is>
          <t>regulatory</t>
        </is>
      </c>
      <c r="J3861">
        <v>0.9</v>
      </c>
      <c r="K3861"/>
    </row>
    <row r="3862">
      <c r="A3862" t="inlineStr">
        <is>
          <t>SOLV_WATER</t>
        </is>
      </c>
      <c r="B3862" t="inlineStr">
        <is>
          <t>Hansen_delta_D</t>
        </is>
      </c>
      <c r="C3862">
        <v>15.5</v>
      </c>
      <c r="D3862" t="inlineStr">
        <is>
          <t>MPa^0.5</t>
        </is>
      </c>
      <c r="E3862"/>
      <c r="F3862"/>
      <c r="G3862"/>
      <c r="H3862" t="inlineStr">
        <is>
          <t>S006_HANSEN_HANDBOOK</t>
        </is>
      </c>
      <c r="I3862" t="inlineStr">
        <is>
          <t>handbook</t>
        </is>
      </c>
      <c r="J3862">
        <v>0.8</v>
      </c>
      <c r="K3862"/>
    </row>
    <row r="3863">
      <c r="A3863" t="inlineStr">
        <is>
          <t>SOLV_WATER</t>
        </is>
      </c>
      <c r="B3863" t="inlineStr">
        <is>
          <t>Hansen_delta_P</t>
        </is>
      </c>
      <c r="C3863">
        <v>16.0</v>
      </c>
      <c r="D3863" t="inlineStr">
        <is>
          <t>MPa^0.5</t>
        </is>
      </c>
      <c r="E3863"/>
      <c r="F3863"/>
      <c r="G3863"/>
      <c r="H3863" t="inlineStr">
        <is>
          <t>S006_HANSEN_HANDBOOK</t>
        </is>
      </c>
      <c r="I3863" t="inlineStr">
        <is>
          <t>handbook</t>
        </is>
      </c>
      <c r="J3863">
        <v>0.8</v>
      </c>
      <c r="K3863"/>
    </row>
    <row r="3864">
      <c r="A3864" t="inlineStr">
        <is>
          <t>SOLV_WATER</t>
        </is>
      </c>
      <c r="B3864" t="inlineStr">
        <is>
          <t>Hansen_delta_H</t>
        </is>
      </c>
      <c r="C3864">
        <v>42.3</v>
      </c>
      <c r="D3864" t="inlineStr">
        <is>
          <t>MPa^0.5</t>
        </is>
      </c>
      <c r="E3864"/>
      <c r="F3864"/>
      <c r="G3864"/>
      <c r="H3864" t="inlineStr">
        <is>
          <t>S006_HANSEN_HANDBOOK</t>
        </is>
      </c>
      <c r="I3864" t="inlineStr">
        <is>
          <t>handbook</t>
        </is>
      </c>
      <c r="J3864">
        <v>0.8</v>
      </c>
      <c r="K3864"/>
    </row>
    <row r="3865">
      <c r="A3865" t="inlineStr">
        <is>
          <t>SOLV_WATER</t>
        </is>
      </c>
      <c r="B3865" t="inlineStr">
        <is>
          <t>Hildebrand_delta_T</t>
        </is>
      </c>
      <c r="C3865">
        <v>47.81</v>
      </c>
      <c r="D3865" t="inlineStr">
        <is>
          <t>MPa^0.5</t>
        </is>
      </c>
      <c r="E3865"/>
      <c r="F3865"/>
      <c r="G3865"/>
      <c r="H3865" t="inlineStr">
        <is>
          <t>S012_CALCULATED</t>
        </is>
      </c>
      <c r="I3865" t="inlineStr">
        <is>
          <t>calculated</t>
        </is>
      </c>
      <c r="J3865">
        <v>0.8</v>
      </c>
      <c r="K3865"/>
    </row>
    <row r="3866">
      <c r="A3866" t="inlineStr">
        <is>
          <t>SOLV_WATER</t>
        </is>
      </c>
      <c r="B3866" t="inlineStr">
        <is>
          <t>molar_volume_cm3_mol</t>
        </is>
      </c>
      <c r="C3866">
        <v>18.07</v>
      </c>
      <c r="D3866" t="inlineStr">
        <is>
          <t>cm3/mol</t>
        </is>
      </c>
      <c r="E3866"/>
      <c r="F3866"/>
      <c r="G3866" t="inlineStr">
        <is>
          <t>MW/density</t>
        </is>
      </c>
      <c r="H3866" t="inlineStr">
        <is>
          <t>S012_CALCULATED</t>
        </is>
      </c>
      <c r="I3866" t="inlineStr">
        <is>
          <t>calculated</t>
        </is>
      </c>
      <c r="J3866">
        <v>0.78</v>
      </c>
      <c r="K3866"/>
    </row>
    <row r="3867">
      <c r="A3867" t="inlineStr">
        <is>
          <t>SOLV_WATER</t>
        </is>
      </c>
      <c r="B3867" t="inlineStr">
        <is>
          <t>toxicity_penalty</t>
        </is>
      </c>
      <c r="C3867">
        <v>0</v>
      </c>
      <c r="D3867" t="inlineStr">
        <is>
          <t>ordinal 0-5</t>
        </is>
      </c>
      <c r="E3867"/>
      <c r="F3867"/>
      <c r="G3867"/>
      <c r="H3867" t="inlineStr">
        <is>
          <t>S005_ICH_Q3C_R9</t>
        </is>
      </c>
      <c r="I3867" t="inlineStr">
        <is>
          <t>curated</t>
        </is>
      </c>
      <c r="J3867">
        <v>0.72</v>
      </c>
      <c r="K3867"/>
    </row>
    <row r="3868">
      <c r="A3868" t="inlineStr">
        <is>
          <t>SOLV_WATER</t>
        </is>
      </c>
      <c r="B3868" t="inlineStr">
        <is>
          <t>residual_solvent_warning</t>
        </is>
      </c>
      <c r="C3868" t="inlineStr">
        <is>
          <t>not an ICH residual solvent or not applicable</t>
        </is>
      </c>
      <c r="D3868"/>
      <c r="E3868"/>
      <c r="F3868"/>
      <c r="G3868"/>
      <c r="H3868" t="inlineStr">
        <is>
          <t>S005_ICH_Q3C_R9</t>
        </is>
      </c>
      <c r="I3868" t="inlineStr">
        <is>
          <t>curated</t>
        </is>
      </c>
      <c r="J3868">
        <v>0.75</v>
      </c>
      <c r="K3868"/>
    </row>
    <row r="3869">
      <c r="A3869" t="inlineStr">
        <is>
          <t>SOLV_WATER</t>
        </is>
      </c>
      <c r="B3869" t="inlineStr">
        <is>
          <t>pulmonary_suitability</t>
        </is>
      </c>
      <c r="C3869" t="inlineStr">
        <is>
          <t>excellent</t>
        </is>
      </c>
      <c r="D3869"/>
      <c r="E3869"/>
      <c r="F3869"/>
      <c r="G3869"/>
      <c r="H3869" t="inlineStr">
        <is>
          <t>S014_AULTON</t>
        </is>
      </c>
      <c r="I3869" t="inlineStr">
        <is>
          <t>curated</t>
        </is>
      </c>
      <c r="J3869">
        <v>0.55</v>
      </c>
      <c r="K3869"/>
    </row>
    <row r="3870">
      <c r="A3870" t="inlineStr">
        <is>
          <t>SOLV_WATER</t>
        </is>
      </c>
      <c r="B3870" t="inlineStr">
        <is>
          <t>route_suitability</t>
        </is>
      </c>
      <c r="C3870" t="inlineStr">
        <is>
          <t>process solvent only unless excipient grade and residual solvent justified</t>
        </is>
      </c>
      <c r="D3870"/>
      <c r="E3870"/>
      <c r="F3870"/>
      <c r="G3870"/>
      <c r="H3870" t="inlineStr">
        <is>
          <t>S005_ICH_Q3C_R9</t>
        </is>
      </c>
      <c r="I3870" t="inlineStr">
        <is>
          <t>curated</t>
        </is>
      </c>
      <c r="J3870">
        <v>0.7</v>
      </c>
      <c r="K3870"/>
    </row>
    <row r="3871">
      <c r="A3871" t="inlineStr">
        <is>
          <t>SOLV_ETHANOL</t>
        </is>
      </c>
      <c r="B3871" t="inlineStr">
        <is>
          <t>molecular_weight_g_mol</t>
        </is>
      </c>
      <c r="C3871">
        <v>46.07</v>
      </c>
      <c r="D3871" t="inlineStr">
        <is>
          <t>g/mol</t>
        </is>
      </c>
      <c r="E3871"/>
      <c r="F3871"/>
      <c r="G3871"/>
      <c r="H3871" t="inlineStr">
        <is>
          <t>S001_PUBCHEM</t>
        </is>
      </c>
      <c r="I3871" t="inlineStr">
        <is>
          <t>database-derived</t>
        </is>
      </c>
      <c r="J3871">
        <v>0.9</v>
      </c>
      <c r="K3871"/>
    </row>
    <row r="3872">
      <c r="A3872" t="inlineStr">
        <is>
          <t>SOLV_ETHANOL</t>
        </is>
      </c>
      <c r="B3872" t="inlineStr">
        <is>
          <t>density_g_ml</t>
        </is>
      </c>
      <c r="C3872">
        <v>0.789</v>
      </c>
      <c r="D3872" t="inlineStr">
        <is>
          <t>g/mL</t>
        </is>
      </c>
      <c r="E3872"/>
      <c r="F3872"/>
      <c r="G3872" t="inlineStr">
        <is>
          <t>20-25 °C</t>
        </is>
      </c>
      <c r="H3872" t="inlineStr">
        <is>
          <t>S007_EXCIPIENTS_HANDBOOK</t>
        </is>
      </c>
      <c r="I3872" t="inlineStr">
        <is>
          <t>handbook</t>
        </is>
      </c>
      <c r="J3872">
        <v>0.82</v>
      </c>
      <c r="K3872"/>
    </row>
    <row r="3873">
      <c r="A3873" t="inlineStr">
        <is>
          <t>SOLV_ETHANOL</t>
        </is>
      </c>
      <c r="B3873" t="inlineStr">
        <is>
          <t>boiling_point_C</t>
        </is>
      </c>
      <c r="C3873">
        <v>78.37</v>
      </c>
      <c r="D3873" t="inlineStr">
        <is>
          <t>°C</t>
        </is>
      </c>
      <c r="E3873"/>
      <c r="F3873"/>
      <c r="G3873"/>
      <c r="H3873" t="inlineStr">
        <is>
          <t>S001_PUBCHEM</t>
        </is>
      </c>
      <c r="I3873" t="inlineStr">
        <is>
          <t>handbook</t>
        </is>
      </c>
      <c r="J3873">
        <v>0.88</v>
      </c>
      <c r="K3873"/>
    </row>
    <row r="3874">
      <c r="A3874" t="inlineStr">
        <is>
          <t>SOLV_ETHANOL</t>
        </is>
      </c>
      <c r="B3874" t="inlineStr">
        <is>
          <t>melting_point_C</t>
        </is>
      </c>
      <c r="C3874">
        <v>-114.1</v>
      </c>
      <c r="D3874" t="inlineStr">
        <is>
          <t>°C</t>
        </is>
      </c>
      <c r="E3874"/>
      <c r="F3874"/>
      <c r="G3874"/>
      <c r="H3874" t="inlineStr">
        <is>
          <t>S001_PUBCHEM</t>
        </is>
      </c>
      <c r="I3874" t="inlineStr">
        <is>
          <t>handbook</t>
        </is>
      </c>
      <c r="J3874">
        <v>0.88</v>
      </c>
      <c r="K3874"/>
    </row>
    <row r="3875">
      <c r="A3875" t="inlineStr">
        <is>
          <t>SOLV_ETHANOL</t>
        </is>
      </c>
      <c r="B3875" t="inlineStr">
        <is>
          <t>dielectric_constant</t>
        </is>
      </c>
      <c r="C3875">
        <v>24.3</v>
      </c>
      <c r="D3875"/>
      <c r="E3875"/>
      <c r="F3875"/>
      <c r="G3875" t="inlineStr">
        <is>
          <t>20-25 °C approximate</t>
        </is>
      </c>
      <c r="H3875" t="inlineStr">
        <is>
          <t>S007_EXCIPIENTS_HANDBOOK</t>
        </is>
      </c>
      <c r="I3875" t="inlineStr">
        <is>
          <t>handbook</t>
        </is>
      </c>
      <c r="J3875">
        <v>0.75</v>
      </c>
      <c r="K3875"/>
    </row>
    <row r="3876">
      <c r="A3876" t="inlineStr">
        <is>
          <t>SOLV_ETHANOL</t>
        </is>
      </c>
      <c r="B3876" t="inlineStr">
        <is>
          <t>polarity_index</t>
        </is>
      </c>
      <c r="C3876">
        <v>5.2</v>
      </c>
      <c r="D3876"/>
      <c r="E3876"/>
      <c r="F3876"/>
      <c r="G3876"/>
      <c r="H3876" t="inlineStr">
        <is>
          <t>S006_HANSEN_HANDBOOK</t>
        </is>
      </c>
      <c r="I3876" t="inlineStr">
        <is>
          <t>handbook</t>
        </is>
      </c>
      <c r="J3876">
        <v>0.7</v>
      </c>
      <c r="K3876"/>
    </row>
    <row r="3877">
      <c r="A3877" t="inlineStr">
        <is>
          <t>SOLV_ETHANOL</t>
        </is>
      </c>
      <c r="B3877" t="inlineStr">
        <is>
          <t>water_miscibility</t>
        </is>
      </c>
      <c r="C3877" t="inlineStr">
        <is>
          <t>miscible</t>
        </is>
      </c>
      <c r="D3877"/>
      <c r="E3877"/>
      <c r="F3877"/>
      <c r="G3877"/>
      <c r="H3877" t="inlineStr">
        <is>
          <t>S007_EXCIPIENTS_HANDBOOK</t>
        </is>
      </c>
      <c r="I3877" t="inlineStr">
        <is>
          <t>handbook</t>
        </is>
      </c>
      <c r="J3877">
        <v>0.85</v>
      </c>
      <c r="K3877"/>
    </row>
    <row r="3878">
      <c r="A3878" t="inlineStr">
        <is>
          <t>SOLV_ETHANOL</t>
        </is>
      </c>
      <c r="B3878" t="inlineStr">
        <is>
          <t>ICH_class</t>
        </is>
      </c>
      <c r="C3878" t="inlineStr">
        <is>
          <t>Class 3</t>
        </is>
      </c>
      <c r="D3878"/>
      <c r="E3878"/>
      <c r="F3878"/>
      <c r="G3878"/>
      <c r="H3878" t="inlineStr">
        <is>
          <t>S005_ICH_Q3C_R9</t>
        </is>
      </c>
      <c r="I3878" t="inlineStr">
        <is>
          <t>regulatory</t>
        </is>
      </c>
      <c r="J3878">
        <v>0.9</v>
      </c>
      <c r="K3878"/>
    </row>
    <row r="3879">
      <c r="A3879" t="inlineStr">
        <is>
          <t>SOLV_ETHANOL</t>
        </is>
      </c>
      <c r="B3879" t="inlineStr">
        <is>
          <t>permitted_daily_exposure_if_available</t>
        </is>
      </c>
      <c r="C3879">
        <v>50</v>
      </c>
      <c r="D3879" t="inlineStr">
        <is>
          <t>mg/day</t>
        </is>
      </c>
      <c r="E3879"/>
      <c r="F3879"/>
      <c r="G3879"/>
      <c r="H3879" t="inlineStr">
        <is>
          <t>S005_ICH_Q3C_R9</t>
        </is>
      </c>
      <c r="I3879" t="inlineStr">
        <is>
          <t>regulatory</t>
        </is>
      </c>
      <c r="J3879">
        <v>0.85</v>
      </c>
      <c r="K3879"/>
    </row>
    <row r="3880">
      <c r="A3880" t="inlineStr">
        <is>
          <t>SOLV_ETHANOL</t>
        </is>
      </c>
      <c r="B3880" t="inlineStr">
        <is>
          <t>Hansen_delta_D</t>
        </is>
      </c>
      <c r="C3880">
        <v>15.8</v>
      </c>
      <c r="D3880" t="inlineStr">
        <is>
          <t>MPa^0.5</t>
        </is>
      </c>
      <c r="E3880"/>
      <c r="F3880"/>
      <c r="G3880"/>
      <c r="H3880" t="inlineStr">
        <is>
          <t>S006_HANSEN_HANDBOOK</t>
        </is>
      </c>
      <c r="I3880" t="inlineStr">
        <is>
          <t>handbook</t>
        </is>
      </c>
      <c r="J3880">
        <v>0.8</v>
      </c>
      <c r="K3880"/>
    </row>
    <row r="3881">
      <c r="A3881" t="inlineStr">
        <is>
          <t>SOLV_ETHANOL</t>
        </is>
      </c>
      <c r="B3881" t="inlineStr">
        <is>
          <t>Hansen_delta_P</t>
        </is>
      </c>
      <c r="C3881">
        <v>8.8</v>
      </c>
      <c r="D3881" t="inlineStr">
        <is>
          <t>MPa^0.5</t>
        </is>
      </c>
      <c r="E3881"/>
      <c r="F3881"/>
      <c r="G3881"/>
      <c r="H3881" t="inlineStr">
        <is>
          <t>S006_HANSEN_HANDBOOK</t>
        </is>
      </c>
      <c r="I3881" t="inlineStr">
        <is>
          <t>handbook</t>
        </is>
      </c>
      <c r="J3881">
        <v>0.8</v>
      </c>
      <c r="K3881"/>
    </row>
    <row r="3882">
      <c r="A3882" t="inlineStr">
        <is>
          <t>SOLV_ETHANOL</t>
        </is>
      </c>
      <c r="B3882" t="inlineStr">
        <is>
          <t>Hansen_delta_H</t>
        </is>
      </c>
      <c r="C3882">
        <v>19.4</v>
      </c>
      <c r="D3882" t="inlineStr">
        <is>
          <t>MPa^0.5</t>
        </is>
      </c>
      <c r="E3882"/>
      <c r="F3882"/>
      <c r="G3882"/>
      <c r="H3882" t="inlineStr">
        <is>
          <t>S006_HANSEN_HANDBOOK</t>
        </is>
      </c>
      <c r="I3882" t="inlineStr">
        <is>
          <t>handbook</t>
        </is>
      </c>
      <c r="J3882">
        <v>0.8</v>
      </c>
      <c r="K3882"/>
    </row>
    <row r="3883">
      <c r="A3883" t="inlineStr">
        <is>
          <t>SOLV_ETHANOL</t>
        </is>
      </c>
      <c r="B3883" t="inlineStr">
        <is>
          <t>Hildebrand_delta_T</t>
        </is>
      </c>
      <c r="C3883">
        <v>26.52</v>
      </c>
      <c r="D3883" t="inlineStr">
        <is>
          <t>MPa^0.5</t>
        </is>
      </c>
      <c r="E3883"/>
      <c r="F3883"/>
      <c r="G3883"/>
      <c r="H3883" t="inlineStr">
        <is>
          <t>S012_CALCULATED</t>
        </is>
      </c>
      <c r="I3883" t="inlineStr">
        <is>
          <t>calculated</t>
        </is>
      </c>
      <c r="J3883">
        <v>0.8</v>
      </c>
      <c r="K3883"/>
    </row>
    <row r="3884">
      <c r="A3884" t="inlineStr">
        <is>
          <t>SOLV_ETHANOL</t>
        </is>
      </c>
      <c r="B3884" t="inlineStr">
        <is>
          <t>molar_volume_cm3_mol</t>
        </is>
      </c>
      <c r="C3884">
        <v>58.39</v>
      </c>
      <c r="D3884" t="inlineStr">
        <is>
          <t>cm3/mol</t>
        </is>
      </c>
      <c r="E3884"/>
      <c r="F3884"/>
      <c r="G3884" t="inlineStr">
        <is>
          <t>MW/density</t>
        </is>
      </c>
      <c r="H3884" t="inlineStr">
        <is>
          <t>S012_CALCULATED</t>
        </is>
      </c>
      <c r="I3884" t="inlineStr">
        <is>
          <t>calculated</t>
        </is>
      </c>
      <c r="J3884">
        <v>0.78</v>
      </c>
      <c r="K3884"/>
    </row>
    <row r="3885">
      <c r="A3885" t="inlineStr">
        <is>
          <t>SOLV_ETHANOL</t>
        </is>
      </c>
      <c r="B3885" t="inlineStr">
        <is>
          <t>toxicity_penalty</t>
        </is>
      </c>
      <c r="C3885">
        <v>1</v>
      </c>
      <c r="D3885" t="inlineStr">
        <is>
          <t>ordinal 0-5</t>
        </is>
      </c>
      <c r="E3885"/>
      <c r="F3885"/>
      <c r="G3885"/>
      <c r="H3885" t="inlineStr">
        <is>
          <t>S005_ICH_Q3C_R9</t>
        </is>
      </c>
      <c r="I3885" t="inlineStr">
        <is>
          <t>curated</t>
        </is>
      </c>
      <c r="J3885">
        <v>0.72</v>
      </c>
      <c r="K3885"/>
    </row>
    <row r="3886">
      <c r="A3886" t="inlineStr">
        <is>
          <t>SOLV_ETHANOL</t>
        </is>
      </c>
      <c r="B3886" t="inlineStr">
        <is>
          <t>residual_solvent_warning</t>
        </is>
      </c>
      <c r="C3886" t="inlineStr">
        <is>
          <t>low toxic potential under ICH Class 3 limits</t>
        </is>
      </c>
      <c r="D3886"/>
      <c r="E3886"/>
      <c r="F3886"/>
      <c r="G3886"/>
      <c r="H3886" t="inlineStr">
        <is>
          <t>S005_ICH_Q3C_R9</t>
        </is>
      </c>
      <c r="I3886" t="inlineStr">
        <is>
          <t>curated</t>
        </is>
      </c>
      <c r="J3886">
        <v>0.75</v>
      </c>
      <c r="K3886"/>
    </row>
    <row r="3887">
      <c r="A3887" t="inlineStr">
        <is>
          <t>SOLV_ETHANOL</t>
        </is>
      </c>
      <c r="B3887" t="inlineStr">
        <is>
          <t>pulmonary_suitability</t>
        </is>
      </c>
      <c r="C3887" t="inlineStr">
        <is>
          <t>limited; residual/irritation caution</t>
        </is>
      </c>
      <c r="D3887"/>
      <c r="E3887"/>
      <c r="F3887"/>
      <c r="G3887"/>
      <c r="H3887" t="inlineStr">
        <is>
          <t>S014_AULTON</t>
        </is>
      </c>
      <c r="I3887" t="inlineStr">
        <is>
          <t>curated</t>
        </is>
      </c>
      <c r="J3887">
        <v>0.55</v>
      </c>
      <c r="K3887"/>
    </row>
    <row r="3888">
      <c r="A3888" t="inlineStr">
        <is>
          <t>SOLV_ETHANOL</t>
        </is>
      </c>
      <c r="B3888" t="inlineStr">
        <is>
          <t>route_suitability</t>
        </is>
      </c>
      <c r="C3888" t="inlineStr">
        <is>
          <t>process solvent only unless excipient grade and residual solvent justified</t>
        </is>
      </c>
      <c r="D3888"/>
      <c r="E3888"/>
      <c r="F3888"/>
      <c r="G3888"/>
      <c r="H3888" t="inlineStr">
        <is>
          <t>S005_ICH_Q3C_R9</t>
        </is>
      </c>
      <c r="I3888" t="inlineStr">
        <is>
          <t>curated</t>
        </is>
      </c>
      <c r="J3888">
        <v>0.7</v>
      </c>
      <c r="K3888"/>
    </row>
    <row r="3889">
      <c r="A3889" t="inlineStr">
        <is>
          <t>SOLV_METHANOL</t>
        </is>
      </c>
      <c r="B3889" t="inlineStr">
        <is>
          <t>molecular_weight_g_mol</t>
        </is>
      </c>
      <c r="C3889">
        <v>32.04</v>
      </c>
      <c r="D3889" t="inlineStr">
        <is>
          <t>g/mol</t>
        </is>
      </c>
      <c r="E3889"/>
      <c r="F3889"/>
      <c r="G3889"/>
      <c r="H3889" t="inlineStr">
        <is>
          <t>S001_PUBCHEM</t>
        </is>
      </c>
      <c r="I3889" t="inlineStr">
        <is>
          <t>database-derived</t>
        </is>
      </c>
      <c r="J3889">
        <v>0.9</v>
      </c>
      <c r="K3889"/>
    </row>
    <row r="3890">
      <c r="A3890" t="inlineStr">
        <is>
          <t>SOLV_METHANOL</t>
        </is>
      </c>
      <c r="B3890" t="inlineStr">
        <is>
          <t>density_g_ml</t>
        </is>
      </c>
      <c r="C3890">
        <v>0.792</v>
      </c>
      <c r="D3890" t="inlineStr">
        <is>
          <t>g/mL</t>
        </is>
      </c>
      <c r="E3890"/>
      <c r="F3890"/>
      <c r="G3890" t="inlineStr">
        <is>
          <t>20-25 °C</t>
        </is>
      </c>
      <c r="H3890" t="inlineStr">
        <is>
          <t>S007_EXCIPIENTS_HANDBOOK</t>
        </is>
      </c>
      <c r="I3890" t="inlineStr">
        <is>
          <t>handbook</t>
        </is>
      </c>
      <c r="J3890">
        <v>0.82</v>
      </c>
      <c r="K3890"/>
    </row>
    <row r="3891">
      <c r="A3891" t="inlineStr">
        <is>
          <t>SOLV_METHANOL</t>
        </is>
      </c>
      <c r="B3891" t="inlineStr">
        <is>
          <t>boiling_point_C</t>
        </is>
      </c>
      <c r="C3891">
        <v>64.7</v>
      </c>
      <c r="D3891" t="inlineStr">
        <is>
          <t>°C</t>
        </is>
      </c>
      <c r="E3891"/>
      <c r="F3891"/>
      <c r="G3891"/>
      <c r="H3891" t="inlineStr">
        <is>
          <t>S001_PUBCHEM</t>
        </is>
      </c>
      <c r="I3891" t="inlineStr">
        <is>
          <t>handbook</t>
        </is>
      </c>
      <c r="J3891">
        <v>0.88</v>
      </c>
      <c r="K3891"/>
    </row>
    <row r="3892">
      <c r="A3892" t="inlineStr">
        <is>
          <t>SOLV_METHANOL</t>
        </is>
      </c>
      <c r="B3892" t="inlineStr">
        <is>
          <t>melting_point_C</t>
        </is>
      </c>
      <c r="C3892">
        <v>-97.6</v>
      </c>
      <c r="D3892" t="inlineStr">
        <is>
          <t>°C</t>
        </is>
      </c>
      <c r="E3892"/>
      <c r="F3892"/>
      <c r="G3892"/>
      <c r="H3892" t="inlineStr">
        <is>
          <t>S001_PUBCHEM</t>
        </is>
      </c>
      <c r="I3892" t="inlineStr">
        <is>
          <t>handbook</t>
        </is>
      </c>
      <c r="J3892">
        <v>0.88</v>
      </c>
      <c r="K3892"/>
    </row>
    <row r="3893">
      <c r="A3893" t="inlineStr">
        <is>
          <t>SOLV_METHANOL</t>
        </is>
      </c>
      <c r="B3893" t="inlineStr">
        <is>
          <t>dielectric_constant</t>
        </is>
      </c>
      <c r="C3893">
        <v>32.6</v>
      </c>
      <c r="D3893"/>
      <c r="E3893"/>
      <c r="F3893"/>
      <c r="G3893" t="inlineStr">
        <is>
          <t>20-25 °C approximate</t>
        </is>
      </c>
      <c r="H3893" t="inlineStr">
        <is>
          <t>S007_EXCIPIENTS_HANDBOOK</t>
        </is>
      </c>
      <c r="I3893" t="inlineStr">
        <is>
          <t>handbook</t>
        </is>
      </c>
      <c r="J3893">
        <v>0.75</v>
      </c>
      <c r="K3893"/>
    </row>
    <row r="3894">
      <c r="A3894" t="inlineStr">
        <is>
          <t>SOLV_METHANOL</t>
        </is>
      </c>
      <c r="B3894" t="inlineStr">
        <is>
          <t>polarity_index</t>
        </is>
      </c>
      <c r="C3894">
        <v>5.1</v>
      </c>
      <c r="D3894"/>
      <c r="E3894"/>
      <c r="F3894"/>
      <c r="G3894"/>
      <c r="H3894" t="inlineStr">
        <is>
          <t>S006_HANSEN_HANDBOOK</t>
        </is>
      </c>
      <c r="I3894" t="inlineStr">
        <is>
          <t>handbook</t>
        </is>
      </c>
      <c r="J3894">
        <v>0.7</v>
      </c>
      <c r="K3894"/>
    </row>
    <row r="3895">
      <c r="A3895" t="inlineStr">
        <is>
          <t>SOLV_METHANOL</t>
        </is>
      </c>
      <c r="B3895" t="inlineStr">
        <is>
          <t>water_miscibility</t>
        </is>
      </c>
      <c r="C3895" t="inlineStr">
        <is>
          <t>miscible</t>
        </is>
      </c>
      <c r="D3895"/>
      <c r="E3895"/>
      <c r="F3895"/>
      <c r="G3895"/>
      <c r="H3895" t="inlineStr">
        <is>
          <t>S007_EXCIPIENTS_HANDBOOK</t>
        </is>
      </c>
      <c r="I3895" t="inlineStr">
        <is>
          <t>handbook</t>
        </is>
      </c>
      <c r="J3895">
        <v>0.85</v>
      </c>
      <c r="K3895"/>
    </row>
    <row r="3896">
      <c r="A3896" t="inlineStr">
        <is>
          <t>SOLV_METHANOL</t>
        </is>
      </c>
      <c r="B3896" t="inlineStr">
        <is>
          <t>ICH_class</t>
        </is>
      </c>
      <c r="C3896" t="inlineStr">
        <is>
          <t>Class 2</t>
        </is>
      </c>
      <c r="D3896"/>
      <c r="E3896"/>
      <c r="F3896"/>
      <c r="G3896"/>
      <c r="H3896" t="inlineStr">
        <is>
          <t>S005_ICH_Q3C_R9</t>
        </is>
      </c>
      <c r="I3896" t="inlineStr">
        <is>
          <t>regulatory</t>
        </is>
      </c>
      <c r="J3896">
        <v>0.9</v>
      </c>
      <c r="K3896"/>
    </row>
    <row r="3897">
      <c r="A3897" t="inlineStr">
        <is>
          <t>SOLV_METHANOL</t>
        </is>
      </c>
      <c r="B3897" t="inlineStr">
        <is>
          <t>permitted_daily_exposure_if_available</t>
        </is>
      </c>
      <c r="C3897">
        <v>30</v>
      </c>
      <c r="D3897" t="inlineStr">
        <is>
          <t>mg/day</t>
        </is>
      </c>
      <c r="E3897"/>
      <c r="F3897"/>
      <c r="G3897"/>
      <c r="H3897" t="inlineStr">
        <is>
          <t>S005_ICH_Q3C_R9</t>
        </is>
      </c>
      <c r="I3897" t="inlineStr">
        <is>
          <t>regulatory</t>
        </is>
      </c>
      <c r="J3897">
        <v>0.85</v>
      </c>
      <c r="K3897"/>
    </row>
    <row r="3898">
      <c r="A3898" t="inlineStr">
        <is>
          <t>SOLV_METHANOL</t>
        </is>
      </c>
      <c r="B3898" t="inlineStr">
        <is>
          <t>Hansen_delta_D</t>
        </is>
      </c>
      <c r="C3898">
        <v>15.1</v>
      </c>
      <c r="D3898" t="inlineStr">
        <is>
          <t>MPa^0.5</t>
        </is>
      </c>
      <c r="E3898"/>
      <c r="F3898"/>
      <c r="G3898"/>
      <c r="H3898" t="inlineStr">
        <is>
          <t>S006_HANSEN_HANDBOOK</t>
        </is>
      </c>
      <c r="I3898" t="inlineStr">
        <is>
          <t>handbook</t>
        </is>
      </c>
      <c r="J3898">
        <v>0.8</v>
      </c>
      <c r="K3898"/>
    </row>
    <row r="3899">
      <c r="A3899" t="inlineStr">
        <is>
          <t>SOLV_METHANOL</t>
        </is>
      </c>
      <c r="B3899" t="inlineStr">
        <is>
          <t>Hansen_delta_P</t>
        </is>
      </c>
      <c r="C3899">
        <v>12.3</v>
      </c>
      <c r="D3899" t="inlineStr">
        <is>
          <t>MPa^0.5</t>
        </is>
      </c>
      <c r="E3899"/>
      <c r="F3899"/>
      <c r="G3899"/>
      <c r="H3899" t="inlineStr">
        <is>
          <t>S006_HANSEN_HANDBOOK</t>
        </is>
      </c>
      <c r="I3899" t="inlineStr">
        <is>
          <t>handbook</t>
        </is>
      </c>
      <c r="J3899">
        <v>0.8</v>
      </c>
      <c r="K3899"/>
    </row>
    <row r="3900">
      <c r="A3900" t="inlineStr">
        <is>
          <t>SOLV_METHANOL</t>
        </is>
      </c>
      <c r="B3900" t="inlineStr">
        <is>
          <t>Hansen_delta_H</t>
        </is>
      </c>
      <c r="C3900">
        <v>22.3</v>
      </c>
      <c r="D3900" t="inlineStr">
        <is>
          <t>MPa^0.5</t>
        </is>
      </c>
      <c r="E3900"/>
      <c r="F3900"/>
      <c r="G3900"/>
      <c r="H3900" t="inlineStr">
        <is>
          <t>S006_HANSEN_HANDBOOK</t>
        </is>
      </c>
      <c r="I3900" t="inlineStr">
        <is>
          <t>handbook</t>
        </is>
      </c>
      <c r="J3900">
        <v>0.8</v>
      </c>
      <c r="K3900"/>
    </row>
    <row r="3901">
      <c r="A3901" t="inlineStr">
        <is>
          <t>SOLV_METHANOL</t>
        </is>
      </c>
      <c r="B3901" t="inlineStr">
        <is>
          <t>Hildebrand_delta_T</t>
        </is>
      </c>
      <c r="C3901">
        <v>29.61</v>
      </c>
      <c r="D3901" t="inlineStr">
        <is>
          <t>MPa^0.5</t>
        </is>
      </c>
      <c r="E3901"/>
      <c r="F3901"/>
      <c r="G3901"/>
      <c r="H3901" t="inlineStr">
        <is>
          <t>S012_CALCULATED</t>
        </is>
      </c>
      <c r="I3901" t="inlineStr">
        <is>
          <t>calculated</t>
        </is>
      </c>
      <c r="J3901">
        <v>0.8</v>
      </c>
      <c r="K3901"/>
    </row>
    <row r="3902">
      <c r="A3902" t="inlineStr">
        <is>
          <t>SOLV_METHANOL</t>
        </is>
      </c>
      <c r="B3902" t="inlineStr">
        <is>
          <t>molar_volume_cm3_mol</t>
        </is>
      </c>
      <c r="C3902">
        <v>40.45</v>
      </c>
      <c r="D3902" t="inlineStr">
        <is>
          <t>cm3/mol</t>
        </is>
      </c>
      <c r="E3902"/>
      <c r="F3902"/>
      <c r="G3902" t="inlineStr">
        <is>
          <t>MW/density</t>
        </is>
      </c>
      <c r="H3902" t="inlineStr">
        <is>
          <t>S012_CALCULATED</t>
        </is>
      </c>
      <c r="I3902" t="inlineStr">
        <is>
          <t>calculated</t>
        </is>
      </c>
      <c r="J3902">
        <v>0.78</v>
      </c>
      <c r="K3902"/>
    </row>
    <row r="3903">
      <c r="A3903" t="inlineStr">
        <is>
          <t>SOLV_METHANOL</t>
        </is>
      </c>
      <c r="B3903" t="inlineStr">
        <is>
          <t>toxicity_penalty</t>
        </is>
      </c>
      <c r="C3903">
        <v>4</v>
      </c>
      <c r="D3903" t="inlineStr">
        <is>
          <t>ordinal 0-5</t>
        </is>
      </c>
      <c r="E3903"/>
      <c r="F3903"/>
      <c r="G3903"/>
      <c r="H3903" t="inlineStr">
        <is>
          <t>S005_ICH_Q3C_R9</t>
        </is>
      </c>
      <c r="I3903" t="inlineStr">
        <is>
          <t>curated</t>
        </is>
      </c>
      <c r="J3903">
        <v>0.72</v>
      </c>
      <c r="K3903"/>
    </row>
    <row r="3904">
      <c r="A3904" t="inlineStr">
        <is>
          <t>SOLV_METHANOL</t>
        </is>
      </c>
      <c r="B3904" t="inlineStr">
        <is>
          <t>residual_solvent_warning</t>
        </is>
      </c>
      <c r="C3904" t="inlineStr">
        <is>
          <t>avoid/strictly limit</t>
        </is>
      </c>
      <c r="D3904"/>
      <c r="E3904"/>
      <c r="F3904"/>
      <c r="G3904"/>
      <c r="H3904" t="inlineStr">
        <is>
          <t>S005_ICH_Q3C_R9</t>
        </is>
      </c>
      <c r="I3904" t="inlineStr">
        <is>
          <t>curated</t>
        </is>
      </c>
      <c r="J3904">
        <v>0.75</v>
      </c>
      <c r="K3904"/>
    </row>
    <row r="3905">
      <c r="A3905" t="inlineStr">
        <is>
          <t>SOLV_METHANOL</t>
        </is>
      </c>
      <c r="B3905" t="inlineStr">
        <is>
          <t>pulmonary_suitability</t>
        </is>
      </c>
      <c r="C3905" t="inlineStr">
        <is>
          <t>poor; toxic residual concern</t>
        </is>
      </c>
      <c r="D3905"/>
      <c r="E3905"/>
      <c r="F3905"/>
      <c r="G3905"/>
      <c r="H3905" t="inlineStr">
        <is>
          <t>S014_AULTON</t>
        </is>
      </c>
      <c r="I3905" t="inlineStr">
        <is>
          <t>curated</t>
        </is>
      </c>
      <c r="J3905">
        <v>0.55</v>
      </c>
      <c r="K3905"/>
    </row>
    <row r="3906">
      <c r="A3906" t="inlineStr">
        <is>
          <t>SOLV_METHANOL</t>
        </is>
      </c>
      <c r="B3906" t="inlineStr">
        <is>
          <t>route_suitability</t>
        </is>
      </c>
      <c r="C3906" t="inlineStr">
        <is>
          <t>process solvent only unless excipient grade and residual solvent justified</t>
        </is>
      </c>
      <c r="D3906"/>
      <c r="E3906"/>
      <c r="F3906"/>
      <c r="G3906"/>
      <c r="H3906" t="inlineStr">
        <is>
          <t>S005_ICH_Q3C_R9</t>
        </is>
      </c>
      <c r="I3906" t="inlineStr">
        <is>
          <t>curated</t>
        </is>
      </c>
      <c r="J3906">
        <v>0.7</v>
      </c>
      <c r="K3906"/>
    </row>
    <row r="3907">
      <c r="A3907" t="inlineStr">
        <is>
          <t>SOLV_ACETONE</t>
        </is>
      </c>
      <c r="B3907" t="inlineStr">
        <is>
          <t>molecular_weight_g_mol</t>
        </is>
      </c>
      <c r="C3907">
        <v>58.08</v>
      </c>
      <c r="D3907" t="inlineStr">
        <is>
          <t>g/mol</t>
        </is>
      </c>
      <c r="E3907"/>
      <c r="F3907"/>
      <c r="G3907"/>
      <c r="H3907" t="inlineStr">
        <is>
          <t>S001_PUBCHEM</t>
        </is>
      </c>
      <c r="I3907" t="inlineStr">
        <is>
          <t>database-derived</t>
        </is>
      </c>
      <c r="J3907">
        <v>0.9</v>
      </c>
      <c r="K3907"/>
    </row>
    <row r="3908">
      <c r="A3908" t="inlineStr">
        <is>
          <t>SOLV_ACETONE</t>
        </is>
      </c>
      <c r="B3908" t="inlineStr">
        <is>
          <t>density_g_ml</t>
        </is>
      </c>
      <c r="C3908">
        <v>0.785</v>
      </c>
      <c r="D3908" t="inlineStr">
        <is>
          <t>g/mL</t>
        </is>
      </c>
      <c r="E3908"/>
      <c r="F3908"/>
      <c r="G3908" t="inlineStr">
        <is>
          <t>20-25 °C</t>
        </is>
      </c>
      <c r="H3908" t="inlineStr">
        <is>
          <t>S007_EXCIPIENTS_HANDBOOK</t>
        </is>
      </c>
      <c r="I3908" t="inlineStr">
        <is>
          <t>handbook</t>
        </is>
      </c>
      <c r="J3908">
        <v>0.82</v>
      </c>
      <c r="K3908"/>
    </row>
    <row r="3909">
      <c r="A3909" t="inlineStr">
        <is>
          <t>SOLV_ACETONE</t>
        </is>
      </c>
      <c r="B3909" t="inlineStr">
        <is>
          <t>boiling_point_C</t>
        </is>
      </c>
      <c r="C3909">
        <v>56.1</v>
      </c>
      <c r="D3909" t="inlineStr">
        <is>
          <t>°C</t>
        </is>
      </c>
      <c r="E3909"/>
      <c r="F3909"/>
      <c r="G3909"/>
      <c r="H3909" t="inlineStr">
        <is>
          <t>S001_PUBCHEM</t>
        </is>
      </c>
      <c r="I3909" t="inlineStr">
        <is>
          <t>handbook</t>
        </is>
      </c>
      <c r="J3909">
        <v>0.88</v>
      </c>
      <c r="K3909"/>
    </row>
    <row r="3910">
      <c r="A3910" t="inlineStr">
        <is>
          <t>SOLV_ACETONE</t>
        </is>
      </c>
      <c r="B3910" t="inlineStr">
        <is>
          <t>melting_point_C</t>
        </is>
      </c>
      <c r="C3910">
        <v>-94.7</v>
      </c>
      <c r="D3910" t="inlineStr">
        <is>
          <t>°C</t>
        </is>
      </c>
      <c r="E3910"/>
      <c r="F3910"/>
      <c r="G3910"/>
      <c r="H3910" t="inlineStr">
        <is>
          <t>S001_PUBCHEM</t>
        </is>
      </c>
      <c r="I3910" t="inlineStr">
        <is>
          <t>handbook</t>
        </is>
      </c>
      <c r="J3910">
        <v>0.88</v>
      </c>
      <c r="K3910"/>
    </row>
    <row r="3911">
      <c r="A3911" t="inlineStr">
        <is>
          <t>SOLV_ACETONE</t>
        </is>
      </c>
      <c r="B3911" t="inlineStr">
        <is>
          <t>dielectric_constant</t>
        </is>
      </c>
      <c r="C3911">
        <v>20.7</v>
      </c>
      <c r="D3911"/>
      <c r="E3911"/>
      <c r="F3911"/>
      <c r="G3911" t="inlineStr">
        <is>
          <t>20-25 °C approximate</t>
        </is>
      </c>
      <c r="H3911" t="inlineStr">
        <is>
          <t>S007_EXCIPIENTS_HANDBOOK</t>
        </is>
      </c>
      <c r="I3911" t="inlineStr">
        <is>
          <t>handbook</t>
        </is>
      </c>
      <c r="J3911">
        <v>0.75</v>
      </c>
      <c r="K3911"/>
    </row>
    <row r="3912">
      <c r="A3912" t="inlineStr">
        <is>
          <t>SOLV_ACETONE</t>
        </is>
      </c>
      <c r="B3912" t="inlineStr">
        <is>
          <t>polarity_index</t>
        </is>
      </c>
      <c r="C3912">
        <v>5.1</v>
      </c>
      <c r="D3912"/>
      <c r="E3912"/>
      <c r="F3912"/>
      <c r="G3912"/>
      <c r="H3912" t="inlineStr">
        <is>
          <t>S006_HANSEN_HANDBOOK</t>
        </is>
      </c>
      <c r="I3912" t="inlineStr">
        <is>
          <t>handbook</t>
        </is>
      </c>
      <c r="J3912">
        <v>0.7</v>
      </c>
      <c r="K3912"/>
    </row>
    <row r="3913">
      <c r="A3913" t="inlineStr">
        <is>
          <t>SOLV_ACETONE</t>
        </is>
      </c>
      <c r="B3913" t="inlineStr">
        <is>
          <t>water_miscibility</t>
        </is>
      </c>
      <c r="C3913" t="inlineStr">
        <is>
          <t>miscible</t>
        </is>
      </c>
      <c r="D3913"/>
      <c r="E3913"/>
      <c r="F3913"/>
      <c r="G3913"/>
      <c r="H3913" t="inlineStr">
        <is>
          <t>S007_EXCIPIENTS_HANDBOOK</t>
        </is>
      </c>
      <c r="I3913" t="inlineStr">
        <is>
          <t>handbook</t>
        </is>
      </c>
      <c r="J3913">
        <v>0.85</v>
      </c>
      <c r="K3913"/>
    </row>
    <row r="3914">
      <c r="A3914" t="inlineStr">
        <is>
          <t>SOLV_ACETONE</t>
        </is>
      </c>
      <c r="B3914" t="inlineStr">
        <is>
          <t>ICH_class</t>
        </is>
      </c>
      <c r="C3914" t="inlineStr">
        <is>
          <t>Class 3</t>
        </is>
      </c>
      <c r="D3914"/>
      <c r="E3914"/>
      <c r="F3914"/>
      <c r="G3914"/>
      <c r="H3914" t="inlineStr">
        <is>
          <t>S005_ICH_Q3C_R9</t>
        </is>
      </c>
      <c r="I3914" t="inlineStr">
        <is>
          <t>regulatory</t>
        </is>
      </c>
      <c r="J3914">
        <v>0.9</v>
      </c>
      <c r="K3914"/>
    </row>
    <row r="3915">
      <c r="A3915" t="inlineStr">
        <is>
          <t>SOLV_ACETONE</t>
        </is>
      </c>
      <c r="B3915" t="inlineStr">
        <is>
          <t>permitted_daily_exposure_if_available</t>
        </is>
      </c>
      <c r="C3915">
        <v>50</v>
      </c>
      <c r="D3915" t="inlineStr">
        <is>
          <t>mg/day</t>
        </is>
      </c>
      <c r="E3915"/>
      <c r="F3915"/>
      <c r="G3915"/>
      <c r="H3915" t="inlineStr">
        <is>
          <t>S005_ICH_Q3C_R9</t>
        </is>
      </c>
      <c r="I3915" t="inlineStr">
        <is>
          <t>regulatory</t>
        </is>
      </c>
      <c r="J3915">
        <v>0.85</v>
      </c>
      <c r="K3915"/>
    </row>
    <row r="3916">
      <c r="A3916" t="inlineStr">
        <is>
          <t>SOLV_ACETONE</t>
        </is>
      </c>
      <c r="B3916" t="inlineStr">
        <is>
          <t>Hansen_delta_D</t>
        </is>
      </c>
      <c r="C3916">
        <v>15.5</v>
      </c>
      <c r="D3916" t="inlineStr">
        <is>
          <t>MPa^0.5</t>
        </is>
      </c>
      <c r="E3916"/>
      <c r="F3916"/>
      <c r="G3916"/>
      <c r="H3916" t="inlineStr">
        <is>
          <t>S006_HANSEN_HANDBOOK</t>
        </is>
      </c>
      <c r="I3916" t="inlineStr">
        <is>
          <t>handbook</t>
        </is>
      </c>
      <c r="J3916">
        <v>0.8</v>
      </c>
      <c r="K3916"/>
    </row>
    <row r="3917">
      <c r="A3917" t="inlineStr">
        <is>
          <t>SOLV_ACETONE</t>
        </is>
      </c>
      <c r="B3917" t="inlineStr">
        <is>
          <t>Hansen_delta_P</t>
        </is>
      </c>
      <c r="C3917">
        <v>10.4</v>
      </c>
      <c r="D3917" t="inlineStr">
        <is>
          <t>MPa^0.5</t>
        </is>
      </c>
      <c r="E3917"/>
      <c r="F3917"/>
      <c r="G3917"/>
      <c r="H3917" t="inlineStr">
        <is>
          <t>S006_HANSEN_HANDBOOK</t>
        </is>
      </c>
      <c r="I3917" t="inlineStr">
        <is>
          <t>handbook</t>
        </is>
      </c>
      <c r="J3917">
        <v>0.8</v>
      </c>
      <c r="K3917"/>
    </row>
    <row r="3918">
      <c r="A3918" t="inlineStr">
        <is>
          <t>SOLV_ACETONE</t>
        </is>
      </c>
      <c r="B3918" t="inlineStr">
        <is>
          <t>Hansen_delta_H</t>
        </is>
      </c>
      <c r="C3918">
        <v>7.0</v>
      </c>
      <c r="D3918" t="inlineStr">
        <is>
          <t>MPa^0.5</t>
        </is>
      </c>
      <c r="E3918"/>
      <c r="F3918"/>
      <c r="G3918"/>
      <c r="H3918" t="inlineStr">
        <is>
          <t>S006_HANSEN_HANDBOOK</t>
        </is>
      </c>
      <c r="I3918" t="inlineStr">
        <is>
          <t>handbook</t>
        </is>
      </c>
      <c r="J3918">
        <v>0.8</v>
      </c>
      <c r="K3918"/>
    </row>
    <row r="3919">
      <c r="A3919" t="inlineStr">
        <is>
          <t>SOLV_ACETONE</t>
        </is>
      </c>
      <c r="B3919" t="inlineStr">
        <is>
          <t>Hildebrand_delta_T</t>
        </is>
      </c>
      <c r="C3919">
        <v>19.94</v>
      </c>
      <c r="D3919" t="inlineStr">
        <is>
          <t>MPa^0.5</t>
        </is>
      </c>
      <c r="E3919"/>
      <c r="F3919"/>
      <c r="G3919"/>
      <c r="H3919" t="inlineStr">
        <is>
          <t>S012_CALCULATED</t>
        </is>
      </c>
      <c r="I3919" t="inlineStr">
        <is>
          <t>calculated</t>
        </is>
      </c>
      <c r="J3919">
        <v>0.8</v>
      </c>
      <c r="K3919"/>
    </row>
    <row r="3920">
      <c r="A3920" t="inlineStr">
        <is>
          <t>SOLV_ACETONE</t>
        </is>
      </c>
      <c r="B3920" t="inlineStr">
        <is>
          <t>molar_volume_cm3_mol</t>
        </is>
      </c>
      <c r="C3920">
        <v>73.99</v>
      </c>
      <c r="D3920" t="inlineStr">
        <is>
          <t>cm3/mol</t>
        </is>
      </c>
      <c r="E3920"/>
      <c r="F3920"/>
      <c r="G3920" t="inlineStr">
        <is>
          <t>MW/density</t>
        </is>
      </c>
      <c r="H3920" t="inlineStr">
        <is>
          <t>S012_CALCULATED</t>
        </is>
      </c>
      <c r="I3920" t="inlineStr">
        <is>
          <t>calculated</t>
        </is>
      </c>
      <c r="J3920">
        <v>0.78</v>
      </c>
      <c r="K3920"/>
    </row>
    <row r="3921">
      <c r="A3921" t="inlineStr">
        <is>
          <t>SOLV_ACETONE</t>
        </is>
      </c>
      <c r="B3921" t="inlineStr">
        <is>
          <t>toxicity_penalty</t>
        </is>
      </c>
      <c r="C3921">
        <v>1</v>
      </c>
      <c r="D3921" t="inlineStr">
        <is>
          <t>ordinal 0-5</t>
        </is>
      </c>
      <c r="E3921"/>
      <c r="F3921"/>
      <c r="G3921"/>
      <c r="H3921" t="inlineStr">
        <is>
          <t>S005_ICH_Q3C_R9</t>
        </is>
      </c>
      <c r="I3921" t="inlineStr">
        <is>
          <t>curated</t>
        </is>
      </c>
      <c r="J3921">
        <v>0.72</v>
      </c>
      <c r="K3921"/>
    </row>
    <row r="3922">
      <c r="A3922" t="inlineStr">
        <is>
          <t>SOLV_ACETONE</t>
        </is>
      </c>
      <c r="B3922" t="inlineStr">
        <is>
          <t>residual_solvent_warning</t>
        </is>
      </c>
      <c r="C3922" t="inlineStr">
        <is>
          <t>low toxic potential under ICH Class 3 limits</t>
        </is>
      </c>
      <c r="D3922"/>
      <c r="E3922"/>
      <c r="F3922"/>
      <c r="G3922"/>
      <c r="H3922" t="inlineStr">
        <is>
          <t>S005_ICH_Q3C_R9</t>
        </is>
      </c>
      <c r="I3922" t="inlineStr">
        <is>
          <t>curated</t>
        </is>
      </c>
      <c r="J3922">
        <v>0.75</v>
      </c>
      <c r="K3922"/>
    </row>
    <row r="3923">
      <c r="A3923" t="inlineStr">
        <is>
          <t>SOLV_ACETONE</t>
        </is>
      </c>
      <c r="B3923" t="inlineStr">
        <is>
          <t>pulmonary_suitability</t>
        </is>
      </c>
      <c r="C3923" t="inlineStr">
        <is>
          <t>poor; process solvent only</t>
        </is>
      </c>
      <c r="D3923"/>
      <c r="E3923"/>
      <c r="F3923"/>
      <c r="G3923"/>
      <c r="H3923" t="inlineStr">
        <is>
          <t>S014_AULTON</t>
        </is>
      </c>
      <c r="I3923" t="inlineStr">
        <is>
          <t>curated</t>
        </is>
      </c>
      <c r="J3923">
        <v>0.55</v>
      </c>
      <c r="K3923"/>
    </row>
    <row r="3924">
      <c r="A3924" t="inlineStr">
        <is>
          <t>SOLV_ACETONE</t>
        </is>
      </c>
      <c r="B3924" t="inlineStr">
        <is>
          <t>route_suitability</t>
        </is>
      </c>
      <c r="C3924" t="inlineStr">
        <is>
          <t>process solvent only unless excipient grade and residual solvent justified</t>
        </is>
      </c>
      <c r="D3924"/>
      <c r="E3924"/>
      <c r="F3924"/>
      <c r="G3924"/>
      <c r="H3924" t="inlineStr">
        <is>
          <t>S005_ICH_Q3C_R9</t>
        </is>
      </c>
      <c r="I3924" t="inlineStr">
        <is>
          <t>curated</t>
        </is>
      </c>
      <c r="J3924">
        <v>0.7</v>
      </c>
      <c r="K3924"/>
    </row>
    <row r="3925">
      <c r="A3925" t="inlineStr">
        <is>
          <t>SOLV_ETHYL_ACETATE</t>
        </is>
      </c>
      <c r="B3925" t="inlineStr">
        <is>
          <t>molecular_weight_g_mol</t>
        </is>
      </c>
      <c r="C3925">
        <v>88.11</v>
      </c>
      <c r="D3925" t="inlineStr">
        <is>
          <t>g/mol</t>
        </is>
      </c>
      <c r="E3925"/>
      <c r="F3925"/>
      <c r="G3925"/>
      <c r="H3925" t="inlineStr">
        <is>
          <t>S001_PUBCHEM</t>
        </is>
      </c>
      <c r="I3925" t="inlineStr">
        <is>
          <t>database-derived</t>
        </is>
      </c>
      <c r="J3925">
        <v>0.9</v>
      </c>
      <c r="K3925"/>
    </row>
    <row r="3926">
      <c r="A3926" t="inlineStr">
        <is>
          <t>SOLV_ETHYL_ACETATE</t>
        </is>
      </c>
      <c r="B3926" t="inlineStr">
        <is>
          <t>density_g_ml</t>
        </is>
      </c>
      <c r="C3926">
        <v>0.902</v>
      </c>
      <c r="D3926" t="inlineStr">
        <is>
          <t>g/mL</t>
        </is>
      </c>
      <c r="E3926"/>
      <c r="F3926"/>
      <c r="G3926" t="inlineStr">
        <is>
          <t>20-25 °C</t>
        </is>
      </c>
      <c r="H3926" t="inlineStr">
        <is>
          <t>S007_EXCIPIENTS_HANDBOOK</t>
        </is>
      </c>
      <c r="I3926" t="inlineStr">
        <is>
          <t>handbook</t>
        </is>
      </c>
      <c r="J3926">
        <v>0.82</v>
      </c>
      <c r="K3926"/>
    </row>
    <row r="3927">
      <c r="A3927" t="inlineStr">
        <is>
          <t>SOLV_ETHYL_ACETATE</t>
        </is>
      </c>
      <c r="B3927" t="inlineStr">
        <is>
          <t>boiling_point_C</t>
        </is>
      </c>
      <c r="C3927">
        <v>77.1</v>
      </c>
      <c r="D3927" t="inlineStr">
        <is>
          <t>°C</t>
        </is>
      </c>
      <c r="E3927"/>
      <c r="F3927"/>
      <c r="G3927"/>
      <c r="H3927" t="inlineStr">
        <is>
          <t>S001_PUBCHEM</t>
        </is>
      </c>
      <c r="I3927" t="inlineStr">
        <is>
          <t>handbook</t>
        </is>
      </c>
      <c r="J3927">
        <v>0.88</v>
      </c>
      <c r="K3927"/>
    </row>
    <row r="3928">
      <c r="A3928" t="inlineStr">
        <is>
          <t>SOLV_ETHYL_ACETATE</t>
        </is>
      </c>
      <c r="B3928" t="inlineStr">
        <is>
          <t>melting_point_C</t>
        </is>
      </c>
      <c r="C3928">
        <v>-83.6</v>
      </c>
      <c r="D3928" t="inlineStr">
        <is>
          <t>°C</t>
        </is>
      </c>
      <c r="E3928"/>
      <c r="F3928"/>
      <c r="G3928"/>
      <c r="H3928" t="inlineStr">
        <is>
          <t>S001_PUBCHEM</t>
        </is>
      </c>
      <c r="I3928" t="inlineStr">
        <is>
          <t>handbook</t>
        </is>
      </c>
      <c r="J3928">
        <v>0.88</v>
      </c>
      <c r="K3928"/>
    </row>
    <row r="3929">
      <c r="A3929" t="inlineStr">
        <is>
          <t>SOLV_ETHYL_ACETATE</t>
        </is>
      </c>
      <c r="B3929" t="inlineStr">
        <is>
          <t>dielectric_constant</t>
        </is>
      </c>
      <c r="C3929">
        <v>6.0</v>
      </c>
      <c r="D3929"/>
      <c r="E3929"/>
      <c r="F3929"/>
      <c r="G3929" t="inlineStr">
        <is>
          <t>20-25 °C approximate</t>
        </is>
      </c>
      <c r="H3929" t="inlineStr">
        <is>
          <t>S007_EXCIPIENTS_HANDBOOK</t>
        </is>
      </c>
      <c r="I3929" t="inlineStr">
        <is>
          <t>handbook</t>
        </is>
      </c>
      <c r="J3929">
        <v>0.75</v>
      </c>
      <c r="K3929"/>
    </row>
    <row r="3930">
      <c r="A3930" t="inlineStr">
        <is>
          <t>SOLV_ETHYL_ACETATE</t>
        </is>
      </c>
      <c r="B3930" t="inlineStr">
        <is>
          <t>polarity_index</t>
        </is>
      </c>
      <c r="C3930">
        <v>4.4</v>
      </c>
      <c r="D3930"/>
      <c r="E3930"/>
      <c r="F3930"/>
      <c r="G3930"/>
      <c r="H3930" t="inlineStr">
        <is>
          <t>S006_HANSEN_HANDBOOK</t>
        </is>
      </c>
      <c r="I3930" t="inlineStr">
        <is>
          <t>handbook</t>
        </is>
      </c>
      <c r="J3930">
        <v>0.7</v>
      </c>
      <c r="K3930"/>
    </row>
    <row r="3931">
      <c r="A3931" t="inlineStr">
        <is>
          <t>SOLV_ETHYL_ACETATE</t>
        </is>
      </c>
      <c r="B3931" t="inlineStr">
        <is>
          <t>water_miscibility</t>
        </is>
      </c>
      <c r="C3931" t="inlineStr">
        <is>
          <t>slightly miscible</t>
        </is>
      </c>
      <c r="D3931"/>
      <c r="E3931"/>
      <c r="F3931"/>
      <c r="G3931"/>
      <c r="H3931" t="inlineStr">
        <is>
          <t>S007_EXCIPIENTS_HANDBOOK</t>
        </is>
      </c>
      <c r="I3931" t="inlineStr">
        <is>
          <t>handbook</t>
        </is>
      </c>
      <c r="J3931">
        <v>0.85</v>
      </c>
      <c r="K3931"/>
    </row>
    <row r="3932">
      <c r="A3932" t="inlineStr">
        <is>
          <t>SOLV_ETHYL_ACETATE</t>
        </is>
      </c>
      <c r="B3932" t="inlineStr">
        <is>
          <t>ICH_class</t>
        </is>
      </c>
      <c r="C3932" t="inlineStr">
        <is>
          <t>Class 3</t>
        </is>
      </c>
      <c r="D3932"/>
      <c r="E3932"/>
      <c r="F3932"/>
      <c r="G3932"/>
      <c r="H3932" t="inlineStr">
        <is>
          <t>S005_ICH_Q3C_R9</t>
        </is>
      </c>
      <c r="I3932" t="inlineStr">
        <is>
          <t>regulatory</t>
        </is>
      </c>
      <c r="J3932">
        <v>0.9</v>
      </c>
      <c r="K3932"/>
    </row>
    <row r="3933">
      <c r="A3933" t="inlineStr">
        <is>
          <t>SOLV_ETHYL_ACETATE</t>
        </is>
      </c>
      <c r="B3933" t="inlineStr">
        <is>
          <t>permitted_daily_exposure_if_available</t>
        </is>
      </c>
      <c r="C3933">
        <v>50</v>
      </c>
      <c r="D3933" t="inlineStr">
        <is>
          <t>mg/day</t>
        </is>
      </c>
      <c r="E3933"/>
      <c r="F3933"/>
      <c r="G3933"/>
      <c r="H3933" t="inlineStr">
        <is>
          <t>S005_ICH_Q3C_R9</t>
        </is>
      </c>
      <c r="I3933" t="inlineStr">
        <is>
          <t>regulatory</t>
        </is>
      </c>
      <c r="J3933">
        <v>0.85</v>
      </c>
      <c r="K3933"/>
    </row>
    <row r="3934">
      <c r="A3934" t="inlineStr">
        <is>
          <t>SOLV_ETHYL_ACETATE</t>
        </is>
      </c>
      <c r="B3934" t="inlineStr">
        <is>
          <t>Hansen_delta_D</t>
        </is>
      </c>
      <c r="C3934">
        <v>15.8</v>
      </c>
      <c r="D3934" t="inlineStr">
        <is>
          <t>MPa^0.5</t>
        </is>
      </c>
      <c r="E3934"/>
      <c r="F3934"/>
      <c r="G3934"/>
      <c r="H3934" t="inlineStr">
        <is>
          <t>S006_HANSEN_HANDBOOK</t>
        </is>
      </c>
      <c r="I3934" t="inlineStr">
        <is>
          <t>handbook</t>
        </is>
      </c>
      <c r="J3934">
        <v>0.8</v>
      </c>
      <c r="K3934"/>
    </row>
    <row r="3935">
      <c r="A3935" t="inlineStr">
        <is>
          <t>SOLV_ETHYL_ACETATE</t>
        </is>
      </c>
      <c r="B3935" t="inlineStr">
        <is>
          <t>Hansen_delta_P</t>
        </is>
      </c>
      <c r="C3935">
        <v>5.3</v>
      </c>
      <c r="D3935" t="inlineStr">
        <is>
          <t>MPa^0.5</t>
        </is>
      </c>
      <c r="E3935"/>
      <c r="F3935"/>
      <c r="G3935"/>
      <c r="H3935" t="inlineStr">
        <is>
          <t>S006_HANSEN_HANDBOOK</t>
        </is>
      </c>
      <c r="I3935" t="inlineStr">
        <is>
          <t>handbook</t>
        </is>
      </c>
      <c r="J3935">
        <v>0.8</v>
      </c>
      <c r="K3935"/>
    </row>
    <row r="3936">
      <c r="A3936" t="inlineStr">
        <is>
          <t>SOLV_ETHYL_ACETATE</t>
        </is>
      </c>
      <c r="B3936" t="inlineStr">
        <is>
          <t>Hansen_delta_H</t>
        </is>
      </c>
      <c r="C3936">
        <v>7.2</v>
      </c>
      <c r="D3936" t="inlineStr">
        <is>
          <t>MPa^0.5</t>
        </is>
      </c>
      <c r="E3936"/>
      <c r="F3936"/>
      <c r="G3936"/>
      <c r="H3936" t="inlineStr">
        <is>
          <t>S006_HANSEN_HANDBOOK</t>
        </is>
      </c>
      <c r="I3936" t="inlineStr">
        <is>
          <t>handbook</t>
        </is>
      </c>
      <c r="J3936">
        <v>0.8</v>
      </c>
      <c r="K3936"/>
    </row>
    <row r="3937">
      <c r="A3937" t="inlineStr">
        <is>
          <t>SOLV_ETHYL_ACETATE</t>
        </is>
      </c>
      <c r="B3937" t="inlineStr">
        <is>
          <t>Hildebrand_delta_T</t>
        </is>
      </c>
      <c r="C3937">
        <v>18.15</v>
      </c>
      <c r="D3937" t="inlineStr">
        <is>
          <t>MPa^0.5</t>
        </is>
      </c>
      <c r="E3937"/>
      <c r="F3937"/>
      <c r="G3937"/>
      <c r="H3937" t="inlineStr">
        <is>
          <t>S012_CALCULATED</t>
        </is>
      </c>
      <c r="I3937" t="inlineStr">
        <is>
          <t>calculated</t>
        </is>
      </c>
      <c r="J3937">
        <v>0.8</v>
      </c>
      <c r="K3937"/>
    </row>
    <row r="3938">
      <c r="A3938" t="inlineStr">
        <is>
          <t>SOLV_ETHYL_ACETATE</t>
        </is>
      </c>
      <c r="B3938" t="inlineStr">
        <is>
          <t>molar_volume_cm3_mol</t>
        </is>
      </c>
      <c r="C3938">
        <v>97.68</v>
      </c>
      <c r="D3938" t="inlineStr">
        <is>
          <t>cm3/mol</t>
        </is>
      </c>
      <c r="E3938"/>
      <c r="F3938"/>
      <c r="G3938" t="inlineStr">
        <is>
          <t>MW/density</t>
        </is>
      </c>
      <c r="H3938" t="inlineStr">
        <is>
          <t>S012_CALCULATED</t>
        </is>
      </c>
      <c r="I3938" t="inlineStr">
        <is>
          <t>calculated</t>
        </is>
      </c>
      <c r="J3938">
        <v>0.78</v>
      </c>
      <c r="K3938"/>
    </row>
    <row r="3939">
      <c r="A3939" t="inlineStr">
        <is>
          <t>SOLV_ETHYL_ACETATE</t>
        </is>
      </c>
      <c r="B3939" t="inlineStr">
        <is>
          <t>toxicity_penalty</t>
        </is>
      </c>
      <c r="C3939">
        <v>1</v>
      </c>
      <c r="D3939" t="inlineStr">
        <is>
          <t>ordinal 0-5</t>
        </is>
      </c>
      <c r="E3939"/>
      <c r="F3939"/>
      <c r="G3939"/>
      <c r="H3939" t="inlineStr">
        <is>
          <t>S005_ICH_Q3C_R9</t>
        </is>
      </c>
      <c r="I3939" t="inlineStr">
        <is>
          <t>curated</t>
        </is>
      </c>
      <c r="J3939">
        <v>0.72</v>
      </c>
      <c r="K3939"/>
    </row>
    <row r="3940">
      <c r="A3940" t="inlineStr">
        <is>
          <t>SOLV_ETHYL_ACETATE</t>
        </is>
      </c>
      <c r="B3940" t="inlineStr">
        <is>
          <t>residual_solvent_warning</t>
        </is>
      </c>
      <c r="C3940" t="inlineStr">
        <is>
          <t>low toxic potential under ICH Class 3 limits</t>
        </is>
      </c>
      <c r="D3940"/>
      <c r="E3940"/>
      <c r="F3940"/>
      <c r="G3940"/>
      <c r="H3940" t="inlineStr">
        <is>
          <t>S005_ICH_Q3C_R9</t>
        </is>
      </c>
      <c r="I3940" t="inlineStr">
        <is>
          <t>curated</t>
        </is>
      </c>
      <c r="J3940">
        <v>0.75</v>
      </c>
      <c r="K3940"/>
    </row>
    <row r="3941">
      <c r="A3941" t="inlineStr">
        <is>
          <t>SOLV_ETHYL_ACETATE</t>
        </is>
      </c>
      <c r="B3941" t="inlineStr">
        <is>
          <t>pulmonary_suitability</t>
        </is>
      </c>
      <c r="C3941" t="inlineStr">
        <is>
          <t>poor; process solvent only</t>
        </is>
      </c>
      <c r="D3941"/>
      <c r="E3941"/>
      <c r="F3941"/>
      <c r="G3941"/>
      <c r="H3941" t="inlineStr">
        <is>
          <t>S014_AULTON</t>
        </is>
      </c>
      <c r="I3941" t="inlineStr">
        <is>
          <t>curated</t>
        </is>
      </c>
      <c r="J3941">
        <v>0.55</v>
      </c>
      <c r="K3941"/>
    </row>
    <row r="3942">
      <c r="A3942" t="inlineStr">
        <is>
          <t>SOLV_ETHYL_ACETATE</t>
        </is>
      </c>
      <c r="B3942" t="inlineStr">
        <is>
          <t>route_suitability</t>
        </is>
      </c>
      <c r="C3942" t="inlineStr">
        <is>
          <t>process solvent only unless excipient grade and residual solvent justified</t>
        </is>
      </c>
      <c r="D3942"/>
      <c r="E3942"/>
      <c r="F3942"/>
      <c r="G3942"/>
      <c r="H3942" t="inlineStr">
        <is>
          <t>S005_ICH_Q3C_R9</t>
        </is>
      </c>
      <c r="I3942" t="inlineStr">
        <is>
          <t>curated</t>
        </is>
      </c>
      <c r="J3942">
        <v>0.7</v>
      </c>
      <c r="K3942"/>
    </row>
    <row r="3943">
      <c r="A3943" t="inlineStr">
        <is>
          <t>SOLV_CHLOROFORM</t>
        </is>
      </c>
      <c r="B3943" t="inlineStr">
        <is>
          <t>molecular_weight_g_mol</t>
        </is>
      </c>
      <c r="C3943">
        <v>119.38</v>
      </c>
      <c r="D3943" t="inlineStr">
        <is>
          <t>g/mol</t>
        </is>
      </c>
      <c r="E3943"/>
      <c r="F3943"/>
      <c r="G3943"/>
      <c r="H3943" t="inlineStr">
        <is>
          <t>S001_PUBCHEM</t>
        </is>
      </c>
      <c r="I3943" t="inlineStr">
        <is>
          <t>database-derived</t>
        </is>
      </c>
      <c r="J3943">
        <v>0.9</v>
      </c>
      <c r="K3943"/>
    </row>
    <row r="3944">
      <c r="A3944" t="inlineStr">
        <is>
          <t>SOLV_CHLOROFORM</t>
        </is>
      </c>
      <c r="B3944" t="inlineStr">
        <is>
          <t>density_g_ml</t>
        </is>
      </c>
      <c r="C3944">
        <v>1.489</v>
      </c>
      <c r="D3944" t="inlineStr">
        <is>
          <t>g/mL</t>
        </is>
      </c>
      <c r="E3944"/>
      <c r="F3944"/>
      <c r="G3944" t="inlineStr">
        <is>
          <t>20-25 °C</t>
        </is>
      </c>
      <c r="H3944" t="inlineStr">
        <is>
          <t>S007_EXCIPIENTS_HANDBOOK</t>
        </is>
      </c>
      <c r="I3944" t="inlineStr">
        <is>
          <t>handbook</t>
        </is>
      </c>
      <c r="J3944">
        <v>0.82</v>
      </c>
      <c r="K3944"/>
    </row>
    <row r="3945">
      <c r="A3945" t="inlineStr">
        <is>
          <t>SOLV_CHLOROFORM</t>
        </is>
      </c>
      <c r="B3945" t="inlineStr">
        <is>
          <t>boiling_point_C</t>
        </is>
      </c>
      <c r="C3945">
        <v>61.2</v>
      </c>
      <c r="D3945" t="inlineStr">
        <is>
          <t>°C</t>
        </is>
      </c>
      <c r="E3945"/>
      <c r="F3945"/>
      <c r="G3945"/>
      <c r="H3945" t="inlineStr">
        <is>
          <t>S001_PUBCHEM</t>
        </is>
      </c>
      <c r="I3945" t="inlineStr">
        <is>
          <t>handbook</t>
        </is>
      </c>
      <c r="J3945">
        <v>0.88</v>
      </c>
      <c r="K3945"/>
    </row>
    <row r="3946">
      <c r="A3946" t="inlineStr">
        <is>
          <t>SOLV_CHLOROFORM</t>
        </is>
      </c>
      <c r="B3946" t="inlineStr">
        <is>
          <t>melting_point_C</t>
        </is>
      </c>
      <c r="C3946">
        <v>-63.5</v>
      </c>
      <c r="D3946" t="inlineStr">
        <is>
          <t>°C</t>
        </is>
      </c>
      <c r="E3946"/>
      <c r="F3946"/>
      <c r="G3946"/>
      <c r="H3946" t="inlineStr">
        <is>
          <t>S001_PUBCHEM</t>
        </is>
      </c>
      <c r="I3946" t="inlineStr">
        <is>
          <t>handbook</t>
        </is>
      </c>
      <c r="J3946">
        <v>0.88</v>
      </c>
      <c r="K3946"/>
    </row>
    <row r="3947">
      <c r="A3947" t="inlineStr">
        <is>
          <t>SOLV_CHLOROFORM</t>
        </is>
      </c>
      <c r="B3947" t="inlineStr">
        <is>
          <t>dielectric_constant</t>
        </is>
      </c>
      <c r="C3947">
        <v>4.8</v>
      </c>
      <c r="D3947"/>
      <c r="E3947"/>
      <c r="F3947"/>
      <c r="G3947" t="inlineStr">
        <is>
          <t>20-25 °C approximate</t>
        </is>
      </c>
      <c r="H3947" t="inlineStr">
        <is>
          <t>S007_EXCIPIENTS_HANDBOOK</t>
        </is>
      </c>
      <c r="I3947" t="inlineStr">
        <is>
          <t>handbook</t>
        </is>
      </c>
      <c r="J3947">
        <v>0.75</v>
      </c>
      <c r="K3947"/>
    </row>
    <row r="3948">
      <c r="A3948" t="inlineStr">
        <is>
          <t>SOLV_CHLOROFORM</t>
        </is>
      </c>
      <c r="B3948" t="inlineStr">
        <is>
          <t>polarity_index</t>
        </is>
      </c>
      <c r="C3948">
        <v>4.1</v>
      </c>
      <c r="D3948"/>
      <c r="E3948"/>
      <c r="F3948"/>
      <c r="G3948"/>
      <c r="H3948" t="inlineStr">
        <is>
          <t>S006_HANSEN_HANDBOOK</t>
        </is>
      </c>
      <c r="I3948" t="inlineStr">
        <is>
          <t>handbook</t>
        </is>
      </c>
      <c r="J3948">
        <v>0.7</v>
      </c>
      <c r="K3948"/>
    </row>
    <row r="3949">
      <c r="A3949" t="inlineStr">
        <is>
          <t>SOLV_CHLOROFORM</t>
        </is>
      </c>
      <c r="B3949" t="inlineStr">
        <is>
          <t>water_miscibility</t>
        </is>
      </c>
      <c r="C3949" t="inlineStr">
        <is>
          <t>slightly soluble</t>
        </is>
      </c>
      <c r="D3949"/>
      <c r="E3949"/>
      <c r="F3949"/>
      <c r="G3949"/>
      <c r="H3949" t="inlineStr">
        <is>
          <t>S007_EXCIPIENTS_HANDBOOK</t>
        </is>
      </c>
      <c r="I3949" t="inlineStr">
        <is>
          <t>handbook</t>
        </is>
      </c>
      <c r="J3949">
        <v>0.85</v>
      </c>
      <c r="K3949"/>
    </row>
    <row r="3950">
      <c r="A3950" t="inlineStr">
        <is>
          <t>SOLV_CHLOROFORM</t>
        </is>
      </c>
      <c r="B3950" t="inlineStr">
        <is>
          <t>ICH_class</t>
        </is>
      </c>
      <c r="C3950" t="inlineStr">
        <is>
          <t>Class 2</t>
        </is>
      </c>
      <c r="D3950"/>
      <c r="E3950"/>
      <c r="F3950"/>
      <c r="G3950"/>
      <c r="H3950" t="inlineStr">
        <is>
          <t>S005_ICH_Q3C_R9</t>
        </is>
      </c>
      <c r="I3950" t="inlineStr">
        <is>
          <t>regulatory</t>
        </is>
      </c>
      <c r="J3950">
        <v>0.9</v>
      </c>
      <c r="K3950"/>
    </row>
    <row r="3951">
      <c r="A3951" t="inlineStr">
        <is>
          <t>SOLV_CHLOROFORM</t>
        </is>
      </c>
      <c r="B3951" t="inlineStr">
        <is>
          <t>permitted_daily_exposure_if_available</t>
        </is>
      </c>
      <c r="C3951">
        <v>0.6</v>
      </c>
      <c r="D3951" t="inlineStr">
        <is>
          <t>mg/day</t>
        </is>
      </c>
      <c r="E3951"/>
      <c r="F3951"/>
      <c r="G3951"/>
      <c r="H3951" t="inlineStr">
        <is>
          <t>S005_ICH_Q3C_R9</t>
        </is>
      </c>
      <c r="I3951" t="inlineStr">
        <is>
          <t>regulatory</t>
        </is>
      </c>
      <c r="J3951">
        <v>0.85</v>
      </c>
      <c r="K3951"/>
    </row>
    <row r="3952">
      <c r="A3952" t="inlineStr">
        <is>
          <t>SOLV_CHLOROFORM</t>
        </is>
      </c>
      <c r="B3952" t="inlineStr">
        <is>
          <t>Hansen_delta_D</t>
        </is>
      </c>
      <c r="C3952">
        <v>17.8</v>
      </c>
      <c r="D3952" t="inlineStr">
        <is>
          <t>MPa^0.5</t>
        </is>
      </c>
      <c r="E3952"/>
      <c r="F3952"/>
      <c r="G3952"/>
      <c r="H3952" t="inlineStr">
        <is>
          <t>S006_HANSEN_HANDBOOK</t>
        </is>
      </c>
      <c r="I3952" t="inlineStr">
        <is>
          <t>handbook</t>
        </is>
      </c>
      <c r="J3952">
        <v>0.8</v>
      </c>
      <c r="K3952"/>
    </row>
    <row r="3953">
      <c r="A3953" t="inlineStr">
        <is>
          <t>SOLV_CHLOROFORM</t>
        </is>
      </c>
      <c r="B3953" t="inlineStr">
        <is>
          <t>Hansen_delta_P</t>
        </is>
      </c>
      <c r="C3953">
        <v>3.1</v>
      </c>
      <c r="D3953" t="inlineStr">
        <is>
          <t>MPa^0.5</t>
        </is>
      </c>
      <c r="E3953"/>
      <c r="F3953"/>
      <c r="G3953"/>
      <c r="H3953" t="inlineStr">
        <is>
          <t>S006_HANSEN_HANDBOOK</t>
        </is>
      </c>
      <c r="I3953" t="inlineStr">
        <is>
          <t>handbook</t>
        </is>
      </c>
      <c r="J3953">
        <v>0.8</v>
      </c>
      <c r="K3953"/>
    </row>
    <row r="3954">
      <c r="A3954" t="inlineStr">
        <is>
          <t>SOLV_CHLOROFORM</t>
        </is>
      </c>
      <c r="B3954" t="inlineStr">
        <is>
          <t>Hansen_delta_H</t>
        </is>
      </c>
      <c r="C3954">
        <v>5.7</v>
      </c>
      <c r="D3954" t="inlineStr">
        <is>
          <t>MPa^0.5</t>
        </is>
      </c>
      <c r="E3954"/>
      <c r="F3954"/>
      <c r="G3954"/>
      <c r="H3954" t="inlineStr">
        <is>
          <t>S006_HANSEN_HANDBOOK</t>
        </is>
      </c>
      <c r="I3954" t="inlineStr">
        <is>
          <t>handbook</t>
        </is>
      </c>
      <c r="J3954">
        <v>0.8</v>
      </c>
      <c r="K3954"/>
    </row>
    <row r="3955">
      <c r="A3955" t="inlineStr">
        <is>
          <t>SOLV_CHLOROFORM</t>
        </is>
      </c>
      <c r="B3955" t="inlineStr">
        <is>
          <t>Hildebrand_delta_T</t>
        </is>
      </c>
      <c r="C3955">
        <v>18.95</v>
      </c>
      <c r="D3955" t="inlineStr">
        <is>
          <t>MPa^0.5</t>
        </is>
      </c>
      <c r="E3955"/>
      <c r="F3955"/>
      <c r="G3955"/>
      <c r="H3955" t="inlineStr">
        <is>
          <t>S012_CALCULATED</t>
        </is>
      </c>
      <c r="I3955" t="inlineStr">
        <is>
          <t>calculated</t>
        </is>
      </c>
      <c r="J3955">
        <v>0.8</v>
      </c>
      <c r="K3955"/>
    </row>
    <row r="3956">
      <c r="A3956" t="inlineStr">
        <is>
          <t>SOLV_CHLOROFORM</t>
        </is>
      </c>
      <c r="B3956" t="inlineStr">
        <is>
          <t>molar_volume_cm3_mol</t>
        </is>
      </c>
      <c r="C3956">
        <v>80.17</v>
      </c>
      <c r="D3956" t="inlineStr">
        <is>
          <t>cm3/mol</t>
        </is>
      </c>
      <c r="E3956"/>
      <c r="F3956"/>
      <c r="G3956" t="inlineStr">
        <is>
          <t>MW/density</t>
        </is>
      </c>
      <c r="H3956" t="inlineStr">
        <is>
          <t>S012_CALCULATED</t>
        </is>
      </c>
      <c r="I3956" t="inlineStr">
        <is>
          <t>calculated</t>
        </is>
      </c>
      <c r="J3956">
        <v>0.78</v>
      </c>
      <c r="K3956"/>
    </row>
    <row r="3957">
      <c r="A3957" t="inlineStr">
        <is>
          <t>SOLV_CHLOROFORM</t>
        </is>
      </c>
      <c r="B3957" t="inlineStr">
        <is>
          <t>toxicity_penalty</t>
        </is>
      </c>
      <c r="C3957">
        <v>5</v>
      </c>
      <c r="D3957" t="inlineStr">
        <is>
          <t>ordinal 0-5</t>
        </is>
      </c>
      <c r="E3957"/>
      <c r="F3957"/>
      <c r="G3957"/>
      <c r="H3957" t="inlineStr">
        <is>
          <t>S005_ICH_Q3C_R9</t>
        </is>
      </c>
      <c r="I3957" t="inlineStr">
        <is>
          <t>curated</t>
        </is>
      </c>
      <c r="J3957">
        <v>0.72</v>
      </c>
      <c r="K3957"/>
    </row>
    <row r="3958">
      <c r="A3958" t="inlineStr">
        <is>
          <t>SOLV_CHLOROFORM</t>
        </is>
      </c>
      <c r="B3958" t="inlineStr">
        <is>
          <t>residual_solvent_warning</t>
        </is>
      </c>
      <c r="C3958" t="inlineStr">
        <is>
          <t>avoid/strictly limit</t>
        </is>
      </c>
      <c r="D3958"/>
      <c r="E3958"/>
      <c r="F3958"/>
      <c r="G3958"/>
      <c r="H3958" t="inlineStr">
        <is>
          <t>S005_ICH_Q3C_R9</t>
        </is>
      </c>
      <c r="I3958" t="inlineStr">
        <is>
          <t>curated</t>
        </is>
      </c>
      <c r="J3958">
        <v>0.75</v>
      </c>
      <c r="K3958"/>
    </row>
    <row r="3959">
      <c r="A3959" t="inlineStr">
        <is>
          <t>SOLV_CHLOROFORM</t>
        </is>
      </c>
      <c r="B3959" t="inlineStr">
        <is>
          <t>pulmonary_suitability</t>
        </is>
      </c>
      <c r="C3959" t="inlineStr">
        <is>
          <t>not suitable</t>
        </is>
      </c>
      <c r="D3959"/>
      <c r="E3959"/>
      <c r="F3959"/>
      <c r="G3959"/>
      <c r="H3959" t="inlineStr">
        <is>
          <t>S014_AULTON</t>
        </is>
      </c>
      <c r="I3959" t="inlineStr">
        <is>
          <t>curated</t>
        </is>
      </c>
      <c r="J3959">
        <v>0.55</v>
      </c>
      <c r="K3959"/>
    </row>
    <row r="3960">
      <c r="A3960" t="inlineStr">
        <is>
          <t>SOLV_CHLOROFORM</t>
        </is>
      </c>
      <c r="B3960" t="inlineStr">
        <is>
          <t>route_suitability</t>
        </is>
      </c>
      <c r="C3960" t="inlineStr">
        <is>
          <t>process solvent only unless excipient grade and residual solvent justified</t>
        </is>
      </c>
      <c r="D3960"/>
      <c r="E3960"/>
      <c r="F3960"/>
      <c r="G3960"/>
      <c r="H3960" t="inlineStr">
        <is>
          <t>S005_ICH_Q3C_R9</t>
        </is>
      </c>
      <c r="I3960" t="inlineStr">
        <is>
          <t>curated</t>
        </is>
      </c>
      <c r="J3960">
        <v>0.7</v>
      </c>
      <c r="K3960"/>
    </row>
    <row r="3961">
      <c r="A3961" t="inlineStr">
        <is>
          <t>SOLV_DICHLOROMETHANE</t>
        </is>
      </c>
      <c r="B3961" t="inlineStr">
        <is>
          <t>molecular_weight_g_mol</t>
        </is>
      </c>
      <c r="C3961">
        <v>84.93</v>
      </c>
      <c r="D3961" t="inlineStr">
        <is>
          <t>g/mol</t>
        </is>
      </c>
      <c r="E3961"/>
      <c r="F3961"/>
      <c r="G3961"/>
      <c r="H3961" t="inlineStr">
        <is>
          <t>S001_PUBCHEM</t>
        </is>
      </c>
      <c r="I3961" t="inlineStr">
        <is>
          <t>database-derived</t>
        </is>
      </c>
      <c r="J3961">
        <v>0.9</v>
      </c>
      <c r="K3961"/>
    </row>
    <row r="3962">
      <c r="A3962" t="inlineStr">
        <is>
          <t>SOLV_DICHLOROMETHANE</t>
        </is>
      </c>
      <c r="B3962" t="inlineStr">
        <is>
          <t>density_g_ml</t>
        </is>
      </c>
      <c r="C3962">
        <v>1.326</v>
      </c>
      <c r="D3962" t="inlineStr">
        <is>
          <t>g/mL</t>
        </is>
      </c>
      <c r="E3962"/>
      <c r="F3962"/>
      <c r="G3962" t="inlineStr">
        <is>
          <t>20-25 °C</t>
        </is>
      </c>
      <c r="H3962" t="inlineStr">
        <is>
          <t>S007_EXCIPIENTS_HANDBOOK</t>
        </is>
      </c>
      <c r="I3962" t="inlineStr">
        <is>
          <t>handbook</t>
        </is>
      </c>
      <c r="J3962">
        <v>0.82</v>
      </c>
      <c r="K3962"/>
    </row>
    <row r="3963">
      <c r="A3963" t="inlineStr">
        <is>
          <t>SOLV_DICHLOROMETHANE</t>
        </is>
      </c>
      <c r="B3963" t="inlineStr">
        <is>
          <t>boiling_point_C</t>
        </is>
      </c>
      <c r="C3963">
        <v>39.6</v>
      </c>
      <c r="D3963" t="inlineStr">
        <is>
          <t>°C</t>
        </is>
      </c>
      <c r="E3963"/>
      <c r="F3963"/>
      <c r="G3963"/>
      <c r="H3963" t="inlineStr">
        <is>
          <t>S001_PUBCHEM</t>
        </is>
      </c>
      <c r="I3963" t="inlineStr">
        <is>
          <t>handbook</t>
        </is>
      </c>
      <c r="J3963">
        <v>0.88</v>
      </c>
      <c r="K3963"/>
    </row>
    <row r="3964">
      <c r="A3964" t="inlineStr">
        <is>
          <t>SOLV_DICHLOROMETHANE</t>
        </is>
      </c>
      <c r="B3964" t="inlineStr">
        <is>
          <t>melting_point_C</t>
        </is>
      </c>
      <c r="C3964">
        <v>-96.7</v>
      </c>
      <c r="D3964" t="inlineStr">
        <is>
          <t>°C</t>
        </is>
      </c>
      <c r="E3964"/>
      <c r="F3964"/>
      <c r="G3964"/>
      <c r="H3964" t="inlineStr">
        <is>
          <t>S001_PUBCHEM</t>
        </is>
      </c>
      <c r="I3964" t="inlineStr">
        <is>
          <t>handbook</t>
        </is>
      </c>
      <c r="J3964">
        <v>0.88</v>
      </c>
      <c r="K3964"/>
    </row>
    <row r="3965">
      <c r="A3965" t="inlineStr">
        <is>
          <t>SOLV_DICHLOROMETHANE</t>
        </is>
      </c>
      <c r="B3965" t="inlineStr">
        <is>
          <t>dielectric_constant</t>
        </is>
      </c>
      <c r="C3965">
        <v>8.9</v>
      </c>
      <c r="D3965"/>
      <c r="E3965"/>
      <c r="F3965"/>
      <c r="G3965" t="inlineStr">
        <is>
          <t>20-25 °C approximate</t>
        </is>
      </c>
      <c r="H3965" t="inlineStr">
        <is>
          <t>S007_EXCIPIENTS_HANDBOOK</t>
        </is>
      </c>
      <c r="I3965" t="inlineStr">
        <is>
          <t>handbook</t>
        </is>
      </c>
      <c r="J3965">
        <v>0.75</v>
      </c>
      <c r="K3965"/>
    </row>
    <row r="3966">
      <c r="A3966" t="inlineStr">
        <is>
          <t>SOLV_DICHLOROMETHANE</t>
        </is>
      </c>
      <c r="B3966" t="inlineStr">
        <is>
          <t>polarity_index</t>
        </is>
      </c>
      <c r="C3966">
        <v>3.1</v>
      </c>
      <c r="D3966"/>
      <c r="E3966"/>
      <c r="F3966"/>
      <c r="G3966"/>
      <c r="H3966" t="inlineStr">
        <is>
          <t>S006_HANSEN_HANDBOOK</t>
        </is>
      </c>
      <c r="I3966" t="inlineStr">
        <is>
          <t>handbook</t>
        </is>
      </c>
      <c r="J3966">
        <v>0.7</v>
      </c>
      <c r="K3966"/>
    </row>
    <row r="3967">
      <c r="A3967" t="inlineStr">
        <is>
          <t>SOLV_DICHLOROMETHANE</t>
        </is>
      </c>
      <c r="B3967" t="inlineStr">
        <is>
          <t>water_miscibility</t>
        </is>
      </c>
      <c r="C3967" t="inlineStr">
        <is>
          <t>slightly soluble</t>
        </is>
      </c>
      <c r="D3967"/>
      <c r="E3967"/>
      <c r="F3967"/>
      <c r="G3967"/>
      <c r="H3967" t="inlineStr">
        <is>
          <t>S007_EXCIPIENTS_HANDBOOK</t>
        </is>
      </c>
      <c r="I3967" t="inlineStr">
        <is>
          <t>handbook</t>
        </is>
      </c>
      <c r="J3967">
        <v>0.85</v>
      </c>
      <c r="K3967"/>
    </row>
    <row r="3968">
      <c r="A3968" t="inlineStr">
        <is>
          <t>SOLV_DICHLOROMETHANE</t>
        </is>
      </c>
      <c r="B3968" t="inlineStr">
        <is>
          <t>ICH_class</t>
        </is>
      </c>
      <c r="C3968" t="inlineStr">
        <is>
          <t>Class 2</t>
        </is>
      </c>
      <c r="D3968"/>
      <c r="E3968"/>
      <c r="F3968"/>
      <c r="G3968"/>
      <c r="H3968" t="inlineStr">
        <is>
          <t>S005_ICH_Q3C_R9</t>
        </is>
      </c>
      <c r="I3968" t="inlineStr">
        <is>
          <t>regulatory</t>
        </is>
      </c>
      <c r="J3968">
        <v>0.9</v>
      </c>
      <c r="K3968"/>
    </row>
    <row r="3969">
      <c r="A3969" t="inlineStr">
        <is>
          <t>SOLV_DICHLOROMETHANE</t>
        </is>
      </c>
      <c r="B3969" t="inlineStr">
        <is>
          <t>permitted_daily_exposure_if_available</t>
        </is>
      </c>
      <c r="C3969">
        <v>6</v>
      </c>
      <c r="D3969" t="inlineStr">
        <is>
          <t>mg/day</t>
        </is>
      </c>
      <c r="E3969"/>
      <c r="F3969"/>
      <c r="G3969"/>
      <c r="H3969" t="inlineStr">
        <is>
          <t>S005_ICH_Q3C_R9</t>
        </is>
      </c>
      <c r="I3969" t="inlineStr">
        <is>
          <t>regulatory</t>
        </is>
      </c>
      <c r="J3969">
        <v>0.85</v>
      </c>
      <c r="K3969"/>
    </row>
    <row r="3970">
      <c r="A3970" t="inlineStr">
        <is>
          <t>SOLV_DICHLOROMETHANE</t>
        </is>
      </c>
      <c r="B3970" t="inlineStr">
        <is>
          <t>Hansen_delta_D</t>
        </is>
      </c>
      <c r="C3970">
        <v>18.2</v>
      </c>
      <c r="D3970" t="inlineStr">
        <is>
          <t>MPa^0.5</t>
        </is>
      </c>
      <c r="E3970"/>
      <c r="F3970"/>
      <c r="G3970"/>
      <c r="H3970" t="inlineStr">
        <is>
          <t>S006_HANSEN_HANDBOOK</t>
        </is>
      </c>
      <c r="I3970" t="inlineStr">
        <is>
          <t>handbook</t>
        </is>
      </c>
      <c r="J3970">
        <v>0.8</v>
      </c>
      <c r="K3970"/>
    </row>
    <row r="3971">
      <c r="A3971" t="inlineStr">
        <is>
          <t>SOLV_DICHLOROMETHANE</t>
        </is>
      </c>
      <c r="B3971" t="inlineStr">
        <is>
          <t>Hansen_delta_P</t>
        </is>
      </c>
      <c r="C3971">
        <v>6.3</v>
      </c>
      <c r="D3971" t="inlineStr">
        <is>
          <t>MPa^0.5</t>
        </is>
      </c>
      <c r="E3971"/>
      <c r="F3971"/>
      <c r="G3971"/>
      <c r="H3971" t="inlineStr">
        <is>
          <t>S006_HANSEN_HANDBOOK</t>
        </is>
      </c>
      <c r="I3971" t="inlineStr">
        <is>
          <t>handbook</t>
        </is>
      </c>
      <c r="J3971">
        <v>0.8</v>
      </c>
      <c r="K3971"/>
    </row>
    <row r="3972">
      <c r="A3972" t="inlineStr">
        <is>
          <t>SOLV_DICHLOROMETHANE</t>
        </is>
      </c>
      <c r="B3972" t="inlineStr">
        <is>
          <t>Hansen_delta_H</t>
        </is>
      </c>
      <c r="C3972">
        <v>6.1</v>
      </c>
      <c r="D3972" t="inlineStr">
        <is>
          <t>MPa^0.5</t>
        </is>
      </c>
      <c r="E3972"/>
      <c r="F3972"/>
      <c r="G3972"/>
      <c r="H3972" t="inlineStr">
        <is>
          <t>S006_HANSEN_HANDBOOK</t>
        </is>
      </c>
      <c r="I3972" t="inlineStr">
        <is>
          <t>handbook</t>
        </is>
      </c>
      <c r="J3972">
        <v>0.8</v>
      </c>
      <c r="K3972"/>
    </row>
    <row r="3973">
      <c r="A3973" t="inlineStr">
        <is>
          <t>SOLV_DICHLOROMETHANE</t>
        </is>
      </c>
      <c r="B3973" t="inlineStr">
        <is>
          <t>Hildebrand_delta_T</t>
        </is>
      </c>
      <c r="C3973">
        <v>20.2</v>
      </c>
      <c r="D3973" t="inlineStr">
        <is>
          <t>MPa^0.5</t>
        </is>
      </c>
      <c r="E3973"/>
      <c r="F3973"/>
      <c r="G3973"/>
      <c r="H3973" t="inlineStr">
        <is>
          <t>S012_CALCULATED</t>
        </is>
      </c>
      <c r="I3973" t="inlineStr">
        <is>
          <t>calculated</t>
        </is>
      </c>
      <c r="J3973">
        <v>0.8</v>
      </c>
      <c r="K3973"/>
    </row>
    <row r="3974">
      <c r="A3974" t="inlineStr">
        <is>
          <t>SOLV_DICHLOROMETHANE</t>
        </is>
      </c>
      <c r="B3974" t="inlineStr">
        <is>
          <t>molar_volume_cm3_mol</t>
        </is>
      </c>
      <c r="C3974">
        <v>64.05</v>
      </c>
      <c r="D3974" t="inlineStr">
        <is>
          <t>cm3/mol</t>
        </is>
      </c>
      <c r="E3974"/>
      <c r="F3974"/>
      <c r="G3974" t="inlineStr">
        <is>
          <t>MW/density</t>
        </is>
      </c>
      <c r="H3974" t="inlineStr">
        <is>
          <t>S012_CALCULATED</t>
        </is>
      </c>
      <c r="I3974" t="inlineStr">
        <is>
          <t>calculated</t>
        </is>
      </c>
      <c r="J3974">
        <v>0.78</v>
      </c>
      <c r="K3974"/>
    </row>
    <row r="3975">
      <c r="A3975" t="inlineStr">
        <is>
          <t>SOLV_DICHLOROMETHANE</t>
        </is>
      </c>
      <c r="B3975" t="inlineStr">
        <is>
          <t>toxicity_penalty</t>
        </is>
      </c>
      <c r="C3975">
        <v>4</v>
      </c>
      <c r="D3975" t="inlineStr">
        <is>
          <t>ordinal 0-5</t>
        </is>
      </c>
      <c r="E3975"/>
      <c r="F3975"/>
      <c r="G3975"/>
      <c r="H3975" t="inlineStr">
        <is>
          <t>S005_ICH_Q3C_R9</t>
        </is>
      </c>
      <c r="I3975" t="inlineStr">
        <is>
          <t>curated</t>
        </is>
      </c>
      <c r="J3975">
        <v>0.72</v>
      </c>
      <c r="K3975"/>
    </row>
    <row r="3976">
      <c r="A3976" t="inlineStr">
        <is>
          <t>SOLV_DICHLOROMETHANE</t>
        </is>
      </c>
      <c r="B3976" t="inlineStr">
        <is>
          <t>residual_solvent_warning</t>
        </is>
      </c>
      <c r="C3976" t="inlineStr">
        <is>
          <t>avoid/strictly limit</t>
        </is>
      </c>
      <c r="D3976"/>
      <c r="E3976"/>
      <c r="F3976"/>
      <c r="G3976"/>
      <c r="H3976" t="inlineStr">
        <is>
          <t>S005_ICH_Q3C_R9</t>
        </is>
      </c>
      <c r="I3976" t="inlineStr">
        <is>
          <t>curated</t>
        </is>
      </c>
      <c r="J3976">
        <v>0.75</v>
      </c>
      <c r="K3976"/>
    </row>
    <row r="3977">
      <c r="A3977" t="inlineStr">
        <is>
          <t>SOLV_DICHLOROMETHANE</t>
        </is>
      </c>
      <c r="B3977" t="inlineStr">
        <is>
          <t>pulmonary_suitability</t>
        </is>
      </c>
      <c r="C3977" t="inlineStr">
        <is>
          <t>not suitable</t>
        </is>
      </c>
      <c r="D3977"/>
      <c r="E3977"/>
      <c r="F3977"/>
      <c r="G3977"/>
      <c r="H3977" t="inlineStr">
        <is>
          <t>S014_AULTON</t>
        </is>
      </c>
      <c r="I3977" t="inlineStr">
        <is>
          <t>curated</t>
        </is>
      </c>
      <c r="J3977">
        <v>0.55</v>
      </c>
      <c r="K3977"/>
    </row>
    <row r="3978">
      <c r="A3978" t="inlineStr">
        <is>
          <t>SOLV_DICHLOROMETHANE</t>
        </is>
      </c>
      <c r="B3978" t="inlineStr">
        <is>
          <t>route_suitability</t>
        </is>
      </c>
      <c r="C3978" t="inlineStr">
        <is>
          <t>process solvent only unless excipient grade and residual solvent justified</t>
        </is>
      </c>
      <c r="D3978"/>
      <c r="E3978"/>
      <c r="F3978"/>
      <c r="G3978"/>
      <c r="H3978" t="inlineStr">
        <is>
          <t>S005_ICH_Q3C_R9</t>
        </is>
      </c>
      <c r="I3978" t="inlineStr">
        <is>
          <t>curated</t>
        </is>
      </c>
      <c r="J3978">
        <v>0.7</v>
      </c>
      <c r="K3978"/>
    </row>
    <row r="3979">
      <c r="A3979" t="inlineStr">
        <is>
          <t>SOLV_DMSO</t>
        </is>
      </c>
      <c r="B3979" t="inlineStr">
        <is>
          <t>molecular_weight_g_mol</t>
        </is>
      </c>
      <c r="C3979">
        <v>78.13</v>
      </c>
      <c r="D3979" t="inlineStr">
        <is>
          <t>g/mol</t>
        </is>
      </c>
      <c r="E3979"/>
      <c r="F3979"/>
      <c r="G3979"/>
      <c r="H3979" t="inlineStr">
        <is>
          <t>S001_PUBCHEM</t>
        </is>
      </c>
      <c r="I3979" t="inlineStr">
        <is>
          <t>database-derived</t>
        </is>
      </c>
      <c r="J3979">
        <v>0.9</v>
      </c>
      <c r="K3979"/>
    </row>
    <row r="3980">
      <c r="A3980" t="inlineStr">
        <is>
          <t>SOLV_DMSO</t>
        </is>
      </c>
      <c r="B3980" t="inlineStr">
        <is>
          <t>density_g_ml</t>
        </is>
      </c>
      <c r="C3980">
        <v>1.095</v>
      </c>
      <c r="D3980" t="inlineStr">
        <is>
          <t>g/mL</t>
        </is>
      </c>
      <c r="E3980"/>
      <c r="F3980"/>
      <c r="G3980" t="inlineStr">
        <is>
          <t>20-25 °C</t>
        </is>
      </c>
      <c r="H3980" t="inlineStr">
        <is>
          <t>S007_EXCIPIENTS_HANDBOOK</t>
        </is>
      </c>
      <c r="I3980" t="inlineStr">
        <is>
          <t>handbook</t>
        </is>
      </c>
      <c r="J3980">
        <v>0.82</v>
      </c>
      <c r="K3980"/>
    </row>
    <row r="3981">
      <c r="A3981" t="inlineStr">
        <is>
          <t>SOLV_DMSO</t>
        </is>
      </c>
      <c r="B3981" t="inlineStr">
        <is>
          <t>boiling_point_C</t>
        </is>
      </c>
      <c r="C3981">
        <v>189</v>
      </c>
      <c r="D3981" t="inlineStr">
        <is>
          <t>°C</t>
        </is>
      </c>
      <c r="E3981"/>
      <c r="F3981"/>
      <c r="G3981"/>
      <c r="H3981" t="inlineStr">
        <is>
          <t>S001_PUBCHEM</t>
        </is>
      </c>
      <c r="I3981" t="inlineStr">
        <is>
          <t>handbook</t>
        </is>
      </c>
      <c r="J3981">
        <v>0.88</v>
      </c>
      <c r="K3981"/>
    </row>
    <row r="3982">
      <c r="A3982" t="inlineStr">
        <is>
          <t>SOLV_DMSO</t>
        </is>
      </c>
      <c r="B3982" t="inlineStr">
        <is>
          <t>melting_point_C</t>
        </is>
      </c>
      <c r="C3982">
        <v>18.5</v>
      </c>
      <c r="D3982" t="inlineStr">
        <is>
          <t>°C</t>
        </is>
      </c>
      <c r="E3982"/>
      <c r="F3982"/>
      <c r="G3982"/>
      <c r="H3982" t="inlineStr">
        <is>
          <t>S001_PUBCHEM</t>
        </is>
      </c>
      <c r="I3982" t="inlineStr">
        <is>
          <t>handbook</t>
        </is>
      </c>
      <c r="J3982">
        <v>0.88</v>
      </c>
      <c r="K3982"/>
    </row>
    <row r="3983">
      <c r="A3983" t="inlineStr">
        <is>
          <t>SOLV_DMSO</t>
        </is>
      </c>
      <c r="B3983" t="inlineStr">
        <is>
          <t>dielectric_constant</t>
        </is>
      </c>
      <c r="C3983">
        <v>46.7</v>
      </c>
      <c r="D3983"/>
      <c r="E3983"/>
      <c r="F3983"/>
      <c r="G3983" t="inlineStr">
        <is>
          <t>20-25 °C approximate</t>
        </is>
      </c>
      <c r="H3983" t="inlineStr">
        <is>
          <t>S007_EXCIPIENTS_HANDBOOK</t>
        </is>
      </c>
      <c r="I3983" t="inlineStr">
        <is>
          <t>handbook</t>
        </is>
      </c>
      <c r="J3983">
        <v>0.75</v>
      </c>
      <c r="K3983"/>
    </row>
    <row r="3984">
      <c r="A3984" t="inlineStr">
        <is>
          <t>SOLV_DMSO</t>
        </is>
      </c>
      <c r="B3984" t="inlineStr">
        <is>
          <t>polarity_index</t>
        </is>
      </c>
      <c r="C3984">
        <v>7.2</v>
      </c>
      <c r="D3984"/>
      <c r="E3984"/>
      <c r="F3984"/>
      <c r="G3984"/>
      <c r="H3984" t="inlineStr">
        <is>
          <t>S006_HANSEN_HANDBOOK</t>
        </is>
      </c>
      <c r="I3984" t="inlineStr">
        <is>
          <t>handbook</t>
        </is>
      </c>
      <c r="J3984">
        <v>0.7</v>
      </c>
      <c r="K3984"/>
    </row>
    <row r="3985">
      <c r="A3985" t="inlineStr">
        <is>
          <t>SOLV_DMSO</t>
        </is>
      </c>
      <c r="B3985" t="inlineStr">
        <is>
          <t>water_miscibility</t>
        </is>
      </c>
      <c r="C3985" t="inlineStr">
        <is>
          <t>miscible</t>
        </is>
      </c>
      <c r="D3985"/>
      <c r="E3985"/>
      <c r="F3985"/>
      <c r="G3985"/>
      <c r="H3985" t="inlineStr">
        <is>
          <t>S007_EXCIPIENTS_HANDBOOK</t>
        </is>
      </c>
      <c r="I3985" t="inlineStr">
        <is>
          <t>handbook</t>
        </is>
      </c>
      <c r="J3985">
        <v>0.85</v>
      </c>
      <c r="K3985"/>
    </row>
    <row r="3986">
      <c r="A3986" t="inlineStr">
        <is>
          <t>SOLV_DMSO</t>
        </is>
      </c>
      <c r="B3986" t="inlineStr">
        <is>
          <t>ICH_class</t>
        </is>
      </c>
      <c r="C3986" t="inlineStr">
        <is>
          <t>Class 3</t>
        </is>
      </c>
      <c r="D3986"/>
      <c r="E3986"/>
      <c r="F3986"/>
      <c r="G3986"/>
      <c r="H3986" t="inlineStr">
        <is>
          <t>S005_ICH_Q3C_R9</t>
        </is>
      </c>
      <c r="I3986" t="inlineStr">
        <is>
          <t>regulatory</t>
        </is>
      </c>
      <c r="J3986">
        <v>0.9</v>
      </c>
      <c r="K3986"/>
    </row>
    <row r="3987">
      <c r="A3987" t="inlineStr">
        <is>
          <t>SOLV_DMSO</t>
        </is>
      </c>
      <c r="B3987" t="inlineStr">
        <is>
          <t>permitted_daily_exposure_if_available</t>
        </is>
      </c>
      <c r="C3987">
        <v>50</v>
      </c>
      <c r="D3987" t="inlineStr">
        <is>
          <t>mg/day</t>
        </is>
      </c>
      <c r="E3987"/>
      <c r="F3987"/>
      <c r="G3987"/>
      <c r="H3987" t="inlineStr">
        <is>
          <t>S005_ICH_Q3C_R9</t>
        </is>
      </c>
      <c r="I3987" t="inlineStr">
        <is>
          <t>regulatory</t>
        </is>
      </c>
      <c r="J3987">
        <v>0.85</v>
      </c>
      <c r="K3987"/>
    </row>
    <row r="3988">
      <c r="A3988" t="inlineStr">
        <is>
          <t>SOLV_DMSO</t>
        </is>
      </c>
      <c r="B3988" t="inlineStr">
        <is>
          <t>Hansen_delta_D</t>
        </is>
      </c>
      <c r="C3988">
        <v>18.4</v>
      </c>
      <c r="D3988" t="inlineStr">
        <is>
          <t>MPa^0.5</t>
        </is>
      </c>
      <c r="E3988"/>
      <c r="F3988"/>
      <c r="G3988"/>
      <c r="H3988" t="inlineStr">
        <is>
          <t>S006_HANSEN_HANDBOOK</t>
        </is>
      </c>
      <c r="I3988" t="inlineStr">
        <is>
          <t>handbook</t>
        </is>
      </c>
      <c r="J3988">
        <v>0.8</v>
      </c>
      <c r="K3988"/>
    </row>
    <row r="3989">
      <c r="A3989" t="inlineStr">
        <is>
          <t>SOLV_DMSO</t>
        </is>
      </c>
      <c r="B3989" t="inlineStr">
        <is>
          <t>Hansen_delta_P</t>
        </is>
      </c>
      <c r="C3989">
        <v>16.4</v>
      </c>
      <c r="D3989" t="inlineStr">
        <is>
          <t>MPa^0.5</t>
        </is>
      </c>
      <c r="E3989"/>
      <c r="F3989"/>
      <c r="G3989"/>
      <c r="H3989" t="inlineStr">
        <is>
          <t>S006_HANSEN_HANDBOOK</t>
        </is>
      </c>
      <c r="I3989" t="inlineStr">
        <is>
          <t>handbook</t>
        </is>
      </c>
      <c r="J3989">
        <v>0.8</v>
      </c>
      <c r="K3989"/>
    </row>
    <row r="3990">
      <c r="A3990" t="inlineStr">
        <is>
          <t>SOLV_DMSO</t>
        </is>
      </c>
      <c r="B3990" t="inlineStr">
        <is>
          <t>Hansen_delta_H</t>
        </is>
      </c>
      <c r="C3990">
        <v>10.2</v>
      </c>
      <c r="D3990" t="inlineStr">
        <is>
          <t>MPa^0.5</t>
        </is>
      </c>
      <c r="E3990"/>
      <c r="F3990"/>
      <c r="G3990"/>
      <c r="H3990" t="inlineStr">
        <is>
          <t>S006_HANSEN_HANDBOOK</t>
        </is>
      </c>
      <c r="I3990" t="inlineStr">
        <is>
          <t>handbook</t>
        </is>
      </c>
      <c r="J3990">
        <v>0.8</v>
      </c>
      <c r="K3990"/>
    </row>
    <row r="3991">
      <c r="A3991" t="inlineStr">
        <is>
          <t>SOLV_DMSO</t>
        </is>
      </c>
      <c r="B3991" t="inlineStr">
        <is>
          <t>Hildebrand_delta_T</t>
        </is>
      </c>
      <c r="C3991">
        <v>26.68</v>
      </c>
      <c r="D3991" t="inlineStr">
        <is>
          <t>MPa^0.5</t>
        </is>
      </c>
      <c r="E3991"/>
      <c r="F3991"/>
      <c r="G3991"/>
      <c r="H3991" t="inlineStr">
        <is>
          <t>S012_CALCULATED</t>
        </is>
      </c>
      <c r="I3991" t="inlineStr">
        <is>
          <t>calculated</t>
        </is>
      </c>
      <c r="J3991">
        <v>0.8</v>
      </c>
      <c r="K3991"/>
    </row>
    <row r="3992">
      <c r="A3992" t="inlineStr">
        <is>
          <t>SOLV_DMSO</t>
        </is>
      </c>
      <c r="B3992" t="inlineStr">
        <is>
          <t>molar_volume_cm3_mol</t>
        </is>
      </c>
      <c r="C3992">
        <v>71.35</v>
      </c>
      <c r="D3992" t="inlineStr">
        <is>
          <t>cm3/mol</t>
        </is>
      </c>
      <c r="E3992"/>
      <c r="F3992"/>
      <c r="G3992" t="inlineStr">
        <is>
          <t>MW/density</t>
        </is>
      </c>
      <c r="H3992" t="inlineStr">
        <is>
          <t>S012_CALCULATED</t>
        </is>
      </c>
      <c r="I3992" t="inlineStr">
        <is>
          <t>calculated</t>
        </is>
      </c>
      <c r="J3992">
        <v>0.78</v>
      </c>
      <c r="K3992"/>
    </row>
    <row r="3993">
      <c r="A3993" t="inlineStr">
        <is>
          <t>SOLV_DMSO</t>
        </is>
      </c>
      <c r="B3993" t="inlineStr">
        <is>
          <t>toxicity_penalty</t>
        </is>
      </c>
      <c r="C3993">
        <v>1</v>
      </c>
      <c r="D3993" t="inlineStr">
        <is>
          <t>ordinal 0-5</t>
        </is>
      </c>
      <c r="E3993"/>
      <c r="F3993"/>
      <c r="G3993"/>
      <c r="H3993" t="inlineStr">
        <is>
          <t>S005_ICH_Q3C_R9</t>
        </is>
      </c>
      <c r="I3993" t="inlineStr">
        <is>
          <t>curated</t>
        </is>
      </c>
      <c r="J3993">
        <v>0.72</v>
      </c>
      <c r="K3993"/>
    </row>
    <row r="3994">
      <c r="A3994" t="inlineStr">
        <is>
          <t>SOLV_DMSO</t>
        </is>
      </c>
      <c r="B3994" t="inlineStr">
        <is>
          <t>residual_solvent_warning</t>
        </is>
      </c>
      <c r="C3994" t="inlineStr">
        <is>
          <t>low toxic potential under ICH Class 3 limits</t>
        </is>
      </c>
      <c r="D3994"/>
      <c r="E3994"/>
      <c r="F3994"/>
      <c r="G3994"/>
      <c r="H3994" t="inlineStr">
        <is>
          <t>S005_ICH_Q3C_R9</t>
        </is>
      </c>
      <c r="I3994" t="inlineStr">
        <is>
          <t>curated</t>
        </is>
      </c>
      <c r="J3994">
        <v>0.75</v>
      </c>
      <c r="K3994"/>
    </row>
    <row r="3995">
      <c r="A3995" t="inlineStr">
        <is>
          <t>SOLV_DMSO</t>
        </is>
      </c>
      <c r="B3995" t="inlineStr">
        <is>
          <t>pulmonary_suitability</t>
        </is>
      </c>
      <c r="C3995" t="inlineStr">
        <is>
          <t>very limited; strong penetration/irritation</t>
        </is>
      </c>
      <c r="D3995"/>
      <c r="E3995"/>
      <c r="F3995"/>
      <c r="G3995"/>
      <c r="H3995" t="inlineStr">
        <is>
          <t>S014_AULTON</t>
        </is>
      </c>
      <c r="I3995" t="inlineStr">
        <is>
          <t>curated</t>
        </is>
      </c>
      <c r="J3995">
        <v>0.55</v>
      </c>
      <c r="K3995"/>
    </row>
    <row r="3996">
      <c r="A3996" t="inlineStr">
        <is>
          <t>SOLV_DMSO</t>
        </is>
      </c>
      <c r="B3996" t="inlineStr">
        <is>
          <t>route_suitability</t>
        </is>
      </c>
      <c r="C3996" t="inlineStr">
        <is>
          <t>process solvent only unless excipient grade and residual solvent justified</t>
        </is>
      </c>
      <c r="D3996"/>
      <c r="E3996"/>
      <c r="F3996"/>
      <c r="G3996"/>
      <c r="H3996" t="inlineStr">
        <is>
          <t>S005_ICH_Q3C_R9</t>
        </is>
      </c>
      <c r="I3996" t="inlineStr">
        <is>
          <t>curated</t>
        </is>
      </c>
      <c r="J3996">
        <v>0.7</v>
      </c>
      <c r="K3996"/>
    </row>
    <row r="3997">
      <c r="A3997" t="inlineStr">
        <is>
          <t>SOLV_ACETONITRILE</t>
        </is>
      </c>
      <c r="B3997" t="inlineStr">
        <is>
          <t>molecular_weight_g_mol</t>
        </is>
      </c>
      <c r="C3997">
        <v>41.05</v>
      </c>
      <c r="D3997" t="inlineStr">
        <is>
          <t>g/mol</t>
        </is>
      </c>
      <c r="E3997"/>
      <c r="F3997"/>
      <c r="G3997"/>
      <c r="H3997" t="inlineStr">
        <is>
          <t>S001_PUBCHEM</t>
        </is>
      </c>
      <c r="I3997" t="inlineStr">
        <is>
          <t>database-derived</t>
        </is>
      </c>
      <c r="J3997">
        <v>0.9</v>
      </c>
      <c r="K3997"/>
    </row>
    <row r="3998">
      <c r="A3998" t="inlineStr">
        <is>
          <t>SOLV_ACETONITRILE</t>
        </is>
      </c>
      <c r="B3998" t="inlineStr">
        <is>
          <t>density_g_ml</t>
        </is>
      </c>
      <c r="C3998">
        <v>0.786</v>
      </c>
      <c r="D3998" t="inlineStr">
        <is>
          <t>g/mL</t>
        </is>
      </c>
      <c r="E3998"/>
      <c r="F3998"/>
      <c r="G3998" t="inlineStr">
        <is>
          <t>20-25 °C</t>
        </is>
      </c>
      <c r="H3998" t="inlineStr">
        <is>
          <t>S007_EXCIPIENTS_HANDBOOK</t>
        </is>
      </c>
      <c r="I3998" t="inlineStr">
        <is>
          <t>handbook</t>
        </is>
      </c>
      <c r="J3998">
        <v>0.82</v>
      </c>
      <c r="K3998"/>
    </row>
    <row r="3999">
      <c r="A3999" t="inlineStr">
        <is>
          <t>SOLV_ACETONITRILE</t>
        </is>
      </c>
      <c r="B3999" t="inlineStr">
        <is>
          <t>boiling_point_C</t>
        </is>
      </c>
      <c r="C3999">
        <v>81.6</v>
      </c>
      <c r="D3999" t="inlineStr">
        <is>
          <t>°C</t>
        </is>
      </c>
      <c r="E3999"/>
      <c r="F3999"/>
      <c r="G3999"/>
      <c r="H3999" t="inlineStr">
        <is>
          <t>S001_PUBCHEM</t>
        </is>
      </c>
      <c r="I3999" t="inlineStr">
        <is>
          <t>handbook</t>
        </is>
      </c>
      <c r="J3999">
        <v>0.88</v>
      </c>
      <c r="K3999"/>
    </row>
    <row r="4000">
      <c r="A4000" t="inlineStr">
        <is>
          <t>SOLV_ACETONITRILE</t>
        </is>
      </c>
      <c r="B4000" t="inlineStr">
        <is>
          <t>melting_point_C</t>
        </is>
      </c>
      <c r="C4000">
        <v>-45.7</v>
      </c>
      <c r="D4000" t="inlineStr">
        <is>
          <t>°C</t>
        </is>
      </c>
      <c r="E4000"/>
      <c r="F4000"/>
      <c r="G4000"/>
      <c r="H4000" t="inlineStr">
        <is>
          <t>S001_PUBCHEM</t>
        </is>
      </c>
      <c r="I4000" t="inlineStr">
        <is>
          <t>handbook</t>
        </is>
      </c>
      <c r="J4000">
        <v>0.88</v>
      </c>
      <c r="K4000"/>
    </row>
    <row r="4001">
      <c r="A4001" t="inlineStr">
        <is>
          <t>SOLV_ACETONITRILE</t>
        </is>
      </c>
      <c r="B4001" t="inlineStr">
        <is>
          <t>dielectric_constant</t>
        </is>
      </c>
      <c r="C4001">
        <v>37.5</v>
      </c>
      <c r="D4001"/>
      <c r="E4001"/>
      <c r="F4001"/>
      <c r="G4001" t="inlineStr">
        <is>
          <t>20-25 °C approximate</t>
        </is>
      </c>
      <c r="H4001" t="inlineStr">
        <is>
          <t>S007_EXCIPIENTS_HANDBOOK</t>
        </is>
      </c>
      <c r="I4001" t="inlineStr">
        <is>
          <t>handbook</t>
        </is>
      </c>
      <c r="J4001">
        <v>0.75</v>
      </c>
      <c r="K4001"/>
    </row>
    <row r="4002">
      <c r="A4002" t="inlineStr">
        <is>
          <t>SOLV_ACETONITRILE</t>
        </is>
      </c>
      <c r="B4002" t="inlineStr">
        <is>
          <t>polarity_index</t>
        </is>
      </c>
      <c r="C4002">
        <v>5.8</v>
      </c>
      <c r="D4002"/>
      <c r="E4002"/>
      <c r="F4002"/>
      <c r="G4002"/>
      <c r="H4002" t="inlineStr">
        <is>
          <t>S006_HANSEN_HANDBOOK</t>
        </is>
      </c>
      <c r="I4002" t="inlineStr">
        <is>
          <t>handbook</t>
        </is>
      </c>
      <c r="J4002">
        <v>0.7</v>
      </c>
      <c r="K4002"/>
    </row>
    <row r="4003">
      <c r="A4003" t="inlineStr">
        <is>
          <t>SOLV_ACETONITRILE</t>
        </is>
      </c>
      <c r="B4003" t="inlineStr">
        <is>
          <t>water_miscibility</t>
        </is>
      </c>
      <c r="C4003" t="inlineStr">
        <is>
          <t>miscible</t>
        </is>
      </c>
      <c r="D4003"/>
      <c r="E4003"/>
      <c r="F4003"/>
      <c r="G4003"/>
      <c r="H4003" t="inlineStr">
        <is>
          <t>S007_EXCIPIENTS_HANDBOOK</t>
        </is>
      </c>
      <c r="I4003" t="inlineStr">
        <is>
          <t>handbook</t>
        </is>
      </c>
      <c r="J4003">
        <v>0.85</v>
      </c>
      <c r="K4003"/>
    </row>
    <row r="4004">
      <c r="A4004" t="inlineStr">
        <is>
          <t>SOLV_ACETONITRILE</t>
        </is>
      </c>
      <c r="B4004" t="inlineStr">
        <is>
          <t>ICH_class</t>
        </is>
      </c>
      <c r="C4004" t="inlineStr">
        <is>
          <t>Class 2</t>
        </is>
      </c>
      <c r="D4004"/>
      <c r="E4004"/>
      <c r="F4004"/>
      <c r="G4004"/>
      <c r="H4004" t="inlineStr">
        <is>
          <t>S005_ICH_Q3C_R9</t>
        </is>
      </c>
      <c r="I4004" t="inlineStr">
        <is>
          <t>regulatory</t>
        </is>
      </c>
      <c r="J4004">
        <v>0.9</v>
      </c>
      <c r="K4004"/>
    </row>
    <row r="4005">
      <c r="A4005" t="inlineStr">
        <is>
          <t>SOLV_ACETONITRILE</t>
        </is>
      </c>
      <c r="B4005" t="inlineStr">
        <is>
          <t>permitted_daily_exposure_if_available</t>
        </is>
      </c>
      <c r="C4005">
        <v>4.1</v>
      </c>
      <c r="D4005" t="inlineStr">
        <is>
          <t>mg/day</t>
        </is>
      </c>
      <c r="E4005"/>
      <c r="F4005"/>
      <c r="G4005"/>
      <c r="H4005" t="inlineStr">
        <is>
          <t>S005_ICH_Q3C_R9</t>
        </is>
      </c>
      <c r="I4005" t="inlineStr">
        <is>
          <t>regulatory</t>
        </is>
      </c>
      <c r="J4005">
        <v>0.85</v>
      </c>
      <c r="K4005"/>
    </row>
    <row r="4006">
      <c r="A4006" t="inlineStr">
        <is>
          <t>SOLV_ACETONITRILE</t>
        </is>
      </c>
      <c r="B4006" t="inlineStr">
        <is>
          <t>Hansen_delta_D</t>
        </is>
      </c>
      <c r="C4006">
        <v>15.3</v>
      </c>
      <c r="D4006" t="inlineStr">
        <is>
          <t>MPa^0.5</t>
        </is>
      </c>
      <c r="E4006"/>
      <c r="F4006"/>
      <c r="G4006"/>
      <c r="H4006" t="inlineStr">
        <is>
          <t>S006_HANSEN_HANDBOOK</t>
        </is>
      </c>
      <c r="I4006" t="inlineStr">
        <is>
          <t>handbook</t>
        </is>
      </c>
      <c r="J4006">
        <v>0.8</v>
      </c>
      <c r="K4006"/>
    </row>
    <row r="4007">
      <c r="A4007" t="inlineStr">
        <is>
          <t>SOLV_ACETONITRILE</t>
        </is>
      </c>
      <c r="B4007" t="inlineStr">
        <is>
          <t>Hansen_delta_P</t>
        </is>
      </c>
      <c r="C4007">
        <v>18.0</v>
      </c>
      <c r="D4007" t="inlineStr">
        <is>
          <t>MPa^0.5</t>
        </is>
      </c>
      <c r="E4007"/>
      <c r="F4007"/>
      <c r="G4007"/>
      <c r="H4007" t="inlineStr">
        <is>
          <t>S006_HANSEN_HANDBOOK</t>
        </is>
      </c>
      <c r="I4007" t="inlineStr">
        <is>
          <t>handbook</t>
        </is>
      </c>
      <c r="J4007">
        <v>0.8</v>
      </c>
      <c r="K4007"/>
    </row>
    <row r="4008">
      <c r="A4008" t="inlineStr">
        <is>
          <t>SOLV_ACETONITRILE</t>
        </is>
      </c>
      <c r="B4008" t="inlineStr">
        <is>
          <t>Hansen_delta_H</t>
        </is>
      </c>
      <c r="C4008">
        <v>6.1</v>
      </c>
      <c r="D4008" t="inlineStr">
        <is>
          <t>MPa^0.5</t>
        </is>
      </c>
      <c r="E4008"/>
      <c r="F4008"/>
      <c r="G4008"/>
      <c r="H4008" t="inlineStr">
        <is>
          <t>S006_HANSEN_HANDBOOK</t>
        </is>
      </c>
      <c r="I4008" t="inlineStr">
        <is>
          <t>handbook</t>
        </is>
      </c>
      <c r="J4008">
        <v>0.8</v>
      </c>
      <c r="K4008"/>
    </row>
    <row r="4009">
      <c r="A4009" t="inlineStr">
        <is>
          <t>SOLV_ACETONITRILE</t>
        </is>
      </c>
      <c r="B4009" t="inlineStr">
        <is>
          <t>Hildebrand_delta_T</t>
        </is>
      </c>
      <c r="C4009">
        <v>24.4</v>
      </c>
      <c r="D4009" t="inlineStr">
        <is>
          <t>MPa^0.5</t>
        </is>
      </c>
      <c r="E4009"/>
      <c r="F4009"/>
      <c r="G4009"/>
      <c r="H4009" t="inlineStr">
        <is>
          <t>S012_CALCULATED</t>
        </is>
      </c>
      <c r="I4009" t="inlineStr">
        <is>
          <t>calculated</t>
        </is>
      </c>
      <c r="J4009">
        <v>0.8</v>
      </c>
      <c r="K4009"/>
    </row>
    <row r="4010">
      <c r="A4010" t="inlineStr">
        <is>
          <t>SOLV_ACETONITRILE</t>
        </is>
      </c>
      <c r="B4010" t="inlineStr">
        <is>
          <t>molar_volume_cm3_mol</t>
        </is>
      </c>
      <c r="C4010">
        <v>52.23</v>
      </c>
      <c r="D4010" t="inlineStr">
        <is>
          <t>cm3/mol</t>
        </is>
      </c>
      <c r="E4010"/>
      <c r="F4010"/>
      <c r="G4010" t="inlineStr">
        <is>
          <t>MW/density</t>
        </is>
      </c>
      <c r="H4010" t="inlineStr">
        <is>
          <t>S012_CALCULATED</t>
        </is>
      </c>
      <c r="I4010" t="inlineStr">
        <is>
          <t>calculated</t>
        </is>
      </c>
      <c r="J4010">
        <v>0.78</v>
      </c>
      <c r="K4010"/>
    </row>
    <row r="4011">
      <c r="A4011" t="inlineStr">
        <is>
          <t>SOLV_ACETONITRILE</t>
        </is>
      </c>
      <c r="B4011" t="inlineStr">
        <is>
          <t>toxicity_penalty</t>
        </is>
      </c>
      <c r="C4011">
        <v>4</v>
      </c>
      <c r="D4011" t="inlineStr">
        <is>
          <t>ordinal 0-5</t>
        </is>
      </c>
      <c r="E4011"/>
      <c r="F4011"/>
      <c r="G4011"/>
      <c r="H4011" t="inlineStr">
        <is>
          <t>S005_ICH_Q3C_R9</t>
        </is>
      </c>
      <c r="I4011" t="inlineStr">
        <is>
          <t>curated</t>
        </is>
      </c>
      <c r="J4011">
        <v>0.72</v>
      </c>
      <c r="K4011"/>
    </row>
    <row r="4012">
      <c r="A4012" t="inlineStr">
        <is>
          <t>SOLV_ACETONITRILE</t>
        </is>
      </c>
      <c r="B4012" t="inlineStr">
        <is>
          <t>residual_solvent_warning</t>
        </is>
      </c>
      <c r="C4012" t="inlineStr">
        <is>
          <t>avoid/strictly limit</t>
        </is>
      </c>
      <c r="D4012"/>
      <c r="E4012"/>
      <c r="F4012"/>
      <c r="G4012"/>
      <c r="H4012" t="inlineStr">
        <is>
          <t>S005_ICH_Q3C_R9</t>
        </is>
      </c>
      <c r="I4012" t="inlineStr">
        <is>
          <t>curated</t>
        </is>
      </c>
      <c r="J4012">
        <v>0.75</v>
      </c>
      <c r="K4012"/>
    </row>
    <row r="4013">
      <c r="A4013" t="inlineStr">
        <is>
          <t>SOLV_ACETONITRILE</t>
        </is>
      </c>
      <c r="B4013" t="inlineStr">
        <is>
          <t>pulmonary_suitability</t>
        </is>
      </c>
      <c r="C4013" t="inlineStr">
        <is>
          <t>not suitable</t>
        </is>
      </c>
      <c r="D4013"/>
      <c r="E4013"/>
      <c r="F4013"/>
      <c r="G4013"/>
      <c r="H4013" t="inlineStr">
        <is>
          <t>S014_AULTON</t>
        </is>
      </c>
      <c r="I4013" t="inlineStr">
        <is>
          <t>curated</t>
        </is>
      </c>
      <c r="J4013">
        <v>0.55</v>
      </c>
      <c r="K4013"/>
    </row>
    <row r="4014">
      <c r="A4014" t="inlineStr">
        <is>
          <t>SOLV_ACETONITRILE</t>
        </is>
      </c>
      <c r="B4014" t="inlineStr">
        <is>
          <t>route_suitability</t>
        </is>
      </c>
      <c r="C4014" t="inlineStr">
        <is>
          <t>process solvent only unless excipient grade and residual solvent justified</t>
        </is>
      </c>
      <c r="D4014"/>
      <c r="E4014"/>
      <c r="F4014"/>
      <c r="G4014"/>
      <c r="H4014" t="inlineStr">
        <is>
          <t>S005_ICH_Q3C_R9</t>
        </is>
      </c>
      <c r="I4014" t="inlineStr">
        <is>
          <t>curated</t>
        </is>
      </c>
      <c r="J4014">
        <v>0.7</v>
      </c>
      <c r="K4014"/>
    </row>
    <row r="4015">
      <c r="A4015" t="inlineStr">
        <is>
          <t>SOLV_ISOPROPANOL</t>
        </is>
      </c>
      <c r="B4015" t="inlineStr">
        <is>
          <t>molecular_weight_g_mol</t>
        </is>
      </c>
      <c r="C4015">
        <v>60.1</v>
      </c>
      <c r="D4015" t="inlineStr">
        <is>
          <t>g/mol</t>
        </is>
      </c>
      <c r="E4015"/>
      <c r="F4015"/>
      <c r="G4015"/>
      <c r="H4015" t="inlineStr">
        <is>
          <t>S001_PUBCHEM</t>
        </is>
      </c>
      <c r="I4015" t="inlineStr">
        <is>
          <t>database-derived</t>
        </is>
      </c>
      <c r="J4015">
        <v>0.9</v>
      </c>
      <c r="K4015"/>
    </row>
    <row r="4016">
      <c r="A4016" t="inlineStr">
        <is>
          <t>SOLV_ISOPROPANOL</t>
        </is>
      </c>
      <c r="B4016" t="inlineStr">
        <is>
          <t>density_g_ml</t>
        </is>
      </c>
      <c r="C4016">
        <v>0.786</v>
      </c>
      <c r="D4016" t="inlineStr">
        <is>
          <t>g/mL</t>
        </is>
      </c>
      <c r="E4016"/>
      <c r="F4016"/>
      <c r="G4016" t="inlineStr">
        <is>
          <t>20-25 °C</t>
        </is>
      </c>
      <c r="H4016" t="inlineStr">
        <is>
          <t>S007_EXCIPIENTS_HANDBOOK</t>
        </is>
      </c>
      <c r="I4016" t="inlineStr">
        <is>
          <t>handbook</t>
        </is>
      </c>
      <c r="J4016">
        <v>0.82</v>
      </c>
      <c r="K4016"/>
    </row>
    <row r="4017">
      <c r="A4017" t="inlineStr">
        <is>
          <t>SOLV_ISOPROPANOL</t>
        </is>
      </c>
      <c r="B4017" t="inlineStr">
        <is>
          <t>boiling_point_C</t>
        </is>
      </c>
      <c r="C4017">
        <v>82.5</v>
      </c>
      <c r="D4017" t="inlineStr">
        <is>
          <t>°C</t>
        </is>
      </c>
      <c r="E4017"/>
      <c r="F4017"/>
      <c r="G4017"/>
      <c r="H4017" t="inlineStr">
        <is>
          <t>S001_PUBCHEM</t>
        </is>
      </c>
      <c r="I4017" t="inlineStr">
        <is>
          <t>handbook</t>
        </is>
      </c>
      <c r="J4017">
        <v>0.88</v>
      </c>
      <c r="K4017"/>
    </row>
    <row r="4018">
      <c r="A4018" t="inlineStr">
        <is>
          <t>SOLV_ISOPROPANOL</t>
        </is>
      </c>
      <c r="B4018" t="inlineStr">
        <is>
          <t>melting_point_C</t>
        </is>
      </c>
      <c r="C4018">
        <v>-89.5</v>
      </c>
      <c r="D4018" t="inlineStr">
        <is>
          <t>°C</t>
        </is>
      </c>
      <c r="E4018"/>
      <c r="F4018"/>
      <c r="G4018"/>
      <c r="H4018" t="inlineStr">
        <is>
          <t>S001_PUBCHEM</t>
        </is>
      </c>
      <c r="I4018" t="inlineStr">
        <is>
          <t>handbook</t>
        </is>
      </c>
      <c r="J4018">
        <v>0.88</v>
      </c>
      <c r="K4018"/>
    </row>
    <row r="4019">
      <c r="A4019" t="inlineStr">
        <is>
          <t>SOLV_ISOPROPANOL</t>
        </is>
      </c>
      <c r="B4019" t="inlineStr">
        <is>
          <t>dielectric_constant</t>
        </is>
      </c>
      <c r="C4019">
        <v>18.3</v>
      </c>
      <c r="D4019"/>
      <c r="E4019"/>
      <c r="F4019"/>
      <c r="G4019" t="inlineStr">
        <is>
          <t>20-25 °C approximate</t>
        </is>
      </c>
      <c r="H4019" t="inlineStr">
        <is>
          <t>S007_EXCIPIENTS_HANDBOOK</t>
        </is>
      </c>
      <c r="I4019" t="inlineStr">
        <is>
          <t>handbook</t>
        </is>
      </c>
      <c r="J4019">
        <v>0.75</v>
      </c>
      <c r="K4019"/>
    </row>
    <row r="4020">
      <c r="A4020" t="inlineStr">
        <is>
          <t>SOLV_ISOPROPANOL</t>
        </is>
      </c>
      <c r="B4020" t="inlineStr">
        <is>
          <t>polarity_index</t>
        </is>
      </c>
      <c r="C4020">
        <v>3.9</v>
      </c>
      <c r="D4020"/>
      <c r="E4020"/>
      <c r="F4020"/>
      <c r="G4020"/>
      <c r="H4020" t="inlineStr">
        <is>
          <t>S006_HANSEN_HANDBOOK</t>
        </is>
      </c>
      <c r="I4020" t="inlineStr">
        <is>
          <t>handbook</t>
        </is>
      </c>
      <c r="J4020">
        <v>0.7</v>
      </c>
      <c r="K4020"/>
    </row>
    <row r="4021">
      <c r="A4021" t="inlineStr">
        <is>
          <t>SOLV_ISOPROPANOL</t>
        </is>
      </c>
      <c r="B4021" t="inlineStr">
        <is>
          <t>water_miscibility</t>
        </is>
      </c>
      <c r="C4021" t="inlineStr">
        <is>
          <t>miscible</t>
        </is>
      </c>
      <c r="D4021"/>
      <c r="E4021"/>
      <c r="F4021"/>
      <c r="G4021"/>
      <c r="H4021" t="inlineStr">
        <is>
          <t>S007_EXCIPIENTS_HANDBOOK</t>
        </is>
      </c>
      <c r="I4021" t="inlineStr">
        <is>
          <t>handbook</t>
        </is>
      </c>
      <c r="J4021">
        <v>0.85</v>
      </c>
      <c r="K4021"/>
    </row>
    <row r="4022">
      <c r="A4022" t="inlineStr">
        <is>
          <t>SOLV_ISOPROPANOL</t>
        </is>
      </c>
      <c r="B4022" t="inlineStr">
        <is>
          <t>ICH_class</t>
        </is>
      </c>
      <c r="C4022" t="inlineStr">
        <is>
          <t>Class 3</t>
        </is>
      </c>
      <c r="D4022"/>
      <c r="E4022"/>
      <c r="F4022"/>
      <c r="G4022"/>
      <c r="H4022" t="inlineStr">
        <is>
          <t>S005_ICH_Q3C_R9</t>
        </is>
      </c>
      <c r="I4022" t="inlineStr">
        <is>
          <t>regulatory</t>
        </is>
      </c>
      <c r="J4022">
        <v>0.9</v>
      </c>
      <c r="K4022"/>
    </row>
    <row r="4023">
      <c r="A4023" t="inlineStr">
        <is>
          <t>SOLV_ISOPROPANOL</t>
        </is>
      </c>
      <c r="B4023" t="inlineStr">
        <is>
          <t>permitted_daily_exposure_if_available</t>
        </is>
      </c>
      <c r="C4023">
        <v>50</v>
      </c>
      <c r="D4023" t="inlineStr">
        <is>
          <t>mg/day</t>
        </is>
      </c>
      <c r="E4023"/>
      <c r="F4023"/>
      <c r="G4023"/>
      <c r="H4023" t="inlineStr">
        <is>
          <t>S005_ICH_Q3C_R9</t>
        </is>
      </c>
      <c r="I4023" t="inlineStr">
        <is>
          <t>regulatory</t>
        </is>
      </c>
      <c r="J4023">
        <v>0.85</v>
      </c>
      <c r="K4023"/>
    </row>
    <row r="4024">
      <c r="A4024" t="inlineStr">
        <is>
          <t>SOLV_ISOPROPANOL</t>
        </is>
      </c>
      <c r="B4024" t="inlineStr">
        <is>
          <t>Hansen_delta_D</t>
        </is>
      </c>
      <c r="C4024">
        <v>15.8</v>
      </c>
      <c r="D4024" t="inlineStr">
        <is>
          <t>MPa^0.5</t>
        </is>
      </c>
      <c r="E4024"/>
      <c r="F4024"/>
      <c r="G4024"/>
      <c r="H4024" t="inlineStr">
        <is>
          <t>S006_HANSEN_HANDBOOK</t>
        </is>
      </c>
      <c r="I4024" t="inlineStr">
        <is>
          <t>handbook</t>
        </is>
      </c>
      <c r="J4024">
        <v>0.8</v>
      </c>
      <c r="K4024"/>
    </row>
    <row r="4025">
      <c r="A4025" t="inlineStr">
        <is>
          <t>SOLV_ISOPROPANOL</t>
        </is>
      </c>
      <c r="B4025" t="inlineStr">
        <is>
          <t>Hansen_delta_P</t>
        </is>
      </c>
      <c r="C4025">
        <v>6.1</v>
      </c>
      <c r="D4025" t="inlineStr">
        <is>
          <t>MPa^0.5</t>
        </is>
      </c>
      <c r="E4025"/>
      <c r="F4025"/>
      <c r="G4025"/>
      <c r="H4025" t="inlineStr">
        <is>
          <t>S006_HANSEN_HANDBOOK</t>
        </is>
      </c>
      <c r="I4025" t="inlineStr">
        <is>
          <t>handbook</t>
        </is>
      </c>
      <c r="J4025">
        <v>0.8</v>
      </c>
      <c r="K4025"/>
    </row>
    <row r="4026">
      <c r="A4026" t="inlineStr">
        <is>
          <t>SOLV_ISOPROPANOL</t>
        </is>
      </c>
      <c r="B4026" t="inlineStr">
        <is>
          <t>Hansen_delta_H</t>
        </is>
      </c>
      <c r="C4026">
        <v>16.4</v>
      </c>
      <c r="D4026" t="inlineStr">
        <is>
          <t>MPa^0.5</t>
        </is>
      </c>
      <c r="E4026"/>
      <c r="F4026"/>
      <c r="G4026"/>
      <c r="H4026" t="inlineStr">
        <is>
          <t>S006_HANSEN_HANDBOOK</t>
        </is>
      </c>
      <c r="I4026" t="inlineStr">
        <is>
          <t>handbook</t>
        </is>
      </c>
      <c r="J4026">
        <v>0.8</v>
      </c>
      <c r="K4026"/>
    </row>
    <row r="4027">
      <c r="A4027" t="inlineStr">
        <is>
          <t>SOLV_ISOPROPANOL</t>
        </is>
      </c>
      <c r="B4027" t="inlineStr">
        <is>
          <t>Hildebrand_delta_T</t>
        </is>
      </c>
      <c r="C4027">
        <v>23.58</v>
      </c>
      <c r="D4027" t="inlineStr">
        <is>
          <t>MPa^0.5</t>
        </is>
      </c>
      <c r="E4027"/>
      <c r="F4027"/>
      <c r="G4027"/>
      <c r="H4027" t="inlineStr">
        <is>
          <t>S012_CALCULATED</t>
        </is>
      </c>
      <c r="I4027" t="inlineStr">
        <is>
          <t>calculated</t>
        </is>
      </c>
      <c r="J4027">
        <v>0.8</v>
      </c>
      <c r="K4027"/>
    </row>
    <row r="4028">
      <c r="A4028" t="inlineStr">
        <is>
          <t>SOLV_ISOPROPANOL</t>
        </is>
      </c>
      <c r="B4028" t="inlineStr">
        <is>
          <t>molar_volume_cm3_mol</t>
        </is>
      </c>
      <c r="C4028">
        <v>76.46</v>
      </c>
      <c r="D4028" t="inlineStr">
        <is>
          <t>cm3/mol</t>
        </is>
      </c>
      <c r="E4028"/>
      <c r="F4028"/>
      <c r="G4028" t="inlineStr">
        <is>
          <t>MW/density</t>
        </is>
      </c>
      <c r="H4028" t="inlineStr">
        <is>
          <t>S012_CALCULATED</t>
        </is>
      </c>
      <c r="I4028" t="inlineStr">
        <is>
          <t>calculated</t>
        </is>
      </c>
      <c r="J4028">
        <v>0.78</v>
      </c>
      <c r="K4028"/>
    </row>
    <row r="4029">
      <c r="A4029" t="inlineStr">
        <is>
          <t>SOLV_ISOPROPANOL</t>
        </is>
      </c>
      <c r="B4029" t="inlineStr">
        <is>
          <t>toxicity_penalty</t>
        </is>
      </c>
      <c r="C4029">
        <v>1</v>
      </c>
      <c r="D4029" t="inlineStr">
        <is>
          <t>ordinal 0-5</t>
        </is>
      </c>
      <c r="E4029"/>
      <c r="F4029"/>
      <c r="G4029"/>
      <c r="H4029" t="inlineStr">
        <is>
          <t>S005_ICH_Q3C_R9</t>
        </is>
      </c>
      <c r="I4029" t="inlineStr">
        <is>
          <t>curated</t>
        </is>
      </c>
      <c r="J4029">
        <v>0.72</v>
      </c>
      <c r="K4029"/>
    </row>
    <row r="4030">
      <c r="A4030" t="inlineStr">
        <is>
          <t>SOLV_ISOPROPANOL</t>
        </is>
      </c>
      <c r="B4030" t="inlineStr">
        <is>
          <t>residual_solvent_warning</t>
        </is>
      </c>
      <c r="C4030" t="inlineStr">
        <is>
          <t>low toxic potential under ICH Class 3 limits</t>
        </is>
      </c>
      <c r="D4030"/>
      <c r="E4030"/>
      <c r="F4030"/>
      <c r="G4030"/>
      <c r="H4030" t="inlineStr">
        <is>
          <t>S005_ICH_Q3C_R9</t>
        </is>
      </c>
      <c r="I4030" t="inlineStr">
        <is>
          <t>curated</t>
        </is>
      </c>
      <c r="J4030">
        <v>0.75</v>
      </c>
      <c r="K4030"/>
    </row>
    <row r="4031">
      <c r="A4031" t="inlineStr">
        <is>
          <t>SOLV_ISOPROPANOL</t>
        </is>
      </c>
      <c r="B4031" t="inlineStr">
        <is>
          <t>pulmonary_suitability</t>
        </is>
      </c>
      <c r="C4031" t="inlineStr">
        <is>
          <t>process solvent only</t>
        </is>
      </c>
      <c r="D4031"/>
      <c r="E4031"/>
      <c r="F4031"/>
      <c r="G4031"/>
      <c r="H4031" t="inlineStr">
        <is>
          <t>S014_AULTON</t>
        </is>
      </c>
      <c r="I4031" t="inlineStr">
        <is>
          <t>curated</t>
        </is>
      </c>
      <c r="J4031">
        <v>0.55</v>
      </c>
      <c r="K4031"/>
    </row>
    <row r="4032">
      <c r="A4032" t="inlineStr">
        <is>
          <t>SOLV_ISOPROPANOL</t>
        </is>
      </c>
      <c r="B4032" t="inlineStr">
        <is>
          <t>route_suitability</t>
        </is>
      </c>
      <c r="C4032" t="inlineStr">
        <is>
          <t>process solvent only unless excipient grade and residual solvent justified</t>
        </is>
      </c>
      <c r="D4032"/>
      <c r="E4032"/>
      <c r="F4032"/>
      <c r="G4032"/>
      <c r="H4032" t="inlineStr">
        <is>
          <t>S005_ICH_Q3C_R9</t>
        </is>
      </c>
      <c r="I4032" t="inlineStr">
        <is>
          <t>curated</t>
        </is>
      </c>
      <c r="J4032">
        <v>0.7</v>
      </c>
      <c r="K4032"/>
    </row>
    <row r="4033">
      <c r="A4033" t="inlineStr">
        <is>
          <t>SOLV_PROPYLENE_GLYCOL</t>
        </is>
      </c>
      <c r="B4033" t="inlineStr">
        <is>
          <t>molecular_weight_g_mol</t>
        </is>
      </c>
      <c r="C4033">
        <v>76.09</v>
      </c>
      <c r="D4033" t="inlineStr">
        <is>
          <t>g/mol</t>
        </is>
      </c>
      <c r="E4033"/>
      <c r="F4033"/>
      <c r="G4033"/>
      <c r="H4033" t="inlineStr">
        <is>
          <t>S001_PUBCHEM</t>
        </is>
      </c>
      <c r="I4033" t="inlineStr">
        <is>
          <t>database-derived</t>
        </is>
      </c>
      <c r="J4033">
        <v>0.9</v>
      </c>
      <c r="K4033"/>
    </row>
    <row r="4034">
      <c r="A4034" t="inlineStr">
        <is>
          <t>SOLV_PROPYLENE_GLYCOL</t>
        </is>
      </c>
      <c r="B4034" t="inlineStr">
        <is>
          <t>density_g_ml</t>
        </is>
      </c>
      <c r="C4034">
        <v>1.036</v>
      </c>
      <c r="D4034" t="inlineStr">
        <is>
          <t>g/mL</t>
        </is>
      </c>
      <c r="E4034"/>
      <c r="F4034"/>
      <c r="G4034" t="inlineStr">
        <is>
          <t>20-25 °C</t>
        </is>
      </c>
      <c r="H4034" t="inlineStr">
        <is>
          <t>S007_EXCIPIENTS_HANDBOOK</t>
        </is>
      </c>
      <c r="I4034" t="inlineStr">
        <is>
          <t>handbook</t>
        </is>
      </c>
      <c r="J4034">
        <v>0.82</v>
      </c>
      <c r="K4034"/>
    </row>
    <row r="4035">
      <c r="A4035" t="inlineStr">
        <is>
          <t>SOLV_PROPYLENE_GLYCOL</t>
        </is>
      </c>
      <c r="B4035" t="inlineStr">
        <is>
          <t>boiling_point_C</t>
        </is>
      </c>
      <c r="C4035">
        <v>188</v>
      </c>
      <c r="D4035" t="inlineStr">
        <is>
          <t>°C</t>
        </is>
      </c>
      <c r="E4035"/>
      <c r="F4035"/>
      <c r="G4035"/>
      <c r="H4035" t="inlineStr">
        <is>
          <t>S001_PUBCHEM</t>
        </is>
      </c>
      <c r="I4035" t="inlineStr">
        <is>
          <t>handbook</t>
        </is>
      </c>
      <c r="J4035">
        <v>0.88</v>
      </c>
      <c r="K4035"/>
    </row>
    <row r="4036">
      <c r="A4036" t="inlineStr">
        <is>
          <t>SOLV_PROPYLENE_GLYCOL</t>
        </is>
      </c>
      <c r="B4036" t="inlineStr">
        <is>
          <t>melting_point_C</t>
        </is>
      </c>
      <c r="C4036">
        <v>-59</v>
      </c>
      <c r="D4036" t="inlineStr">
        <is>
          <t>°C</t>
        </is>
      </c>
      <c r="E4036"/>
      <c r="F4036"/>
      <c r="G4036"/>
      <c r="H4036" t="inlineStr">
        <is>
          <t>S001_PUBCHEM</t>
        </is>
      </c>
      <c r="I4036" t="inlineStr">
        <is>
          <t>handbook</t>
        </is>
      </c>
      <c r="J4036">
        <v>0.88</v>
      </c>
      <c r="K4036"/>
    </row>
    <row r="4037">
      <c r="A4037" t="inlineStr">
        <is>
          <t>SOLV_PROPYLENE_GLYCOL</t>
        </is>
      </c>
      <c r="B4037" t="inlineStr">
        <is>
          <t>dielectric_constant</t>
        </is>
      </c>
      <c r="C4037">
        <v>32.0</v>
      </c>
      <c r="D4037"/>
      <c r="E4037"/>
      <c r="F4037"/>
      <c r="G4037" t="inlineStr">
        <is>
          <t>20-25 °C approximate</t>
        </is>
      </c>
      <c r="H4037" t="inlineStr">
        <is>
          <t>S007_EXCIPIENTS_HANDBOOK</t>
        </is>
      </c>
      <c r="I4037" t="inlineStr">
        <is>
          <t>handbook</t>
        </is>
      </c>
      <c r="J4037">
        <v>0.75</v>
      </c>
      <c r="K4037"/>
    </row>
    <row r="4038">
      <c r="A4038" t="inlineStr">
        <is>
          <t>SOLV_PROPYLENE_GLYCOL</t>
        </is>
      </c>
      <c r="B4038" t="inlineStr">
        <is>
          <t>polarity_index</t>
        </is>
      </c>
      <c r="C4038">
        <v>6.6</v>
      </c>
      <c r="D4038"/>
      <c r="E4038"/>
      <c r="F4038"/>
      <c r="G4038"/>
      <c r="H4038" t="inlineStr">
        <is>
          <t>S006_HANSEN_HANDBOOK</t>
        </is>
      </c>
      <c r="I4038" t="inlineStr">
        <is>
          <t>handbook</t>
        </is>
      </c>
      <c r="J4038">
        <v>0.7</v>
      </c>
      <c r="K4038"/>
    </row>
    <row r="4039">
      <c r="A4039" t="inlineStr">
        <is>
          <t>SOLV_PROPYLENE_GLYCOL</t>
        </is>
      </c>
      <c r="B4039" t="inlineStr">
        <is>
          <t>water_miscibility</t>
        </is>
      </c>
      <c r="C4039" t="inlineStr">
        <is>
          <t>miscible</t>
        </is>
      </c>
      <c r="D4039"/>
      <c r="E4039"/>
      <c r="F4039"/>
      <c r="G4039"/>
      <c r="H4039" t="inlineStr">
        <is>
          <t>S007_EXCIPIENTS_HANDBOOK</t>
        </is>
      </c>
      <c r="I4039" t="inlineStr">
        <is>
          <t>handbook</t>
        </is>
      </c>
      <c r="J4039">
        <v>0.85</v>
      </c>
      <c r="K4039"/>
    </row>
    <row r="4040">
      <c r="A4040" t="inlineStr">
        <is>
          <t>SOLV_PROPYLENE_GLYCOL</t>
        </is>
      </c>
      <c r="B4040" t="inlineStr">
        <is>
          <t>ICH_class</t>
        </is>
      </c>
      <c r="C4040" t="inlineStr">
        <is>
          <t>Class 3/low toxic potential</t>
        </is>
      </c>
      <c r="D4040"/>
      <c r="E4040"/>
      <c r="F4040"/>
      <c r="G4040"/>
      <c r="H4040" t="inlineStr">
        <is>
          <t>S005_ICH_Q3C_R9</t>
        </is>
      </c>
      <c r="I4040" t="inlineStr">
        <is>
          <t>regulatory</t>
        </is>
      </c>
      <c r="J4040">
        <v>0.9</v>
      </c>
      <c r="K4040"/>
    </row>
    <row r="4041">
      <c r="A4041" t="inlineStr">
        <is>
          <t>SOLV_PROPYLENE_GLYCOL</t>
        </is>
      </c>
      <c r="B4041" t="inlineStr">
        <is>
          <t>permitted_daily_exposure_if_available</t>
        </is>
      </c>
      <c r="C4041">
        <v>50</v>
      </c>
      <c r="D4041" t="inlineStr">
        <is>
          <t>mg/day</t>
        </is>
      </c>
      <c r="E4041"/>
      <c r="F4041"/>
      <c r="G4041"/>
      <c r="H4041" t="inlineStr">
        <is>
          <t>S005_ICH_Q3C_R9</t>
        </is>
      </c>
      <c r="I4041" t="inlineStr">
        <is>
          <t>regulatory</t>
        </is>
      </c>
      <c r="J4041">
        <v>0.85</v>
      </c>
      <c r="K4041"/>
    </row>
    <row r="4042">
      <c r="A4042" t="inlineStr">
        <is>
          <t>SOLV_PROPYLENE_GLYCOL</t>
        </is>
      </c>
      <c r="B4042" t="inlineStr">
        <is>
          <t>Hansen_delta_D</t>
        </is>
      </c>
      <c r="C4042">
        <v>16.8</v>
      </c>
      <c r="D4042" t="inlineStr">
        <is>
          <t>MPa^0.5</t>
        </is>
      </c>
      <c r="E4042"/>
      <c r="F4042"/>
      <c r="G4042"/>
      <c r="H4042" t="inlineStr">
        <is>
          <t>S006_HANSEN_HANDBOOK</t>
        </is>
      </c>
      <c r="I4042" t="inlineStr">
        <is>
          <t>handbook</t>
        </is>
      </c>
      <c r="J4042">
        <v>0.8</v>
      </c>
      <c r="K4042"/>
    </row>
    <row r="4043">
      <c r="A4043" t="inlineStr">
        <is>
          <t>SOLV_PROPYLENE_GLYCOL</t>
        </is>
      </c>
      <c r="B4043" t="inlineStr">
        <is>
          <t>Hansen_delta_P</t>
        </is>
      </c>
      <c r="C4043">
        <v>9.4</v>
      </c>
      <c r="D4043" t="inlineStr">
        <is>
          <t>MPa^0.5</t>
        </is>
      </c>
      <c r="E4043"/>
      <c r="F4043"/>
      <c r="G4043"/>
      <c r="H4043" t="inlineStr">
        <is>
          <t>S006_HANSEN_HANDBOOK</t>
        </is>
      </c>
      <c r="I4043" t="inlineStr">
        <is>
          <t>handbook</t>
        </is>
      </c>
      <c r="J4043">
        <v>0.8</v>
      </c>
      <c r="K4043"/>
    </row>
    <row r="4044">
      <c r="A4044" t="inlineStr">
        <is>
          <t>SOLV_PROPYLENE_GLYCOL</t>
        </is>
      </c>
      <c r="B4044" t="inlineStr">
        <is>
          <t>Hansen_delta_H</t>
        </is>
      </c>
      <c r="C4044">
        <v>23.3</v>
      </c>
      <c r="D4044" t="inlineStr">
        <is>
          <t>MPa^0.5</t>
        </is>
      </c>
      <c r="E4044"/>
      <c r="F4044"/>
      <c r="G4044"/>
      <c r="H4044" t="inlineStr">
        <is>
          <t>S006_HANSEN_HANDBOOK</t>
        </is>
      </c>
      <c r="I4044" t="inlineStr">
        <is>
          <t>handbook</t>
        </is>
      </c>
      <c r="J4044">
        <v>0.8</v>
      </c>
      <c r="K4044"/>
    </row>
    <row r="4045">
      <c r="A4045" t="inlineStr">
        <is>
          <t>SOLV_PROPYLENE_GLYCOL</t>
        </is>
      </c>
      <c r="B4045" t="inlineStr">
        <is>
          <t>Hildebrand_delta_T</t>
        </is>
      </c>
      <c r="C4045">
        <v>30.22</v>
      </c>
      <c r="D4045" t="inlineStr">
        <is>
          <t>MPa^0.5</t>
        </is>
      </c>
      <c r="E4045"/>
      <c r="F4045"/>
      <c r="G4045"/>
      <c r="H4045" t="inlineStr">
        <is>
          <t>S012_CALCULATED</t>
        </is>
      </c>
      <c r="I4045" t="inlineStr">
        <is>
          <t>calculated</t>
        </is>
      </c>
      <c r="J4045">
        <v>0.8</v>
      </c>
      <c r="K4045"/>
    </row>
    <row r="4046">
      <c r="A4046" t="inlineStr">
        <is>
          <t>SOLV_PROPYLENE_GLYCOL</t>
        </is>
      </c>
      <c r="B4046" t="inlineStr">
        <is>
          <t>molar_volume_cm3_mol</t>
        </is>
      </c>
      <c r="C4046">
        <v>73.45</v>
      </c>
      <c r="D4046" t="inlineStr">
        <is>
          <t>cm3/mol</t>
        </is>
      </c>
      <c r="E4046"/>
      <c r="F4046"/>
      <c r="G4046" t="inlineStr">
        <is>
          <t>MW/density</t>
        </is>
      </c>
      <c r="H4046" t="inlineStr">
        <is>
          <t>S012_CALCULATED</t>
        </is>
      </c>
      <c r="I4046" t="inlineStr">
        <is>
          <t>calculated</t>
        </is>
      </c>
      <c r="J4046">
        <v>0.78</v>
      </c>
      <c r="K4046"/>
    </row>
    <row r="4047">
      <c r="A4047" t="inlineStr">
        <is>
          <t>SOLV_PROPYLENE_GLYCOL</t>
        </is>
      </c>
      <c r="B4047" t="inlineStr">
        <is>
          <t>toxicity_penalty</t>
        </is>
      </c>
      <c r="C4047">
        <v>1</v>
      </c>
      <c r="D4047" t="inlineStr">
        <is>
          <t>ordinal 0-5</t>
        </is>
      </c>
      <c r="E4047"/>
      <c r="F4047"/>
      <c r="G4047"/>
      <c r="H4047" t="inlineStr">
        <is>
          <t>S005_ICH_Q3C_R9</t>
        </is>
      </c>
      <c r="I4047" t="inlineStr">
        <is>
          <t>curated</t>
        </is>
      </c>
      <c r="J4047">
        <v>0.72</v>
      </c>
      <c r="K4047"/>
    </row>
    <row r="4048">
      <c r="A4048" t="inlineStr">
        <is>
          <t>SOLV_PROPYLENE_GLYCOL</t>
        </is>
      </c>
      <c r="B4048" t="inlineStr">
        <is>
          <t>residual_solvent_warning</t>
        </is>
      </c>
      <c r="C4048" t="inlineStr">
        <is>
          <t>low toxic potential under ICH Class 3 limits</t>
        </is>
      </c>
      <c r="D4048"/>
      <c r="E4048"/>
      <c r="F4048"/>
      <c r="G4048"/>
      <c r="H4048" t="inlineStr">
        <is>
          <t>S005_ICH_Q3C_R9</t>
        </is>
      </c>
      <c r="I4048" t="inlineStr">
        <is>
          <t>curated</t>
        </is>
      </c>
      <c r="J4048">
        <v>0.75</v>
      </c>
      <c r="K4048"/>
    </row>
    <row r="4049">
      <c r="A4049" t="inlineStr">
        <is>
          <t>SOLV_PROPYLENE_GLYCOL</t>
        </is>
      </c>
      <c r="B4049" t="inlineStr">
        <is>
          <t>pulmonary_suitability</t>
        </is>
      </c>
      <c r="C4049" t="inlineStr">
        <is>
          <t>possible excipient; osmolality caution</t>
        </is>
      </c>
      <c r="D4049"/>
      <c r="E4049"/>
      <c r="F4049"/>
      <c r="G4049"/>
      <c r="H4049" t="inlineStr">
        <is>
          <t>S014_AULTON</t>
        </is>
      </c>
      <c r="I4049" t="inlineStr">
        <is>
          <t>curated</t>
        </is>
      </c>
      <c r="J4049">
        <v>0.55</v>
      </c>
      <c r="K4049"/>
    </row>
    <row r="4050">
      <c r="A4050" t="inlineStr">
        <is>
          <t>SOLV_PROPYLENE_GLYCOL</t>
        </is>
      </c>
      <c r="B4050" t="inlineStr">
        <is>
          <t>route_suitability</t>
        </is>
      </c>
      <c r="C4050" t="inlineStr">
        <is>
          <t>process solvent only unless excipient grade and residual solvent justified</t>
        </is>
      </c>
      <c r="D4050"/>
      <c r="E4050"/>
      <c r="F4050"/>
      <c r="G4050"/>
      <c r="H4050" t="inlineStr">
        <is>
          <t>S005_ICH_Q3C_R9</t>
        </is>
      </c>
      <c r="I4050" t="inlineStr">
        <is>
          <t>curated</t>
        </is>
      </c>
      <c r="J4050">
        <v>0.7</v>
      </c>
      <c r="K4050"/>
    </row>
    <row r="4051">
      <c r="A4051" t="inlineStr">
        <is>
          <t>SOLV_PEG_400</t>
        </is>
      </c>
      <c r="B4051" t="inlineStr">
        <is>
          <t>molecular_weight_g_mol</t>
        </is>
      </c>
      <c r="C4051">
        <v>400</v>
      </c>
      <c r="D4051" t="inlineStr">
        <is>
          <t>g/mol</t>
        </is>
      </c>
      <c r="E4051"/>
      <c r="F4051"/>
      <c r="G4051"/>
      <c r="H4051" t="inlineStr">
        <is>
          <t>S001_PUBCHEM</t>
        </is>
      </c>
      <c r="I4051" t="inlineStr">
        <is>
          <t>database-derived</t>
        </is>
      </c>
      <c r="J4051">
        <v>0.9</v>
      </c>
      <c r="K4051"/>
    </row>
    <row r="4052">
      <c r="A4052" t="inlineStr">
        <is>
          <t>SOLV_PEG_400</t>
        </is>
      </c>
      <c r="B4052" t="inlineStr">
        <is>
          <t>density_g_ml</t>
        </is>
      </c>
      <c r="C4052">
        <v>1.125</v>
      </c>
      <c r="D4052" t="inlineStr">
        <is>
          <t>g/mL</t>
        </is>
      </c>
      <c r="E4052"/>
      <c r="F4052"/>
      <c r="G4052" t="inlineStr">
        <is>
          <t>20-25 °C</t>
        </is>
      </c>
      <c r="H4052" t="inlineStr">
        <is>
          <t>S007_EXCIPIENTS_HANDBOOK</t>
        </is>
      </c>
      <c r="I4052" t="inlineStr">
        <is>
          <t>handbook</t>
        </is>
      </c>
      <c r="J4052">
        <v>0.82</v>
      </c>
      <c r="K4052"/>
    </row>
    <row r="4053">
      <c r="A4053" t="inlineStr">
        <is>
          <t>SOLV_PEG_400</t>
        </is>
      </c>
      <c r="B4053" t="inlineStr">
        <is>
          <t>boiling_point_C</t>
        </is>
      </c>
      <c r="C4053">
        <v>250</v>
      </c>
      <c r="D4053" t="inlineStr">
        <is>
          <t>°C</t>
        </is>
      </c>
      <c r="E4053"/>
      <c r="F4053"/>
      <c r="G4053"/>
      <c r="H4053" t="inlineStr">
        <is>
          <t>S001_PUBCHEM</t>
        </is>
      </c>
      <c r="I4053" t="inlineStr">
        <is>
          <t>handbook</t>
        </is>
      </c>
      <c r="J4053">
        <v>0.88</v>
      </c>
      <c r="K4053"/>
    </row>
    <row r="4054">
      <c r="A4054" t="inlineStr">
        <is>
          <t>SOLV_PEG_400</t>
        </is>
      </c>
      <c r="B4054" t="inlineStr">
        <is>
          <t>melting_point_C</t>
        </is>
      </c>
      <c r="C4054">
        <v>4</v>
      </c>
      <c r="D4054" t="inlineStr">
        <is>
          <t>°C</t>
        </is>
      </c>
      <c r="E4054"/>
      <c r="F4054"/>
      <c r="G4054"/>
      <c r="H4054" t="inlineStr">
        <is>
          <t>S001_PUBCHEM</t>
        </is>
      </c>
      <c r="I4054" t="inlineStr">
        <is>
          <t>handbook</t>
        </is>
      </c>
      <c r="J4054">
        <v>0.88</v>
      </c>
      <c r="K4054"/>
    </row>
    <row r="4055">
      <c r="A4055" t="inlineStr">
        <is>
          <t>SOLV_PEG_400</t>
        </is>
      </c>
      <c r="B4055" t="inlineStr">
        <is>
          <t>dielectric_constant</t>
        </is>
      </c>
      <c r="C4055">
        <v>12.4</v>
      </c>
      <c r="D4055"/>
      <c r="E4055"/>
      <c r="F4055"/>
      <c r="G4055" t="inlineStr">
        <is>
          <t>20-25 °C approximate</t>
        </is>
      </c>
      <c r="H4055" t="inlineStr">
        <is>
          <t>S007_EXCIPIENTS_HANDBOOK</t>
        </is>
      </c>
      <c r="I4055" t="inlineStr">
        <is>
          <t>handbook</t>
        </is>
      </c>
      <c r="J4055">
        <v>0.75</v>
      </c>
      <c r="K4055"/>
    </row>
    <row r="4056">
      <c r="A4056" t="inlineStr">
        <is>
          <t>SOLV_PEG_400</t>
        </is>
      </c>
      <c r="B4056" t="inlineStr">
        <is>
          <t>polarity_index</t>
        </is>
      </c>
      <c r="C4056">
        <v>5.8</v>
      </c>
      <c r="D4056"/>
      <c r="E4056"/>
      <c r="F4056"/>
      <c r="G4056"/>
      <c r="H4056" t="inlineStr">
        <is>
          <t>S006_HANSEN_HANDBOOK</t>
        </is>
      </c>
      <c r="I4056" t="inlineStr">
        <is>
          <t>handbook</t>
        </is>
      </c>
      <c r="J4056">
        <v>0.7</v>
      </c>
      <c r="K4056"/>
    </row>
    <row r="4057">
      <c r="A4057" t="inlineStr">
        <is>
          <t>SOLV_PEG_400</t>
        </is>
      </c>
      <c r="B4057" t="inlineStr">
        <is>
          <t>water_miscibility</t>
        </is>
      </c>
      <c r="C4057" t="inlineStr">
        <is>
          <t>miscible</t>
        </is>
      </c>
      <c r="D4057"/>
      <c r="E4057"/>
      <c r="F4057"/>
      <c r="G4057"/>
      <c r="H4057" t="inlineStr">
        <is>
          <t>S007_EXCIPIENTS_HANDBOOK</t>
        </is>
      </c>
      <c r="I4057" t="inlineStr">
        <is>
          <t>handbook</t>
        </is>
      </c>
      <c r="J4057">
        <v>0.85</v>
      </c>
      <c r="K4057"/>
    </row>
    <row r="4058">
      <c r="A4058" t="inlineStr">
        <is>
          <t>SOLV_PEG_400</t>
        </is>
      </c>
      <c r="B4058" t="inlineStr">
        <is>
          <t>ICH_class</t>
        </is>
      </c>
      <c r="C4058" t="inlineStr">
        <is>
          <t>not listed / excipient</t>
        </is>
      </c>
      <c r="D4058"/>
      <c r="E4058"/>
      <c r="F4058"/>
      <c r="G4058"/>
      <c r="H4058" t="inlineStr">
        <is>
          <t>S005_ICH_Q3C_R9</t>
        </is>
      </c>
      <c r="I4058" t="inlineStr">
        <is>
          <t>regulatory</t>
        </is>
      </c>
      <c r="J4058">
        <v>0.9</v>
      </c>
      <c r="K4058"/>
    </row>
    <row r="4059">
      <c r="A4059" t="inlineStr">
        <is>
          <t>SOLV_PEG_400</t>
        </is>
      </c>
      <c r="B4059" t="inlineStr">
        <is>
          <t>Hansen_delta_D</t>
        </is>
      </c>
      <c r="C4059">
        <v>17.4</v>
      </c>
      <c r="D4059" t="inlineStr">
        <is>
          <t>MPa^0.5</t>
        </is>
      </c>
      <c r="E4059"/>
      <c r="F4059"/>
      <c r="G4059"/>
      <c r="H4059" t="inlineStr">
        <is>
          <t>S006_HANSEN_HANDBOOK</t>
        </is>
      </c>
      <c r="I4059" t="inlineStr">
        <is>
          <t>handbook</t>
        </is>
      </c>
      <c r="J4059">
        <v>0.8</v>
      </c>
      <c r="K4059"/>
    </row>
    <row r="4060">
      <c r="A4060" t="inlineStr">
        <is>
          <t>SOLV_PEG_400</t>
        </is>
      </c>
      <c r="B4060" t="inlineStr">
        <is>
          <t>Hansen_delta_P</t>
        </is>
      </c>
      <c r="C4060">
        <v>4.3</v>
      </c>
      <c r="D4060" t="inlineStr">
        <is>
          <t>MPa^0.5</t>
        </is>
      </c>
      <c r="E4060"/>
      <c r="F4060"/>
      <c r="G4060"/>
      <c r="H4060" t="inlineStr">
        <is>
          <t>S006_HANSEN_HANDBOOK</t>
        </is>
      </c>
      <c r="I4060" t="inlineStr">
        <is>
          <t>handbook</t>
        </is>
      </c>
      <c r="J4060">
        <v>0.8</v>
      </c>
      <c r="K4060"/>
    </row>
    <row r="4061">
      <c r="A4061" t="inlineStr">
        <is>
          <t>SOLV_PEG_400</t>
        </is>
      </c>
      <c r="B4061" t="inlineStr">
        <is>
          <t>Hansen_delta_H</t>
        </is>
      </c>
      <c r="C4061">
        <v>12.3</v>
      </c>
      <c r="D4061" t="inlineStr">
        <is>
          <t>MPa^0.5</t>
        </is>
      </c>
      <c r="E4061"/>
      <c r="F4061"/>
      <c r="G4061"/>
      <c r="H4061" t="inlineStr">
        <is>
          <t>S006_HANSEN_HANDBOOK</t>
        </is>
      </c>
      <c r="I4061" t="inlineStr">
        <is>
          <t>handbook</t>
        </is>
      </c>
      <c r="J4061">
        <v>0.8</v>
      </c>
      <c r="K4061"/>
    </row>
    <row r="4062">
      <c r="A4062" t="inlineStr">
        <is>
          <t>SOLV_PEG_400</t>
        </is>
      </c>
      <c r="B4062" t="inlineStr">
        <is>
          <t>Hildebrand_delta_T</t>
        </is>
      </c>
      <c r="C4062">
        <v>21.74</v>
      </c>
      <c r="D4062" t="inlineStr">
        <is>
          <t>MPa^0.5</t>
        </is>
      </c>
      <c r="E4062"/>
      <c r="F4062"/>
      <c r="G4062"/>
      <c r="H4062" t="inlineStr">
        <is>
          <t>S012_CALCULATED</t>
        </is>
      </c>
      <c r="I4062" t="inlineStr">
        <is>
          <t>calculated</t>
        </is>
      </c>
      <c r="J4062">
        <v>0.8</v>
      </c>
      <c r="K4062"/>
    </row>
    <row r="4063">
      <c r="A4063" t="inlineStr">
        <is>
          <t>SOLV_PEG_400</t>
        </is>
      </c>
      <c r="B4063" t="inlineStr">
        <is>
          <t>molar_volume_cm3_mol</t>
        </is>
      </c>
      <c r="C4063">
        <v>355.56</v>
      </c>
      <c r="D4063" t="inlineStr">
        <is>
          <t>cm3/mol</t>
        </is>
      </c>
      <c r="E4063"/>
      <c r="F4063"/>
      <c r="G4063" t="inlineStr">
        <is>
          <t>MW/density</t>
        </is>
      </c>
      <c r="H4063" t="inlineStr">
        <is>
          <t>S012_CALCULATED</t>
        </is>
      </c>
      <c r="I4063" t="inlineStr">
        <is>
          <t>calculated</t>
        </is>
      </c>
      <c r="J4063">
        <v>0.78</v>
      </c>
      <c r="K4063"/>
    </row>
    <row r="4064">
      <c r="A4064" t="inlineStr">
        <is>
          <t>SOLV_PEG_400</t>
        </is>
      </c>
      <c r="B4064" t="inlineStr">
        <is>
          <t>toxicity_penalty</t>
        </is>
      </c>
      <c r="C4064">
        <v>1</v>
      </c>
      <c r="D4064" t="inlineStr">
        <is>
          <t>ordinal 0-5</t>
        </is>
      </c>
      <c r="E4064"/>
      <c r="F4064"/>
      <c r="G4064"/>
      <c r="H4064" t="inlineStr">
        <is>
          <t>S005_ICH_Q3C_R9</t>
        </is>
      </c>
      <c r="I4064" t="inlineStr">
        <is>
          <t>curated</t>
        </is>
      </c>
      <c r="J4064">
        <v>0.72</v>
      </c>
      <c r="K4064"/>
    </row>
    <row r="4065">
      <c r="A4065" t="inlineStr">
        <is>
          <t>SOLV_PEG_400</t>
        </is>
      </c>
      <c r="B4065" t="inlineStr">
        <is>
          <t>residual_solvent_warning</t>
        </is>
      </c>
      <c r="C4065" t="inlineStr">
        <is>
          <t>not an ICH residual solvent or not applicable</t>
        </is>
      </c>
      <c r="D4065"/>
      <c r="E4065"/>
      <c r="F4065"/>
      <c r="G4065"/>
      <c r="H4065" t="inlineStr">
        <is>
          <t>S005_ICH_Q3C_R9</t>
        </is>
      </c>
      <c r="I4065" t="inlineStr">
        <is>
          <t>curated</t>
        </is>
      </c>
      <c r="J4065">
        <v>0.75</v>
      </c>
      <c r="K4065"/>
    </row>
    <row r="4066">
      <c r="A4066" t="inlineStr">
        <is>
          <t>SOLV_PEG_400</t>
        </is>
      </c>
      <c r="B4066" t="inlineStr">
        <is>
          <t>pulmonary_suitability</t>
        </is>
      </c>
      <c r="C4066" t="inlineStr">
        <is>
          <t>possible excipient; viscosity/osmolality caution</t>
        </is>
      </c>
      <c r="D4066"/>
      <c r="E4066"/>
      <c r="F4066"/>
      <c r="G4066"/>
      <c r="H4066" t="inlineStr">
        <is>
          <t>S014_AULTON</t>
        </is>
      </c>
      <c r="I4066" t="inlineStr">
        <is>
          <t>curated</t>
        </is>
      </c>
      <c r="J4066">
        <v>0.55</v>
      </c>
      <c r="K4066"/>
    </row>
    <row r="4067">
      <c r="A4067" t="inlineStr">
        <is>
          <t>SOLV_PEG_400</t>
        </is>
      </c>
      <c r="B4067" t="inlineStr">
        <is>
          <t>route_suitability</t>
        </is>
      </c>
      <c r="C4067" t="inlineStr">
        <is>
          <t>process solvent only unless excipient grade and residual solvent justified</t>
        </is>
      </c>
      <c r="D4067"/>
      <c r="E4067"/>
      <c r="F4067"/>
      <c r="G4067"/>
      <c r="H4067" t="inlineStr">
        <is>
          <t>S005_ICH_Q3C_R9</t>
        </is>
      </c>
      <c r="I4067" t="inlineStr">
        <is>
          <t>curated</t>
        </is>
      </c>
      <c r="J4067">
        <v>0.7</v>
      </c>
      <c r="K4067"/>
    </row>
    <row r="4068">
      <c r="A4068" t="inlineStr">
        <is>
          <t>SOLV_GLYCEROL</t>
        </is>
      </c>
      <c r="B4068" t="inlineStr">
        <is>
          <t>molecular_weight_g_mol</t>
        </is>
      </c>
      <c r="C4068">
        <v>92.09</v>
      </c>
      <c r="D4068" t="inlineStr">
        <is>
          <t>g/mol</t>
        </is>
      </c>
      <c r="E4068"/>
      <c r="F4068"/>
      <c r="G4068"/>
      <c r="H4068" t="inlineStr">
        <is>
          <t>S001_PUBCHEM</t>
        </is>
      </c>
      <c r="I4068" t="inlineStr">
        <is>
          <t>database-derived</t>
        </is>
      </c>
      <c r="J4068">
        <v>0.9</v>
      </c>
      <c r="K4068"/>
    </row>
    <row r="4069">
      <c r="A4069" t="inlineStr">
        <is>
          <t>SOLV_GLYCEROL</t>
        </is>
      </c>
      <c r="B4069" t="inlineStr">
        <is>
          <t>density_g_ml</t>
        </is>
      </c>
      <c r="C4069">
        <v>1.261</v>
      </c>
      <c r="D4069" t="inlineStr">
        <is>
          <t>g/mL</t>
        </is>
      </c>
      <c r="E4069"/>
      <c r="F4069"/>
      <c r="G4069" t="inlineStr">
        <is>
          <t>20-25 °C</t>
        </is>
      </c>
      <c r="H4069" t="inlineStr">
        <is>
          <t>S007_EXCIPIENTS_HANDBOOK</t>
        </is>
      </c>
      <c r="I4069" t="inlineStr">
        <is>
          <t>handbook</t>
        </is>
      </c>
      <c r="J4069">
        <v>0.82</v>
      </c>
      <c r="K4069"/>
    </row>
    <row r="4070">
      <c r="A4070" t="inlineStr">
        <is>
          <t>SOLV_GLYCEROL</t>
        </is>
      </c>
      <c r="B4070" t="inlineStr">
        <is>
          <t>boiling_point_C</t>
        </is>
      </c>
      <c r="C4070">
        <v>290</v>
      </c>
      <c r="D4070" t="inlineStr">
        <is>
          <t>°C</t>
        </is>
      </c>
      <c r="E4070"/>
      <c r="F4070"/>
      <c r="G4070"/>
      <c r="H4070" t="inlineStr">
        <is>
          <t>S001_PUBCHEM</t>
        </is>
      </c>
      <c r="I4070" t="inlineStr">
        <is>
          <t>handbook</t>
        </is>
      </c>
      <c r="J4070">
        <v>0.88</v>
      </c>
      <c r="K4070"/>
    </row>
    <row r="4071">
      <c r="A4071" t="inlineStr">
        <is>
          <t>SOLV_GLYCEROL</t>
        </is>
      </c>
      <c r="B4071" t="inlineStr">
        <is>
          <t>melting_point_C</t>
        </is>
      </c>
      <c r="C4071">
        <v>17.8</v>
      </c>
      <c r="D4071" t="inlineStr">
        <is>
          <t>°C</t>
        </is>
      </c>
      <c r="E4071"/>
      <c r="F4071"/>
      <c r="G4071"/>
      <c r="H4071" t="inlineStr">
        <is>
          <t>S001_PUBCHEM</t>
        </is>
      </c>
      <c r="I4071" t="inlineStr">
        <is>
          <t>handbook</t>
        </is>
      </c>
      <c r="J4071">
        <v>0.88</v>
      </c>
      <c r="K4071"/>
    </row>
    <row r="4072">
      <c r="A4072" t="inlineStr">
        <is>
          <t>SOLV_GLYCEROL</t>
        </is>
      </c>
      <c r="B4072" t="inlineStr">
        <is>
          <t>dielectric_constant</t>
        </is>
      </c>
      <c r="C4072">
        <v>42.5</v>
      </c>
      <c r="D4072"/>
      <c r="E4072"/>
      <c r="F4072"/>
      <c r="G4072" t="inlineStr">
        <is>
          <t>20-25 °C approximate</t>
        </is>
      </c>
      <c r="H4072" t="inlineStr">
        <is>
          <t>S007_EXCIPIENTS_HANDBOOK</t>
        </is>
      </c>
      <c r="I4072" t="inlineStr">
        <is>
          <t>handbook</t>
        </is>
      </c>
      <c r="J4072">
        <v>0.75</v>
      </c>
      <c r="K4072"/>
    </row>
    <row r="4073">
      <c r="A4073" t="inlineStr">
        <is>
          <t>SOLV_GLYCEROL</t>
        </is>
      </c>
      <c r="B4073" t="inlineStr">
        <is>
          <t>polarity_index</t>
        </is>
      </c>
      <c r="C4073">
        <v>9.0</v>
      </c>
      <c r="D4073"/>
      <c r="E4073"/>
      <c r="F4073"/>
      <c r="G4073"/>
      <c r="H4073" t="inlineStr">
        <is>
          <t>S006_HANSEN_HANDBOOK</t>
        </is>
      </c>
      <c r="I4073" t="inlineStr">
        <is>
          <t>handbook</t>
        </is>
      </c>
      <c r="J4073">
        <v>0.7</v>
      </c>
      <c r="K4073"/>
    </row>
    <row r="4074">
      <c r="A4074" t="inlineStr">
        <is>
          <t>SOLV_GLYCEROL</t>
        </is>
      </c>
      <c r="B4074" t="inlineStr">
        <is>
          <t>water_miscibility</t>
        </is>
      </c>
      <c r="C4074" t="inlineStr">
        <is>
          <t>miscible</t>
        </is>
      </c>
      <c r="D4074"/>
      <c r="E4074"/>
      <c r="F4074"/>
      <c r="G4074"/>
      <c r="H4074" t="inlineStr">
        <is>
          <t>S007_EXCIPIENTS_HANDBOOK</t>
        </is>
      </c>
      <c r="I4074" t="inlineStr">
        <is>
          <t>handbook</t>
        </is>
      </c>
      <c r="J4074">
        <v>0.85</v>
      </c>
      <c r="K4074"/>
    </row>
    <row r="4075">
      <c r="A4075" t="inlineStr">
        <is>
          <t>SOLV_GLYCEROL</t>
        </is>
      </c>
      <c r="B4075" t="inlineStr">
        <is>
          <t>ICH_class</t>
        </is>
      </c>
      <c r="C4075" t="inlineStr">
        <is>
          <t>not listed / excipient</t>
        </is>
      </c>
      <c r="D4075"/>
      <c r="E4075"/>
      <c r="F4075"/>
      <c r="G4075"/>
      <c r="H4075" t="inlineStr">
        <is>
          <t>S005_ICH_Q3C_R9</t>
        </is>
      </c>
      <c r="I4075" t="inlineStr">
        <is>
          <t>regulatory</t>
        </is>
      </c>
      <c r="J4075">
        <v>0.9</v>
      </c>
      <c r="K4075"/>
    </row>
    <row r="4076">
      <c r="A4076" t="inlineStr">
        <is>
          <t>SOLV_GLYCEROL</t>
        </is>
      </c>
      <c r="B4076" t="inlineStr">
        <is>
          <t>Hansen_delta_D</t>
        </is>
      </c>
      <c r="C4076">
        <v>17.4</v>
      </c>
      <c r="D4076" t="inlineStr">
        <is>
          <t>MPa^0.5</t>
        </is>
      </c>
      <c r="E4076"/>
      <c r="F4076"/>
      <c r="G4076"/>
      <c r="H4076" t="inlineStr">
        <is>
          <t>S006_HANSEN_HANDBOOK</t>
        </is>
      </c>
      <c r="I4076" t="inlineStr">
        <is>
          <t>handbook</t>
        </is>
      </c>
      <c r="J4076">
        <v>0.8</v>
      </c>
      <c r="K4076"/>
    </row>
    <row r="4077">
      <c r="A4077" t="inlineStr">
        <is>
          <t>SOLV_GLYCEROL</t>
        </is>
      </c>
      <c r="B4077" t="inlineStr">
        <is>
          <t>Hansen_delta_P</t>
        </is>
      </c>
      <c r="C4077">
        <v>12.1</v>
      </c>
      <c r="D4077" t="inlineStr">
        <is>
          <t>MPa^0.5</t>
        </is>
      </c>
      <c r="E4077"/>
      <c r="F4077"/>
      <c r="G4077"/>
      <c r="H4077" t="inlineStr">
        <is>
          <t>S006_HANSEN_HANDBOOK</t>
        </is>
      </c>
      <c r="I4077" t="inlineStr">
        <is>
          <t>handbook</t>
        </is>
      </c>
      <c r="J4077">
        <v>0.8</v>
      </c>
      <c r="K4077"/>
    </row>
    <row r="4078">
      <c r="A4078" t="inlineStr">
        <is>
          <t>SOLV_GLYCEROL</t>
        </is>
      </c>
      <c r="B4078" t="inlineStr">
        <is>
          <t>Hansen_delta_H</t>
        </is>
      </c>
      <c r="C4078">
        <v>29.3</v>
      </c>
      <c r="D4078" t="inlineStr">
        <is>
          <t>MPa^0.5</t>
        </is>
      </c>
      <c r="E4078"/>
      <c r="F4078"/>
      <c r="G4078"/>
      <c r="H4078" t="inlineStr">
        <is>
          <t>S006_HANSEN_HANDBOOK</t>
        </is>
      </c>
      <c r="I4078" t="inlineStr">
        <is>
          <t>handbook</t>
        </is>
      </c>
      <c r="J4078">
        <v>0.8</v>
      </c>
      <c r="K4078"/>
    </row>
    <row r="4079">
      <c r="A4079" t="inlineStr">
        <is>
          <t>SOLV_GLYCEROL</t>
        </is>
      </c>
      <c r="B4079" t="inlineStr">
        <is>
          <t>Hildebrand_delta_T</t>
        </is>
      </c>
      <c r="C4079">
        <v>36.16</v>
      </c>
      <c r="D4079" t="inlineStr">
        <is>
          <t>MPa^0.5</t>
        </is>
      </c>
      <c r="E4079"/>
      <c r="F4079"/>
      <c r="G4079"/>
      <c r="H4079" t="inlineStr">
        <is>
          <t>S012_CALCULATED</t>
        </is>
      </c>
      <c r="I4079" t="inlineStr">
        <is>
          <t>calculated</t>
        </is>
      </c>
      <c r="J4079">
        <v>0.8</v>
      </c>
      <c r="K4079"/>
    </row>
    <row r="4080">
      <c r="A4080" t="inlineStr">
        <is>
          <t>SOLV_GLYCEROL</t>
        </is>
      </c>
      <c r="B4080" t="inlineStr">
        <is>
          <t>molar_volume_cm3_mol</t>
        </is>
      </c>
      <c r="C4080">
        <v>73.03</v>
      </c>
      <c r="D4080" t="inlineStr">
        <is>
          <t>cm3/mol</t>
        </is>
      </c>
      <c r="E4080"/>
      <c r="F4080"/>
      <c r="G4080" t="inlineStr">
        <is>
          <t>MW/density</t>
        </is>
      </c>
      <c r="H4080" t="inlineStr">
        <is>
          <t>S012_CALCULATED</t>
        </is>
      </c>
      <c r="I4080" t="inlineStr">
        <is>
          <t>calculated</t>
        </is>
      </c>
      <c r="J4080">
        <v>0.78</v>
      </c>
      <c r="K4080"/>
    </row>
    <row r="4081">
      <c r="A4081" t="inlineStr">
        <is>
          <t>SOLV_GLYCEROL</t>
        </is>
      </c>
      <c r="B4081" t="inlineStr">
        <is>
          <t>toxicity_penalty</t>
        </is>
      </c>
      <c r="C4081">
        <v>1</v>
      </c>
      <c r="D4081" t="inlineStr">
        <is>
          <t>ordinal 0-5</t>
        </is>
      </c>
      <c r="E4081"/>
      <c r="F4081"/>
      <c r="G4081"/>
      <c r="H4081" t="inlineStr">
        <is>
          <t>S005_ICH_Q3C_R9</t>
        </is>
      </c>
      <c r="I4081" t="inlineStr">
        <is>
          <t>curated</t>
        </is>
      </c>
      <c r="J4081">
        <v>0.72</v>
      </c>
      <c r="K4081"/>
    </row>
    <row r="4082">
      <c r="A4082" t="inlineStr">
        <is>
          <t>SOLV_GLYCEROL</t>
        </is>
      </c>
      <c r="B4082" t="inlineStr">
        <is>
          <t>residual_solvent_warning</t>
        </is>
      </c>
      <c r="C4082" t="inlineStr">
        <is>
          <t>not an ICH residual solvent or not applicable</t>
        </is>
      </c>
      <c r="D4082"/>
      <c r="E4082"/>
      <c r="F4082"/>
      <c r="G4082"/>
      <c r="H4082" t="inlineStr">
        <is>
          <t>S005_ICH_Q3C_R9</t>
        </is>
      </c>
      <c r="I4082" t="inlineStr">
        <is>
          <t>curated</t>
        </is>
      </c>
      <c r="J4082">
        <v>0.75</v>
      </c>
      <c r="K4082"/>
    </row>
    <row r="4083">
      <c r="A4083" t="inlineStr">
        <is>
          <t>SOLV_GLYCEROL</t>
        </is>
      </c>
      <c r="B4083" t="inlineStr">
        <is>
          <t>pulmonary_suitability</t>
        </is>
      </c>
      <c r="C4083" t="inlineStr">
        <is>
          <t>possible excipient; osmolality caution</t>
        </is>
      </c>
      <c r="D4083"/>
      <c r="E4083"/>
      <c r="F4083"/>
      <c r="G4083"/>
      <c r="H4083" t="inlineStr">
        <is>
          <t>S014_AULTON</t>
        </is>
      </c>
      <c r="I4083" t="inlineStr">
        <is>
          <t>curated</t>
        </is>
      </c>
      <c r="J4083">
        <v>0.55</v>
      </c>
      <c r="K4083"/>
    </row>
    <row r="4084">
      <c r="A4084" t="inlineStr">
        <is>
          <t>SOLV_GLYCEROL</t>
        </is>
      </c>
      <c r="B4084" t="inlineStr">
        <is>
          <t>route_suitability</t>
        </is>
      </c>
      <c r="C4084" t="inlineStr">
        <is>
          <t>process solvent only unless excipient grade and residual solvent justified</t>
        </is>
      </c>
      <c r="D4084"/>
      <c r="E4084"/>
      <c r="F4084"/>
      <c r="G4084"/>
      <c r="H4084" t="inlineStr">
        <is>
          <t>S005_ICH_Q3C_R9</t>
        </is>
      </c>
      <c r="I4084" t="inlineStr">
        <is>
          <t>curated</t>
        </is>
      </c>
      <c r="J4084">
        <v>0.7</v>
      </c>
      <c r="K4084"/>
    </row>
    <row r="4085">
      <c r="A4085" t="inlineStr">
        <is>
          <t>SOLV_TRANSCUTOL_P</t>
        </is>
      </c>
      <c r="B4085" t="inlineStr">
        <is>
          <t>molecular_weight_g_mol</t>
        </is>
      </c>
      <c r="C4085">
        <v>134.17</v>
      </c>
      <c r="D4085" t="inlineStr">
        <is>
          <t>g/mol</t>
        </is>
      </c>
      <c r="E4085"/>
      <c r="F4085"/>
      <c r="G4085"/>
      <c r="H4085" t="inlineStr">
        <is>
          <t>S001_PUBCHEM</t>
        </is>
      </c>
      <c r="I4085" t="inlineStr">
        <is>
          <t>database-derived</t>
        </is>
      </c>
      <c r="J4085">
        <v>0.9</v>
      </c>
      <c r="K4085"/>
    </row>
    <row r="4086">
      <c r="A4086" t="inlineStr">
        <is>
          <t>SOLV_TRANSCUTOL_P</t>
        </is>
      </c>
      <c r="B4086" t="inlineStr">
        <is>
          <t>density_g_ml</t>
        </is>
      </c>
      <c r="C4086">
        <v>0.988</v>
      </c>
      <c r="D4086" t="inlineStr">
        <is>
          <t>g/mL</t>
        </is>
      </c>
      <c r="E4086"/>
      <c r="F4086"/>
      <c r="G4086" t="inlineStr">
        <is>
          <t>20-25 °C</t>
        </is>
      </c>
      <c r="H4086" t="inlineStr">
        <is>
          <t>S007_EXCIPIENTS_HANDBOOK</t>
        </is>
      </c>
      <c r="I4086" t="inlineStr">
        <is>
          <t>handbook</t>
        </is>
      </c>
      <c r="J4086">
        <v>0.82</v>
      </c>
      <c r="K4086"/>
    </row>
    <row r="4087">
      <c r="A4087" t="inlineStr">
        <is>
          <t>SOLV_TRANSCUTOL_P</t>
        </is>
      </c>
      <c r="B4087" t="inlineStr">
        <is>
          <t>boiling_point_C</t>
        </is>
      </c>
      <c r="C4087">
        <v>196</v>
      </c>
      <c r="D4087" t="inlineStr">
        <is>
          <t>°C</t>
        </is>
      </c>
      <c r="E4087"/>
      <c r="F4087"/>
      <c r="G4087"/>
      <c r="H4087" t="inlineStr">
        <is>
          <t>S001_PUBCHEM</t>
        </is>
      </c>
      <c r="I4087" t="inlineStr">
        <is>
          <t>handbook</t>
        </is>
      </c>
      <c r="J4087">
        <v>0.88</v>
      </c>
      <c r="K4087"/>
    </row>
    <row r="4088">
      <c r="A4088" t="inlineStr">
        <is>
          <t>SOLV_TRANSCUTOL_P</t>
        </is>
      </c>
      <c r="B4088" t="inlineStr">
        <is>
          <t>melting_point_C</t>
        </is>
      </c>
      <c r="C4088">
        <v>-76</v>
      </c>
      <c r="D4088" t="inlineStr">
        <is>
          <t>°C</t>
        </is>
      </c>
      <c r="E4088"/>
      <c r="F4088"/>
      <c r="G4088"/>
      <c r="H4088" t="inlineStr">
        <is>
          <t>S001_PUBCHEM</t>
        </is>
      </c>
      <c r="I4088" t="inlineStr">
        <is>
          <t>handbook</t>
        </is>
      </c>
      <c r="J4088">
        <v>0.88</v>
      </c>
      <c r="K4088"/>
    </row>
    <row r="4089">
      <c r="A4089" t="inlineStr">
        <is>
          <t>SOLV_TRANSCUTOL_P</t>
        </is>
      </c>
      <c r="B4089" t="inlineStr">
        <is>
          <t>dielectric_constant</t>
        </is>
      </c>
      <c r="C4089">
        <v>13.0</v>
      </c>
      <c r="D4089"/>
      <c r="E4089"/>
      <c r="F4089"/>
      <c r="G4089" t="inlineStr">
        <is>
          <t>20-25 °C approximate</t>
        </is>
      </c>
      <c r="H4089" t="inlineStr">
        <is>
          <t>S007_EXCIPIENTS_HANDBOOK</t>
        </is>
      </c>
      <c r="I4089" t="inlineStr">
        <is>
          <t>handbook</t>
        </is>
      </c>
      <c r="J4089">
        <v>0.75</v>
      </c>
      <c r="K4089"/>
    </row>
    <row r="4090">
      <c r="A4090" t="inlineStr">
        <is>
          <t>SOLV_TRANSCUTOL_P</t>
        </is>
      </c>
      <c r="B4090" t="inlineStr">
        <is>
          <t>polarity_index</t>
        </is>
      </c>
      <c r="C4090">
        <v>4.2</v>
      </c>
      <c r="D4090"/>
      <c r="E4090"/>
      <c r="F4090"/>
      <c r="G4090"/>
      <c r="H4090" t="inlineStr">
        <is>
          <t>S006_HANSEN_HANDBOOK</t>
        </is>
      </c>
      <c r="I4090" t="inlineStr">
        <is>
          <t>handbook</t>
        </is>
      </c>
      <c r="J4090">
        <v>0.7</v>
      </c>
      <c r="K4090"/>
    </row>
    <row r="4091">
      <c r="A4091" t="inlineStr">
        <is>
          <t>SOLV_TRANSCUTOL_P</t>
        </is>
      </c>
      <c r="B4091" t="inlineStr">
        <is>
          <t>water_miscibility</t>
        </is>
      </c>
      <c r="C4091" t="inlineStr">
        <is>
          <t>miscible</t>
        </is>
      </c>
      <c r="D4091"/>
      <c r="E4091"/>
      <c r="F4091"/>
      <c r="G4091"/>
      <c r="H4091" t="inlineStr">
        <is>
          <t>S007_EXCIPIENTS_HANDBOOK</t>
        </is>
      </c>
      <c r="I4091" t="inlineStr">
        <is>
          <t>handbook</t>
        </is>
      </c>
      <c r="J4091">
        <v>0.85</v>
      </c>
      <c r="K4091"/>
    </row>
    <row r="4092">
      <c r="A4092" t="inlineStr">
        <is>
          <t>SOLV_TRANSCUTOL_P</t>
        </is>
      </c>
      <c r="B4092" t="inlineStr">
        <is>
          <t>ICH_class</t>
        </is>
      </c>
      <c r="C4092" t="inlineStr">
        <is>
          <t>not listed / excipient</t>
        </is>
      </c>
      <c r="D4092"/>
      <c r="E4092"/>
      <c r="F4092"/>
      <c r="G4092"/>
      <c r="H4092" t="inlineStr">
        <is>
          <t>S005_ICH_Q3C_R9</t>
        </is>
      </c>
      <c r="I4092" t="inlineStr">
        <is>
          <t>regulatory</t>
        </is>
      </c>
      <c r="J4092">
        <v>0.9</v>
      </c>
      <c r="K4092"/>
    </row>
    <row r="4093">
      <c r="A4093" t="inlineStr">
        <is>
          <t>SOLV_TRANSCUTOL_P</t>
        </is>
      </c>
      <c r="B4093" t="inlineStr">
        <is>
          <t>Hansen_delta_D</t>
        </is>
      </c>
      <c r="C4093">
        <v>16.4</v>
      </c>
      <c r="D4093" t="inlineStr">
        <is>
          <t>MPa^0.5</t>
        </is>
      </c>
      <c r="E4093"/>
      <c r="F4093"/>
      <c r="G4093"/>
      <c r="H4093" t="inlineStr">
        <is>
          <t>S006_HANSEN_HANDBOOK</t>
        </is>
      </c>
      <c r="I4093" t="inlineStr">
        <is>
          <t>handbook</t>
        </is>
      </c>
      <c r="J4093">
        <v>0.8</v>
      </c>
      <c r="K4093"/>
    </row>
    <row r="4094">
      <c r="A4094" t="inlineStr">
        <is>
          <t>SOLV_TRANSCUTOL_P</t>
        </is>
      </c>
      <c r="B4094" t="inlineStr">
        <is>
          <t>Hansen_delta_P</t>
        </is>
      </c>
      <c r="C4094">
        <v>9.2</v>
      </c>
      <c r="D4094" t="inlineStr">
        <is>
          <t>MPa^0.5</t>
        </is>
      </c>
      <c r="E4094"/>
      <c r="F4094"/>
      <c r="G4094"/>
      <c r="H4094" t="inlineStr">
        <is>
          <t>S006_HANSEN_HANDBOOK</t>
        </is>
      </c>
      <c r="I4094" t="inlineStr">
        <is>
          <t>handbook</t>
        </is>
      </c>
      <c r="J4094">
        <v>0.8</v>
      </c>
      <c r="K4094"/>
    </row>
    <row r="4095">
      <c r="A4095" t="inlineStr">
        <is>
          <t>SOLV_TRANSCUTOL_P</t>
        </is>
      </c>
      <c r="B4095" t="inlineStr">
        <is>
          <t>Hansen_delta_H</t>
        </is>
      </c>
      <c r="C4095">
        <v>14.3</v>
      </c>
      <c r="D4095" t="inlineStr">
        <is>
          <t>MPa^0.5</t>
        </is>
      </c>
      <c r="E4095"/>
      <c r="F4095"/>
      <c r="G4095"/>
      <c r="H4095" t="inlineStr">
        <is>
          <t>S006_HANSEN_HANDBOOK</t>
        </is>
      </c>
      <c r="I4095" t="inlineStr">
        <is>
          <t>handbook</t>
        </is>
      </c>
      <c r="J4095">
        <v>0.8</v>
      </c>
      <c r="K4095"/>
    </row>
    <row r="4096">
      <c r="A4096" t="inlineStr">
        <is>
          <t>SOLV_TRANSCUTOL_P</t>
        </is>
      </c>
      <c r="B4096" t="inlineStr">
        <is>
          <t>Hildebrand_delta_T</t>
        </is>
      </c>
      <c r="C4096">
        <v>23.62</v>
      </c>
      <c r="D4096" t="inlineStr">
        <is>
          <t>MPa^0.5</t>
        </is>
      </c>
      <c r="E4096"/>
      <c r="F4096"/>
      <c r="G4096"/>
      <c r="H4096" t="inlineStr">
        <is>
          <t>S012_CALCULATED</t>
        </is>
      </c>
      <c r="I4096" t="inlineStr">
        <is>
          <t>calculated</t>
        </is>
      </c>
      <c r="J4096">
        <v>0.8</v>
      </c>
      <c r="K4096"/>
    </row>
    <row r="4097">
      <c r="A4097" t="inlineStr">
        <is>
          <t>SOLV_TRANSCUTOL_P</t>
        </is>
      </c>
      <c r="B4097" t="inlineStr">
        <is>
          <t>molar_volume_cm3_mol</t>
        </is>
      </c>
      <c r="C4097">
        <v>135.8</v>
      </c>
      <c r="D4097" t="inlineStr">
        <is>
          <t>cm3/mol</t>
        </is>
      </c>
      <c r="E4097"/>
      <c r="F4097"/>
      <c r="G4097" t="inlineStr">
        <is>
          <t>MW/density</t>
        </is>
      </c>
      <c r="H4097" t="inlineStr">
        <is>
          <t>S012_CALCULATED</t>
        </is>
      </c>
      <c r="I4097" t="inlineStr">
        <is>
          <t>calculated</t>
        </is>
      </c>
      <c r="J4097">
        <v>0.78</v>
      </c>
      <c r="K4097"/>
    </row>
    <row r="4098">
      <c r="A4098" t="inlineStr">
        <is>
          <t>SOLV_TRANSCUTOL_P</t>
        </is>
      </c>
      <c r="B4098" t="inlineStr">
        <is>
          <t>toxicity_penalty</t>
        </is>
      </c>
      <c r="C4098">
        <v>1</v>
      </c>
      <c r="D4098" t="inlineStr">
        <is>
          <t>ordinal 0-5</t>
        </is>
      </c>
      <c r="E4098"/>
      <c r="F4098"/>
      <c r="G4098"/>
      <c r="H4098" t="inlineStr">
        <is>
          <t>S005_ICH_Q3C_R9</t>
        </is>
      </c>
      <c r="I4098" t="inlineStr">
        <is>
          <t>curated</t>
        </is>
      </c>
      <c r="J4098">
        <v>0.72</v>
      </c>
      <c r="K4098"/>
    </row>
    <row r="4099">
      <c r="A4099" t="inlineStr">
        <is>
          <t>SOLV_TRANSCUTOL_P</t>
        </is>
      </c>
      <c r="B4099" t="inlineStr">
        <is>
          <t>residual_solvent_warning</t>
        </is>
      </c>
      <c r="C4099" t="inlineStr">
        <is>
          <t>not an ICH residual solvent or not applicable</t>
        </is>
      </c>
      <c r="D4099"/>
      <c r="E4099"/>
      <c r="F4099"/>
      <c r="G4099"/>
      <c r="H4099" t="inlineStr">
        <is>
          <t>S005_ICH_Q3C_R9</t>
        </is>
      </c>
      <c r="I4099" t="inlineStr">
        <is>
          <t>curated</t>
        </is>
      </c>
      <c r="J4099">
        <v>0.75</v>
      </c>
      <c r="K4099"/>
    </row>
    <row r="4100">
      <c r="A4100" t="inlineStr">
        <is>
          <t>SOLV_TRANSCUTOL_P</t>
        </is>
      </c>
      <c r="B4100" t="inlineStr">
        <is>
          <t>pulmonary_suitability</t>
        </is>
      </c>
      <c r="C4100" t="inlineStr">
        <is>
          <t>limited; route-specific excipient precedent</t>
        </is>
      </c>
      <c r="D4100"/>
      <c r="E4100"/>
      <c r="F4100"/>
      <c r="G4100"/>
      <c r="H4100" t="inlineStr">
        <is>
          <t>S014_AULTON</t>
        </is>
      </c>
      <c r="I4100" t="inlineStr">
        <is>
          <t>curated</t>
        </is>
      </c>
      <c r="J4100">
        <v>0.55</v>
      </c>
      <c r="K4100"/>
    </row>
    <row r="4101">
      <c r="A4101" t="inlineStr">
        <is>
          <t>SOLV_TRANSCUTOL_P</t>
        </is>
      </c>
      <c r="B4101" t="inlineStr">
        <is>
          <t>route_suitability</t>
        </is>
      </c>
      <c r="C4101" t="inlineStr">
        <is>
          <t>process solvent only unless excipient grade and residual solvent justified</t>
        </is>
      </c>
      <c r="D4101"/>
      <c r="E4101"/>
      <c r="F4101"/>
      <c r="G4101"/>
      <c r="H4101" t="inlineStr">
        <is>
          <t>S005_ICH_Q3C_R9</t>
        </is>
      </c>
      <c r="I4101" t="inlineStr">
        <is>
          <t>curated</t>
        </is>
      </c>
      <c r="J4101">
        <v>0.7</v>
      </c>
      <c r="K4101"/>
    </row>
    <row r="4102">
      <c r="A4102" t="inlineStr">
        <is>
          <t>SOLV_DIMETHYLACETAMIDE</t>
        </is>
      </c>
      <c r="B4102" t="inlineStr">
        <is>
          <t>molecular_weight_g_mol</t>
        </is>
      </c>
      <c r="C4102">
        <v>87.12</v>
      </c>
      <c r="D4102" t="inlineStr">
        <is>
          <t>g/mol</t>
        </is>
      </c>
      <c r="E4102"/>
      <c r="F4102"/>
      <c r="G4102"/>
      <c r="H4102" t="inlineStr">
        <is>
          <t>S001_PUBCHEM</t>
        </is>
      </c>
      <c r="I4102" t="inlineStr">
        <is>
          <t>database-derived</t>
        </is>
      </c>
      <c r="J4102">
        <v>0.9</v>
      </c>
      <c r="K4102"/>
    </row>
    <row r="4103">
      <c r="A4103" t="inlineStr">
        <is>
          <t>SOLV_DIMETHYLACETAMIDE</t>
        </is>
      </c>
      <c r="B4103" t="inlineStr">
        <is>
          <t>density_g_ml</t>
        </is>
      </c>
      <c r="C4103">
        <v>0.937</v>
      </c>
      <c r="D4103" t="inlineStr">
        <is>
          <t>g/mL</t>
        </is>
      </c>
      <c r="E4103"/>
      <c r="F4103"/>
      <c r="G4103" t="inlineStr">
        <is>
          <t>20-25 °C</t>
        </is>
      </c>
      <c r="H4103" t="inlineStr">
        <is>
          <t>S007_EXCIPIENTS_HANDBOOK</t>
        </is>
      </c>
      <c r="I4103" t="inlineStr">
        <is>
          <t>handbook</t>
        </is>
      </c>
      <c r="J4103">
        <v>0.82</v>
      </c>
      <c r="K4103"/>
    </row>
    <row r="4104">
      <c r="A4104" t="inlineStr">
        <is>
          <t>SOLV_DIMETHYLACETAMIDE</t>
        </is>
      </c>
      <c r="B4104" t="inlineStr">
        <is>
          <t>boiling_point_C</t>
        </is>
      </c>
      <c r="C4104">
        <v>165</v>
      </c>
      <c r="D4104" t="inlineStr">
        <is>
          <t>°C</t>
        </is>
      </c>
      <c r="E4104"/>
      <c r="F4104"/>
      <c r="G4104"/>
      <c r="H4104" t="inlineStr">
        <is>
          <t>S001_PUBCHEM</t>
        </is>
      </c>
      <c r="I4104" t="inlineStr">
        <is>
          <t>handbook</t>
        </is>
      </c>
      <c r="J4104">
        <v>0.88</v>
      </c>
      <c r="K4104"/>
    </row>
    <row r="4105">
      <c r="A4105" t="inlineStr">
        <is>
          <t>SOLV_DIMETHYLACETAMIDE</t>
        </is>
      </c>
      <c r="B4105" t="inlineStr">
        <is>
          <t>melting_point_C</t>
        </is>
      </c>
      <c r="C4105">
        <v>-20</v>
      </c>
      <c r="D4105" t="inlineStr">
        <is>
          <t>°C</t>
        </is>
      </c>
      <c r="E4105"/>
      <c r="F4105"/>
      <c r="G4105"/>
      <c r="H4105" t="inlineStr">
        <is>
          <t>S001_PUBCHEM</t>
        </is>
      </c>
      <c r="I4105" t="inlineStr">
        <is>
          <t>handbook</t>
        </is>
      </c>
      <c r="J4105">
        <v>0.88</v>
      </c>
      <c r="K4105"/>
    </row>
    <row r="4106">
      <c r="A4106" t="inlineStr">
        <is>
          <t>SOLV_DIMETHYLACETAMIDE</t>
        </is>
      </c>
      <c r="B4106" t="inlineStr">
        <is>
          <t>dielectric_constant</t>
        </is>
      </c>
      <c r="C4106">
        <v>37.8</v>
      </c>
      <c r="D4106"/>
      <c r="E4106"/>
      <c r="F4106"/>
      <c r="G4106" t="inlineStr">
        <is>
          <t>20-25 °C approximate</t>
        </is>
      </c>
      <c r="H4106" t="inlineStr">
        <is>
          <t>S007_EXCIPIENTS_HANDBOOK</t>
        </is>
      </c>
      <c r="I4106" t="inlineStr">
        <is>
          <t>handbook</t>
        </is>
      </c>
      <c r="J4106">
        <v>0.75</v>
      </c>
      <c r="K4106"/>
    </row>
    <row r="4107">
      <c r="A4107" t="inlineStr">
        <is>
          <t>SOLV_DIMETHYLACETAMIDE</t>
        </is>
      </c>
      <c r="B4107" t="inlineStr">
        <is>
          <t>polarity_index</t>
        </is>
      </c>
      <c r="C4107">
        <v>6.5</v>
      </c>
      <c r="D4107"/>
      <c r="E4107"/>
      <c r="F4107"/>
      <c r="G4107"/>
      <c r="H4107" t="inlineStr">
        <is>
          <t>S006_HANSEN_HANDBOOK</t>
        </is>
      </c>
      <c r="I4107" t="inlineStr">
        <is>
          <t>handbook</t>
        </is>
      </c>
      <c r="J4107">
        <v>0.7</v>
      </c>
      <c r="K4107"/>
    </row>
    <row r="4108">
      <c r="A4108" t="inlineStr">
        <is>
          <t>SOLV_DIMETHYLACETAMIDE</t>
        </is>
      </c>
      <c r="B4108" t="inlineStr">
        <is>
          <t>water_miscibility</t>
        </is>
      </c>
      <c r="C4108" t="inlineStr">
        <is>
          <t>miscible</t>
        </is>
      </c>
      <c r="D4108"/>
      <c r="E4108"/>
      <c r="F4108"/>
      <c r="G4108"/>
      <c r="H4108" t="inlineStr">
        <is>
          <t>S007_EXCIPIENTS_HANDBOOK</t>
        </is>
      </c>
      <c r="I4108" t="inlineStr">
        <is>
          <t>handbook</t>
        </is>
      </c>
      <c r="J4108">
        <v>0.85</v>
      </c>
      <c r="K4108"/>
    </row>
    <row r="4109">
      <c r="A4109" t="inlineStr">
        <is>
          <t>SOLV_DIMETHYLACETAMIDE</t>
        </is>
      </c>
      <c r="B4109" t="inlineStr">
        <is>
          <t>ICH_class</t>
        </is>
      </c>
      <c r="C4109" t="inlineStr">
        <is>
          <t>Class 2</t>
        </is>
      </c>
      <c r="D4109"/>
      <c r="E4109"/>
      <c r="F4109"/>
      <c r="G4109"/>
      <c r="H4109" t="inlineStr">
        <is>
          <t>S005_ICH_Q3C_R9</t>
        </is>
      </c>
      <c r="I4109" t="inlineStr">
        <is>
          <t>regulatory</t>
        </is>
      </c>
      <c r="J4109">
        <v>0.9</v>
      </c>
      <c r="K4109"/>
    </row>
    <row r="4110">
      <c r="A4110" t="inlineStr">
        <is>
          <t>SOLV_DIMETHYLACETAMIDE</t>
        </is>
      </c>
      <c r="B4110" t="inlineStr">
        <is>
          <t>permitted_daily_exposure_if_available</t>
        </is>
      </c>
      <c r="C4110">
        <v>10.9</v>
      </c>
      <c r="D4110" t="inlineStr">
        <is>
          <t>mg/day</t>
        </is>
      </c>
      <c r="E4110"/>
      <c r="F4110"/>
      <c r="G4110"/>
      <c r="H4110" t="inlineStr">
        <is>
          <t>S005_ICH_Q3C_R9</t>
        </is>
      </c>
      <c r="I4110" t="inlineStr">
        <is>
          <t>regulatory</t>
        </is>
      </c>
      <c r="J4110">
        <v>0.85</v>
      </c>
      <c r="K4110"/>
    </row>
    <row r="4111">
      <c r="A4111" t="inlineStr">
        <is>
          <t>SOLV_DIMETHYLACETAMIDE</t>
        </is>
      </c>
      <c r="B4111" t="inlineStr">
        <is>
          <t>Hansen_delta_D</t>
        </is>
      </c>
      <c r="C4111">
        <v>16.8</v>
      </c>
      <c r="D4111" t="inlineStr">
        <is>
          <t>MPa^0.5</t>
        </is>
      </c>
      <c r="E4111"/>
      <c r="F4111"/>
      <c r="G4111"/>
      <c r="H4111" t="inlineStr">
        <is>
          <t>S006_HANSEN_HANDBOOK</t>
        </is>
      </c>
      <c r="I4111" t="inlineStr">
        <is>
          <t>handbook</t>
        </is>
      </c>
      <c r="J4111">
        <v>0.8</v>
      </c>
      <c r="K4111"/>
    </row>
    <row r="4112">
      <c r="A4112" t="inlineStr">
        <is>
          <t>SOLV_DIMETHYLACETAMIDE</t>
        </is>
      </c>
      <c r="B4112" t="inlineStr">
        <is>
          <t>Hansen_delta_P</t>
        </is>
      </c>
      <c r="C4112">
        <v>11.5</v>
      </c>
      <c r="D4112" t="inlineStr">
        <is>
          <t>MPa^0.5</t>
        </is>
      </c>
      <c r="E4112"/>
      <c r="F4112"/>
      <c r="G4112"/>
      <c r="H4112" t="inlineStr">
        <is>
          <t>S006_HANSEN_HANDBOOK</t>
        </is>
      </c>
      <c r="I4112" t="inlineStr">
        <is>
          <t>handbook</t>
        </is>
      </c>
      <c r="J4112">
        <v>0.8</v>
      </c>
      <c r="K4112"/>
    </row>
    <row r="4113">
      <c r="A4113" t="inlineStr">
        <is>
          <t>SOLV_DIMETHYLACETAMIDE</t>
        </is>
      </c>
      <c r="B4113" t="inlineStr">
        <is>
          <t>Hansen_delta_H</t>
        </is>
      </c>
      <c r="C4113">
        <v>10.2</v>
      </c>
      <c r="D4113" t="inlineStr">
        <is>
          <t>MPa^0.5</t>
        </is>
      </c>
      <c r="E4113"/>
      <c r="F4113"/>
      <c r="G4113"/>
      <c r="H4113" t="inlineStr">
        <is>
          <t>S006_HANSEN_HANDBOOK</t>
        </is>
      </c>
      <c r="I4113" t="inlineStr">
        <is>
          <t>handbook</t>
        </is>
      </c>
      <c r="J4113">
        <v>0.8</v>
      </c>
      <c r="K4113"/>
    </row>
    <row r="4114">
      <c r="A4114" t="inlineStr">
        <is>
          <t>SOLV_DIMETHYLACETAMIDE</t>
        </is>
      </c>
      <c r="B4114" t="inlineStr">
        <is>
          <t>Hildebrand_delta_T</t>
        </is>
      </c>
      <c r="C4114">
        <v>22.77</v>
      </c>
      <c r="D4114" t="inlineStr">
        <is>
          <t>MPa^0.5</t>
        </is>
      </c>
      <c r="E4114"/>
      <c r="F4114"/>
      <c r="G4114"/>
      <c r="H4114" t="inlineStr">
        <is>
          <t>S012_CALCULATED</t>
        </is>
      </c>
      <c r="I4114" t="inlineStr">
        <is>
          <t>calculated</t>
        </is>
      </c>
      <c r="J4114">
        <v>0.8</v>
      </c>
      <c r="K4114"/>
    </row>
    <row r="4115">
      <c r="A4115" t="inlineStr">
        <is>
          <t>SOLV_DIMETHYLACETAMIDE</t>
        </is>
      </c>
      <c r="B4115" t="inlineStr">
        <is>
          <t>molar_volume_cm3_mol</t>
        </is>
      </c>
      <c r="C4115">
        <v>92.98</v>
      </c>
      <c r="D4115" t="inlineStr">
        <is>
          <t>cm3/mol</t>
        </is>
      </c>
      <c r="E4115"/>
      <c r="F4115"/>
      <c r="G4115" t="inlineStr">
        <is>
          <t>MW/density</t>
        </is>
      </c>
      <c r="H4115" t="inlineStr">
        <is>
          <t>S012_CALCULATED</t>
        </is>
      </c>
      <c r="I4115" t="inlineStr">
        <is>
          <t>calculated</t>
        </is>
      </c>
      <c r="J4115">
        <v>0.78</v>
      </c>
      <c r="K4115"/>
    </row>
    <row r="4116">
      <c r="A4116" t="inlineStr">
        <is>
          <t>SOLV_DIMETHYLACETAMIDE</t>
        </is>
      </c>
      <c r="B4116" t="inlineStr">
        <is>
          <t>toxicity_penalty</t>
        </is>
      </c>
      <c r="C4116">
        <v>4</v>
      </c>
      <c r="D4116" t="inlineStr">
        <is>
          <t>ordinal 0-5</t>
        </is>
      </c>
      <c r="E4116"/>
      <c r="F4116"/>
      <c r="G4116"/>
      <c r="H4116" t="inlineStr">
        <is>
          <t>S005_ICH_Q3C_R9</t>
        </is>
      </c>
      <c r="I4116" t="inlineStr">
        <is>
          <t>curated</t>
        </is>
      </c>
      <c r="J4116">
        <v>0.72</v>
      </c>
      <c r="K4116"/>
    </row>
    <row r="4117">
      <c r="A4117" t="inlineStr">
        <is>
          <t>SOLV_DIMETHYLACETAMIDE</t>
        </is>
      </c>
      <c r="B4117" t="inlineStr">
        <is>
          <t>residual_solvent_warning</t>
        </is>
      </c>
      <c r="C4117" t="inlineStr">
        <is>
          <t>avoid/strictly limit</t>
        </is>
      </c>
      <c r="D4117"/>
      <c r="E4117"/>
      <c r="F4117"/>
      <c r="G4117"/>
      <c r="H4117" t="inlineStr">
        <is>
          <t>S005_ICH_Q3C_R9</t>
        </is>
      </c>
      <c r="I4117" t="inlineStr">
        <is>
          <t>curated</t>
        </is>
      </c>
      <c r="J4117">
        <v>0.75</v>
      </c>
      <c r="K4117"/>
    </row>
    <row r="4118">
      <c r="A4118" t="inlineStr">
        <is>
          <t>SOLV_DIMETHYLACETAMIDE</t>
        </is>
      </c>
      <c r="B4118" t="inlineStr">
        <is>
          <t>pulmonary_suitability</t>
        </is>
      </c>
      <c r="C4118" t="inlineStr">
        <is>
          <t>not suitable</t>
        </is>
      </c>
      <c r="D4118"/>
      <c r="E4118"/>
      <c r="F4118"/>
      <c r="G4118"/>
      <c r="H4118" t="inlineStr">
        <is>
          <t>S014_AULTON</t>
        </is>
      </c>
      <c r="I4118" t="inlineStr">
        <is>
          <t>curated</t>
        </is>
      </c>
      <c r="J4118">
        <v>0.55</v>
      </c>
      <c r="K4118"/>
    </row>
    <row r="4119">
      <c r="A4119" t="inlineStr">
        <is>
          <t>SOLV_DIMETHYLACETAMIDE</t>
        </is>
      </c>
      <c r="B4119" t="inlineStr">
        <is>
          <t>route_suitability</t>
        </is>
      </c>
      <c r="C4119" t="inlineStr">
        <is>
          <t>process solvent only unless excipient grade and residual solvent justified</t>
        </is>
      </c>
      <c r="D4119"/>
      <c r="E4119"/>
      <c r="F4119"/>
      <c r="G4119"/>
      <c r="H4119" t="inlineStr">
        <is>
          <t>S005_ICH_Q3C_R9</t>
        </is>
      </c>
      <c r="I4119" t="inlineStr">
        <is>
          <t>curated</t>
        </is>
      </c>
      <c r="J4119">
        <v>0.7</v>
      </c>
      <c r="K4119"/>
    </row>
    <row r="4120">
      <c r="A4120" t="inlineStr">
        <is>
          <t>SOLV_N_METHYL_2_PYRROLIDONE</t>
        </is>
      </c>
      <c r="B4120" t="inlineStr">
        <is>
          <t>molecular_weight_g_mol</t>
        </is>
      </c>
      <c r="C4120">
        <v>99.13</v>
      </c>
      <c r="D4120" t="inlineStr">
        <is>
          <t>g/mol</t>
        </is>
      </c>
      <c r="E4120"/>
      <c r="F4120"/>
      <c r="G4120"/>
      <c r="H4120" t="inlineStr">
        <is>
          <t>S001_PUBCHEM</t>
        </is>
      </c>
      <c r="I4120" t="inlineStr">
        <is>
          <t>database-derived</t>
        </is>
      </c>
      <c r="J4120">
        <v>0.9</v>
      </c>
      <c r="K4120"/>
    </row>
    <row r="4121">
      <c r="A4121" t="inlineStr">
        <is>
          <t>SOLV_N_METHYL_2_PYRROLIDONE</t>
        </is>
      </c>
      <c r="B4121" t="inlineStr">
        <is>
          <t>density_g_ml</t>
        </is>
      </c>
      <c r="C4121">
        <v>1.028</v>
      </c>
      <c r="D4121" t="inlineStr">
        <is>
          <t>g/mL</t>
        </is>
      </c>
      <c r="E4121"/>
      <c r="F4121"/>
      <c r="G4121" t="inlineStr">
        <is>
          <t>20-25 °C</t>
        </is>
      </c>
      <c r="H4121" t="inlineStr">
        <is>
          <t>S007_EXCIPIENTS_HANDBOOK</t>
        </is>
      </c>
      <c r="I4121" t="inlineStr">
        <is>
          <t>handbook</t>
        </is>
      </c>
      <c r="J4121">
        <v>0.82</v>
      </c>
      <c r="K4121"/>
    </row>
    <row r="4122">
      <c r="A4122" t="inlineStr">
        <is>
          <t>SOLV_N_METHYL_2_PYRROLIDONE</t>
        </is>
      </c>
      <c r="B4122" t="inlineStr">
        <is>
          <t>boiling_point_C</t>
        </is>
      </c>
      <c r="C4122">
        <v>202</v>
      </c>
      <c r="D4122" t="inlineStr">
        <is>
          <t>°C</t>
        </is>
      </c>
      <c r="E4122"/>
      <c r="F4122"/>
      <c r="G4122"/>
      <c r="H4122" t="inlineStr">
        <is>
          <t>S001_PUBCHEM</t>
        </is>
      </c>
      <c r="I4122" t="inlineStr">
        <is>
          <t>handbook</t>
        </is>
      </c>
      <c r="J4122">
        <v>0.88</v>
      </c>
      <c r="K4122"/>
    </row>
    <row r="4123">
      <c r="A4123" t="inlineStr">
        <is>
          <t>SOLV_N_METHYL_2_PYRROLIDONE</t>
        </is>
      </c>
      <c r="B4123" t="inlineStr">
        <is>
          <t>melting_point_C</t>
        </is>
      </c>
      <c r="C4123">
        <v>-24</v>
      </c>
      <c r="D4123" t="inlineStr">
        <is>
          <t>°C</t>
        </is>
      </c>
      <c r="E4123"/>
      <c r="F4123"/>
      <c r="G4123"/>
      <c r="H4123" t="inlineStr">
        <is>
          <t>S001_PUBCHEM</t>
        </is>
      </c>
      <c r="I4123" t="inlineStr">
        <is>
          <t>handbook</t>
        </is>
      </c>
      <c r="J4123">
        <v>0.88</v>
      </c>
      <c r="K4123"/>
    </row>
    <row r="4124">
      <c r="A4124" t="inlineStr">
        <is>
          <t>SOLV_N_METHYL_2_PYRROLIDONE</t>
        </is>
      </c>
      <c r="B4124" t="inlineStr">
        <is>
          <t>dielectric_constant</t>
        </is>
      </c>
      <c r="C4124">
        <v>32.0</v>
      </c>
      <c r="D4124"/>
      <c r="E4124"/>
      <c r="F4124"/>
      <c r="G4124" t="inlineStr">
        <is>
          <t>20-25 °C approximate</t>
        </is>
      </c>
      <c r="H4124" t="inlineStr">
        <is>
          <t>S007_EXCIPIENTS_HANDBOOK</t>
        </is>
      </c>
      <c r="I4124" t="inlineStr">
        <is>
          <t>handbook</t>
        </is>
      </c>
      <c r="J4124">
        <v>0.75</v>
      </c>
      <c r="K4124"/>
    </row>
    <row r="4125">
      <c r="A4125" t="inlineStr">
        <is>
          <t>SOLV_N_METHYL_2_PYRROLIDONE</t>
        </is>
      </c>
      <c r="B4125" t="inlineStr">
        <is>
          <t>polarity_index</t>
        </is>
      </c>
      <c r="C4125">
        <v>6.7</v>
      </c>
      <c r="D4125"/>
      <c r="E4125"/>
      <c r="F4125"/>
      <c r="G4125"/>
      <c r="H4125" t="inlineStr">
        <is>
          <t>S006_HANSEN_HANDBOOK</t>
        </is>
      </c>
      <c r="I4125" t="inlineStr">
        <is>
          <t>handbook</t>
        </is>
      </c>
      <c r="J4125">
        <v>0.7</v>
      </c>
      <c r="K4125"/>
    </row>
    <row r="4126">
      <c r="A4126" t="inlineStr">
        <is>
          <t>SOLV_N_METHYL_2_PYRROLIDONE</t>
        </is>
      </c>
      <c r="B4126" t="inlineStr">
        <is>
          <t>water_miscibility</t>
        </is>
      </c>
      <c r="C4126" t="inlineStr">
        <is>
          <t>miscible</t>
        </is>
      </c>
      <c r="D4126"/>
      <c r="E4126"/>
      <c r="F4126"/>
      <c r="G4126"/>
      <c r="H4126" t="inlineStr">
        <is>
          <t>S007_EXCIPIENTS_HANDBOOK</t>
        </is>
      </c>
      <c r="I4126" t="inlineStr">
        <is>
          <t>handbook</t>
        </is>
      </c>
      <c r="J4126">
        <v>0.85</v>
      </c>
      <c r="K4126"/>
    </row>
    <row r="4127">
      <c r="A4127" t="inlineStr">
        <is>
          <t>SOLV_N_METHYL_2_PYRROLIDONE</t>
        </is>
      </c>
      <c r="B4127" t="inlineStr">
        <is>
          <t>ICH_class</t>
        </is>
      </c>
      <c r="C4127" t="inlineStr">
        <is>
          <t>Class 2</t>
        </is>
      </c>
      <c r="D4127"/>
      <c r="E4127"/>
      <c r="F4127"/>
      <c r="G4127"/>
      <c r="H4127" t="inlineStr">
        <is>
          <t>S005_ICH_Q3C_R9</t>
        </is>
      </c>
      <c r="I4127" t="inlineStr">
        <is>
          <t>regulatory</t>
        </is>
      </c>
      <c r="J4127">
        <v>0.9</v>
      </c>
      <c r="K4127"/>
    </row>
    <row r="4128">
      <c r="A4128" t="inlineStr">
        <is>
          <t>SOLV_N_METHYL_2_PYRROLIDONE</t>
        </is>
      </c>
      <c r="B4128" t="inlineStr">
        <is>
          <t>permitted_daily_exposure_if_available</t>
        </is>
      </c>
      <c r="C4128">
        <v>5.3</v>
      </c>
      <c r="D4128" t="inlineStr">
        <is>
          <t>mg/day</t>
        </is>
      </c>
      <c r="E4128"/>
      <c r="F4128"/>
      <c r="G4128"/>
      <c r="H4128" t="inlineStr">
        <is>
          <t>S005_ICH_Q3C_R9</t>
        </is>
      </c>
      <c r="I4128" t="inlineStr">
        <is>
          <t>regulatory</t>
        </is>
      </c>
      <c r="J4128">
        <v>0.85</v>
      </c>
      <c r="K4128"/>
    </row>
    <row r="4129">
      <c r="A4129" t="inlineStr">
        <is>
          <t>SOLV_N_METHYL_2_PYRROLIDONE</t>
        </is>
      </c>
      <c r="B4129" t="inlineStr">
        <is>
          <t>Hansen_delta_D</t>
        </is>
      </c>
      <c r="C4129">
        <v>18.0</v>
      </c>
      <c r="D4129" t="inlineStr">
        <is>
          <t>MPa^0.5</t>
        </is>
      </c>
      <c r="E4129"/>
      <c r="F4129"/>
      <c r="G4129"/>
      <c r="H4129" t="inlineStr">
        <is>
          <t>S006_HANSEN_HANDBOOK</t>
        </is>
      </c>
      <c r="I4129" t="inlineStr">
        <is>
          <t>handbook</t>
        </is>
      </c>
      <c r="J4129">
        <v>0.8</v>
      </c>
      <c r="K4129"/>
    </row>
    <row r="4130">
      <c r="A4130" t="inlineStr">
        <is>
          <t>SOLV_N_METHYL_2_PYRROLIDONE</t>
        </is>
      </c>
      <c r="B4130" t="inlineStr">
        <is>
          <t>Hansen_delta_P</t>
        </is>
      </c>
      <c r="C4130">
        <v>12.3</v>
      </c>
      <c r="D4130" t="inlineStr">
        <is>
          <t>MPa^0.5</t>
        </is>
      </c>
      <c r="E4130"/>
      <c r="F4130"/>
      <c r="G4130"/>
      <c r="H4130" t="inlineStr">
        <is>
          <t>S006_HANSEN_HANDBOOK</t>
        </is>
      </c>
      <c r="I4130" t="inlineStr">
        <is>
          <t>handbook</t>
        </is>
      </c>
      <c r="J4130">
        <v>0.8</v>
      </c>
      <c r="K4130"/>
    </row>
    <row r="4131">
      <c r="A4131" t="inlineStr">
        <is>
          <t>SOLV_N_METHYL_2_PYRROLIDONE</t>
        </is>
      </c>
      <c r="B4131" t="inlineStr">
        <is>
          <t>Hansen_delta_H</t>
        </is>
      </c>
      <c r="C4131">
        <v>7.2</v>
      </c>
      <c r="D4131" t="inlineStr">
        <is>
          <t>MPa^0.5</t>
        </is>
      </c>
      <c r="E4131"/>
      <c r="F4131"/>
      <c r="G4131"/>
      <c r="H4131" t="inlineStr">
        <is>
          <t>S006_HANSEN_HANDBOOK</t>
        </is>
      </c>
      <c r="I4131" t="inlineStr">
        <is>
          <t>handbook</t>
        </is>
      </c>
      <c r="J4131">
        <v>0.8</v>
      </c>
      <c r="K4131"/>
    </row>
    <row r="4132">
      <c r="A4132" t="inlineStr">
        <is>
          <t>SOLV_N_METHYL_2_PYRROLIDONE</t>
        </is>
      </c>
      <c r="B4132" t="inlineStr">
        <is>
          <t>Hildebrand_delta_T</t>
        </is>
      </c>
      <c r="C4132">
        <v>22.96</v>
      </c>
      <c r="D4132" t="inlineStr">
        <is>
          <t>MPa^0.5</t>
        </is>
      </c>
      <c r="E4132"/>
      <c r="F4132"/>
      <c r="G4132"/>
      <c r="H4132" t="inlineStr">
        <is>
          <t>S012_CALCULATED</t>
        </is>
      </c>
      <c r="I4132" t="inlineStr">
        <is>
          <t>calculated</t>
        </is>
      </c>
      <c r="J4132">
        <v>0.8</v>
      </c>
      <c r="K4132"/>
    </row>
    <row r="4133">
      <c r="A4133" t="inlineStr">
        <is>
          <t>SOLV_N_METHYL_2_PYRROLIDONE</t>
        </is>
      </c>
      <c r="B4133" t="inlineStr">
        <is>
          <t>molar_volume_cm3_mol</t>
        </is>
      </c>
      <c r="C4133">
        <v>96.43</v>
      </c>
      <c r="D4133" t="inlineStr">
        <is>
          <t>cm3/mol</t>
        </is>
      </c>
      <c r="E4133"/>
      <c r="F4133"/>
      <c r="G4133" t="inlineStr">
        <is>
          <t>MW/density</t>
        </is>
      </c>
      <c r="H4133" t="inlineStr">
        <is>
          <t>S012_CALCULATED</t>
        </is>
      </c>
      <c r="I4133" t="inlineStr">
        <is>
          <t>calculated</t>
        </is>
      </c>
      <c r="J4133">
        <v>0.78</v>
      </c>
      <c r="K4133"/>
    </row>
    <row r="4134">
      <c r="A4134" t="inlineStr">
        <is>
          <t>SOLV_N_METHYL_2_PYRROLIDONE</t>
        </is>
      </c>
      <c r="B4134" t="inlineStr">
        <is>
          <t>toxicity_penalty</t>
        </is>
      </c>
      <c r="C4134">
        <v>4</v>
      </c>
      <c r="D4134" t="inlineStr">
        <is>
          <t>ordinal 0-5</t>
        </is>
      </c>
      <c r="E4134"/>
      <c r="F4134"/>
      <c r="G4134"/>
      <c r="H4134" t="inlineStr">
        <is>
          <t>S005_ICH_Q3C_R9</t>
        </is>
      </c>
      <c r="I4134" t="inlineStr">
        <is>
          <t>curated</t>
        </is>
      </c>
      <c r="J4134">
        <v>0.72</v>
      </c>
      <c r="K4134"/>
    </row>
    <row r="4135">
      <c r="A4135" t="inlineStr">
        <is>
          <t>SOLV_N_METHYL_2_PYRROLIDONE</t>
        </is>
      </c>
      <c r="B4135" t="inlineStr">
        <is>
          <t>residual_solvent_warning</t>
        </is>
      </c>
      <c r="C4135" t="inlineStr">
        <is>
          <t>avoid/strictly limit</t>
        </is>
      </c>
      <c r="D4135"/>
      <c r="E4135"/>
      <c r="F4135"/>
      <c r="G4135"/>
      <c r="H4135" t="inlineStr">
        <is>
          <t>S005_ICH_Q3C_R9</t>
        </is>
      </c>
      <c r="I4135" t="inlineStr">
        <is>
          <t>curated</t>
        </is>
      </c>
      <c r="J4135">
        <v>0.75</v>
      </c>
      <c r="K4135"/>
    </row>
    <row r="4136">
      <c r="A4136" t="inlineStr">
        <is>
          <t>SOLV_N_METHYL_2_PYRROLIDONE</t>
        </is>
      </c>
      <c r="B4136" t="inlineStr">
        <is>
          <t>pulmonary_suitability</t>
        </is>
      </c>
      <c r="C4136" t="inlineStr">
        <is>
          <t>not suitable</t>
        </is>
      </c>
      <c r="D4136"/>
      <c r="E4136"/>
      <c r="F4136"/>
      <c r="G4136"/>
      <c r="H4136" t="inlineStr">
        <is>
          <t>S014_AULTON</t>
        </is>
      </c>
      <c r="I4136" t="inlineStr">
        <is>
          <t>curated</t>
        </is>
      </c>
      <c r="J4136">
        <v>0.55</v>
      </c>
      <c r="K4136"/>
    </row>
    <row r="4137">
      <c r="A4137" t="inlineStr">
        <is>
          <t>SOLV_N_METHYL_2_PYRROLIDONE</t>
        </is>
      </c>
      <c r="B4137" t="inlineStr">
        <is>
          <t>route_suitability</t>
        </is>
      </c>
      <c r="C4137" t="inlineStr">
        <is>
          <t>process solvent only unless excipient grade and residual solvent justified</t>
        </is>
      </c>
      <c r="D4137"/>
      <c r="E4137"/>
      <c r="F4137"/>
      <c r="G4137"/>
      <c r="H4137" t="inlineStr">
        <is>
          <t>S005_ICH_Q3C_R9</t>
        </is>
      </c>
      <c r="I4137" t="inlineStr">
        <is>
          <t>curated</t>
        </is>
      </c>
      <c r="J4137">
        <v>0.7</v>
      </c>
      <c r="K4137"/>
    </row>
    <row r="4138">
      <c r="A4138" t="inlineStr">
        <is>
          <t>SOLV_TERT_BUTANOL</t>
        </is>
      </c>
      <c r="B4138" t="inlineStr">
        <is>
          <t>molecular_weight_g_mol</t>
        </is>
      </c>
      <c r="C4138">
        <v>74.12</v>
      </c>
      <c r="D4138" t="inlineStr">
        <is>
          <t>g/mol</t>
        </is>
      </c>
      <c r="E4138"/>
      <c r="F4138"/>
      <c r="G4138"/>
      <c r="H4138" t="inlineStr">
        <is>
          <t>S001_PUBCHEM</t>
        </is>
      </c>
      <c r="I4138" t="inlineStr">
        <is>
          <t>database-derived</t>
        </is>
      </c>
      <c r="J4138">
        <v>0.9</v>
      </c>
      <c r="K4138"/>
    </row>
    <row r="4139">
      <c r="A4139" t="inlineStr">
        <is>
          <t>SOLV_TERT_BUTANOL</t>
        </is>
      </c>
      <c r="B4139" t="inlineStr">
        <is>
          <t>density_g_ml</t>
        </is>
      </c>
      <c r="C4139">
        <v>0.781</v>
      </c>
      <c r="D4139" t="inlineStr">
        <is>
          <t>g/mL</t>
        </is>
      </c>
      <c r="E4139"/>
      <c r="F4139"/>
      <c r="G4139" t="inlineStr">
        <is>
          <t>20-25 °C</t>
        </is>
      </c>
      <c r="H4139" t="inlineStr">
        <is>
          <t>S007_EXCIPIENTS_HANDBOOK</t>
        </is>
      </c>
      <c r="I4139" t="inlineStr">
        <is>
          <t>handbook</t>
        </is>
      </c>
      <c r="J4139">
        <v>0.82</v>
      </c>
      <c r="K4139"/>
    </row>
    <row r="4140">
      <c r="A4140" t="inlineStr">
        <is>
          <t>SOLV_TERT_BUTANOL</t>
        </is>
      </c>
      <c r="B4140" t="inlineStr">
        <is>
          <t>boiling_point_C</t>
        </is>
      </c>
      <c r="C4140">
        <v>82.2</v>
      </c>
      <c r="D4140" t="inlineStr">
        <is>
          <t>°C</t>
        </is>
      </c>
      <c r="E4140"/>
      <c r="F4140"/>
      <c r="G4140"/>
      <c r="H4140" t="inlineStr">
        <is>
          <t>S001_PUBCHEM</t>
        </is>
      </c>
      <c r="I4140" t="inlineStr">
        <is>
          <t>handbook</t>
        </is>
      </c>
      <c r="J4140">
        <v>0.88</v>
      </c>
      <c r="K4140"/>
    </row>
    <row r="4141">
      <c r="A4141" t="inlineStr">
        <is>
          <t>SOLV_TERT_BUTANOL</t>
        </is>
      </c>
      <c r="B4141" t="inlineStr">
        <is>
          <t>melting_point_C</t>
        </is>
      </c>
      <c r="C4141">
        <v>25.5</v>
      </c>
      <c r="D4141" t="inlineStr">
        <is>
          <t>°C</t>
        </is>
      </c>
      <c r="E4141"/>
      <c r="F4141"/>
      <c r="G4141"/>
      <c r="H4141" t="inlineStr">
        <is>
          <t>S001_PUBCHEM</t>
        </is>
      </c>
      <c r="I4141" t="inlineStr">
        <is>
          <t>handbook</t>
        </is>
      </c>
      <c r="J4141">
        <v>0.88</v>
      </c>
      <c r="K4141"/>
    </row>
    <row r="4142">
      <c r="A4142" t="inlineStr">
        <is>
          <t>SOLV_TERT_BUTANOL</t>
        </is>
      </c>
      <c r="B4142" t="inlineStr">
        <is>
          <t>dielectric_constant</t>
        </is>
      </c>
      <c r="C4142">
        <v>12.5</v>
      </c>
      <c r="D4142"/>
      <c r="E4142"/>
      <c r="F4142"/>
      <c r="G4142" t="inlineStr">
        <is>
          <t>20-25 °C approximate</t>
        </is>
      </c>
      <c r="H4142" t="inlineStr">
        <is>
          <t>S007_EXCIPIENTS_HANDBOOK</t>
        </is>
      </c>
      <c r="I4142" t="inlineStr">
        <is>
          <t>handbook</t>
        </is>
      </c>
      <c r="J4142">
        <v>0.75</v>
      </c>
      <c r="K4142"/>
    </row>
    <row r="4143">
      <c r="A4143" t="inlineStr">
        <is>
          <t>SOLV_TERT_BUTANOL</t>
        </is>
      </c>
      <c r="B4143" t="inlineStr">
        <is>
          <t>polarity_index</t>
        </is>
      </c>
      <c r="C4143">
        <v>3.9</v>
      </c>
      <c r="D4143"/>
      <c r="E4143"/>
      <c r="F4143"/>
      <c r="G4143"/>
      <c r="H4143" t="inlineStr">
        <is>
          <t>S006_HANSEN_HANDBOOK</t>
        </is>
      </c>
      <c r="I4143" t="inlineStr">
        <is>
          <t>handbook</t>
        </is>
      </c>
      <c r="J4143">
        <v>0.7</v>
      </c>
      <c r="K4143"/>
    </row>
    <row r="4144">
      <c r="A4144" t="inlineStr">
        <is>
          <t>SOLV_TERT_BUTANOL</t>
        </is>
      </c>
      <c r="B4144" t="inlineStr">
        <is>
          <t>water_miscibility</t>
        </is>
      </c>
      <c r="C4144" t="inlineStr">
        <is>
          <t>miscible</t>
        </is>
      </c>
      <c r="D4144"/>
      <c r="E4144"/>
      <c r="F4144"/>
      <c r="G4144"/>
      <c r="H4144" t="inlineStr">
        <is>
          <t>S007_EXCIPIENTS_HANDBOOK</t>
        </is>
      </c>
      <c r="I4144" t="inlineStr">
        <is>
          <t>handbook</t>
        </is>
      </c>
      <c r="J4144">
        <v>0.85</v>
      </c>
      <c r="K4144"/>
    </row>
    <row r="4145">
      <c r="A4145" t="inlineStr">
        <is>
          <t>SOLV_TERT_BUTANOL</t>
        </is>
      </c>
      <c r="B4145" t="inlineStr">
        <is>
          <t>ICH_class</t>
        </is>
      </c>
      <c r="C4145" t="inlineStr">
        <is>
          <t>Class 3</t>
        </is>
      </c>
      <c r="D4145"/>
      <c r="E4145"/>
      <c r="F4145"/>
      <c r="G4145"/>
      <c r="H4145" t="inlineStr">
        <is>
          <t>S005_ICH_Q3C_R9</t>
        </is>
      </c>
      <c r="I4145" t="inlineStr">
        <is>
          <t>regulatory</t>
        </is>
      </c>
      <c r="J4145">
        <v>0.9</v>
      </c>
      <c r="K4145"/>
    </row>
    <row r="4146">
      <c r="A4146" t="inlineStr">
        <is>
          <t>SOLV_TERT_BUTANOL</t>
        </is>
      </c>
      <c r="B4146" t="inlineStr">
        <is>
          <t>permitted_daily_exposure_if_available</t>
        </is>
      </c>
      <c r="C4146">
        <v>50</v>
      </c>
      <c r="D4146" t="inlineStr">
        <is>
          <t>mg/day</t>
        </is>
      </c>
      <c r="E4146"/>
      <c r="F4146"/>
      <c r="G4146"/>
      <c r="H4146" t="inlineStr">
        <is>
          <t>S005_ICH_Q3C_R9</t>
        </is>
      </c>
      <c r="I4146" t="inlineStr">
        <is>
          <t>regulatory</t>
        </is>
      </c>
      <c r="J4146">
        <v>0.85</v>
      </c>
      <c r="K4146"/>
    </row>
    <row r="4147">
      <c r="A4147" t="inlineStr">
        <is>
          <t>SOLV_TERT_BUTANOL</t>
        </is>
      </c>
      <c r="B4147" t="inlineStr">
        <is>
          <t>Hansen_delta_D</t>
        </is>
      </c>
      <c r="C4147">
        <v>14.8</v>
      </c>
      <c r="D4147" t="inlineStr">
        <is>
          <t>MPa^0.5</t>
        </is>
      </c>
      <c r="E4147"/>
      <c r="F4147"/>
      <c r="G4147"/>
      <c r="H4147" t="inlineStr">
        <is>
          <t>S006_HANSEN_HANDBOOK</t>
        </is>
      </c>
      <c r="I4147" t="inlineStr">
        <is>
          <t>handbook</t>
        </is>
      </c>
      <c r="J4147">
        <v>0.8</v>
      </c>
      <c r="K4147"/>
    </row>
    <row r="4148">
      <c r="A4148" t="inlineStr">
        <is>
          <t>SOLV_TERT_BUTANOL</t>
        </is>
      </c>
      <c r="B4148" t="inlineStr">
        <is>
          <t>Hansen_delta_P</t>
        </is>
      </c>
      <c r="C4148">
        <v>5.7</v>
      </c>
      <c r="D4148" t="inlineStr">
        <is>
          <t>MPa^0.5</t>
        </is>
      </c>
      <c r="E4148"/>
      <c r="F4148"/>
      <c r="G4148"/>
      <c r="H4148" t="inlineStr">
        <is>
          <t>S006_HANSEN_HANDBOOK</t>
        </is>
      </c>
      <c r="I4148" t="inlineStr">
        <is>
          <t>handbook</t>
        </is>
      </c>
      <c r="J4148">
        <v>0.8</v>
      </c>
      <c r="K4148"/>
    </row>
    <row r="4149">
      <c r="A4149" t="inlineStr">
        <is>
          <t>SOLV_TERT_BUTANOL</t>
        </is>
      </c>
      <c r="B4149" t="inlineStr">
        <is>
          <t>Hansen_delta_H</t>
        </is>
      </c>
      <c r="C4149">
        <v>15.8</v>
      </c>
      <c r="D4149" t="inlineStr">
        <is>
          <t>MPa^0.5</t>
        </is>
      </c>
      <c r="E4149"/>
      <c r="F4149"/>
      <c r="G4149"/>
      <c r="H4149" t="inlineStr">
        <is>
          <t>S006_HANSEN_HANDBOOK</t>
        </is>
      </c>
      <c r="I4149" t="inlineStr">
        <is>
          <t>handbook</t>
        </is>
      </c>
      <c r="J4149">
        <v>0.8</v>
      </c>
      <c r="K4149"/>
    </row>
    <row r="4150">
      <c r="A4150" t="inlineStr">
        <is>
          <t>SOLV_TERT_BUTANOL</t>
        </is>
      </c>
      <c r="B4150" t="inlineStr">
        <is>
          <t>Hildebrand_delta_T</t>
        </is>
      </c>
      <c r="C4150">
        <v>22.39</v>
      </c>
      <c r="D4150" t="inlineStr">
        <is>
          <t>MPa^0.5</t>
        </is>
      </c>
      <c r="E4150"/>
      <c r="F4150"/>
      <c r="G4150"/>
      <c r="H4150" t="inlineStr">
        <is>
          <t>S012_CALCULATED</t>
        </is>
      </c>
      <c r="I4150" t="inlineStr">
        <is>
          <t>calculated</t>
        </is>
      </c>
      <c r="J4150">
        <v>0.8</v>
      </c>
      <c r="K4150"/>
    </row>
    <row r="4151">
      <c r="A4151" t="inlineStr">
        <is>
          <t>SOLV_TERT_BUTANOL</t>
        </is>
      </c>
      <c r="B4151" t="inlineStr">
        <is>
          <t>molar_volume_cm3_mol</t>
        </is>
      </c>
      <c r="C4151">
        <v>94.9</v>
      </c>
      <c r="D4151" t="inlineStr">
        <is>
          <t>cm3/mol</t>
        </is>
      </c>
      <c r="E4151"/>
      <c r="F4151"/>
      <c r="G4151" t="inlineStr">
        <is>
          <t>MW/density</t>
        </is>
      </c>
      <c r="H4151" t="inlineStr">
        <is>
          <t>S012_CALCULATED</t>
        </is>
      </c>
      <c r="I4151" t="inlineStr">
        <is>
          <t>calculated</t>
        </is>
      </c>
      <c r="J4151">
        <v>0.78</v>
      </c>
      <c r="K4151"/>
    </row>
    <row r="4152">
      <c r="A4152" t="inlineStr">
        <is>
          <t>SOLV_TERT_BUTANOL</t>
        </is>
      </c>
      <c r="B4152" t="inlineStr">
        <is>
          <t>toxicity_penalty</t>
        </is>
      </c>
      <c r="C4152">
        <v>1</v>
      </c>
      <c r="D4152" t="inlineStr">
        <is>
          <t>ordinal 0-5</t>
        </is>
      </c>
      <c r="E4152"/>
      <c r="F4152"/>
      <c r="G4152"/>
      <c r="H4152" t="inlineStr">
        <is>
          <t>S005_ICH_Q3C_R9</t>
        </is>
      </c>
      <c r="I4152" t="inlineStr">
        <is>
          <t>curated</t>
        </is>
      </c>
      <c r="J4152">
        <v>0.72</v>
      </c>
      <c r="K4152"/>
    </row>
    <row r="4153">
      <c r="A4153" t="inlineStr">
        <is>
          <t>SOLV_TERT_BUTANOL</t>
        </is>
      </c>
      <c r="B4153" t="inlineStr">
        <is>
          <t>residual_solvent_warning</t>
        </is>
      </c>
      <c r="C4153" t="inlineStr">
        <is>
          <t>low toxic potential under ICH Class 3 limits</t>
        </is>
      </c>
      <c r="D4153"/>
      <c r="E4153"/>
      <c r="F4153"/>
      <c r="G4153"/>
      <c r="H4153" t="inlineStr">
        <is>
          <t>S005_ICH_Q3C_R9</t>
        </is>
      </c>
      <c r="I4153" t="inlineStr">
        <is>
          <t>curated</t>
        </is>
      </c>
      <c r="J4153">
        <v>0.75</v>
      </c>
      <c r="K4153"/>
    </row>
    <row r="4154">
      <c r="A4154" t="inlineStr">
        <is>
          <t>SOLV_TERT_BUTANOL</t>
        </is>
      </c>
      <c r="B4154" t="inlineStr">
        <is>
          <t>pulmonary_suitability</t>
        </is>
      </c>
      <c r="C4154" t="inlineStr">
        <is>
          <t>lyophilization co-solvent; residual caution</t>
        </is>
      </c>
      <c r="D4154"/>
      <c r="E4154"/>
      <c r="F4154"/>
      <c r="G4154"/>
      <c r="H4154" t="inlineStr">
        <is>
          <t>S014_AULTON</t>
        </is>
      </c>
      <c r="I4154" t="inlineStr">
        <is>
          <t>curated</t>
        </is>
      </c>
      <c r="J4154">
        <v>0.55</v>
      </c>
      <c r="K4154"/>
    </row>
    <row r="4155">
      <c r="A4155" t="inlineStr">
        <is>
          <t>SOLV_TERT_BUTANOL</t>
        </is>
      </c>
      <c r="B4155" t="inlineStr">
        <is>
          <t>route_suitability</t>
        </is>
      </c>
      <c r="C4155" t="inlineStr">
        <is>
          <t>process solvent only unless excipient grade and residual solvent justified</t>
        </is>
      </c>
      <c r="D4155"/>
      <c r="E4155"/>
      <c r="F4155"/>
      <c r="G4155"/>
      <c r="H4155" t="inlineStr">
        <is>
          <t>S005_ICH_Q3C_R9</t>
        </is>
      </c>
      <c r="I4155" t="inlineStr">
        <is>
          <t>curated</t>
        </is>
      </c>
      <c r="J4155">
        <v>0.7</v>
      </c>
      <c r="K4155"/>
    </row>
    <row r="4156">
      <c r="A4156" t="inlineStr">
        <is>
          <t>SOLV_DIETHYL_ETHER</t>
        </is>
      </c>
      <c r="B4156" t="inlineStr">
        <is>
          <t>molecular_weight_g_mol</t>
        </is>
      </c>
      <c r="C4156">
        <v>74.12</v>
      </c>
      <c r="D4156" t="inlineStr">
        <is>
          <t>g/mol</t>
        </is>
      </c>
      <c r="E4156"/>
      <c r="F4156"/>
      <c r="G4156"/>
      <c r="H4156" t="inlineStr">
        <is>
          <t>S001_PUBCHEM</t>
        </is>
      </c>
      <c r="I4156" t="inlineStr">
        <is>
          <t>database-derived</t>
        </is>
      </c>
      <c r="J4156">
        <v>0.9</v>
      </c>
      <c r="K4156"/>
    </row>
    <row r="4157">
      <c r="A4157" t="inlineStr">
        <is>
          <t>SOLV_DIETHYL_ETHER</t>
        </is>
      </c>
      <c r="B4157" t="inlineStr">
        <is>
          <t>density_g_ml</t>
        </is>
      </c>
      <c r="C4157">
        <v>0.713</v>
      </c>
      <c r="D4157" t="inlineStr">
        <is>
          <t>g/mL</t>
        </is>
      </c>
      <c r="E4157"/>
      <c r="F4157"/>
      <c r="G4157" t="inlineStr">
        <is>
          <t>20-25 °C</t>
        </is>
      </c>
      <c r="H4157" t="inlineStr">
        <is>
          <t>S007_EXCIPIENTS_HANDBOOK</t>
        </is>
      </c>
      <c r="I4157" t="inlineStr">
        <is>
          <t>handbook</t>
        </is>
      </c>
      <c r="J4157">
        <v>0.82</v>
      </c>
      <c r="K4157"/>
    </row>
    <row r="4158">
      <c r="A4158" t="inlineStr">
        <is>
          <t>SOLV_DIETHYL_ETHER</t>
        </is>
      </c>
      <c r="B4158" t="inlineStr">
        <is>
          <t>boiling_point_C</t>
        </is>
      </c>
      <c r="C4158">
        <v>34.6</v>
      </c>
      <c r="D4158" t="inlineStr">
        <is>
          <t>°C</t>
        </is>
      </c>
      <c r="E4158"/>
      <c r="F4158"/>
      <c r="G4158"/>
      <c r="H4158" t="inlineStr">
        <is>
          <t>S001_PUBCHEM</t>
        </is>
      </c>
      <c r="I4158" t="inlineStr">
        <is>
          <t>handbook</t>
        </is>
      </c>
      <c r="J4158">
        <v>0.88</v>
      </c>
      <c r="K4158"/>
    </row>
    <row r="4159">
      <c r="A4159" t="inlineStr">
        <is>
          <t>SOLV_DIETHYL_ETHER</t>
        </is>
      </c>
      <c r="B4159" t="inlineStr">
        <is>
          <t>melting_point_C</t>
        </is>
      </c>
      <c r="C4159">
        <v>-116.3</v>
      </c>
      <c r="D4159" t="inlineStr">
        <is>
          <t>°C</t>
        </is>
      </c>
      <c r="E4159"/>
      <c r="F4159"/>
      <c r="G4159"/>
      <c r="H4159" t="inlineStr">
        <is>
          <t>S001_PUBCHEM</t>
        </is>
      </c>
      <c r="I4159" t="inlineStr">
        <is>
          <t>handbook</t>
        </is>
      </c>
      <c r="J4159">
        <v>0.88</v>
      </c>
      <c r="K4159"/>
    </row>
    <row r="4160">
      <c r="A4160" t="inlineStr">
        <is>
          <t>SOLV_DIETHYL_ETHER</t>
        </is>
      </c>
      <c r="B4160" t="inlineStr">
        <is>
          <t>dielectric_constant</t>
        </is>
      </c>
      <c r="C4160">
        <v>4.3</v>
      </c>
      <c r="D4160"/>
      <c r="E4160"/>
      <c r="F4160"/>
      <c r="G4160" t="inlineStr">
        <is>
          <t>20-25 °C approximate</t>
        </is>
      </c>
      <c r="H4160" t="inlineStr">
        <is>
          <t>S007_EXCIPIENTS_HANDBOOK</t>
        </is>
      </c>
      <c r="I4160" t="inlineStr">
        <is>
          <t>handbook</t>
        </is>
      </c>
      <c r="J4160">
        <v>0.75</v>
      </c>
      <c r="K4160"/>
    </row>
    <row r="4161">
      <c r="A4161" t="inlineStr">
        <is>
          <t>SOLV_DIETHYL_ETHER</t>
        </is>
      </c>
      <c r="B4161" t="inlineStr">
        <is>
          <t>polarity_index</t>
        </is>
      </c>
      <c r="C4161">
        <v>2.8</v>
      </c>
      <c r="D4161"/>
      <c r="E4161"/>
      <c r="F4161"/>
      <c r="G4161"/>
      <c r="H4161" t="inlineStr">
        <is>
          <t>S006_HANSEN_HANDBOOK</t>
        </is>
      </c>
      <c r="I4161" t="inlineStr">
        <is>
          <t>handbook</t>
        </is>
      </c>
      <c r="J4161">
        <v>0.7</v>
      </c>
      <c r="K4161"/>
    </row>
    <row r="4162">
      <c r="A4162" t="inlineStr">
        <is>
          <t>SOLV_DIETHYL_ETHER</t>
        </is>
      </c>
      <c r="B4162" t="inlineStr">
        <is>
          <t>water_miscibility</t>
        </is>
      </c>
      <c r="C4162" t="inlineStr">
        <is>
          <t>slightly soluble</t>
        </is>
      </c>
      <c r="D4162"/>
      <c r="E4162"/>
      <c r="F4162"/>
      <c r="G4162"/>
      <c r="H4162" t="inlineStr">
        <is>
          <t>S007_EXCIPIENTS_HANDBOOK</t>
        </is>
      </c>
      <c r="I4162" t="inlineStr">
        <is>
          <t>handbook</t>
        </is>
      </c>
      <c r="J4162">
        <v>0.85</v>
      </c>
      <c r="K4162"/>
    </row>
    <row r="4163">
      <c r="A4163" t="inlineStr">
        <is>
          <t>SOLV_DIETHYL_ETHER</t>
        </is>
      </c>
      <c r="B4163" t="inlineStr">
        <is>
          <t>ICH_class</t>
        </is>
      </c>
      <c r="C4163" t="inlineStr">
        <is>
          <t>Class 3</t>
        </is>
      </c>
      <c r="D4163"/>
      <c r="E4163"/>
      <c r="F4163"/>
      <c r="G4163"/>
      <c r="H4163" t="inlineStr">
        <is>
          <t>S005_ICH_Q3C_R9</t>
        </is>
      </c>
      <c r="I4163" t="inlineStr">
        <is>
          <t>regulatory</t>
        </is>
      </c>
      <c r="J4163">
        <v>0.9</v>
      </c>
      <c r="K4163"/>
    </row>
    <row r="4164">
      <c r="A4164" t="inlineStr">
        <is>
          <t>SOLV_DIETHYL_ETHER</t>
        </is>
      </c>
      <c r="B4164" t="inlineStr">
        <is>
          <t>permitted_daily_exposure_if_available</t>
        </is>
      </c>
      <c r="C4164">
        <v>50</v>
      </c>
      <c r="D4164" t="inlineStr">
        <is>
          <t>mg/day</t>
        </is>
      </c>
      <c r="E4164"/>
      <c r="F4164"/>
      <c r="G4164"/>
      <c r="H4164" t="inlineStr">
        <is>
          <t>S005_ICH_Q3C_R9</t>
        </is>
      </c>
      <c r="I4164" t="inlineStr">
        <is>
          <t>regulatory</t>
        </is>
      </c>
      <c r="J4164">
        <v>0.85</v>
      </c>
      <c r="K4164"/>
    </row>
    <row r="4165">
      <c r="A4165" t="inlineStr">
        <is>
          <t>SOLV_DIETHYL_ETHER</t>
        </is>
      </c>
      <c r="B4165" t="inlineStr">
        <is>
          <t>Hansen_delta_D</t>
        </is>
      </c>
      <c r="C4165">
        <v>14.5</v>
      </c>
      <c r="D4165" t="inlineStr">
        <is>
          <t>MPa^0.5</t>
        </is>
      </c>
      <c r="E4165"/>
      <c r="F4165"/>
      <c r="G4165"/>
      <c r="H4165" t="inlineStr">
        <is>
          <t>S006_HANSEN_HANDBOOK</t>
        </is>
      </c>
      <c r="I4165" t="inlineStr">
        <is>
          <t>handbook</t>
        </is>
      </c>
      <c r="J4165">
        <v>0.8</v>
      </c>
      <c r="K4165"/>
    </row>
    <row r="4166">
      <c r="A4166" t="inlineStr">
        <is>
          <t>SOLV_DIETHYL_ETHER</t>
        </is>
      </c>
      <c r="B4166" t="inlineStr">
        <is>
          <t>Hansen_delta_P</t>
        </is>
      </c>
      <c r="C4166">
        <v>2.9</v>
      </c>
      <c r="D4166" t="inlineStr">
        <is>
          <t>MPa^0.5</t>
        </is>
      </c>
      <c r="E4166"/>
      <c r="F4166"/>
      <c r="G4166"/>
      <c r="H4166" t="inlineStr">
        <is>
          <t>S006_HANSEN_HANDBOOK</t>
        </is>
      </c>
      <c r="I4166" t="inlineStr">
        <is>
          <t>handbook</t>
        </is>
      </c>
      <c r="J4166">
        <v>0.8</v>
      </c>
      <c r="K4166"/>
    </row>
    <row r="4167">
      <c r="A4167" t="inlineStr">
        <is>
          <t>SOLV_DIETHYL_ETHER</t>
        </is>
      </c>
      <c r="B4167" t="inlineStr">
        <is>
          <t>Hansen_delta_H</t>
        </is>
      </c>
      <c r="C4167">
        <v>5.1</v>
      </c>
      <c r="D4167" t="inlineStr">
        <is>
          <t>MPa^0.5</t>
        </is>
      </c>
      <c r="E4167"/>
      <c r="F4167"/>
      <c r="G4167"/>
      <c r="H4167" t="inlineStr">
        <is>
          <t>S006_HANSEN_HANDBOOK</t>
        </is>
      </c>
      <c r="I4167" t="inlineStr">
        <is>
          <t>handbook</t>
        </is>
      </c>
      <c r="J4167">
        <v>0.8</v>
      </c>
      <c r="K4167"/>
    </row>
    <row r="4168">
      <c r="A4168" t="inlineStr">
        <is>
          <t>SOLV_DIETHYL_ETHER</t>
        </is>
      </c>
      <c r="B4168" t="inlineStr">
        <is>
          <t>Hildebrand_delta_T</t>
        </is>
      </c>
      <c r="C4168">
        <v>15.64</v>
      </c>
      <c r="D4168" t="inlineStr">
        <is>
          <t>MPa^0.5</t>
        </is>
      </c>
      <c r="E4168"/>
      <c r="F4168"/>
      <c r="G4168"/>
      <c r="H4168" t="inlineStr">
        <is>
          <t>S012_CALCULATED</t>
        </is>
      </c>
      <c r="I4168" t="inlineStr">
        <is>
          <t>calculated</t>
        </is>
      </c>
      <c r="J4168">
        <v>0.8</v>
      </c>
      <c r="K4168"/>
    </row>
    <row r="4169">
      <c r="A4169" t="inlineStr">
        <is>
          <t>SOLV_DIETHYL_ETHER</t>
        </is>
      </c>
      <c r="B4169" t="inlineStr">
        <is>
          <t>molar_volume_cm3_mol</t>
        </is>
      </c>
      <c r="C4169">
        <v>103.96</v>
      </c>
      <c r="D4169" t="inlineStr">
        <is>
          <t>cm3/mol</t>
        </is>
      </c>
      <c r="E4169"/>
      <c r="F4169"/>
      <c r="G4169" t="inlineStr">
        <is>
          <t>MW/density</t>
        </is>
      </c>
      <c r="H4169" t="inlineStr">
        <is>
          <t>S012_CALCULATED</t>
        </is>
      </c>
      <c r="I4169" t="inlineStr">
        <is>
          <t>calculated</t>
        </is>
      </c>
      <c r="J4169">
        <v>0.78</v>
      </c>
      <c r="K4169"/>
    </row>
    <row r="4170">
      <c r="A4170" t="inlineStr">
        <is>
          <t>SOLV_DIETHYL_ETHER</t>
        </is>
      </c>
      <c r="B4170" t="inlineStr">
        <is>
          <t>toxicity_penalty</t>
        </is>
      </c>
      <c r="C4170">
        <v>2</v>
      </c>
      <c r="D4170" t="inlineStr">
        <is>
          <t>ordinal 0-5</t>
        </is>
      </c>
      <c r="E4170"/>
      <c r="F4170"/>
      <c r="G4170"/>
      <c r="H4170" t="inlineStr">
        <is>
          <t>S005_ICH_Q3C_R9</t>
        </is>
      </c>
      <c r="I4170" t="inlineStr">
        <is>
          <t>curated</t>
        </is>
      </c>
      <c r="J4170">
        <v>0.72</v>
      </c>
      <c r="K4170"/>
    </row>
    <row r="4171">
      <c r="A4171" t="inlineStr">
        <is>
          <t>SOLV_DIETHYL_ETHER</t>
        </is>
      </c>
      <c r="B4171" t="inlineStr">
        <is>
          <t>residual_solvent_warning</t>
        </is>
      </c>
      <c r="C4171" t="inlineStr">
        <is>
          <t>low toxic potential under ICH Class 3 limits</t>
        </is>
      </c>
      <c r="D4171"/>
      <c r="E4171"/>
      <c r="F4171"/>
      <c r="G4171"/>
      <c r="H4171" t="inlineStr">
        <is>
          <t>S005_ICH_Q3C_R9</t>
        </is>
      </c>
      <c r="I4171" t="inlineStr">
        <is>
          <t>curated</t>
        </is>
      </c>
      <c r="J4171">
        <v>0.75</v>
      </c>
      <c r="K4171"/>
    </row>
    <row r="4172">
      <c r="A4172" t="inlineStr">
        <is>
          <t>SOLV_DIETHYL_ETHER</t>
        </is>
      </c>
      <c r="B4172" t="inlineStr">
        <is>
          <t>pulmonary_suitability</t>
        </is>
      </c>
      <c r="C4172" t="inlineStr">
        <is>
          <t>not suitable; flammable</t>
        </is>
      </c>
      <c r="D4172"/>
      <c r="E4172"/>
      <c r="F4172"/>
      <c r="G4172"/>
      <c r="H4172" t="inlineStr">
        <is>
          <t>S014_AULTON</t>
        </is>
      </c>
      <c r="I4172" t="inlineStr">
        <is>
          <t>curated</t>
        </is>
      </c>
      <c r="J4172">
        <v>0.55</v>
      </c>
      <c r="K4172"/>
    </row>
    <row r="4173">
      <c r="A4173" t="inlineStr">
        <is>
          <t>SOLV_DIETHYL_ETHER</t>
        </is>
      </c>
      <c r="B4173" t="inlineStr">
        <is>
          <t>route_suitability</t>
        </is>
      </c>
      <c r="C4173" t="inlineStr">
        <is>
          <t>process solvent only unless excipient grade and residual solvent justified</t>
        </is>
      </c>
      <c r="D4173"/>
      <c r="E4173"/>
      <c r="F4173"/>
      <c r="G4173"/>
      <c r="H4173" t="inlineStr">
        <is>
          <t>S005_ICH_Q3C_R9</t>
        </is>
      </c>
      <c r="I4173" t="inlineStr">
        <is>
          <t>curated</t>
        </is>
      </c>
      <c r="J4173">
        <v>0.7</v>
      </c>
      <c r="K4173"/>
    </row>
    <row r="4174">
      <c r="A4174" t="inlineStr">
        <is>
          <t>CAR_MALTODEXTRIN</t>
        </is>
      </c>
      <c r="B4174" t="inlineStr">
        <is>
          <t>average_MW</t>
        </is>
      </c>
      <c r="C4174">
        <v>1000</v>
      </c>
      <c r="D4174" t="inlineStr">
        <is>
          <t>g/mol</t>
        </is>
      </c>
      <c r="E4174"/>
      <c r="F4174"/>
      <c r="G4174" t="inlineStr">
        <is>
          <t>grade-dependent</t>
        </is>
      </c>
      <c r="H4174" t="inlineStr">
        <is>
          <t>S007_EXCIPIENTS_HANDBOOK</t>
        </is>
      </c>
      <c r="I4174" t="inlineStr">
        <is>
          <t>supplier-reported</t>
        </is>
      </c>
      <c r="J4174">
        <v>0.45</v>
      </c>
      <c r="K4174"/>
    </row>
    <row r="4175">
      <c r="A4175" t="inlineStr">
        <is>
          <t>CAR_MALTODEXTRIN</t>
        </is>
      </c>
      <c r="B4175" t="inlineStr">
        <is>
          <t>carrier_type</t>
        </is>
      </c>
      <c r="C4175" t="inlineStr">
        <is>
          <t>saccharide carrier</t>
        </is>
      </c>
      <c r="D4175"/>
      <c r="E4175"/>
      <c r="F4175"/>
      <c r="G4175"/>
      <c r="H4175" t="inlineStr">
        <is>
          <t>S007_EXCIPIENTS_HANDBOOK</t>
        </is>
      </c>
      <c r="I4175" t="inlineStr">
        <is>
          <t>curated</t>
        </is>
      </c>
      <c r="J4175">
        <v>0.75</v>
      </c>
      <c r="K4175"/>
    </row>
    <row r="4176">
      <c r="A4176" t="inlineStr">
        <is>
          <t>CAR_MALTODEXTRIN</t>
        </is>
      </c>
      <c r="B4176" t="inlineStr">
        <is>
          <t>water_solubility</t>
        </is>
      </c>
      <c r="C4176" t="inlineStr">
        <is>
          <t>high</t>
        </is>
      </c>
      <c r="D4176"/>
      <c r="E4176"/>
      <c r="F4176"/>
      <c r="G4176"/>
      <c r="H4176" t="inlineStr">
        <is>
          <t>S007_EXCIPIENTS_HANDBOOK</t>
        </is>
      </c>
      <c r="I4176" t="inlineStr">
        <is>
          <t>handbook</t>
        </is>
      </c>
      <c r="J4176">
        <v>0.65</v>
      </c>
      <c r="K4176"/>
    </row>
    <row r="4177">
      <c r="A4177" t="inlineStr">
        <is>
          <t>CAR_MALTODEXTRIN</t>
        </is>
      </c>
      <c r="B4177" t="inlineStr">
        <is>
          <t>hygroscopicity</t>
        </is>
      </c>
      <c r="C4177" t="inlineStr">
        <is>
          <t>moderate</t>
        </is>
      </c>
      <c r="D4177"/>
      <c r="E4177"/>
      <c r="F4177"/>
      <c r="G4177"/>
      <c r="H4177" t="inlineStr">
        <is>
          <t>S007_EXCIPIENTS_HANDBOOK</t>
        </is>
      </c>
      <c r="I4177" t="inlineStr">
        <is>
          <t>handbook</t>
        </is>
      </c>
      <c r="J4177">
        <v>0.55</v>
      </c>
      <c r="K4177"/>
    </row>
    <row r="4178">
      <c r="A4178" t="inlineStr">
        <is>
          <t>CAR_MALTODEXTRIN</t>
        </is>
      </c>
      <c r="B4178" t="inlineStr">
        <is>
          <t>cryoprotection_score</t>
        </is>
      </c>
      <c r="C4178">
        <v>3</v>
      </c>
      <c r="D4178" t="inlineStr">
        <is>
          <t>0-5</t>
        </is>
      </c>
      <c r="E4178"/>
      <c r="F4178"/>
      <c r="G4178" t="inlineStr">
        <is>
          <t>formulation heuristic</t>
        </is>
      </c>
      <c r="H4178" t="inlineStr">
        <is>
          <t>S014_AULTON</t>
        </is>
      </c>
      <c r="I4178" t="inlineStr">
        <is>
          <t>estimated</t>
        </is>
      </c>
      <c r="J4178">
        <v>0.45</v>
      </c>
      <c r="K4178"/>
    </row>
    <row r="4179">
      <c r="A4179" t="inlineStr">
        <is>
          <t>CAR_MALTODEXTRIN</t>
        </is>
      </c>
      <c r="B4179" t="inlineStr">
        <is>
          <t>proniosome_suitability_score</t>
        </is>
      </c>
      <c r="C4179">
        <v>4</v>
      </c>
      <c r="D4179" t="inlineStr">
        <is>
          <t>0-5</t>
        </is>
      </c>
      <c r="E4179"/>
      <c r="F4179"/>
      <c r="G4179" t="inlineStr">
        <is>
          <t>carrier loading/hydration heuristic</t>
        </is>
      </c>
      <c r="H4179" t="inlineStr">
        <is>
          <t>S014_AULTON</t>
        </is>
      </c>
      <c r="I4179" t="inlineStr">
        <is>
          <t>estimated</t>
        </is>
      </c>
      <c r="J4179">
        <v>0.45</v>
      </c>
      <c r="K4179"/>
    </row>
    <row r="4180">
      <c r="A4180" t="inlineStr">
        <is>
          <t>CAR_MALTODEXTRIN</t>
        </is>
      </c>
      <c r="B4180" t="inlineStr">
        <is>
          <t>spray_drying_suitability</t>
        </is>
      </c>
      <c r="C4180" t="inlineStr">
        <is>
          <t>yes</t>
        </is>
      </c>
      <c r="D4180"/>
      <c r="E4180"/>
      <c r="F4180"/>
      <c r="G4180"/>
      <c r="H4180" t="inlineStr">
        <is>
          <t>S014_AULTON</t>
        </is>
      </c>
      <c r="I4180" t="inlineStr">
        <is>
          <t>curated</t>
        </is>
      </c>
      <c r="J4180">
        <v>0.55</v>
      </c>
      <c r="K4180"/>
    </row>
    <row r="4181">
      <c r="A4181" t="inlineStr">
        <is>
          <t>CAR_MALTODEXTRIN</t>
        </is>
      </c>
      <c r="B4181" t="inlineStr">
        <is>
          <t>inhalation_suitability</t>
        </is>
      </c>
      <c r="C4181" t="inlineStr">
        <is>
          <t>no/conditional</t>
        </is>
      </c>
      <c r="D4181"/>
      <c r="E4181"/>
      <c r="F4181"/>
      <c r="G4181"/>
      <c r="H4181" t="inlineStr">
        <is>
          <t>S014_AULTON</t>
        </is>
      </c>
      <c r="I4181" t="inlineStr">
        <is>
          <t>curated</t>
        </is>
      </c>
      <c r="J4181">
        <v>0.55</v>
      </c>
      <c r="K4181"/>
    </row>
    <row r="4182">
      <c r="A4182" t="inlineStr">
        <is>
          <t>CAR_MALTODEXTRIN</t>
        </is>
      </c>
      <c r="B4182" t="inlineStr">
        <is>
          <t>route_suitability</t>
        </is>
      </c>
      <c r="C4182" t="inlineStr">
        <is>
          <t>dry carrier/cryoprotectant; route-grade dependent</t>
        </is>
      </c>
      <c r="D4182"/>
      <c r="E4182"/>
      <c r="F4182"/>
      <c r="G4182"/>
      <c r="H4182" t="inlineStr">
        <is>
          <t>S008_FDA_IID</t>
        </is>
      </c>
      <c r="I4182" t="inlineStr">
        <is>
          <t>curated</t>
        </is>
      </c>
      <c r="J4182">
        <v>0.55</v>
      </c>
      <c r="K4182"/>
    </row>
    <row r="4183">
      <c r="A4183" t="inlineStr">
        <is>
          <t>CAR_MALTODEXTRIN</t>
        </is>
      </c>
      <c r="B4183" t="inlineStr">
        <is>
          <t>safety_notes</t>
        </is>
      </c>
      <c r="C4183" t="inlineStr">
        <is>
          <t>DE controls Tg and hygroscopicity</t>
        </is>
      </c>
      <c r="D4183"/>
      <c r="E4183"/>
      <c r="F4183"/>
      <c r="G4183"/>
      <c r="H4183" t="inlineStr">
        <is>
          <t>S007_EXCIPIENTS_HANDBOOK</t>
        </is>
      </c>
      <c r="I4183" t="inlineStr">
        <is>
          <t>curated</t>
        </is>
      </c>
      <c r="J4183">
        <v>0.65</v>
      </c>
      <c r="K4183"/>
    </row>
    <row r="4184">
      <c r="A4184" t="inlineStr">
        <is>
          <t>CAR_MALTODEXTRIN</t>
        </is>
      </c>
      <c r="B4184" t="inlineStr">
        <is>
          <t>glass_transition_temperature_C</t>
        </is>
      </c>
      <c r="C4184">
        <v>100</v>
      </c>
      <c r="D4184" t="inlineStr">
        <is>
          <t>°C</t>
        </is>
      </c>
      <c r="E4184"/>
      <c r="F4184"/>
      <c r="G4184" t="inlineStr">
        <is>
          <t>grade-dependent</t>
        </is>
      </c>
      <c r="H4184" t="inlineStr">
        <is>
          <t>S007_EXCIPIENTS_HANDBOOK</t>
        </is>
      </c>
      <c r="I4184" t="inlineStr">
        <is>
          <t>handbook</t>
        </is>
      </c>
      <c r="J4184">
        <v>0.48</v>
      </c>
      <c r="K4184"/>
    </row>
    <row r="4185">
      <c r="A4185" t="inlineStr">
        <is>
          <t>CAR_MALTODEXTRIN</t>
        </is>
      </c>
      <c r="B4185" t="inlineStr">
        <is>
          <t>bulk_density</t>
        </is>
      </c>
      <c r="C4185">
        <v>0.45</v>
      </c>
      <c r="D4185" t="inlineStr">
        <is>
          <t>g/mL</t>
        </is>
      </c>
      <c r="E4185"/>
      <c r="F4185"/>
      <c r="G4185" t="inlineStr">
        <is>
          <t>grade-dependent</t>
        </is>
      </c>
      <c r="H4185" t="inlineStr">
        <is>
          <t>S007_EXCIPIENTS_HANDBOOK</t>
        </is>
      </c>
      <c r="I4185" t="inlineStr">
        <is>
          <t>handbook</t>
        </is>
      </c>
      <c r="J4185">
        <v>0.48</v>
      </c>
      <c r="K4185"/>
    </row>
    <row r="4186">
      <c r="A4186" t="inlineStr">
        <is>
          <t>CAR_MALTODEXTRIN</t>
        </is>
      </c>
      <c r="B4186" t="inlineStr">
        <is>
          <t>tapped_density</t>
        </is>
      </c>
      <c r="C4186">
        <v>0.65</v>
      </c>
      <c r="D4186" t="inlineStr">
        <is>
          <t>g/mL</t>
        </is>
      </c>
      <c r="E4186"/>
      <c r="F4186"/>
      <c r="G4186" t="inlineStr">
        <is>
          <t>grade-dependent</t>
        </is>
      </c>
      <c r="H4186" t="inlineStr">
        <is>
          <t>S007_EXCIPIENTS_HANDBOOK</t>
        </is>
      </c>
      <c r="I4186" t="inlineStr">
        <is>
          <t>handbook</t>
        </is>
      </c>
      <c r="J4186">
        <v>0.48</v>
      </c>
      <c r="K4186"/>
    </row>
    <row r="4187">
      <c r="A4187" t="inlineStr">
        <is>
          <t>CAR_MALTODEXTRIN</t>
        </is>
      </c>
      <c r="B4187" t="inlineStr">
        <is>
          <t>particle_size_grade</t>
        </is>
      </c>
      <c r="C4187" t="inlineStr">
        <is>
          <t>DE grade-dependent</t>
        </is>
      </c>
      <c r="D4187"/>
      <c r="E4187"/>
      <c r="F4187"/>
      <c r="G4187" t="inlineStr">
        <is>
          <t>grade-dependent</t>
        </is>
      </c>
      <c r="H4187" t="inlineStr">
        <is>
          <t>S007_EXCIPIENTS_HANDBOOK</t>
        </is>
      </c>
      <c r="I4187" t="inlineStr">
        <is>
          <t>supplier-reported</t>
        </is>
      </c>
      <c r="J4187">
        <v>0.48</v>
      </c>
      <c r="K4187"/>
    </row>
    <row r="4188">
      <c r="A4188" t="inlineStr">
        <is>
          <t>CAR_MANNITOL</t>
        </is>
      </c>
      <c r="B4188" t="inlineStr">
        <is>
          <t>molecular_weight_g_mol</t>
        </is>
      </c>
      <c r="C4188">
        <v>182.17</v>
      </c>
      <c r="D4188" t="inlineStr">
        <is>
          <t>g/mol</t>
        </is>
      </c>
      <c r="E4188"/>
      <c r="F4188"/>
      <c r="G4188"/>
      <c r="H4188" t="inlineStr">
        <is>
          <t>S001_PUBCHEM</t>
        </is>
      </c>
      <c r="I4188" t="inlineStr">
        <is>
          <t>database-derived</t>
        </is>
      </c>
      <c r="J4188">
        <v>0.78</v>
      </c>
      <c r="K4188"/>
    </row>
    <row r="4189">
      <c r="A4189" t="inlineStr">
        <is>
          <t>CAR_MANNITOL</t>
        </is>
      </c>
      <c r="B4189" t="inlineStr">
        <is>
          <t>carrier_type</t>
        </is>
      </c>
      <c r="C4189" t="inlineStr">
        <is>
          <t>crystalline sugar alcohol</t>
        </is>
      </c>
      <c r="D4189"/>
      <c r="E4189"/>
      <c r="F4189"/>
      <c r="G4189"/>
      <c r="H4189" t="inlineStr">
        <is>
          <t>S007_EXCIPIENTS_HANDBOOK</t>
        </is>
      </c>
      <c r="I4189" t="inlineStr">
        <is>
          <t>curated</t>
        </is>
      </c>
      <c r="J4189">
        <v>0.75</v>
      </c>
      <c r="K4189"/>
    </row>
    <row r="4190">
      <c r="A4190" t="inlineStr">
        <is>
          <t>CAR_MANNITOL</t>
        </is>
      </c>
      <c r="B4190" t="inlineStr">
        <is>
          <t>water_solubility</t>
        </is>
      </c>
      <c r="C4190" t="inlineStr">
        <is>
          <t>high</t>
        </is>
      </c>
      <c r="D4190"/>
      <c r="E4190"/>
      <c r="F4190"/>
      <c r="G4190"/>
      <c r="H4190" t="inlineStr">
        <is>
          <t>S007_EXCIPIENTS_HANDBOOK</t>
        </is>
      </c>
      <c r="I4190" t="inlineStr">
        <is>
          <t>handbook</t>
        </is>
      </c>
      <c r="J4190">
        <v>0.65</v>
      </c>
      <c r="K4190"/>
    </row>
    <row r="4191">
      <c r="A4191" t="inlineStr">
        <is>
          <t>CAR_MANNITOL</t>
        </is>
      </c>
      <c r="B4191" t="inlineStr">
        <is>
          <t>hygroscopicity</t>
        </is>
      </c>
      <c r="C4191" t="inlineStr">
        <is>
          <t>low</t>
        </is>
      </c>
      <c r="D4191"/>
      <c r="E4191"/>
      <c r="F4191"/>
      <c r="G4191"/>
      <c r="H4191" t="inlineStr">
        <is>
          <t>S007_EXCIPIENTS_HANDBOOK</t>
        </is>
      </c>
      <c r="I4191" t="inlineStr">
        <is>
          <t>handbook</t>
        </is>
      </c>
      <c r="J4191">
        <v>0.55</v>
      </c>
      <c r="K4191"/>
    </row>
    <row r="4192">
      <c r="A4192" t="inlineStr">
        <is>
          <t>CAR_MANNITOL</t>
        </is>
      </c>
      <c r="B4192" t="inlineStr">
        <is>
          <t>cryoprotection_score</t>
        </is>
      </c>
      <c r="C4192">
        <v>3</v>
      </c>
      <c r="D4192" t="inlineStr">
        <is>
          <t>0-5</t>
        </is>
      </c>
      <c r="E4192"/>
      <c r="F4192"/>
      <c r="G4192" t="inlineStr">
        <is>
          <t>formulation heuristic</t>
        </is>
      </c>
      <c r="H4192" t="inlineStr">
        <is>
          <t>S014_AULTON</t>
        </is>
      </c>
      <c r="I4192" t="inlineStr">
        <is>
          <t>estimated</t>
        </is>
      </c>
      <c r="J4192">
        <v>0.45</v>
      </c>
      <c r="K4192"/>
    </row>
    <row r="4193">
      <c r="A4193" t="inlineStr">
        <is>
          <t>CAR_MANNITOL</t>
        </is>
      </c>
      <c r="B4193" t="inlineStr">
        <is>
          <t>proniosome_suitability_score</t>
        </is>
      </c>
      <c r="C4193">
        <v>3</v>
      </c>
      <c r="D4193" t="inlineStr">
        <is>
          <t>0-5</t>
        </is>
      </c>
      <c r="E4193"/>
      <c r="F4193"/>
      <c r="G4193" t="inlineStr">
        <is>
          <t>carrier loading/hydration heuristic</t>
        </is>
      </c>
      <c r="H4193" t="inlineStr">
        <is>
          <t>S014_AULTON</t>
        </is>
      </c>
      <c r="I4193" t="inlineStr">
        <is>
          <t>estimated</t>
        </is>
      </c>
      <c r="J4193">
        <v>0.45</v>
      </c>
      <c r="K4193"/>
    </row>
    <row r="4194">
      <c r="A4194" t="inlineStr">
        <is>
          <t>CAR_MANNITOL</t>
        </is>
      </c>
      <c r="B4194" t="inlineStr">
        <is>
          <t>spray_drying_suitability</t>
        </is>
      </c>
      <c r="C4194" t="inlineStr">
        <is>
          <t>yes</t>
        </is>
      </c>
      <c r="D4194"/>
      <c r="E4194"/>
      <c r="F4194"/>
      <c r="G4194"/>
      <c r="H4194" t="inlineStr">
        <is>
          <t>S014_AULTON</t>
        </is>
      </c>
      <c r="I4194" t="inlineStr">
        <is>
          <t>curated</t>
        </is>
      </c>
      <c r="J4194">
        <v>0.55</v>
      </c>
      <c r="K4194"/>
    </row>
    <row r="4195">
      <c r="A4195" t="inlineStr">
        <is>
          <t>CAR_MANNITOL</t>
        </is>
      </c>
      <c r="B4195" t="inlineStr">
        <is>
          <t>inhalation_suitability</t>
        </is>
      </c>
      <c r="C4195" t="inlineStr">
        <is>
          <t>yes</t>
        </is>
      </c>
      <c r="D4195"/>
      <c r="E4195"/>
      <c r="F4195"/>
      <c r="G4195"/>
      <c r="H4195" t="inlineStr">
        <is>
          <t>S014_AULTON</t>
        </is>
      </c>
      <c r="I4195" t="inlineStr">
        <is>
          <t>curated</t>
        </is>
      </c>
      <c r="J4195">
        <v>0.55</v>
      </c>
      <c r="K4195"/>
    </row>
    <row r="4196">
      <c r="A4196" t="inlineStr">
        <is>
          <t>CAR_MANNITOL</t>
        </is>
      </c>
      <c r="B4196" t="inlineStr">
        <is>
          <t>route_suitability</t>
        </is>
      </c>
      <c r="C4196" t="inlineStr">
        <is>
          <t>dry carrier/cryoprotectant; route-grade dependent</t>
        </is>
      </c>
      <c r="D4196"/>
      <c r="E4196"/>
      <c r="F4196"/>
      <c r="G4196"/>
      <c r="H4196" t="inlineStr">
        <is>
          <t>S008_FDA_IID</t>
        </is>
      </c>
      <c r="I4196" t="inlineStr">
        <is>
          <t>curated</t>
        </is>
      </c>
      <c r="J4196">
        <v>0.55</v>
      </c>
      <c r="K4196"/>
    </row>
    <row r="4197">
      <c r="A4197" t="inlineStr">
        <is>
          <t>CAR_MANNITOL</t>
        </is>
      </c>
      <c r="B4197" t="inlineStr">
        <is>
          <t>safety_notes</t>
        </is>
      </c>
      <c r="C4197" t="inlineStr">
        <is>
          <t>common inhalation/lyophilization bulking carrier</t>
        </is>
      </c>
      <c r="D4197"/>
      <c r="E4197"/>
      <c r="F4197"/>
      <c r="G4197"/>
      <c r="H4197" t="inlineStr">
        <is>
          <t>S007_EXCIPIENTS_HANDBOOK</t>
        </is>
      </c>
      <c r="I4197" t="inlineStr">
        <is>
          <t>curated</t>
        </is>
      </c>
      <c r="J4197">
        <v>0.65</v>
      </c>
      <c r="K4197"/>
    </row>
    <row r="4198">
      <c r="A4198" t="inlineStr">
        <is>
          <t>CAR_MANNITOL</t>
        </is>
      </c>
      <c r="B4198" t="inlineStr">
        <is>
          <t>melting_point_C</t>
        </is>
      </c>
      <c r="C4198">
        <v>166</v>
      </c>
      <c r="D4198" t="inlineStr">
        <is>
          <t>°C</t>
        </is>
      </c>
      <c r="E4198"/>
      <c r="F4198"/>
      <c r="G4198" t="inlineStr">
        <is>
          <t>grade-dependent</t>
        </is>
      </c>
      <c r="H4198" t="inlineStr">
        <is>
          <t>S007_EXCIPIENTS_HANDBOOK</t>
        </is>
      </c>
      <c r="I4198" t="inlineStr">
        <is>
          <t>handbook</t>
        </is>
      </c>
      <c r="J4198">
        <v>0.48</v>
      </c>
      <c r="K4198"/>
    </row>
    <row r="4199">
      <c r="A4199" t="inlineStr">
        <is>
          <t>CAR_MANNITOL</t>
        </is>
      </c>
      <c r="B4199" t="inlineStr">
        <is>
          <t>bulk_density</t>
        </is>
      </c>
      <c r="C4199">
        <v>0.45</v>
      </c>
      <c r="D4199" t="inlineStr">
        <is>
          <t>g/mL</t>
        </is>
      </c>
      <c r="E4199"/>
      <c r="F4199"/>
      <c r="G4199" t="inlineStr">
        <is>
          <t>grade-dependent</t>
        </is>
      </c>
      <c r="H4199" t="inlineStr">
        <is>
          <t>S007_EXCIPIENTS_HANDBOOK</t>
        </is>
      </c>
      <c r="I4199" t="inlineStr">
        <is>
          <t>handbook</t>
        </is>
      </c>
      <c r="J4199">
        <v>0.48</v>
      </c>
      <c r="K4199"/>
    </row>
    <row r="4200">
      <c r="A4200" t="inlineStr">
        <is>
          <t>CAR_MANNITOL</t>
        </is>
      </c>
      <c r="B4200" t="inlineStr">
        <is>
          <t>tapped_density</t>
        </is>
      </c>
      <c r="C4200">
        <v>0.65</v>
      </c>
      <c r="D4200" t="inlineStr">
        <is>
          <t>g/mL</t>
        </is>
      </c>
      <c r="E4200"/>
      <c r="F4200"/>
      <c r="G4200" t="inlineStr">
        <is>
          <t>grade-dependent</t>
        </is>
      </c>
      <c r="H4200" t="inlineStr">
        <is>
          <t>S007_EXCIPIENTS_HANDBOOK</t>
        </is>
      </c>
      <c r="I4200" t="inlineStr">
        <is>
          <t>handbook</t>
        </is>
      </c>
      <c r="J4200">
        <v>0.48</v>
      </c>
      <c r="K4200"/>
    </row>
    <row r="4201">
      <c r="A4201" t="inlineStr">
        <is>
          <t>CAR_MANNITOL</t>
        </is>
      </c>
      <c r="B4201" t="inlineStr">
        <is>
          <t>particle_size_grade</t>
        </is>
      </c>
      <c r="C4201" t="inlineStr">
        <is>
          <t>spray-dried/inhalation grades</t>
        </is>
      </c>
      <c r="D4201"/>
      <c r="E4201"/>
      <c r="F4201"/>
      <c r="G4201" t="inlineStr">
        <is>
          <t>grade-dependent</t>
        </is>
      </c>
      <c r="H4201" t="inlineStr">
        <is>
          <t>S007_EXCIPIENTS_HANDBOOK</t>
        </is>
      </c>
      <c r="I4201" t="inlineStr">
        <is>
          <t>supplier-reported</t>
        </is>
      </c>
      <c r="J4201">
        <v>0.48</v>
      </c>
      <c r="K4201"/>
    </row>
    <row r="4202">
      <c r="A4202" t="inlineStr">
        <is>
          <t>CAR_TREHALOSE</t>
        </is>
      </c>
      <c r="B4202" t="inlineStr">
        <is>
          <t>molecular_weight_g_mol</t>
        </is>
      </c>
      <c r="C4202">
        <v>342.3</v>
      </c>
      <c r="D4202" t="inlineStr">
        <is>
          <t>g/mol</t>
        </is>
      </c>
      <c r="E4202"/>
      <c r="F4202"/>
      <c r="G4202"/>
      <c r="H4202" t="inlineStr">
        <is>
          <t>S001_PUBCHEM</t>
        </is>
      </c>
      <c r="I4202" t="inlineStr">
        <is>
          <t>database-derived</t>
        </is>
      </c>
      <c r="J4202">
        <v>0.78</v>
      </c>
      <c r="K4202"/>
    </row>
    <row r="4203">
      <c r="A4203" t="inlineStr">
        <is>
          <t>CAR_TREHALOSE</t>
        </is>
      </c>
      <c r="B4203" t="inlineStr">
        <is>
          <t>carrier_type</t>
        </is>
      </c>
      <c r="C4203" t="inlineStr">
        <is>
          <t>disaccharide cryoprotectant</t>
        </is>
      </c>
      <c r="D4203"/>
      <c r="E4203"/>
      <c r="F4203"/>
      <c r="G4203"/>
      <c r="H4203" t="inlineStr">
        <is>
          <t>S007_EXCIPIENTS_HANDBOOK</t>
        </is>
      </c>
      <c r="I4203" t="inlineStr">
        <is>
          <t>curated</t>
        </is>
      </c>
      <c r="J4203">
        <v>0.75</v>
      </c>
      <c r="K4203"/>
    </row>
    <row r="4204">
      <c r="A4204" t="inlineStr">
        <is>
          <t>CAR_TREHALOSE</t>
        </is>
      </c>
      <c r="B4204" t="inlineStr">
        <is>
          <t>water_solubility</t>
        </is>
      </c>
      <c r="C4204" t="inlineStr">
        <is>
          <t>high</t>
        </is>
      </c>
      <c r="D4204"/>
      <c r="E4204"/>
      <c r="F4204"/>
      <c r="G4204"/>
      <c r="H4204" t="inlineStr">
        <is>
          <t>S007_EXCIPIENTS_HANDBOOK</t>
        </is>
      </c>
      <c r="I4204" t="inlineStr">
        <is>
          <t>handbook</t>
        </is>
      </c>
      <c r="J4204">
        <v>0.65</v>
      </c>
      <c r="K4204"/>
    </row>
    <row r="4205">
      <c r="A4205" t="inlineStr">
        <is>
          <t>CAR_TREHALOSE</t>
        </is>
      </c>
      <c r="B4205" t="inlineStr">
        <is>
          <t>hygroscopicity</t>
        </is>
      </c>
      <c r="C4205" t="inlineStr">
        <is>
          <t>low</t>
        </is>
      </c>
      <c r="D4205"/>
      <c r="E4205"/>
      <c r="F4205"/>
      <c r="G4205"/>
      <c r="H4205" t="inlineStr">
        <is>
          <t>S007_EXCIPIENTS_HANDBOOK</t>
        </is>
      </c>
      <c r="I4205" t="inlineStr">
        <is>
          <t>handbook</t>
        </is>
      </c>
      <c r="J4205">
        <v>0.55</v>
      </c>
      <c r="K4205"/>
    </row>
    <row r="4206">
      <c r="A4206" t="inlineStr">
        <is>
          <t>CAR_TREHALOSE</t>
        </is>
      </c>
      <c r="B4206" t="inlineStr">
        <is>
          <t>cryoprotection_score</t>
        </is>
      </c>
      <c r="C4206">
        <v>5</v>
      </c>
      <c r="D4206" t="inlineStr">
        <is>
          <t>0-5</t>
        </is>
      </c>
      <c r="E4206"/>
      <c r="F4206"/>
      <c r="G4206" t="inlineStr">
        <is>
          <t>formulation heuristic</t>
        </is>
      </c>
      <c r="H4206" t="inlineStr">
        <is>
          <t>S014_AULTON</t>
        </is>
      </c>
      <c r="I4206" t="inlineStr">
        <is>
          <t>estimated</t>
        </is>
      </c>
      <c r="J4206">
        <v>0.45</v>
      </c>
      <c r="K4206"/>
    </row>
    <row r="4207">
      <c r="A4207" t="inlineStr">
        <is>
          <t>CAR_TREHALOSE</t>
        </is>
      </c>
      <c r="B4207" t="inlineStr">
        <is>
          <t>proniosome_suitability_score</t>
        </is>
      </c>
      <c r="C4207">
        <v>3</v>
      </c>
      <c r="D4207" t="inlineStr">
        <is>
          <t>0-5</t>
        </is>
      </c>
      <c r="E4207"/>
      <c r="F4207"/>
      <c r="G4207" t="inlineStr">
        <is>
          <t>carrier loading/hydration heuristic</t>
        </is>
      </c>
      <c r="H4207" t="inlineStr">
        <is>
          <t>S014_AULTON</t>
        </is>
      </c>
      <c r="I4207" t="inlineStr">
        <is>
          <t>estimated</t>
        </is>
      </c>
      <c r="J4207">
        <v>0.45</v>
      </c>
      <c r="K4207"/>
    </row>
    <row r="4208">
      <c r="A4208" t="inlineStr">
        <is>
          <t>CAR_TREHALOSE</t>
        </is>
      </c>
      <c r="B4208" t="inlineStr">
        <is>
          <t>spray_drying_suitability</t>
        </is>
      </c>
      <c r="C4208" t="inlineStr">
        <is>
          <t>yes</t>
        </is>
      </c>
      <c r="D4208"/>
      <c r="E4208"/>
      <c r="F4208"/>
      <c r="G4208"/>
      <c r="H4208" t="inlineStr">
        <is>
          <t>S014_AULTON</t>
        </is>
      </c>
      <c r="I4208" t="inlineStr">
        <is>
          <t>curated</t>
        </is>
      </c>
      <c r="J4208">
        <v>0.55</v>
      </c>
      <c r="K4208"/>
    </row>
    <row r="4209">
      <c r="A4209" t="inlineStr">
        <is>
          <t>CAR_TREHALOSE</t>
        </is>
      </c>
      <c r="B4209" t="inlineStr">
        <is>
          <t>inhalation_suitability</t>
        </is>
      </c>
      <c r="C4209" t="inlineStr">
        <is>
          <t>conditional</t>
        </is>
      </c>
      <c r="D4209"/>
      <c r="E4209"/>
      <c r="F4209"/>
      <c r="G4209"/>
      <c r="H4209" t="inlineStr">
        <is>
          <t>S014_AULTON</t>
        </is>
      </c>
      <c r="I4209" t="inlineStr">
        <is>
          <t>curated</t>
        </is>
      </c>
      <c r="J4209">
        <v>0.55</v>
      </c>
      <c r="K4209"/>
    </row>
    <row r="4210">
      <c r="A4210" t="inlineStr">
        <is>
          <t>CAR_TREHALOSE</t>
        </is>
      </c>
      <c r="B4210" t="inlineStr">
        <is>
          <t>route_suitability</t>
        </is>
      </c>
      <c r="C4210" t="inlineStr">
        <is>
          <t>dry carrier/cryoprotectant; route-grade dependent</t>
        </is>
      </c>
      <c r="D4210"/>
      <c r="E4210"/>
      <c r="F4210"/>
      <c r="G4210"/>
      <c r="H4210" t="inlineStr">
        <is>
          <t>S008_FDA_IID</t>
        </is>
      </c>
      <c r="I4210" t="inlineStr">
        <is>
          <t>curated</t>
        </is>
      </c>
      <c r="J4210">
        <v>0.55</v>
      </c>
      <c r="K4210"/>
    </row>
    <row r="4211">
      <c r="A4211" t="inlineStr">
        <is>
          <t>CAR_TREHALOSE</t>
        </is>
      </c>
      <c r="B4211" t="inlineStr">
        <is>
          <t>safety_notes</t>
        </is>
      </c>
      <c r="C4211" t="inlineStr">
        <is>
          <t>excellent liposome/LNP cryoprotectant</t>
        </is>
      </c>
      <c r="D4211"/>
      <c r="E4211"/>
      <c r="F4211"/>
      <c r="G4211"/>
      <c r="H4211" t="inlineStr">
        <is>
          <t>S007_EXCIPIENTS_HANDBOOK</t>
        </is>
      </c>
      <c r="I4211" t="inlineStr">
        <is>
          <t>curated</t>
        </is>
      </c>
      <c r="J4211">
        <v>0.65</v>
      </c>
      <c r="K4211"/>
    </row>
    <row r="4212">
      <c r="A4212" t="inlineStr">
        <is>
          <t>CAR_TREHALOSE</t>
        </is>
      </c>
      <c r="B4212" t="inlineStr">
        <is>
          <t>glass_transition_temperature_C</t>
        </is>
      </c>
      <c r="C4212">
        <v>115</v>
      </c>
      <c r="D4212" t="inlineStr">
        <is>
          <t>°C</t>
        </is>
      </c>
      <c r="E4212"/>
      <c r="F4212"/>
      <c r="G4212" t="inlineStr">
        <is>
          <t>grade-dependent</t>
        </is>
      </c>
      <c r="H4212" t="inlineStr">
        <is>
          <t>S007_EXCIPIENTS_HANDBOOK</t>
        </is>
      </c>
      <c r="I4212" t="inlineStr">
        <is>
          <t>handbook</t>
        </is>
      </c>
      <c r="J4212">
        <v>0.48</v>
      </c>
      <c r="K4212"/>
    </row>
    <row r="4213">
      <c r="A4213" t="inlineStr">
        <is>
          <t>CAR_TREHALOSE</t>
        </is>
      </c>
      <c r="B4213" t="inlineStr">
        <is>
          <t>melting_point_C</t>
        </is>
      </c>
      <c r="C4213">
        <v>203</v>
      </c>
      <c r="D4213" t="inlineStr">
        <is>
          <t>°C</t>
        </is>
      </c>
      <c r="E4213"/>
      <c r="F4213"/>
      <c r="G4213" t="inlineStr">
        <is>
          <t>grade-dependent</t>
        </is>
      </c>
      <c r="H4213" t="inlineStr">
        <is>
          <t>S007_EXCIPIENTS_HANDBOOK</t>
        </is>
      </c>
      <c r="I4213" t="inlineStr">
        <is>
          <t>handbook</t>
        </is>
      </c>
      <c r="J4213">
        <v>0.48</v>
      </c>
      <c r="K4213"/>
    </row>
    <row r="4214">
      <c r="A4214" t="inlineStr">
        <is>
          <t>CAR_TREHALOSE</t>
        </is>
      </c>
      <c r="B4214" t="inlineStr">
        <is>
          <t>bulk_density</t>
        </is>
      </c>
      <c r="C4214">
        <v>0.55</v>
      </c>
      <c r="D4214" t="inlineStr">
        <is>
          <t>g/mL</t>
        </is>
      </c>
      <c r="E4214"/>
      <c r="F4214"/>
      <c r="G4214" t="inlineStr">
        <is>
          <t>grade-dependent</t>
        </is>
      </c>
      <c r="H4214" t="inlineStr">
        <is>
          <t>S007_EXCIPIENTS_HANDBOOK</t>
        </is>
      </c>
      <c r="I4214" t="inlineStr">
        <is>
          <t>handbook</t>
        </is>
      </c>
      <c r="J4214">
        <v>0.48</v>
      </c>
      <c r="K4214"/>
    </row>
    <row r="4215">
      <c r="A4215" t="inlineStr">
        <is>
          <t>CAR_TREHALOSE</t>
        </is>
      </c>
      <c r="B4215" t="inlineStr">
        <is>
          <t>tapped_density</t>
        </is>
      </c>
      <c r="C4215">
        <v>0.75</v>
      </c>
      <c r="D4215" t="inlineStr">
        <is>
          <t>g/mL</t>
        </is>
      </c>
      <c r="E4215"/>
      <c r="F4215"/>
      <c r="G4215" t="inlineStr">
        <is>
          <t>grade-dependent</t>
        </is>
      </c>
      <c r="H4215" t="inlineStr">
        <is>
          <t>S007_EXCIPIENTS_HANDBOOK</t>
        </is>
      </c>
      <c r="I4215" t="inlineStr">
        <is>
          <t>handbook</t>
        </is>
      </c>
      <c r="J4215">
        <v>0.48</v>
      </c>
      <c r="K4215"/>
    </row>
    <row r="4216">
      <c r="A4216" t="inlineStr">
        <is>
          <t>CAR_SUCROSE</t>
        </is>
      </c>
      <c r="B4216" t="inlineStr">
        <is>
          <t>molecular_weight_g_mol</t>
        </is>
      </c>
      <c r="C4216">
        <v>342.3</v>
      </c>
      <c r="D4216" t="inlineStr">
        <is>
          <t>g/mol</t>
        </is>
      </c>
      <c r="E4216"/>
      <c r="F4216"/>
      <c r="G4216"/>
      <c r="H4216" t="inlineStr">
        <is>
          <t>S001_PUBCHEM</t>
        </is>
      </c>
      <c r="I4216" t="inlineStr">
        <is>
          <t>database-derived</t>
        </is>
      </c>
      <c r="J4216">
        <v>0.78</v>
      </c>
      <c r="K4216"/>
    </row>
    <row r="4217">
      <c r="A4217" t="inlineStr">
        <is>
          <t>CAR_SUCROSE</t>
        </is>
      </c>
      <c r="B4217" t="inlineStr">
        <is>
          <t>carrier_type</t>
        </is>
      </c>
      <c r="C4217" t="inlineStr">
        <is>
          <t>disaccharide cryoprotectant</t>
        </is>
      </c>
      <c r="D4217"/>
      <c r="E4217"/>
      <c r="F4217"/>
      <c r="G4217"/>
      <c r="H4217" t="inlineStr">
        <is>
          <t>S007_EXCIPIENTS_HANDBOOK</t>
        </is>
      </c>
      <c r="I4217" t="inlineStr">
        <is>
          <t>curated</t>
        </is>
      </c>
      <c r="J4217">
        <v>0.75</v>
      </c>
      <c r="K4217"/>
    </row>
    <row r="4218">
      <c r="A4218" t="inlineStr">
        <is>
          <t>CAR_SUCROSE</t>
        </is>
      </c>
      <c r="B4218" t="inlineStr">
        <is>
          <t>water_solubility</t>
        </is>
      </c>
      <c r="C4218" t="inlineStr">
        <is>
          <t>high</t>
        </is>
      </c>
      <c r="D4218"/>
      <c r="E4218"/>
      <c r="F4218"/>
      <c r="G4218"/>
      <c r="H4218" t="inlineStr">
        <is>
          <t>S007_EXCIPIENTS_HANDBOOK</t>
        </is>
      </c>
      <c r="I4218" t="inlineStr">
        <is>
          <t>handbook</t>
        </is>
      </c>
      <c r="J4218">
        <v>0.65</v>
      </c>
      <c r="K4218"/>
    </row>
    <row r="4219">
      <c r="A4219" t="inlineStr">
        <is>
          <t>CAR_SUCROSE</t>
        </is>
      </c>
      <c r="B4219" t="inlineStr">
        <is>
          <t>hygroscopicity</t>
        </is>
      </c>
      <c r="C4219" t="inlineStr">
        <is>
          <t>moderate</t>
        </is>
      </c>
      <c r="D4219"/>
      <c r="E4219"/>
      <c r="F4219"/>
      <c r="G4219"/>
      <c r="H4219" t="inlineStr">
        <is>
          <t>S007_EXCIPIENTS_HANDBOOK</t>
        </is>
      </c>
      <c r="I4219" t="inlineStr">
        <is>
          <t>handbook</t>
        </is>
      </c>
      <c r="J4219">
        <v>0.55</v>
      </c>
      <c r="K4219"/>
    </row>
    <row r="4220">
      <c r="A4220" t="inlineStr">
        <is>
          <t>CAR_SUCROSE</t>
        </is>
      </c>
      <c r="B4220" t="inlineStr">
        <is>
          <t>cryoprotection_score</t>
        </is>
      </c>
      <c r="C4220">
        <v>5</v>
      </c>
      <c r="D4220" t="inlineStr">
        <is>
          <t>0-5</t>
        </is>
      </c>
      <c r="E4220"/>
      <c r="F4220"/>
      <c r="G4220" t="inlineStr">
        <is>
          <t>formulation heuristic</t>
        </is>
      </c>
      <c r="H4220" t="inlineStr">
        <is>
          <t>S014_AULTON</t>
        </is>
      </c>
      <c r="I4220" t="inlineStr">
        <is>
          <t>estimated</t>
        </is>
      </c>
      <c r="J4220">
        <v>0.45</v>
      </c>
      <c r="K4220"/>
    </row>
    <row r="4221">
      <c r="A4221" t="inlineStr">
        <is>
          <t>CAR_SUCROSE</t>
        </is>
      </c>
      <c r="B4221" t="inlineStr">
        <is>
          <t>proniosome_suitability_score</t>
        </is>
      </c>
      <c r="C4221">
        <v>3</v>
      </c>
      <c r="D4221" t="inlineStr">
        <is>
          <t>0-5</t>
        </is>
      </c>
      <c r="E4221"/>
      <c r="F4221"/>
      <c r="G4221" t="inlineStr">
        <is>
          <t>carrier loading/hydration heuristic</t>
        </is>
      </c>
      <c r="H4221" t="inlineStr">
        <is>
          <t>S014_AULTON</t>
        </is>
      </c>
      <c r="I4221" t="inlineStr">
        <is>
          <t>estimated</t>
        </is>
      </c>
      <c r="J4221">
        <v>0.45</v>
      </c>
      <c r="K4221"/>
    </row>
    <row r="4222">
      <c r="A4222" t="inlineStr">
        <is>
          <t>CAR_SUCROSE</t>
        </is>
      </c>
      <c r="B4222" t="inlineStr">
        <is>
          <t>spray_drying_suitability</t>
        </is>
      </c>
      <c r="C4222" t="inlineStr">
        <is>
          <t>yes</t>
        </is>
      </c>
      <c r="D4222"/>
      <c r="E4222"/>
      <c r="F4222"/>
      <c r="G4222"/>
      <c r="H4222" t="inlineStr">
        <is>
          <t>S014_AULTON</t>
        </is>
      </c>
      <c r="I4222" t="inlineStr">
        <is>
          <t>curated</t>
        </is>
      </c>
      <c r="J4222">
        <v>0.55</v>
      </c>
      <c r="K4222"/>
    </row>
    <row r="4223">
      <c r="A4223" t="inlineStr">
        <is>
          <t>CAR_SUCROSE</t>
        </is>
      </c>
      <c r="B4223" t="inlineStr">
        <is>
          <t>inhalation_suitability</t>
        </is>
      </c>
      <c r="C4223" t="inlineStr">
        <is>
          <t>conditional</t>
        </is>
      </c>
      <c r="D4223"/>
      <c r="E4223"/>
      <c r="F4223"/>
      <c r="G4223"/>
      <c r="H4223" t="inlineStr">
        <is>
          <t>S014_AULTON</t>
        </is>
      </c>
      <c r="I4223" t="inlineStr">
        <is>
          <t>curated</t>
        </is>
      </c>
      <c r="J4223">
        <v>0.55</v>
      </c>
      <c r="K4223"/>
    </row>
    <row r="4224">
      <c r="A4224" t="inlineStr">
        <is>
          <t>CAR_SUCROSE</t>
        </is>
      </c>
      <c r="B4224" t="inlineStr">
        <is>
          <t>route_suitability</t>
        </is>
      </c>
      <c r="C4224" t="inlineStr">
        <is>
          <t>dry carrier/cryoprotectant; route-grade dependent</t>
        </is>
      </c>
      <c r="D4224"/>
      <c r="E4224"/>
      <c r="F4224"/>
      <c r="G4224"/>
      <c r="H4224" t="inlineStr">
        <is>
          <t>S008_FDA_IID</t>
        </is>
      </c>
      <c r="I4224" t="inlineStr">
        <is>
          <t>curated</t>
        </is>
      </c>
      <c r="J4224">
        <v>0.55</v>
      </c>
      <c r="K4224"/>
    </row>
    <row r="4225">
      <c r="A4225" t="inlineStr">
        <is>
          <t>CAR_SUCROSE</t>
        </is>
      </c>
      <c r="B4225" t="inlineStr">
        <is>
          <t>safety_notes</t>
        </is>
      </c>
      <c r="C4225" t="inlineStr">
        <is>
          <t>excellent cryoprotectant; hygroscopicity consideration</t>
        </is>
      </c>
      <c r="D4225"/>
      <c r="E4225"/>
      <c r="F4225"/>
      <c r="G4225"/>
      <c r="H4225" t="inlineStr">
        <is>
          <t>S007_EXCIPIENTS_HANDBOOK</t>
        </is>
      </c>
      <c r="I4225" t="inlineStr">
        <is>
          <t>curated</t>
        </is>
      </c>
      <c r="J4225">
        <v>0.65</v>
      </c>
      <c r="K4225"/>
    </row>
    <row r="4226">
      <c r="A4226" t="inlineStr">
        <is>
          <t>CAR_SUCROSE</t>
        </is>
      </c>
      <c r="B4226" t="inlineStr">
        <is>
          <t>glass_transition_temperature_C</t>
        </is>
      </c>
      <c r="C4226">
        <v>62</v>
      </c>
      <c r="D4226" t="inlineStr">
        <is>
          <t>°C</t>
        </is>
      </c>
      <c r="E4226"/>
      <c r="F4226"/>
      <c r="G4226" t="inlineStr">
        <is>
          <t>grade-dependent</t>
        </is>
      </c>
      <c r="H4226" t="inlineStr">
        <is>
          <t>S007_EXCIPIENTS_HANDBOOK</t>
        </is>
      </c>
      <c r="I4226" t="inlineStr">
        <is>
          <t>handbook</t>
        </is>
      </c>
      <c r="J4226">
        <v>0.48</v>
      </c>
      <c r="K4226"/>
    </row>
    <row r="4227">
      <c r="A4227" t="inlineStr">
        <is>
          <t>CAR_SUCROSE</t>
        </is>
      </c>
      <c r="B4227" t="inlineStr">
        <is>
          <t>melting_point_C</t>
        </is>
      </c>
      <c r="C4227">
        <v>186</v>
      </c>
      <c r="D4227" t="inlineStr">
        <is>
          <t>°C</t>
        </is>
      </c>
      <c r="E4227"/>
      <c r="F4227"/>
      <c r="G4227" t="inlineStr">
        <is>
          <t>grade-dependent</t>
        </is>
      </c>
      <c r="H4227" t="inlineStr">
        <is>
          <t>S007_EXCIPIENTS_HANDBOOK</t>
        </is>
      </c>
      <c r="I4227" t="inlineStr">
        <is>
          <t>handbook</t>
        </is>
      </c>
      <c r="J4227">
        <v>0.48</v>
      </c>
      <c r="K4227"/>
    </row>
    <row r="4228">
      <c r="A4228" t="inlineStr">
        <is>
          <t>CAR_SUCROSE</t>
        </is>
      </c>
      <c r="B4228" t="inlineStr">
        <is>
          <t>bulk_density</t>
        </is>
      </c>
      <c r="C4228">
        <v>0.6</v>
      </c>
      <c r="D4228" t="inlineStr">
        <is>
          <t>g/mL</t>
        </is>
      </c>
      <c r="E4228"/>
      <c r="F4228"/>
      <c r="G4228" t="inlineStr">
        <is>
          <t>grade-dependent</t>
        </is>
      </c>
      <c r="H4228" t="inlineStr">
        <is>
          <t>S007_EXCIPIENTS_HANDBOOK</t>
        </is>
      </c>
      <c r="I4228" t="inlineStr">
        <is>
          <t>handbook</t>
        </is>
      </c>
      <c r="J4228">
        <v>0.48</v>
      </c>
      <c r="K4228"/>
    </row>
    <row r="4229">
      <c r="A4229" t="inlineStr">
        <is>
          <t>CAR_SUCROSE</t>
        </is>
      </c>
      <c r="B4229" t="inlineStr">
        <is>
          <t>tapped_density</t>
        </is>
      </c>
      <c r="C4229">
        <v>0.8</v>
      </c>
      <c r="D4229" t="inlineStr">
        <is>
          <t>g/mL</t>
        </is>
      </c>
      <c r="E4229"/>
      <c r="F4229"/>
      <c r="G4229" t="inlineStr">
        <is>
          <t>grade-dependent</t>
        </is>
      </c>
      <c r="H4229" t="inlineStr">
        <is>
          <t>S007_EXCIPIENTS_HANDBOOK</t>
        </is>
      </c>
      <c r="I4229" t="inlineStr">
        <is>
          <t>handbook</t>
        </is>
      </c>
      <c r="J4229">
        <v>0.48</v>
      </c>
      <c r="K4229"/>
    </row>
    <row r="4230">
      <c r="A4230" t="inlineStr">
        <is>
          <t>CAR_LACTOSE</t>
        </is>
      </c>
      <c r="B4230" t="inlineStr">
        <is>
          <t>molecular_weight_g_mol</t>
        </is>
      </c>
      <c r="C4230">
        <v>342.3</v>
      </c>
      <c r="D4230" t="inlineStr">
        <is>
          <t>g/mol</t>
        </is>
      </c>
      <c r="E4230"/>
      <c r="F4230"/>
      <c r="G4230"/>
      <c r="H4230" t="inlineStr">
        <is>
          <t>S001_PUBCHEM</t>
        </is>
      </c>
      <c r="I4230" t="inlineStr">
        <is>
          <t>database-derived</t>
        </is>
      </c>
      <c r="J4230">
        <v>0.78</v>
      </c>
      <c r="K4230"/>
    </row>
    <row r="4231">
      <c r="A4231" t="inlineStr">
        <is>
          <t>CAR_LACTOSE</t>
        </is>
      </c>
      <c r="B4231" t="inlineStr">
        <is>
          <t>carrier_type</t>
        </is>
      </c>
      <c r="C4231" t="inlineStr">
        <is>
          <t>disaccharide carrier</t>
        </is>
      </c>
      <c r="D4231"/>
      <c r="E4231"/>
      <c r="F4231"/>
      <c r="G4231"/>
      <c r="H4231" t="inlineStr">
        <is>
          <t>S007_EXCIPIENTS_HANDBOOK</t>
        </is>
      </c>
      <c r="I4231" t="inlineStr">
        <is>
          <t>curated</t>
        </is>
      </c>
      <c r="J4231">
        <v>0.75</v>
      </c>
      <c r="K4231"/>
    </row>
    <row r="4232">
      <c r="A4232" t="inlineStr">
        <is>
          <t>CAR_LACTOSE</t>
        </is>
      </c>
      <c r="B4232" t="inlineStr">
        <is>
          <t>water_solubility</t>
        </is>
      </c>
      <c r="C4232" t="inlineStr">
        <is>
          <t>moderate</t>
        </is>
      </c>
      <c r="D4232"/>
      <c r="E4232"/>
      <c r="F4232"/>
      <c r="G4232"/>
      <c r="H4232" t="inlineStr">
        <is>
          <t>S007_EXCIPIENTS_HANDBOOK</t>
        </is>
      </c>
      <c r="I4232" t="inlineStr">
        <is>
          <t>handbook</t>
        </is>
      </c>
      <c r="J4232">
        <v>0.65</v>
      </c>
      <c r="K4232"/>
    </row>
    <row r="4233">
      <c r="A4233" t="inlineStr">
        <is>
          <t>CAR_LACTOSE</t>
        </is>
      </c>
      <c r="B4233" t="inlineStr">
        <is>
          <t>hygroscopicity</t>
        </is>
      </c>
      <c r="C4233" t="inlineStr">
        <is>
          <t>low</t>
        </is>
      </c>
      <c r="D4233"/>
      <c r="E4233"/>
      <c r="F4233"/>
      <c r="G4233"/>
      <c r="H4233" t="inlineStr">
        <is>
          <t>S007_EXCIPIENTS_HANDBOOK</t>
        </is>
      </c>
      <c r="I4233" t="inlineStr">
        <is>
          <t>handbook</t>
        </is>
      </c>
      <c r="J4233">
        <v>0.55</v>
      </c>
      <c r="K4233"/>
    </row>
    <row r="4234">
      <c r="A4234" t="inlineStr">
        <is>
          <t>CAR_LACTOSE</t>
        </is>
      </c>
      <c r="B4234" t="inlineStr">
        <is>
          <t>cryoprotection_score</t>
        </is>
      </c>
      <c r="C4234">
        <v>2</v>
      </c>
      <c r="D4234" t="inlineStr">
        <is>
          <t>0-5</t>
        </is>
      </c>
      <c r="E4234"/>
      <c r="F4234"/>
      <c r="G4234" t="inlineStr">
        <is>
          <t>formulation heuristic</t>
        </is>
      </c>
      <c r="H4234" t="inlineStr">
        <is>
          <t>S014_AULTON</t>
        </is>
      </c>
      <c r="I4234" t="inlineStr">
        <is>
          <t>estimated</t>
        </is>
      </c>
      <c r="J4234">
        <v>0.45</v>
      </c>
      <c r="K4234"/>
    </row>
    <row r="4235">
      <c r="A4235" t="inlineStr">
        <is>
          <t>CAR_LACTOSE</t>
        </is>
      </c>
      <c r="B4235" t="inlineStr">
        <is>
          <t>proniosome_suitability_score</t>
        </is>
      </c>
      <c r="C4235">
        <v>3</v>
      </c>
      <c r="D4235" t="inlineStr">
        <is>
          <t>0-5</t>
        </is>
      </c>
      <c r="E4235"/>
      <c r="F4235"/>
      <c r="G4235" t="inlineStr">
        <is>
          <t>carrier loading/hydration heuristic</t>
        </is>
      </c>
      <c r="H4235" t="inlineStr">
        <is>
          <t>S014_AULTON</t>
        </is>
      </c>
      <c r="I4235" t="inlineStr">
        <is>
          <t>estimated</t>
        </is>
      </c>
      <c r="J4235">
        <v>0.45</v>
      </c>
      <c r="K4235"/>
    </row>
    <row r="4236">
      <c r="A4236" t="inlineStr">
        <is>
          <t>CAR_LACTOSE</t>
        </is>
      </c>
      <c r="B4236" t="inlineStr">
        <is>
          <t>spray_drying_suitability</t>
        </is>
      </c>
      <c r="C4236" t="inlineStr">
        <is>
          <t>yes</t>
        </is>
      </c>
      <c r="D4236"/>
      <c r="E4236"/>
      <c r="F4236"/>
      <c r="G4236"/>
      <c r="H4236" t="inlineStr">
        <is>
          <t>S014_AULTON</t>
        </is>
      </c>
      <c r="I4236" t="inlineStr">
        <is>
          <t>curated</t>
        </is>
      </c>
      <c r="J4236">
        <v>0.55</v>
      </c>
      <c r="K4236"/>
    </row>
    <row r="4237">
      <c r="A4237" t="inlineStr">
        <is>
          <t>CAR_LACTOSE</t>
        </is>
      </c>
      <c r="B4237" t="inlineStr">
        <is>
          <t>inhalation_suitability</t>
        </is>
      </c>
      <c r="C4237" t="inlineStr">
        <is>
          <t>yes</t>
        </is>
      </c>
      <c r="D4237"/>
      <c r="E4237"/>
      <c r="F4237"/>
      <c r="G4237"/>
      <c r="H4237" t="inlineStr">
        <is>
          <t>S014_AULTON</t>
        </is>
      </c>
      <c r="I4237" t="inlineStr">
        <is>
          <t>curated</t>
        </is>
      </c>
      <c r="J4237">
        <v>0.55</v>
      </c>
      <c r="K4237"/>
    </row>
    <row r="4238">
      <c r="A4238" t="inlineStr">
        <is>
          <t>CAR_LACTOSE</t>
        </is>
      </c>
      <c r="B4238" t="inlineStr">
        <is>
          <t>route_suitability</t>
        </is>
      </c>
      <c r="C4238" t="inlineStr">
        <is>
          <t>dry carrier/cryoprotectant; route-grade dependent</t>
        </is>
      </c>
      <c r="D4238"/>
      <c r="E4238"/>
      <c r="F4238"/>
      <c r="G4238"/>
      <c r="H4238" t="inlineStr">
        <is>
          <t>S008_FDA_IID</t>
        </is>
      </c>
      <c r="I4238" t="inlineStr">
        <is>
          <t>curated</t>
        </is>
      </c>
      <c r="J4238">
        <v>0.55</v>
      </c>
      <c r="K4238"/>
    </row>
    <row r="4239">
      <c r="A4239" t="inlineStr">
        <is>
          <t>CAR_LACTOSE</t>
        </is>
      </c>
      <c r="B4239" t="inlineStr">
        <is>
          <t>safety_notes</t>
        </is>
      </c>
      <c r="C4239" t="inlineStr">
        <is>
          <t>inhalation carrier; reducing sugar compatibility risk</t>
        </is>
      </c>
      <c r="D4239"/>
      <c r="E4239"/>
      <c r="F4239"/>
      <c r="G4239"/>
      <c r="H4239" t="inlineStr">
        <is>
          <t>S007_EXCIPIENTS_HANDBOOK</t>
        </is>
      </c>
      <c r="I4239" t="inlineStr">
        <is>
          <t>curated</t>
        </is>
      </c>
      <c r="J4239">
        <v>0.65</v>
      </c>
      <c r="K4239"/>
    </row>
    <row r="4240">
      <c r="A4240" t="inlineStr">
        <is>
          <t>CAR_LACTOSE</t>
        </is>
      </c>
      <c r="B4240" t="inlineStr">
        <is>
          <t>melting_point_C</t>
        </is>
      </c>
      <c r="C4240">
        <v>202</v>
      </c>
      <c r="D4240" t="inlineStr">
        <is>
          <t>°C</t>
        </is>
      </c>
      <c r="E4240"/>
      <c r="F4240"/>
      <c r="G4240" t="inlineStr">
        <is>
          <t>grade-dependent</t>
        </is>
      </c>
      <c r="H4240" t="inlineStr">
        <is>
          <t>S007_EXCIPIENTS_HANDBOOK</t>
        </is>
      </c>
      <c r="I4240" t="inlineStr">
        <is>
          <t>handbook</t>
        </is>
      </c>
      <c r="J4240">
        <v>0.48</v>
      </c>
      <c r="K4240"/>
    </row>
    <row r="4241">
      <c r="A4241" t="inlineStr">
        <is>
          <t>CAR_LACTOSE</t>
        </is>
      </c>
      <c r="B4241" t="inlineStr">
        <is>
          <t>bulk_density</t>
        </is>
      </c>
      <c r="C4241">
        <v>0.55</v>
      </c>
      <c r="D4241" t="inlineStr">
        <is>
          <t>g/mL</t>
        </is>
      </c>
      <c r="E4241"/>
      <c r="F4241"/>
      <c r="G4241" t="inlineStr">
        <is>
          <t>grade-dependent</t>
        </is>
      </c>
      <c r="H4241" t="inlineStr">
        <is>
          <t>S007_EXCIPIENTS_HANDBOOK</t>
        </is>
      </c>
      <c r="I4241" t="inlineStr">
        <is>
          <t>handbook</t>
        </is>
      </c>
      <c r="J4241">
        <v>0.48</v>
      </c>
      <c r="K4241"/>
    </row>
    <row r="4242">
      <c r="A4242" t="inlineStr">
        <is>
          <t>CAR_LACTOSE</t>
        </is>
      </c>
      <c r="B4242" t="inlineStr">
        <is>
          <t>tapped_density</t>
        </is>
      </c>
      <c r="C4242">
        <v>0.75</v>
      </c>
      <c r="D4242" t="inlineStr">
        <is>
          <t>g/mL</t>
        </is>
      </c>
      <c r="E4242"/>
      <c r="F4242"/>
      <c r="G4242" t="inlineStr">
        <is>
          <t>grade-dependent</t>
        </is>
      </c>
      <c r="H4242" t="inlineStr">
        <is>
          <t>S007_EXCIPIENTS_HANDBOOK</t>
        </is>
      </c>
      <c r="I4242" t="inlineStr">
        <is>
          <t>handbook</t>
        </is>
      </c>
      <c r="J4242">
        <v>0.48</v>
      </c>
      <c r="K4242"/>
    </row>
    <row r="4243">
      <c r="A4243" t="inlineStr">
        <is>
          <t>CAR_LACTOSE</t>
        </is>
      </c>
      <c r="B4243" t="inlineStr">
        <is>
          <t>particle_size_grade</t>
        </is>
      </c>
      <c r="C4243" t="inlineStr">
        <is>
          <t>inhalation carrier grades</t>
        </is>
      </c>
      <c r="D4243"/>
      <c r="E4243"/>
      <c r="F4243"/>
      <c r="G4243" t="inlineStr">
        <is>
          <t>grade-dependent</t>
        </is>
      </c>
      <c r="H4243" t="inlineStr">
        <is>
          <t>S007_EXCIPIENTS_HANDBOOK</t>
        </is>
      </c>
      <c r="I4243" t="inlineStr">
        <is>
          <t>supplier-reported</t>
        </is>
      </c>
      <c r="J4243">
        <v>0.48</v>
      </c>
      <c r="K4243"/>
    </row>
    <row r="4244">
      <c r="A4244" t="inlineStr">
        <is>
          <t>CAR_GLUCOSE</t>
        </is>
      </c>
      <c r="B4244" t="inlineStr">
        <is>
          <t>molecular_weight_g_mol</t>
        </is>
      </c>
      <c r="C4244">
        <v>180.16</v>
      </c>
      <c r="D4244" t="inlineStr">
        <is>
          <t>g/mol</t>
        </is>
      </c>
      <c r="E4244"/>
      <c r="F4244"/>
      <c r="G4244"/>
      <c r="H4244" t="inlineStr">
        <is>
          <t>S001_PUBCHEM</t>
        </is>
      </c>
      <c r="I4244" t="inlineStr">
        <is>
          <t>database-derived</t>
        </is>
      </c>
      <c r="J4244">
        <v>0.78</v>
      </c>
      <c r="K4244"/>
    </row>
    <row r="4245">
      <c r="A4245" t="inlineStr">
        <is>
          <t>CAR_GLUCOSE</t>
        </is>
      </c>
      <c r="B4245" t="inlineStr">
        <is>
          <t>carrier_type</t>
        </is>
      </c>
      <c r="C4245" t="inlineStr">
        <is>
          <t>monosaccharide</t>
        </is>
      </c>
      <c r="D4245"/>
      <c r="E4245"/>
      <c r="F4245"/>
      <c r="G4245"/>
      <c r="H4245" t="inlineStr">
        <is>
          <t>S007_EXCIPIENTS_HANDBOOK</t>
        </is>
      </c>
      <c r="I4245" t="inlineStr">
        <is>
          <t>curated</t>
        </is>
      </c>
      <c r="J4245">
        <v>0.75</v>
      </c>
      <c r="K4245"/>
    </row>
    <row r="4246">
      <c r="A4246" t="inlineStr">
        <is>
          <t>CAR_GLUCOSE</t>
        </is>
      </c>
      <c r="B4246" t="inlineStr">
        <is>
          <t>water_solubility</t>
        </is>
      </c>
      <c r="C4246" t="inlineStr">
        <is>
          <t>high</t>
        </is>
      </c>
      <c r="D4246"/>
      <c r="E4246"/>
      <c r="F4246"/>
      <c r="G4246"/>
      <c r="H4246" t="inlineStr">
        <is>
          <t>S007_EXCIPIENTS_HANDBOOK</t>
        </is>
      </c>
      <c r="I4246" t="inlineStr">
        <is>
          <t>handbook</t>
        </is>
      </c>
      <c r="J4246">
        <v>0.65</v>
      </c>
      <c r="K4246"/>
    </row>
    <row r="4247">
      <c r="A4247" t="inlineStr">
        <is>
          <t>CAR_GLUCOSE</t>
        </is>
      </c>
      <c r="B4247" t="inlineStr">
        <is>
          <t>hygroscopicity</t>
        </is>
      </c>
      <c r="C4247" t="inlineStr">
        <is>
          <t>moderate</t>
        </is>
      </c>
      <c r="D4247"/>
      <c r="E4247"/>
      <c r="F4247"/>
      <c r="G4247"/>
      <c r="H4247" t="inlineStr">
        <is>
          <t>S007_EXCIPIENTS_HANDBOOK</t>
        </is>
      </c>
      <c r="I4247" t="inlineStr">
        <is>
          <t>handbook</t>
        </is>
      </c>
      <c r="J4247">
        <v>0.55</v>
      </c>
      <c r="K4247"/>
    </row>
    <row r="4248">
      <c r="A4248" t="inlineStr">
        <is>
          <t>CAR_GLUCOSE</t>
        </is>
      </c>
      <c r="B4248" t="inlineStr">
        <is>
          <t>cryoprotection_score</t>
        </is>
      </c>
      <c r="C4248">
        <v>2</v>
      </c>
      <c r="D4248" t="inlineStr">
        <is>
          <t>0-5</t>
        </is>
      </c>
      <c r="E4248"/>
      <c r="F4248"/>
      <c r="G4248" t="inlineStr">
        <is>
          <t>formulation heuristic</t>
        </is>
      </c>
      <c r="H4248" t="inlineStr">
        <is>
          <t>S014_AULTON</t>
        </is>
      </c>
      <c r="I4248" t="inlineStr">
        <is>
          <t>estimated</t>
        </is>
      </c>
      <c r="J4248">
        <v>0.45</v>
      </c>
      <c r="K4248"/>
    </row>
    <row r="4249">
      <c r="A4249" t="inlineStr">
        <is>
          <t>CAR_GLUCOSE</t>
        </is>
      </c>
      <c r="B4249" t="inlineStr">
        <is>
          <t>proniosome_suitability_score</t>
        </is>
      </c>
      <c r="C4249">
        <v>2</v>
      </c>
      <c r="D4249" t="inlineStr">
        <is>
          <t>0-5</t>
        </is>
      </c>
      <c r="E4249"/>
      <c r="F4249"/>
      <c r="G4249" t="inlineStr">
        <is>
          <t>carrier loading/hydration heuristic</t>
        </is>
      </c>
      <c r="H4249" t="inlineStr">
        <is>
          <t>S014_AULTON</t>
        </is>
      </c>
      <c r="I4249" t="inlineStr">
        <is>
          <t>estimated</t>
        </is>
      </c>
      <c r="J4249">
        <v>0.45</v>
      </c>
      <c r="K4249"/>
    </row>
    <row r="4250">
      <c r="A4250" t="inlineStr">
        <is>
          <t>CAR_GLUCOSE</t>
        </is>
      </c>
      <c r="B4250" t="inlineStr">
        <is>
          <t>spray_drying_suitability</t>
        </is>
      </c>
      <c r="C4250" t="inlineStr">
        <is>
          <t>conditional</t>
        </is>
      </c>
      <c r="D4250"/>
      <c r="E4250"/>
      <c r="F4250"/>
      <c r="G4250"/>
      <c r="H4250" t="inlineStr">
        <is>
          <t>S014_AULTON</t>
        </is>
      </c>
      <c r="I4250" t="inlineStr">
        <is>
          <t>curated</t>
        </is>
      </c>
      <c r="J4250">
        <v>0.55</v>
      </c>
      <c r="K4250"/>
    </row>
    <row r="4251">
      <c r="A4251" t="inlineStr">
        <is>
          <t>CAR_GLUCOSE</t>
        </is>
      </c>
      <c r="B4251" t="inlineStr">
        <is>
          <t>inhalation_suitability</t>
        </is>
      </c>
      <c r="C4251" t="inlineStr">
        <is>
          <t>no</t>
        </is>
      </c>
      <c r="D4251"/>
      <c r="E4251"/>
      <c r="F4251"/>
      <c r="G4251"/>
      <c r="H4251" t="inlineStr">
        <is>
          <t>S014_AULTON</t>
        </is>
      </c>
      <c r="I4251" t="inlineStr">
        <is>
          <t>curated</t>
        </is>
      </c>
      <c r="J4251">
        <v>0.55</v>
      </c>
      <c r="K4251"/>
    </row>
    <row r="4252">
      <c r="A4252" t="inlineStr">
        <is>
          <t>CAR_GLUCOSE</t>
        </is>
      </c>
      <c r="B4252" t="inlineStr">
        <is>
          <t>route_suitability</t>
        </is>
      </c>
      <c r="C4252" t="inlineStr">
        <is>
          <t>dry carrier/cryoprotectant; route-grade dependent</t>
        </is>
      </c>
      <c r="D4252"/>
      <c r="E4252"/>
      <c r="F4252"/>
      <c r="G4252"/>
      <c r="H4252" t="inlineStr">
        <is>
          <t>S008_FDA_IID</t>
        </is>
      </c>
      <c r="I4252" t="inlineStr">
        <is>
          <t>curated</t>
        </is>
      </c>
      <c r="J4252">
        <v>0.55</v>
      </c>
      <c r="K4252"/>
    </row>
    <row r="4253">
      <c r="A4253" t="inlineStr">
        <is>
          <t>CAR_GLUCOSE</t>
        </is>
      </c>
      <c r="B4253" t="inlineStr">
        <is>
          <t>safety_notes</t>
        </is>
      </c>
      <c r="C4253" t="inlineStr">
        <is>
          <t>reducing sugar; Maillard risk</t>
        </is>
      </c>
      <c r="D4253"/>
      <c r="E4253"/>
      <c r="F4253"/>
      <c r="G4253"/>
      <c r="H4253" t="inlineStr">
        <is>
          <t>S007_EXCIPIENTS_HANDBOOK</t>
        </is>
      </c>
      <c r="I4253" t="inlineStr">
        <is>
          <t>curated</t>
        </is>
      </c>
      <c r="J4253">
        <v>0.65</v>
      </c>
      <c r="K4253"/>
    </row>
    <row r="4254">
      <c r="A4254" t="inlineStr">
        <is>
          <t>CAR_GLUCOSE</t>
        </is>
      </c>
      <c r="B4254" t="inlineStr">
        <is>
          <t>melting_point_C</t>
        </is>
      </c>
      <c r="C4254">
        <v>146</v>
      </c>
      <c r="D4254" t="inlineStr">
        <is>
          <t>°C</t>
        </is>
      </c>
      <c r="E4254"/>
      <c r="F4254"/>
      <c r="G4254" t="inlineStr">
        <is>
          <t>grade-dependent</t>
        </is>
      </c>
      <c r="H4254" t="inlineStr">
        <is>
          <t>S007_EXCIPIENTS_HANDBOOK</t>
        </is>
      </c>
      <c r="I4254" t="inlineStr">
        <is>
          <t>handbook</t>
        </is>
      </c>
      <c r="J4254">
        <v>0.48</v>
      </c>
      <c r="K4254"/>
    </row>
    <row r="4255">
      <c r="A4255" t="inlineStr">
        <is>
          <t>CAR_GLUCOSE</t>
        </is>
      </c>
      <c r="B4255" t="inlineStr">
        <is>
          <t>bulk_density</t>
        </is>
      </c>
      <c r="C4255">
        <v>0.6</v>
      </c>
      <c r="D4255" t="inlineStr">
        <is>
          <t>g/mL</t>
        </is>
      </c>
      <c r="E4255"/>
      <c r="F4255"/>
      <c r="G4255" t="inlineStr">
        <is>
          <t>grade-dependent</t>
        </is>
      </c>
      <c r="H4255" t="inlineStr">
        <is>
          <t>S007_EXCIPIENTS_HANDBOOK</t>
        </is>
      </c>
      <c r="I4255" t="inlineStr">
        <is>
          <t>handbook</t>
        </is>
      </c>
      <c r="J4255">
        <v>0.48</v>
      </c>
      <c r="K4255"/>
    </row>
    <row r="4256">
      <c r="A4256" t="inlineStr">
        <is>
          <t>CAR_GLUCOSE</t>
        </is>
      </c>
      <c r="B4256" t="inlineStr">
        <is>
          <t>tapped_density</t>
        </is>
      </c>
      <c r="C4256">
        <v>0.8</v>
      </c>
      <c r="D4256" t="inlineStr">
        <is>
          <t>g/mL</t>
        </is>
      </c>
      <c r="E4256"/>
      <c r="F4256"/>
      <c r="G4256" t="inlineStr">
        <is>
          <t>grade-dependent</t>
        </is>
      </c>
      <c r="H4256" t="inlineStr">
        <is>
          <t>S007_EXCIPIENTS_HANDBOOK</t>
        </is>
      </c>
      <c r="I4256" t="inlineStr">
        <is>
          <t>handbook</t>
        </is>
      </c>
      <c r="J4256">
        <v>0.48</v>
      </c>
      <c r="K4256"/>
    </row>
    <row r="4257">
      <c r="A4257" t="inlineStr">
        <is>
          <t>CAR_SORBITOL</t>
        </is>
      </c>
      <c r="B4257" t="inlineStr">
        <is>
          <t>molecular_weight_g_mol</t>
        </is>
      </c>
      <c r="C4257">
        <v>182.17</v>
      </c>
      <c r="D4257" t="inlineStr">
        <is>
          <t>g/mol</t>
        </is>
      </c>
      <c r="E4257"/>
      <c r="F4257"/>
      <c r="G4257"/>
      <c r="H4257" t="inlineStr">
        <is>
          <t>S001_PUBCHEM</t>
        </is>
      </c>
      <c r="I4257" t="inlineStr">
        <is>
          <t>database-derived</t>
        </is>
      </c>
      <c r="J4257">
        <v>0.78</v>
      </c>
      <c r="K4257"/>
    </row>
    <row r="4258">
      <c r="A4258" t="inlineStr">
        <is>
          <t>CAR_SORBITOL</t>
        </is>
      </c>
      <c r="B4258" t="inlineStr">
        <is>
          <t>carrier_type</t>
        </is>
      </c>
      <c r="C4258" t="inlineStr">
        <is>
          <t>sugar alcohol</t>
        </is>
      </c>
      <c r="D4258"/>
      <c r="E4258"/>
      <c r="F4258"/>
      <c r="G4258"/>
      <c r="H4258" t="inlineStr">
        <is>
          <t>S007_EXCIPIENTS_HANDBOOK</t>
        </is>
      </c>
      <c r="I4258" t="inlineStr">
        <is>
          <t>curated</t>
        </is>
      </c>
      <c r="J4258">
        <v>0.75</v>
      </c>
      <c r="K4258"/>
    </row>
    <row r="4259">
      <c r="A4259" t="inlineStr">
        <is>
          <t>CAR_SORBITOL</t>
        </is>
      </c>
      <c r="B4259" t="inlineStr">
        <is>
          <t>water_solubility</t>
        </is>
      </c>
      <c r="C4259" t="inlineStr">
        <is>
          <t>high</t>
        </is>
      </c>
      <c r="D4259"/>
      <c r="E4259"/>
      <c r="F4259"/>
      <c r="G4259"/>
      <c r="H4259" t="inlineStr">
        <is>
          <t>S007_EXCIPIENTS_HANDBOOK</t>
        </is>
      </c>
      <c r="I4259" t="inlineStr">
        <is>
          <t>handbook</t>
        </is>
      </c>
      <c r="J4259">
        <v>0.65</v>
      </c>
      <c r="K4259"/>
    </row>
    <row r="4260">
      <c r="A4260" t="inlineStr">
        <is>
          <t>CAR_SORBITOL</t>
        </is>
      </c>
      <c r="B4260" t="inlineStr">
        <is>
          <t>hygroscopicity</t>
        </is>
      </c>
      <c r="C4260" t="inlineStr">
        <is>
          <t>moderate</t>
        </is>
      </c>
      <c r="D4260"/>
      <c r="E4260"/>
      <c r="F4260"/>
      <c r="G4260"/>
      <c r="H4260" t="inlineStr">
        <is>
          <t>S007_EXCIPIENTS_HANDBOOK</t>
        </is>
      </c>
      <c r="I4260" t="inlineStr">
        <is>
          <t>handbook</t>
        </is>
      </c>
      <c r="J4260">
        <v>0.55</v>
      </c>
      <c r="K4260"/>
    </row>
    <row r="4261">
      <c r="A4261" t="inlineStr">
        <is>
          <t>CAR_SORBITOL</t>
        </is>
      </c>
      <c r="B4261" t="inlineStr">
        <is>
          <t>cryoprotection_score</t>
        </is>
      </c>
      <c r="C4261">
        <v>3</v>
      </c>
      <c r="D4261" t="inlineStr">
        <is>
          <t>0-5</t>
        </is>
      </c>
      <c r="E4261"/>
      <c r="F4261"/>
      <c r="G4261" t="inlineStr">
        <is>
          <t>formulation heuristic</t>
        </is>
      </c>
      <c r="H4261" t="inlineStr">
        <is>
          <t>S014_AULTON</t>
        </is>
      </c>
      <c r="I4261" t="inlineStr">
        <is>
          <t>estimated</t>
        </is>
      </c>
      <c r="J4261">
        <v>0.45</v>
      </c>
      <c r="K4261"/>
    </row>
    <row r="4262">
      <c r="A4262" t="inlineStr">
        <is>
          <t>CAR_SORBITOL</t>
        </is>
      </c>
      <c r="B4262" t="inlineStr">
        <is>
          <t>proniosome_suitability_score</t>
        </is>
      </c>
      <c r="C4262">
        <v>2</v>
      </c>
      <c r="D4262" t="inlineStr">
        <is>
          <t>0-5</t>
        </is>
      </c>
      <c r="E4262"/>
      <c r="F4262"/>
      <c r="G4262" t="inlineStr">
        <is>
          <t>carrier loading/hydration heuristic</t>
        </is>
      </c>
      <c r="H4262" t="inlineStr">
        <is>
          <t>S014_AULTON</t>
        </is>
      </c>
      <c r="I4262" t="inlineStr">
        <is>
          <t>estimated</t>
        </is>
      </c>
      <c r="J4262">
        <v>0.45</v>
      </c>
      <c r="K4262"/>
    </row>
    <row r="4263">
      <c r="A4263" t="inlineStr">
        <is>
          <t>CAR_SORBITOL</t>
        </is>
      </c>
      <c r="B4263" t="inlineStr">
        <is>
          <t>spray_drying_suitability</t>
        </is>
      </c>
      <c r="C4263" t="inlineStr">
        <is>
          <t>conditional</t>
        </is>
      </c>
      <c r="D4263"/>
      <c r="E4263"/>
      <c r="F4263"/>
      <c r="G4263"/>
      <c r="H4263" t="inlineStr">
        <is>
          <t>S014_AULTON</t>
        </is>
      </c>
      <c r="I4263" t="inlineStr">
        <is>
          <t>curated</t>
        </is>
      </c>
      <c r="J4263">
        <v>0.55</v>
      </c>
      <c r="K4263"/>
    </row>
    <row r="4264">
      <c r="A4264" t="inlineStr">
        <is>
          <t>CAR_SORBITOL</t>
        </is>
      </c>
      <c r="B4264" t="inlineStr">
        <is>
          <t>inhalation_suitability</t>
        </is>
      </c>
      <c r="C4264" t="inlineStr">
        <is>
          <t>no</t>
        </is>
      </c>
      <c r="D4264"/>
      <c r="E4264"/>
      <c r="F4264"/>
      <c r="G4264"/>
      <c r="H4264" t="inlineStr">
        <is>
          <t>S014_AULTON</t>
        </is>
      </c>
      <c r="I4264" t="inlineStr">
        <is>
          <t>curated</t>
        </is>
      </c>
      <c r="J4264">
        <v>0.55</v>
      </c>
      <c r="K4264"/>
    </row>
    <row r="4265">
      <c r="A4265" t="inlineStr">
        <is>
          <t>CAR_SORBITOL</t>
        </is>
      </c>
      <c r="B4265" t="inlineStr">
        <is>
          <t>route_suitability</t>
        </is>
      </c>
      <c r="C4265" t="inlineStr">
        <is>
          <t>dry carrier/cryoprotectant; route-grade dependent</t>
        </is>
      </c>
      <c r="D4265"/>
      <c r="E4265"/>
      <c r="F4265"/>
      <c r="G4265"/>
      <c r="H4265" t="inlineStr">
        <is>
          <t>S008_FDA_IID</t>
        </is>
      </c>
      <c r="I4265" t="inlineStr">
        <is>
          <t>curated</t>
        </is>
      </c>
      <c r="J4265">
        <v>0.55</v>
      </c>
      <c r="K4265"/>
    </row>
    <row r="4266">
      <c r="A4266" t="inlineStr">
        <is>
          <t>CAR_SORBITOL</t>
        </is>
      </c>
      <c r="B4266" t="inlineStr">
        <is>
          <t>safety_notes</t>
        </is>
      </c>
      <c r="C4266" t="inlineStr">
        <is>
          <t>plasticizer/hygroscopic</t>
        </is>
      </c>
      <c r="D4266"/>
      <c r="E4266"/>
      <c r="F4266"/>
      <c r="G4266"/>
      <c r="H4266" t="inlineStr">
        <is>
          <t>S007_EXCIPIENTS_HANDBOOK</t>
        </is>
      </c>
      <c r="I4266" t="inlineStr">
        <is>
          <t>curated</t>
        </is>
      </c>
      <c r="J4266">
        <v>0.65</v>
      </c>
      <c r="K4266"/>
    </row>
    <row r="4267">
      <c r="A4267" t="inlineStr">
        <is>
          <t>CAR_SORBITOL</t>
        </is>
      </c>
      <c r="B4267" t="inlineStr">
        <is>
          <t>melting_point_C</t>
        </is>
      </c>
      <c r="C4267">
        <v>95</v>
      </c>
      <c r="D4267" t="inlineStr">
        <is>
          <t>°C</t>
        </is>
      </c>
      <c r="E4267"/>
      <c r="F4267"/>
      <c r="G4267" t="inlineStr">
        <is>
          <t>grade-dependent</t>
        </is>
      </c>
      <c r="H4267" t="inlineStr">
        <is>
          <t>S007_EXCIPIENTS_HANDBOOK</t>
        </is>
      </c>
      <c r="I4267" t="inlineStr">
        <is>
          <t>handbook</t>
        </is>
      </c>
      <c r="J4267">
        <v>0.48</v>
      </c>
      <c r="K4267"/>
    </row>
    <row r="4268">
      <c r="A4268" t="inlineStr">
        <is>
          <t>CAR_SORBITOL</t>
        </is>
      </c>
      <c r="B4268" t="inlineStr">
        <is>
          <t>bulk_density</t>
        </is>
      </c>
      <c r="C4268">
        <v>0.55</v>
      </c>
      <c r="D4268" t="inlineStr">
        <is>
          <t>g/mL</t>
        </is>
      </c>
      <c r="E4268"/>
      <c r="F4268"/>
      <c r="G4268" t="inlineStr">
        <is>
          <t>grade-dependent</t>
        </is>
      </c>
      <c r="H4268" t="inlineStr">
        <is>
          <t>S007_EXCIPIENTS_HANDBOOK</t>
        </is>
      </c>
      <c r="I4268" t="inlineStr">
        <is>
          <t>handbook</t>
        </is>
      </c>
      <c r="J4268">
        <v>0.48</v>
      </c>
      <c r="K4268"/>
    </row>
    <row r="4269">
      <c r="A4269" t="inlineStr">
        <is>
          <t>CAR_SORBITOL</t>
        </is>
      </c>
      <c r="B4269" t="inlineStr">
        <is>
          <t>tapped_density</t>
        </is>
      </c>
      <c r="C4269">
        <v>0.75</v>
      </c>
      <c r="D4269" t="inlineStr">
        <is>
          <t>g/mL</t>
        </is>
      </c>
      <c r="E4269"/>
      <c r="F4269"/>
      <c r="G4269" t="inlineStr">
        <is>
          <t>grade-dependent</t>
        </is>
      </c>
      <c r="H4269" t="inlineStr">
        <is>
          <t>S007_EXCIPIENTS_HANDBOOK</t>
        </is>
      </c>
      <c r="I4269" t="inlineStr">
        <is>
          <t>handbook</t>
        </is>
      </c>
      <c r="J4269">
        <v>0.48</v>
      </c>
      <c r="K4269"/>
    </row>
    <row r="4270">
      <c r="A4270" t="inlineStr">
        <is>
          <t>CAR_XYLITOL</t>
        </is>
      </c>
      <c r="B4270" t="inlineStr">
        <is>
          <t>molecular_weight_g_mol</t>
        </is>
      </c>
      <c r="C4270">
        <v>152.15</v>
      </c>
      <c r="D4270" t="inlineStr">
        <is>
          <t>g/mol</t>
        </is>
      </c>
      <c r="E4270"/>
      <c r="F4270"/>
      <c r="G4270"/>
      <c r="H4270" t="inlineStr">
        <is>
          <t>S001_PUBCHEM</t>
        </is>
      </c>
      <c r="I4270" t="inlineStr">
        <is>
          <t>database-derived</t>
        </is>
      </c>
      <c r="J4270">
        <v>0.78</v>
      </c>
      <c r="K4270"/>
    </row>
    <row r="4271">
      <c r="A4271" t="inlineStr">
        <is>
          <t>CAR_XYLITOL</t>
        </is>
      </c>
      <c r="B4271" t="inlineStr">
        <is>
          <t>carrier_type</t>
        </is>
      </c>
      <c r="C4271" t="inlineStr">
        <is>
          <t>sugar alcohol</t>
        </is>
      </c>
      <c r="D4271"/>
      <c r="E4271"/>
      <c r="F4271"/>
      <c r="G4271"/>
      <c r="H4271" t="inlineStr">
        <is>
          <t>S007_EXCIPIENTS_HANDBOOK</t>
        </is>
      </c>
      <c r="I4271" t="inlineStr">
        <is>
          <t>curated</t>
        </is>
      </c>
      <c r="J4271">
        <v>0.75</v>
      </c>
      <c r="K4271"/>
    </row>
    <row r="4272">
      <c r="A4272" t="inlineStr">
        <is>
          <t>CAR_XYLITOL</t>
        </is>
      </c>
      <c r="B4272" t="inlineStr">
        <is>
          <t>water_solubility</t>
        </is>
      </c>
      <c r="C4272" t="inlineStr">
        <is>
          <t>high</t>
        </is>
      </c>
      <c r="D4272"/>
      <c r="E4272"/>
      <c r="F4272"/>
      <c r="G4272"/>
      <c r="H4272" t="inlineStr">
        <is>
          <t>S007_EXCIPIENTS_HANDBOOK</t>
        </is>
      </c>
      <c r="I4272" t="inlineStr">
        <is>
          <t>handbook</t>
        </is>
      </c>
      <c r="J4272">
        <v>0.65</v>
      </c>
      <c r="K4272"/>
    </row>
    <row r="4273">
      <c r="A4273" t="inlineStr">
        <is>
          <t>CAR_XYLITOL</t>
        </is>
      </c>
      <c r="B4273" t="inlineStr">
        <is>
          <t>hygroscopicity</t>
        </is>
      </c>
      <c r="C4273" t="inlineStr">
        <is>
          <t>low</t>
        </is>
      </c>
      <c r="D4273"/>
      <c r="E4273"/>
      <c r="F4273"/>
      <c r="G4273"/>
      <c r="H4273" t="inlineStr">
        <is>
          <t>S007_EXCIPIENTS_HANDBOOK</t>
        </is>
      </c>
      <c r="I4273" t="inlineStr">
        <is>
          <t>handbook</t>
        </is>
      </c>
      <c r="J4273">
        <v>0.55</v>
      </c>
      <c r="K4273"/>
    </row>
    <row r="4274">
      <c r="A4274" t="inlineStr">
        <is>
          <t>CAR_XYLITOL</t>
        </is>
      </c>
      <c r="B4274" t="inlineStr">
        <is>
          <t>cryoprotection_score</t>
        </is>
      </c>
      <c r="C4274">
        <v>2</v>
      </c>
      <c r="D4274" t="inlineStr">
        <is>
          <t>0-5</t>
        </is>
      </c>
      <c r="E4274"/>
      <c r="F4274"/>
      <c r="G4274" t="inlineStr">
        <is>
          <t>formulation heuristic</t>
        </is>
      </c>
      <c r="H4274" t="inlineStr">
        <is>
          <t>S014_AULTON</t>
        </is>
      </c>
      <c r="I4274" t="inlineStr">
        <is>
          <t>estimated</t>
        </is>
      </c>
      <c r="J4274">
        <v>0.45</v>
      </c>
      <c r="K4274"/>
    </row>
    <row r="4275">
      <c r="A4275" t="inlineStr">
        <is>
          <t>CAR_XYLITOL</t>
        </is>
      </c>
      <c r="B4275" t="inlineStr">
        <is>
          <t>proniosome_suitability_score</t>
        </is>
      </c>
      <c r="C4275">
        <v>2</v>
      </c>
      <c r="D4275" t="inlineStr">
        <is>
          <t>0-5</t>
        </is>
      </c>
      <c r="E4275"/>
      <c r="F4275"/>
      <c r="G4275" t="inlineStr">
        <is>
          <t>carrier loading/hydration heuristic</t>
        </is>
      </c>
      <c r="H4275" t="inlineStr">
        <is>
          <t>S014_AULTON</t>
        </is>
      </c>
      <c r="I4275" t="inlineStr">
        <is>
          <t>estimated</t>
        </is>
      </c>
      <c r="J4275">
        <v>0.45</v>
      </c>
      <c r="K4275"/>
    </row>
    <row r="4276">
      <c r="A4276" t="inlineStr">
        <is>
          <t>CAR_XYLITOL</t>
        </is>
      </c>
      <c r="B4276" t="inlineStr">
        <is>
          <t>spray_drying_suitability</t>
        </is>
      </c>
      <c r="C4276" t="inlineStr">
        <is>
          <t>conditional</t>
        </is>
      </c>
      <c r="D4276"/>
      <c r="E4276"/>
      <c r="F4276"/>
      <c r="G4276"/>
      <c r="H4276" t="inlineStr">
        <is>
          <t>S014_AULTON</t>
        </is>
      </c>
      <c r="I4276" t="inlineStr">
        <is>
          <t>curated</t>
        </is>
      </c>
      <c r="J4276">
        <v>0.55</v>
      </c>
      <c r="K4276"/>
    </row>
    <row r="4277">
      <c r="A4277" t="inlineStr">
        <is>
          <t>CAR_XYLITOL</t>
        </is>
      </c>
      <c r="B4277" t="inlineStr">
        <is>
          <t>inhalation_suitability</t>
        </is>
      </c>
      <c r="C4277" t="inlineStr">
        <is>
          <t>no</t>
        </is>
      </c>
      <c r="D4277"/>
      <c r="E4277"/>
      <c r="F4277"/>
      <c r="G4277"/>
      <c r="H4277" t="inlineStr">
        <is>
          <t>S014_AULTON</t>
        </is>
      </c>
      <c r="I4277" t="inlineStr">
        <is>
          <t>curated</t>
        </is>
      </c>
      <c r="J4277">
        <v>0.55</v>
      </c>
      <c r="K4277"/>
    </row>
    <row r="4278">
      <c r="A4278" t="inlineStr">
        <is>
          <t>CAR_XYLITOL</t>
        </is>
      </c>
      <c r="B4278" t="inlineStr">
        <is>
          <t>route_suitability</t>
        </is>
      </c>
      <c r="C4278" t="inlineStr">
        <is>
          <t>dry carrier/cryoprotectant; route-grade dependent</t>
        </is>
      </c>
      <c r="D4278"/>
      <c r="E4278"/>
      <c r="F4278"/>
      <c r="G4278"/>
      <c r="H4278" t="inlineStr">
        <is>
          <t>S008_FDA_IID</t>
        </is>
      </c>
      <c r="I4278" t="inlineStr">
        <is>
          <t>curated</t>
        </is>
      </c>
      <c r="J4278">
        <v>0.55</v>
      </c>
      <c r="K4278"/>
    </row>
    <row r="4279">
      <c r="A4279" t="inlineStr">
        <is>
          <t>CAR_XYLITOL</t>
        </is>
      </c>
      <c r="B4279" t="inlineStr">
        <is>
          <t>safety_notes</t>
        </is>
      </c>
      <c r="C4279" t="inlineStr">
        <is>
          <t>sugar alcohol carrier</t>
        </is>
      </c>
      <c r="D4279"/>
      <c r="E4279"/>
      <c r="F4279"/>
      <c r="G4279"/>
      <c r="H4279" t="inlineStr">
        <is>
          <t>S007_EXCIPIENTS_HANDBOOK</t>
        </is>
      </c>
      <c r="I4279" t="inlineStr">
        <is>
          <t>curated</t>
        </is>
      </c>
      <c r="J4279">
        <v>0.65</v>
      </c>
      <c r="K4279"/>
    </row>
    <row r="4280">
      <c r="A4280" t="inlineStr">
        <is>
          <t>CAR_XYLITOL</t>
        </is>
      </c>
      <c r="B4280" t="inlineStr">
        <is>
          <t>melting_point_C</t>
        </is>
      </c>
      <c r="C4280">
        <v>94</v>
      </c>
      <c r="D4280" t="inlineStr">
        <is>
          <t>°C</t>
        </is>
      </c>
      <c r="E4280"/>
      <c r="F4280"/>
      <c r="G4280" t="inlineStr">
        <is>
          <t>grade-dependent</t>
        </is>
      </c>
      <c r="H4280" t="inlineStr">
        <is>
          <t>S007_EXCIPIENTS_HANDBOOK</t>
        </is>
      </c>
      <c r="I4280" t="inlineStr">
        <is>
          <t>handbook</t>
        </is>
      </c>
      <c r="J4280">
        <v>0.48</v>
      </c>
      <c r="K4280"/>
    </row>
    <row r="4281">
      <c r="A4281" t="inlineStr">
        <is>
          <t>CAR_XYLITOL</t>
        </is>
      </c>
      <c r="B4281" t="inlineStr">
        <is>
          <t>bulk_density</t>
        </is>
      </c>
      <c r="C4281">
        <v>0.55</v>
      </c>
      <c r="D4281" t="inlineStr">
        <is>
          <t>g/mL</t>
        </is>
      </c>
      <c r="E4281"/>
      <c r="F4281"/>
      <c r="G4281" t="inlineStr">
        <is>
          <t>grade-dependent</t>
        </is>
      </c>
      <c r="H4281" t="inlineStr">
        <is>
          <t>S007_EXCIPIENTS_HANDBOOK</t>
        </is>
      </c>
      <c r="I4281" t="inlineStr">
        <is>
          <t>handbook</t>
        </is>
      </c>
      <c r="J4281">
        <v>0.48</v>
      </c>
      <c r="K4281"/>
    </row>
    <row r="4282">
      <c r="A4282" t="inlineStr">
        <is>
          <t>CAR_XYLITOL</t>
        </is>
      </c>
      <c r="B4282" t="inlineStr">
        <is>
          <t>tapped_density</t>
        </is>
      </c>
      <c r="C4282">
        <v>0.75</v>
      </c>
      <c r="D4282" t="inlineStr">
        <is>
          <t>g/mL</t>
        </is>
      </c>
      <c r="E4282"/>
      <c r="F4282"/>
      <c r="G4282" t="inlineStr">
        <is>
          <t>grade-dependent</t>
        </is>
      </c>
      <c r="H4282" t="inlineStr">
        <is>
          <t>S007_EXCIPIENTS_HANDBOOK</t>
        </is>
      </c>
      <c r="I4282" t="inlineStr">
        <is>
          <t>handbook</t>
        </is>
      </c>
      <c r="J4282">
        <v>0.48</v>
      </c>
      <c r="K4282"/>
    </row>
    <row r="4283">
      <c r="A4283" t="inlineStr">
        <is>
          <t>CAR_CYCLODEXTRIN</t>
        </is>
      </c>
      <c r="B4283" t="inlineStr">
        <is>
          <t>carrier_type</t>
        </is>
      </c>
      <c r="C4283" t="inlineStr">
        <is>
          <t>cyclodextrin family</t>
        </is>
      </c>
      <c r="D4283"/>
      <c r="E4283"/>
      <c r="F4283"/>
      <c r="G4283"/>
      <c r="H4283" t="inlineStr">
        <is>
          <t>S007_EXCIPIENTS_HANDBOOK</t>
        </is>
      </c>
      <c r="I4283" t="inlineStr">
        <is>
          <t>curated</t>
        </is>
      </c>
      <c r="J4283">
        <v>0.75</v>
      </c>
      <c r="K4283"/>
    </row>
    <row r="4284">
      <c r="A4284" t="inlineStr">
        <is>
          <t>CAR_CYCLODEXTRIN</t>
        </is>
      </c>
      <c r="B4284" t="inlineStr">
        <is>
          <t>water_solubility</t>
        </is>
      </c>
      <c r="C4284" t="inlineStr">
        <is>
          <t>variable</t>
        </is>
      </c>
      <c r="D4284"/>
      <c r="E4284"/>
      <c r="F4284"/>
      <c r="G4284"/>
      <c r="H4284" t="inlineStr">
        <is>
          <t>S007_EXCIPIENTS_HANDBOOK</t>
        </is>
      </c>
      <c r="I4284" t="inlineStr">
        <is>
          <t>handbook</t>
        </is>
      </c>
      <c r="J4284">
        <v>0.65</v>
      </c>
      <c r="K4284"/>
    </row>
    <row r="4285">
      <c r="A4285" t="inlineStr">
        <is>
          <t>CAR_CYCLODEXTRIN</t>
        </is>
      </c>
      <c r="B4285" t="inlineStr">
        <is>
          <t>hygroscopicity</t>
        </is>
      </c>
      <c r="C4285" t="inlineStr">
        <is>
          <t>low</t>
        </is>
      </c>
      <c r="D4285"/>
      <c r="E4285"/>
      <c r="F4285"/>
      <c r="G4285"/>
      <c r="H4285" t="inlineStr">
        <is>
          <t>S007_EXCIPIENTS_HANDBOOK</t>
        </is>
      </c>
      <c r="I4285" t="inlineStr">
        <is>
          <t>handbook</t>
        </is>
      </c>
      <c r="J4285">
        <v>0.55</v>
      </c>
      <c r="K4285"/>
    </row>
    <row r="4286">
      <c r="A4286" t="inlineStr">
        <is>
          <t>CAR_CYCLODEXTRIN</t>
        </is>
      </c>
      <c r="B4286" t="inlineStr">
        <is>
          <t>cryoprotection_score</t>
        </is>
      </c>
      <c r="C4286">
        <v>3</v>
      </c>
      <c r="D4286" t="inlineStr">
        <is>
          <t>0-5</t>
        </is>
      </c>
      <c r="E4286"/>
      <c r="F4286"/>
      <c r="G4286" t="inlineStr">
        <is>
          <t>formulation heuristic</t>
        </is>
      </c>
      <c r="H4286" t="inlineStr">
        <is>
          <t>S014_AULTON</t>
        </is>
      </c>
      <c r="I4286" t="inlineStr">
        <is>
          <t>estimated</t>
        </is>
      </c>
      <c r="J4286">
        <v>0.45</v>
      </c>
      <c r="K4286"/>
    </row>
    <row r="4287">
      <c r="A4287" t="inlineStr">
        <is>
          <t>CAR_CYCLODEXTRIN</t>
        </is>
      </c>
      <c r="B4287" t="inlineStr">
        <is>
          <t>proniosome_suitability_score</t>
        </is>
      </c>
      <c r="C4287">
        <v>2</v>
      </c>
      <c r="D4287" t="inlineStr">
        <is>
          <t>0-5</t>
        </is>
      </c>
      <c r="E4287"/>
      <c r="F4287"/>
      <c r="G4287" t="inlineStr">
        <is>
          <t>carrier loading/hydration heuristic</t>
        </is>
      </c>
      <c r="H4287" t="inlineStr">
        <is>
          <t>S014_AULTON</t>
        </is>
      </c>
      <c r="I4287" t="inlineStr">
        <is>
          <t>estimated</t>
        </is>
      </c>
      <c r="J4287">
        <v>0.45</v>
      </c>
      <c r="K4287"/>
    </row>
    <row r="4288">
      <c r="A4288" t="inlineStr">
        <is>
          <t>CAR_CYCLODEXTRIN</t>
        </is>
      </c>
      <c r="B4288" t="inlineStr">
        <is>
          <t>spray_drying_suitability</t>
        </is>
      </c>
      <c r="C4288" t="inlineStr">
        <is>
          <t>conditional</t>
        </is>
      </c>
      <c r="D4288"/>
      <c r="E4288"/>
      <c r="F4288"/>
      <c r="G4288"/>
      <c r="H4288" t="inlineStr">
        <is>
          <t>S014_AULTON</t>
        </is>
      </c>
      <c r="I4288" t="inlineStr">
        <is>
          <t>curated</t>
        </is>
      </c>
      <c r="J4288">
        <v>0.55</v>
      </c>
      <c r="K4288"/>
    </row>
    <row r="4289">
      <c r="A4289" t="inlineStr">
        <is>
          <t>CAR_CYCLODEXTRIN</t>
        </is>
      </c>
      <c r="B4289" t="inlineStr">
        <is>
          <t>inhalation_suitability</t>
        </is>
      </c>
      <c r="C4289" t="inlineStr">
        <is>
          <t>no</t>
        </is>
      </c>
      <c r="D4289"/>
      <c r="E4289"/>
      <c r="F4289"/>
      <c r="G4289"/>
      <c r="H4289" t="inlineStr">
        <is>
          <t>S014_AULTON</t>
        </is>
      </c>
      <c r="I4289" t="inlineStr">
        <is>
          <t>curated</t>
        </is>
      </c>
      <c r="J4289">
        <v>0.55</v>
      </c>
      <c r="K4289"/>
    </row>
    <row r="4290">
      <c r="A4290" t="inlineStr">
        <is>
          <t>CAR_CYCLODEXTRIN</t>
        </is>
      </c>
      <c r="B4290" t="inlineStr">
        <is>
          <t>route_suitability</t>
        </is>
      </c>
      <c r="C4290" t="inlineStr">
        <is>
          <t>dry carrier/cryoprotectant; route-grade dependent</t>
        </is>
      </c>
      <c r="D4290"/>
      <c r="E4290"/>
      <c r="F4290"/>
      <c r="G4290"/>
      <c r="H4290" t="inlineStr">
        <is>
          <t>S008_FDA_IID</t>
        </is>
      </c>
      <c r="I4290" t="inlineStr">
        <is>
          <t>curated</t>
        </is>
      </c>
      <c r="J4290">
        <v>0.55</v>
      </c>
      <c r="K4290"/>
    </row>
    <row r="4291">
      <c r="A4291" t="inlineStr">
        <is>
          <t>CAR_CYCLODEXTRIN</t>
        </is>
      </c>
      <c r="B4291" t="inlineStr">
        <is>
          <t>safety_notes</t>
        </is>
      </c>
      <c r="C4291" t="inlineStr">
        <is>
          <t>placeholder for exact cyclodextrin</t>
        </is>
      </c>
      <c r="D4291"/>
      <c r="E4291"/>
      <c r="F4291"/>
      <c r="G4291"/>
      <c r="H4291" t="inlineStr">
        <is>
          <t>S007_EXCIPIENTS_HANDBOOK</t>
        </is>
      </c>
      <c r="I4291" t="inlineStr">
        <is>
          <t>curated</t>
        </is>
      </c>
      <c r="J4291">
        <v>0.65</v>
      </c>
      <c r="K4291"/>
    </row>
    <row r="4292">
      <c r="A4292" t="inlineStr">
        <is>
          <t>CAR_CYCLODEXTRIN</t>
        </is>
      </c>
      <c r="B4292" t="inlineStr">
        <is>
          <t>particle_size_grade</t>
        </is>
      </c>
      <c r="C4292" t="inlineStr">
        <is>
          <t>alpha/beta/gamma family</t>
        </is>
      </c>
      <c r="D4292"/>
      <c r="E4292"/>
      <c r="F4292"/>
      <c r="G4292" t="inlineStr">
        <is>
          <t>grade-dependent</t>
        </is>
      </c>
      <c r="H4292" t="inlineStr">
        <is>
          <t>S007_EXCIPIENTS_HANDBOOK</t>
        </is>
      </c>
      <c r="I4292" t="inlineStr">
        <is>
          <t>supplier-reported</t>
        </is>
      </c>
      <c r="J4292">
        <v>0.48</v>
      </c>
      <c r="K4292"/>
    </row>
    <row r="4293">
      <c r="A4293" t="inlineStr">
        <is>
          <t>CAR_BETA_CYCLODEXTRIN</t>
        </is>
      </c>
      <c r="B4293" t="inlineStr">
        <is>
          <t>molecular_weight_g_mol</t>
        </is>
      </c>
      <c r="C4293">
        <v>1135.0</v>
      </c>
      <c r="D4293" t="inlineStr">
        <is>
          <t>g/mol</t>
        </is>
      </c>
      <c r="E4293"/>
      <c r="F4293"/>
      <c r="G4293"/>
      <c r="H4293" t="inlineStr">
        <is>
          <t>S001_PUBCHEM</t>
        </is>
      </c>
      <c r="I4293" t="inlineStr">
        <is>
          <t>database-derived</t>
        </is>
      </c>
      <c r="J4293">
        <v>0.78</v>
      </c>
      <c r="K4293"/>
    </row>
    <row r="4294">
      <c r="A4294" t="inlineStr">
        <is>
          <t>CAR_BETA_CYCLODEXTRIN</t>
        </is>
      </c>
      <c r="B4294" t="inlineStr">
        <is>
          <t>carrier_type</t>
        </is>
      </c>
      <c r="C4294" t="inlineStr">
        <is>
          <t>cyclodextrin</t>
        </is>
      </c>
      <c r="D4294"/>
      <c r="E4294"/>
      <c r="F4294"/>
      <c r="G4294"/>
      <c r="H4294" t="inlineStr">
        <is>
          <t>S007_EXCIPIENTS_HANDBOOK</t>
        </is>
      </c>
      <c r="I4294" t="inlineStr">
        <is>
          <t>curated</t>
        </is>
      </c>
      <c r="J4294">
        <v>0.75</v>
      </c>
      <c r="K4294"/>
    </row>
    <row r="4295">
      <c r="A4295" t="inlineStr">
        <is>
          <t>CAR_BETA_CYCLODEXTRIN</t>
        </is>
      </c>
      <c r="B4295" t="inlineStr">
        <is>
          <t>water_solubility</t>
        </is>
      </c>
      <c r="C4295" t="inlineStr">
        <is>
          <t>low-moderate</t>
        </is>
      </c>
      <c r="D4295"/>
      <c r="E4295"/>
      <c r="F4295"/>
      <c r="G4295"/>
      <c r="H4295" t="inlineStr">
        <is>
          <t>S007_EXCIPIENTS_HANDBOOK</t>
        </is>
      </c>
      <c r="I4295" t="inlineStr">
        <is>
          <t>handbook</t>
        </is>
      </c>
      <c r="J4295">
        <v>0.65</v>
      </c>
      <c r="K4295"/>
    </row>
    <row r="4296">
      <c r="A4296" t="inlineStr">
        <is>
          <t>CAR_BETA_CYCLODEXTRIN</t>
        </is>
      </c>
      <c r="B4296" t="inlineStr">
        <is>
          <t>hygroscopicity</t>
        </is>
      </c>
      <c r="C4296" t="inlineStr">
        <is>
          <t>low</t>
        </is>
      </c>
      <c r="D4296"/>
      <c r="E4296"/>
      <c r="F4296"/>
      <c r="G4296"/>
      <c r="H4296" t="inlineStr">
        <is>
          <t>S007_EXCIPIENTS_HANDBOOK</t>
        </is>
      </c>
      <c r="I4296" t="inlineStr">
        <is>
          <t>handbook</t>
        </is>
      </c>
      <c r="J4296">
        <v>0.55</v>
      </c>
      <c r="K4296"/>
    </row>
    <row r="4297">
      <c r="A4297" t="inlineStr">
        <is>
          <t>CAR_BETA_CYCLODEXTRIN</t>
        </is>
      </c>
      <c r="B4297" t="inlineStr">
        <is>
          <t>cryoprotection_score</t>
        </is>
      </c>
      <c r="C4297">
        <v>3</v>
      </c>
      <c r="D4297" t="inlineStr">
        <is>
          <t>0-5</t>
        </is>
      </c>
      <c r="E4297"/>
      <c r="F4297"/>
      <c r="G4297" t="inlineStr">
        <is>
          <t>formulation heuristic</t>
        </is>
      </c>
      <c r="H4297" t="inlineStr">
        <is>
          <t>S014_AULTON</t>
        </is>
      </c>
      <c r="I4297" t="inlineStr">
        <is>
          <t>estimated</t>
        </is>
      </c>
      <c r="J4297">
        <v>0.45</v>
      </c>
      <c r="K4297"/>
    </row>
    <row r="4298">
      <c r="A4298" t="inlineStr">
        <is>
          <t>CAR_BETA_CYCLODEXTRIN</t>
        </is>
      </c>
      <c r="B4298" t="inlineStr">
        <is>
          <t>proniosome_suitability_score</t>
        </is>
      </c>
      <c r="C4298">
        <v>2</v>
      </c>
      <c r="D4298" t="inlineStr">
        <is>
          <t>0-5</t>
        </is>
      </c>
      <c r="E4298"/>
      <c r="F4298"/>
      <c r="G4298" t="inlineStr">
        <is>
          <t>carrier loading/hydration heuristic</t>
        </is>
      </c>
      <c r="H4298" t="inlineStr">
        <is>
          <t>S014_AULTON</t>
        </is>
      </c>
      <c r="I4298" t="inlineStr">
        <is>
          <t>estimated</t>
        </is>
      </c>
      <c r="J4298">
        <v>0.45</v>
      </c>
      <c r="K4298"/>
    </row>
    <row r="4299">
      <c r="A4299" t="inlineStr">
        <is>
          <t>CAR_BETA_CYCLODEXTRIN</t>
        </is>
      </c>
      <c r="B4299" t="inlineStr">
        <is>
          <t>spray_drying_suitability</t>
        </is>
      </c>
      <c r="C4299" t="inlineStr">
        <is>
          <t>conditional</t>
        </is>
      </c>
      <c r="D4299"/>
      <c r="E4299"/>
      <c r="F4299"/>
      <c r="G4299"/>
      <c r="H4299" t="inlineStr">
        <is>
          <t>S014_AULTON</t>
        </is>
      </c>
      <c r="I4299" t="inlineStr">
        <is>
          <t>curated</t>
        </is>
      </c>
      <c r="J4299">
        <v>0.55</v>
      </c>
      <c r="K4299"/>
    </row>
    <row r="4300">
      <c r="A4300" t="inlineStr">
        <is>
          <t>CAR_BETA_CYCLODEXTRIN</t>
        </is>
      </c>
      <c r="B4300" t="inlineStr">
        <is>
          <t>inhalation_suitability</t>
        </is>
      </c>
      <c r="C4300" t="inlineStr">
        <is>
          <t>no</t>
        </is>
      </c>
      <c r="D4300"/>
      <c r="E4300"/>
      <c r="F4300"/>
      <c r="G4300"/>
      <c r="H4300" t="inlineStr">
        <is>
          <t>S014_AULTON</t>
        </is>
      </c>
      <c r="I4300" t="inlineStr">
        <is>
          <t>curated</t>
        </is>
      </c>
      <c r="J4300">
        <v>0.55</v>
      </c>
      <c r="K4300"/>
    </row>
    <row r="4301">
      <c r="A4301" t="inlineStr">
        <is>
          <t>CAR_BETA_CYCLODEXTRIN</t>
        </is>
      </c>
      <c r="B4301" t="inlineStr">
        <is>
          <t>route_suitability</t>
        </is>
      </c>
      <c r="C4301" t="inlineStr">
        <is>
          <t>dry carrier/cryoprotectant; route-grade dependent</t>
        </is>
      </c>
      <c r="D4301"/>
      <c r="E4301"/>
      <c r="F4301"/>
      <c r="G4301"/>
      <c r="H4301" t="inlineStr">
        <is>
          <t>S008_FDA_IID</t>
        </is>
      </c>
      <c r="I4301" t="inlineStr">
        <is>
          <t>curated</t>
        </is>
      </c>
      <c r="J4301">
        <v>0.55</v>
      </c>
      <c r="K4301"/>
    </row>
    <row r="4302">
      <c r="A4302" t="inlineStr">
        <is>
          <t>CAR_BETA_CYCLODEXTRIN</t>
        </is>
      </c>
      <c r="B4302" t="inlineStr">
        <is>
          <t>safety_notes</t>
        </is>
      </c>
      <c r="C4302" t="inlineStr">
        <is>
          <t>renal/parenteral caution compared with HPBCD/SBEBCD</t>
        </is>
      </c>
      <c r="D4302"/>
      <c r="E4302"/>
      <c r="F4302"/>
      <c r="G4302"/>
      <c r="H4302" t="inlineStr">
        <is>
          <t>S007_EXCIPIENTS_HANDBOOK</t>
        </is>
      </c>
      <c r="I4302" t="inlineStr">
        <is>
          <t>curated</t>
        </is>
      </c>
      <c r="J4302">
        <v>0.65</v>
      </c>
      <c r="K4302"/>
    </row>
    <row r="4303">
      <c r="A4303" t="inlineStr">
        <is>
          <t>CAR_BETA_CYCLODEXTRIN</t>
        </is>
      </c>
      <c r="B4303" t="inlineStr">
        <is>
          <t>melting_point_C</t>
        </is>
      </c>
      <c r="C4303">
        <v>255</v>
      </c>
      <c r="D4303" t="inlineStr">
        <is>
          <t>°C</t>
        </is>
      </c>
      <c r="E4303"/>
      <c r="F4303"/>
      <c r="G4303" t="inlineStr">
        <is>
          <t>grade-dependent</t>
        </is>
      </c>
      <c r="H4303" t="inlineStr">
        <is>
          <t>S007_EXCIPIENTS_HANDBOOK</t>
        </is>
      </c>
      <c r="I4303" t="inlineStr">
        <is>
          <t>handbook</t>
        </is>
      </c>
      <c r="J4303">
        <v>0.48</v>
      </c>
      <c r="K4303"/>
    </row>
    <row r="4304">
      <c r="A4304" t="inlineStr">
        <is>
          <t>CAR_BETA_CYCLODEXTRIN</t>
        </is>
      </c>
      <c r="B4304" t="inlineStr">
        <is>
          <t>bulk_density</t>
        </is>
      </c>
      <c r="C4304">
        <v>0.45</v>
      </c>
      <c r="D4304" t="inlineStr">
        <is>
          <t>g/mL</t>
        </is>
      </c>
      <c r="E4304"/>
      <c r="F4304"/>
      <c r="G4304" t="inlineStr">
        <is>
          <t>grade-dependent</t>
        </is>
      </c>
      <c r="H4304" t="inlineStr">
        <is>
          <t>S007_EXCIPIENTS_HANDBOOK</t>
        </is>
      </c>
      <c r="I4304" t="inlineStr">
        <is>
          <t>handbook</t>
        </is>
      </c>
      <c r="J4304">
        <v>0.48</v>
      </c>
      <c r="K4304"/>
    </row>
    <row r="4305">
      <c r="A4305" t="inlineStr">
        <is>
          <t>CAR_BETA_CYCLODEXTRIN</t>
        </is>
      </c>
      <c r="B4305" t="inlineStr">
        <is>
          <t>tapped_density</t>
        </is>
      </c>
      <c r="C4305">
        <v>0.65</v>
      </c>
      <c r="D4305" t="inlineStr">
        <is>
          <t>g/mL</t>
        </is>
      </c>
      <c r="E4305"/>
      <c r="F4305"/>
      <c r="G4305" t="inlineStr">
        <is>
          <t>grade-dependent</t>
        </is>
      </c>
      <c r="H4305" t="inlineStr">
        <is>
          <t>S007_EXCIPIENTS_HANDBOOK</t>
        </is>
      </c>
      <c r="I4305" t="inlineStr">
        <is>
          <t>handbook</t>
        </is>
      </c>
      <c r="J4305">
        <v>0.48</v>
      </c>
      <c r="K4305"/>
    </row>
    <row r="4306">
      <c r="A4306" t="inlineStr">
        <is>
          <t>CAR_HYDROXYPROPYL_BETA_CYCLODEXTRIN</t>
        </is>
      </c>
      <c r="B4306" t="inlineStr">
        <is>
          <t>average_MW</t>
        </is>
      </c>
      <c r="C4306">
        <v>1400</v>
      </c>
      <c r="D4306" t="inlineStr">
        <is>
          <t>g/mol</t>
        </is>
      </c>
      <c r="E4306"/>
      <c r="F4306"/>
      <c r="G4306" t="inlineStr">
        <is>
          <t>grade-dependent</t>
        </is>
      </c>
      <c r="H4306" t="inlineStr">
        <is>
          <t>S007_EXCIPIENTS_HANDBOOK</t>
        </is>
      </c>
      <c r="I4306" t="inlineStr">
        <is>
          <t>supplier-reported</t>
        </is>
      </c>
      <c r="J4306">
        <v>0.45</v>
      </c>
      <c r="K4306"/>
    </row>
    <row r="4307">
      <c r="A4307" t="inlineStr">
        <is>
          <t>CAR_HYDROXYPROPYL_BETA_CYCLODEXTRIN</t>
        </is>
      </c>
      <c r="B4307" t="inlineStr">
        <is>
          <t>carrier_type</t>
        </is>
      </c>
      <c r="C4307" t="inlineStr">
        <is>
          <t>modified cyclodextrin</t>
        </is>
      </c>
      <c r="D4307"/>
      <c r="E4307"/>
      <c r="F4307"/>
      <c r="G4307"/>
      <c r="H4307" t="inlineStr">
        <is>
          <t>S007_EXCIPIENTS_HANDBOOK</t>
        </is>
      </c>
      <c r="I4307" t="inlineStr">
        <is>
          <t>curated</t>
        </is>
      </c>
      <c r="J4307">
        <v>0.75</v>
      </c>
      <c r="K4307"/>
    </row>
    <row r="4308">
      <c r="A4308" t="inlineStr">
        <is>
          <t>CAR_HYDROXYPROPYL_BETA_CYCLODEXTRIN</t>
        </is>
      </c>
      <c r="B4308" t="inlineStr">
        <is>
          <t>water_solubility</t>
        </is>
      </c>
      <c r="C4308" t="inlineStr">
        <is>
          <t>high</t>
        </is>
      </c>
      <c r="D4308"/>
      <c r="E4308"/>
      <c r="F4308"/>
      <c r="G4308"/>
      <c r="H4308" t="inlineStr">
        <is>
          <t>S007_EXCIPIENTS_HANDBOOK</t>
        </is>
      </c>
      <c r="I4308" t="inlineStr">
        <is>
          <t>handbook</t>
        </is>
      </c>
      <c r="J4308">
        <v>0.65</v>
      </c>
      <c r="K4308"/>
    </row>
    <row r="4309">
      <c r="A4309" t="inlineStr">
        <is>
          <t>CAR_HYDROXYPROPYL_BETA_CYCLODEXTRIN</t>
        </is>
      </c>
      <c r="B4309" t="inlineStr">
        <is>
          <t>hygroscopicity</t>
        </is>
      </c>
      <c r="C4309" t="inlineStr">
        <is>
          <t>moderate</t>
        </is>
      </c>
      <c r="D4309"/>
      <c r="E4309"/>
      <c r="F4309"/>
      <c r="G4309"/>
      <c r="H4309" t="inlineStr">
        <is>
          <t>S007_EXCIPIENTS_HANDBOOK</t>
        </is>
      </c>
      <c r="I4309" t="inlineStr">
        <is>
          <t>handbook</t>
        </is>
      </c>
      <c r="J4309">
        <v>0.55</v>
      </c>
      <c r="K4309"/>
    </row>
    <row r="4310">
      <c r="A4310" t="inlineStr">
        <is>
          <t>CAR_HYDROXYPROPYL_BETA_CYCLODEXTRIN</t>
        </is>
      </c>
      <c r="B4310" t="inlineStr">
        <is>
          <t>cryoprotection_score</t>
        </is>
      </c>
      <c r="C4310">
        <v>4</v>
      </c>
      <c r="D4310" t="inlineStr">
        <is>
          <t>0-5</t>
        </is>
      </c>
      <c r="E4310"/>
      <c r="F4310"/>
      <c r="G4310" t="inlineStr">
        <is>
          <t>formulation heuristic</t>
        </is>
      </c>
      <c r="H4310" t="inlineStr">
        <is>
          <t>S014_AULTON</t>
        </is>
      </c>
      <c r="I4310" t="inlineStr">
        <is>
          <t>estimated</t>
        </is>
      </c>
      <c r="J4310">
        <v>0.45</v>
      </c>
      <c r="K4310"/>
    </row>
    <row r="4311">
      <c r="A4311" t="inlineStr">
        <is>
          <t>CAR_HYDROXYPROPYL_BETA_CYCLODEXTRIN</t>
        </is>
      </c>
      <c r="B4311" t="inlineStr">
        <is>
          <t>proniosome_suitability_score</t>
        </is>
      </c>
      <c r="C4311">
        <v>3</v>
      </c>
      <c r="D4311" t="inlineStr">
        <is>
          <t>0-5</t>
        </is>
      </c>
      <c r="E4311"/>
      <c r="F4311"/>
      <c r="G4311" t="inlineStr">
        <is>
          <t>carrier loading/hydration heuristic</t>
        </is>
      </c>
      <c r="H4311" t="inlineStr">
        <is>
          <t>S014_AULTON</t>
        </is>
      </c>
      <c r="I4311" t="inlineStr">
        <is>
          <t>estimated</t>
        </is>
      </c>
      <c r="J4311">
        <v>0.45</v>
      </c>
      <c r="K4311"/>
    </row>
    <row r="4312">
      <c r="A4312" t="inlineStr">
        <is>
          <t>CAR_HYDROXYPROPYL_BETA_CYCLODEXTRIN</t>
        </is>
      </c>
      <c r="B4312" t="inlineStr">
        <is>
          <t>spray_drying_suitability</t>
        </is>
      </c>
      <c r="C4312" t="inlineStr">
        <is>
          <t>yes</t>
        </is>
      </c>
      <c r="D4312"/>
      <c r="E4312"/>
      <c r="F4312"/>
      <c r="G4312"/>
      <c r="H4312" t="inlineStr">
        <is>
          <t>S014_AULTON</t>
        </is>
      </c>
      <c r="I4312" t="inlineStr">
        <is>
          <t>curated</t>
        </is>
      </c>
      <c r="J4312">
        <v>0.55</v>
      </c>
      <c r="K4312"/>
    </row>
    <row r="4313">
      <c r="A4313" t="inlineStr">
        <is>
          <t>CAR_HYDROXYPROPYL_BETA_CYCLODEXTRIN</t>
        </is>
      </c>
      <c r="B4313" t="inlineStr">
        <is>
          <t>inhalation_suitability</t>
        </is>
      </c>
      <c r="C4313" t="inlineStr">
        <is>
          <t>conditional</t>
        </is>
      </c>
      <c r="D4313"/>
      <c r="E4313"/>
      <c r="F4313"/>
      <c r="G4313"/>
      <c r="H4313" t="inlineStr">
        <is>
          <t>S014_AULTON</t>
        </is>
      </c>
      <c r="I4313" t="inlineStr">
        <is>
          <t>curated</t>
        </is>
      </c>
      <c r="J4313">
        <v>0.55</v>
      </c>
      <c r="K4313"/>
    </row>
    <row r="4314">
      <c r="A4314" t="inlineStr">
        <is>
          <t>CAR_HYDROXYPROPYL_BETA_CYCLODEXTRIN</t>
        </is>
      </c>
      <c r="B4314" t="inlineStr">
        <is>
          <t>route_suitability</t>
        </is>
      </c>
      <c r="C4314" t="inlineStr">
        <is>
          <t>dry carrier/cryoprotectant; route-grade dependent</t>
        </is>
      </c>
      <c r="D4314"/>
      <c r="E4314"/>
      <c r="F4314"/>
      <c r="G4314"/>
      <c r="H4314" t="inlineStr">
        <is>
          <t>S008_FDA_IID</t>
        </is>
      </c>
      <c r="I4314" t="inlineStr">
        <is>
          <t>curated</t>
        </is>
      </c>
      <c r="J4314">
        <v>0.55</v>
      </c>
      <c r="K4314"/>
    </row>
    <row r="4315">
      <c r="A4315" t="inlineStr">
        <is>
          <t>CAR_HYDROXYPROPYL_BETA_CYCLODEXTRIN</t>
        </is>
      </c>
      <c r="B4315" t="inlineStr">
        <is>
          <t>safety_notes</t>
        </is>
      </c>
      <c r="C4315" t="inlineStr">
        <is>
          <t>DS and substitution pattern critical</t>
        </is>
      </c>
      <c r="D4315"/>
      <c r="E4315"/>
      <c r="F4315"/>
      <c r="G4315"/>
      <c r="H4315" t="inlineStr">
        <is>
          <t>S007_EXCIPIENTS_HANDBOOK</t>
        </is>
      </c>
      <c r="I4315" t="inlineStr">
        <is>
          <t>curated</t>
        </is>
      </c>
      <c r="J4315">
        <v>0.65</v>
      </c>
      <c r="K4315"/>
    </row>
    <row r="4316">
      <c r="A4316" t="inlineStr">
        <is>
          <t>CAR_HYDROXYPROPYL_BETA_CYCLODEXTRIN</t>
        </is>
      </c>
      <c r="B4316" t="inlineStr">
        <is>
          <t>particle_size_grade</t>
        </is>
      </c>
      <c r="C4316" t="inlineStr">
        <is>
          <t>degree-substitution dependent</t>
        </is>
      </c>
      <c r="D4316"/>
      <c r="E4316"/>
      <c r="F4316"/>
      <c r="G4316" t="inlineStr">
        <is>
          <t>grade-dependent</t>
        </is>
      </c>
      <c r="H4316" t="inlineStr">
        <is>
          <t>S007_EXCIPIENTS_HANDBOOK</t>
        </is>
      </c>
      <c r="I4316" t="inlineStr">
        <is>
          <t>supplier-reported</t>
        </is>
      </c>
      <c r="J4316">
        <v>0.48</v>
      </c>
      <c r="K4316"/>
    </row>
    <row r="4317">
      <c r="A4317" t="inlineStr">
        <is>
          <t>CAR_SULFOBUTYLETHER_BETA_CYCLODEXTRIN</t>
        </is>
      </c>
      <c r="B4317" t="inlineStr">
        <is>
          <t>average_MW</t>
        </is>
      </c>
      <c r="C4317">
        <v>2160</v>
      </c>
      <c r="D4317" t="inlineStr">
        <is>
          <t>g/mol</t>
        </is>
      </c>
      <c r="E4317"/>
      <c r="F4317"/>
      <c r="G4317" t="inlineStr">
        <is>
          <t>grade-dependent</t>
        </is>
      </c>
      <c r="H4317" t="inlineStr">
        <is>
          <t>S007_EXCIPIENTS_HANDBOOK</t>
        </is>
      </c>
      <c r="I4317" t="inlineStr">
        <is>
          <t>supplier-reported</t>
        </is>
      </c>
      <c r="J4317">
        <v>0.45</v>
      </c>
      <c r="K4317"/>
    </row>
    <row r="4318">
      <c r="A4318" t="inlineStr">
        <is>
          <t>CAR_SULFOBUTYLETHER_BETA_CYCLODEXTRIN</t>
        </is>
      </c>
      <c r="B4318" t="inlineStr">
        <is>
          <t>carrier_type</t>
        </is>
      </c>
      <c r="C4318" t="inlineStr">
        <is>
          <t>anionic modified cyclodextrin</t>
        </is>
      </c>
      <c r="D4318"/>
      <c r="E4318"/>
      <c r="F4318"/>
      <c r="G4318"/>
      <c r="H4318" t="inlineStr">
        <is>
          <t>S007_EXCIPIENTS_HANDBOOK</t>
        </is>
      </c>
      <c r="I4318" t="inlineStr">
        <is>
          <t>curated</t>
        </is>
      </c>
      <c r="J4318">
        <v>0.75</v>
      </c>
      <c r="K4318"/>
    </row>
    <row r="4319">
      <c r="A4319" t="inlineStr">
        <is>
          <t>CAR_SULFOBUTYLETHER_BETA_CYCLODEXTRIN</t>
        </is>
      </c>
      <c r="B4319" t="inlineStr">
        <is>
          <t>water_solubility</t>
        </is>
      </c>
      <c r="C4319" t="inlineStr">
        <is>
          <t>high</t>
        </is>
      </c>
      <c r="D4319"/>
      <c r="E4319"/>
      <c r="F4319"/>
      <c r="G4319"/>
      <c r="H4319" t="inlineStr">
        <is>
          <t>S007_EXCIPIENTS_HANDBOOK</t>
        </is>
      </c>
      <c r="I4319" t="inlineStr">
        <is>
          <t>handbook</t>
        </is>
      </c>
      <c r="J4319">
        <v>0.65</v>
      </c>
      <c r="K4319"/>
    </row>
    <row r="4320">
      <c r="A4320" t="inlineStr">
        <is>
          <t>CAR_SULFOBUTYLETHER_BETA_CYCLODEXTRIN</t>
        </is>
      </c>
      <c r="B4320" t="inlineStr">
        <is>
          <t>hygroscopicity</t>
        </is>
      </c>
      <c r="C4320" t="inlineStr">
        <is>
          <t>moderate</t>
        </is>
      </c>
      <c r="D4320"/>
      <c r="E4320"/>
      <c r="F4320"/>
      <c r="G4320"/>
      <c r="H4320" t="inlineStr">
        <is>
          <t>S007_EXCIPIENTS_HANDBOOK</t>
        </is>
      </c>
      <c r="I4320" t="inlineStr">
        <is>
          <t>handbook</t>
        </is>
      </c>
      <c r="J4320">
        <v>0.55</v>
      </c>
      <c r="K4320"/>
    </row>
    <row r="4321">
      <c r="A4321" t="inlineStr">
        <is>
          <t>CAR_SULFOBUTYLETHER_BETA_CYCLODEXTRIN</t>
        </is>
      </c>
      <c r="B4321" t="inlineStr">
        <is>
          <t>cryoprotection_score</t>
        </is>
      </c>
      <c r="C4321">
        <v>4</v>
      </c>
      <c r="D4321" t="inlineStr">
        <is>
          <t>0-5</t>
        </is>
      </c>
      <c r="E4321"/>
      <c r="F4321"/>
      <c r="G4321" t="inlineStr">
        <is>
          <t>formulation heuristic</t>
        </is>
      </c>
      <c r="H4321" t="inlineStr">
        <is>
          <t>S014_AULTON</t>
        </is>
      </c>
      <c r="I4321" t="inlineStr">
        <is>
          <t>estimated</t>
        </is>
      </c>
      <c r="J4321">
        <v>0.45</v>
      </c>
      <c r="K4321"/>
    </row>
    <row r="4322">
      <c r="A4322" t="inlineStr">
        <is>
          <t>CAR_SULFOBUTYLETHER_BETA_CYCLODEXTRIN</t>
        </is>
      </c>
      <c r="B4322" t="inlineStr">
        <is>
          <t>proniosome_suitability_score</t>
        </is>
      </c>
      <c r="C4322">
        <v>3</v>
      </c>
      <c r="D4322" t="inlineStr">
        <is>
          <t>0-5</t>
        </is>
      </c>
      <c r="E4322"/>
      <c r="F4322"/>
      <c r="G4322" t="inlineStr">
        <is>
          <t>carrier loading/hydration heuristic</t>
        </is>
      </c>
      <c r="H4322" t="inlineStr">
        <is>
          <t>S014_AULTON</t>
        </is>
      </c>
      <c r="I4322" t="inlineStr">
        <is>
          <t>estimated</t>
        </is>
      </c>
      <c r="J4322">
        <v>0.45</v>
      </c>
      <c r="K4322"/>
    </row>
    <row r="4323">
      <c r="A4323" t="inlineStr">
        <is>
          <t>CAR_SULFOBUTYLETHER_BETA_CYCLODEXTRIN</t>
        </is>
      </c>
      <c r="B4323" t="inlineStr">
        <is>
          <t>spray_drying_suitability</t>
        </is>
      </c>
      <c r="C4323" t="inlineStr">
        <is>
          <t>yes</t>
        </is>
      </c>
      <c r="D4323"/>
      <c r="E4323"/>
      <c r="F4323"/>
      <c r="G4323"/>
      <c r="H4323" t="inlineStr">
        <is>
          <t>S014_AULTON</t>
        </is>
      </c>
      <c r="I4323" t="inlineStr">
        <is>
          <t>curated</t>
        </is>
      </c>
      <c r="J4323">
        <v>0.55</v>
      </c>
      <c r="K4323"/>
    </row>
    <row r="4324">
      <c r="A4324" t="inlineStr">
        <is>
          <t>CAR_SULFOBUTYLETHER_BETA_CYCLODEXTRIN</t>
        </is>
      </c>
      <c r="B4324" t="inlineStr">
        <is>
          <t>inhalation_suitability</t>
        </is>
      </c>
      <c r="C4324" t="inlineStr">
        <is>
          <t>conditional</t>
        </is>
      </c>
      <c r="D4324"/>
      <c r="E4324"/>
      <c r="F4324"/>
      <c r="G4324"/>
      <c r="H4324" t="inlineStr">
        <is>
          <t>S014_AULTON</t>
        </is>
      </c>
      <c r="I4324" t="inlineStr">
        <is>
          <t>curated</t>
        </is>
      </c>
      <c r="J4324">
        <v>0.55</v>
      </c>
      <c r="K4324"/>
    </row>
    <row r="4325">
      <c r="A4325" t="inlineStr">
        <is>
          <t>CAR_SULFOBUTYLETHER_BETA_CYCLODEXTRIN</t>
        </is>
      </c>
      <c r="B4325" t="inlineStr">
        <is>
          <t>route_suitability</t>
        </is>
      </c>
      <c r="C4325" t="inlineStr">
        <is>
          <t>dry carrier/cryoprotectant; route-grade dependent</t>
        </is>
      </c>
      <c r="D4325"/>
      <c r="E4325"/>
      <c r="F4325"/>
      <c r="G4325"/>
      <c r="H4325" t="inlineStr">
        <is>
          <t>S008_FDA_IID</t>
        </is>
      </c>
      <c r="I4325" t="inlineStr">
        <is>
          <t>curated</t>
        </is>
      </c>
      <c r="J4325">
        <v>0.55</v>
      </c>
      <c r="K4325"/>
    </row>
    <row r="4326">
      <c r="A4326" t="inlineStr">
        <is>
          <t>CAR_SULFOBUTYLETHER_BETA_CYCLODEXTRIN</t>
        </is>
      </c>
      <c r="B4326" t="inlineStr">
        <is>
          <t>safety_notes</t>
        </is>
      </c>
      <c r="C4326" t="inlineStr">
        <is>
          <t>anionic; renal dose and route-specific limits</t>
        </is>
      </c>
      <c r="D4326"/>
      <c r="E4326"/>
      <c r="F4326"/>
      <c r="G4326"/>
      <c r="H4326" t="inlineStr">
        <is>
          <t>S007_EXCIPIENTS_HANDBOOK</t>
        </is>
      </c>
      <c r="I4326" t="inlineStr">
        <is>
          <t>curated</t>
        </is>
      </c>
      <c r="J4326">
        <v>0.65</v>
      </c>
      <c r="K4326"/>
    </row>
    <row r="4327">
      <c r="A4327" t="inlineStr">
        <is>
          <t>CAR_SULFOBUTYLETHER_BETA_CYCLODEXTRIN</t>
        </is>
      </c>
      <c r="B4327" t="inlineStr">
        <is>
          <t>particle_size_grade</t>
        </is>
      </c>
      <c r="C4327" t="inlineStr">
        <is>
          <t>Captisol-like grades</t>
        </is>
      </c>
      <c r="D4327"/>
      <c r="E4327"/>
      <c r="F4327"/>
      <c r="G4327" t="inlineStr">
        <is>
          <t>grade-dependent</t>
        </is>
      </c>
      <c r="H4327" t="inlineStr">
        <is>
          <t>S007_EXCIPIENTS_HANDBOOK</t>
        </is>
      </c>
      <c r="I4327" t="inlineStr">
        <is>
          <t>supplier-reported</t>
        </is>
      </c>
      <c r="J4327">
        <v>0.48</v>
      </c>
      <c r="K4327"/>
    </row>
    <row r="4328">
      <c r="A4328" t="inlineStr">
        <is>
          <t>CAR_MICROCRYSTALLINE_CELLULOSE</t>
        </is>
      </c>
      <c r="B4328" t="inlineStr">
        <is>
          <t>average_MW</t>
        </is>
      </c>
      <c r="C4328">
        <v>36000</v>
      </c>
      <c r="D4328" t="inlineStr">
        <is>
          <t>g/mol</t>
        </is>
      </c>
      <c r="E4328"/>
      <c r="F4328"/>
      <c r="G4328" t="inlineStr">
        <is>
          <t>grade-dependent</t>
        </is>
      </c>
      <c r="H4328" t="inlineStr">
        <is>
          <t>S007_EXCIPIENTS_HANDBOOK</t>
        </is>
      </c>
      <c r="I4328" t="inlineStr">
        <is>
          <t>supplier-reported</t>
        </is>
      </c>
      <c r="J4328">
        <v>0.45</v>
      </c>
      <c r="K4328"/>
    </row>
    <row r="4329">
      <c r="A4329" t="inlineStr">
        <is>
          <t>CAR_MICROCRYSTALLINE_CELLULOSE</t>
        </is>
      </c>
      <c r="B4329" t="inlineStr">
        <is>
          <t>carrier_type</t>
        </is>
      </c>
      <c r="C4329" t="inlineStr">
        <is>
          <t>insoluble carrier</t>
        </is>
      </c>
      <c r="D4329"/>
      <c r="E4329"/>
      <c r="F4329"/>
      <c r="G4329"/>
      <c r="H4329" t="inlineStr">
        <is>
          <t>S007_EXCIPIENTS_HANDBOOK</t>
        </is>
      </c>
      <c r="I4329" t="inlineStr">
        <is>
          <t>curated</t>
        </is>
      </c>
      <c r="J4329">
        <v>0.75</v>
      </c>
      <c r="K4329"/>
    </row>
    <row r="4330">
      <c r="A4330" t="inlineStr">
        <is>
          <t>CAR_MICROCRYSTALLINE_CELLULOSE</t>
        </is>
      </c>
      <c r="B4330" t="inlineStr">
        <is>
          <t>water_solubility</t>
        </is>
      </c>
      <c r="C4330" t="inlineStr">
        <is>
          <t>insoluble</t>
        </is>
      </c>
      <c r="D4330"/>
      <c r="E4330"/>
      <c r="F4330"/>
      <c r="G4330"/>
      <c r="H4330" t="inlineStr">
        <is>
          <t>S007_EXCIPIENTS_HANDBOOK</t>
        </is>
      </c>
      <c r="I4330" t="inlineStr">
        <is>
          <t>handbook</t>
        </is>
      </c>
      <c r="J4330">
        <v>0.65</v>
      </c>
      <c r="K4330"/>
    </row>
    <row r="4331">
      <c r="A4331" t="inlineStr">
        <is>
          <t>CAR_MICROCRYSTALLINE_CELLULOSE</t>
        </is>
      </c>
      <c r="B4331" t="inlineStr">
        <is>
          <t>hygroscopicity</t>
        </is>
      </c>
      <c r="C4331" t="inlineStr">
        <is>
          <t>low</t>
        </is>
      </c>
      <c r="D4331"/>
      <c r="E4331"/>
      <c r="F4331"/>
      <c r="G4331"/>
      <c r="H4331" t="inlineStr">
        <is>
          <t>S007_EXCIPIENTS_HANDBOOK</t>
        </is>
      </c>
      <c r="I4331" t="inlineStr">
        <is>
          <t>handbook</t>
        </is>
      </c>
      <c r="J4331">
        <v>0.55</v>
      </c>
      <c r="K4331"/>
    </row>
    <row r="4332">
      <c r="A4332" t="inlineStr">
        <is>
          <t>CAR_MICROCRYSTALLINE_CELLULOSE</t>
        </is>
      </c>
      <c r="B4332" t="inlineStr">
        <is>
          <t>cryoprotection_score</t>
        </is>
      </c>
      <c r="C4332">
        <v>1</v>
      </c>
      <c r="D4332" t="inlineStr">
        <is>
          <t>0-5</t>
        </is>
      </c>
      <c r="E4332"/>
      <c r="F4332"/>
      <c r="G4332" t="inlineStr">
        <is>
          <t>formulation heuristic</t>
        </is>
      </c>
      <c r="H4332" t="inlineStr">
        <is>
          <t>S014_AULTON</t>
        </is>
      </c>
      <c r="I4332" t="inlineStr">
        <is>
          <t>estimated</t>
        </is>
      </c>
      <c r="J4332">
        <v>0.45</v>
      </c>
      <c r="K4332"/>
    </row>
    <row r="4333">
      <c r="A4333" t="inlineStr">
        <is>
          <t>CAR_MICROCRYSTALLINE_CELLULOSE</t>
        </is>
      </c>
      <c r="B4333" t="inlineStr">
        <is>
          <t>proniosome_suitability_score</t>
        </is>
      </c>
      <c r="C4333">
        <v>4</v>
      </c>
      <c r="D4333" t="inlineStr">
        <is>
          <t>0-5</t>
        </is>
      </c>
      <c r="E4333"/>
      <c r="F4333"/>
      <c r="G4333" t="inlineStr">
        <is>
          <t>carrier loading/hydration heuristic</t>
        </is>
      </c>
      <c r="H4333" t="inlineStr">
        <is>
          <t>S014_AULTON</t>
        </is>
      </c>
      <c r="I4333" t="inlineStr">
        <is>
          <t>estimated</t>
        </is>
      </c>
      <c r="J4333">
        <v>0.45</v>
      </c>
      <c r="K4333"/>
    </row>
    <row r="4334">
      <c r="A4334" t="inlineStr">
        <is>
          <t>CAR_MICROCRYSTALLINE_CELLULOSE</t>
        </is>
      </c>
      <c r="B4334" t="inlineStr">
        <is>
          <t>spray_drying_suitability</t>
        </is>
      </c>
      <c r="C4334" t="inlineStr">
        <is>
          <t>no</t>
        </is>
      </c>
      <c r="D4334"/>
      <c r="E4334"/>
      <c r="F4334"/>
      <c r="G4334"/>
      <c r="H4334" t="inlineStr">
        <is>
          <t>S014_AULTON</t>
        </is>
      </c>
      <c r="I4334" t="inlineStr">
        <is>
          <t>curated</t>
        </is>
      </c>
      <c r="J4334">
        <v>0.55</v>
      </c>
      <c r="K4334"/>
    </row>
    <row r="4335">
      <c r="A4335" t="inlineStr">
        <is>
          <t>CAR_MICROCRYSTALLINE_CELLULOSE</t>
        </is>
      </c>
      <c r="B4335" t="inlineStr">
        <is>
          <t>inhalation_suitability</t>
        </is>
      </c>
      <c r="C4335" t="inlineStr">
        <is>
          <t>no</t>
        </is>
      </c>
      <c r="D4335"/>
      <c r="E4335"/>
      <c r="F4335"/>
      <c r="G4335"/>
      <c r="H4335" t="inlineStr">
        <is>
          <t>S014_AULTON</t>
        </is>
      </c>
      <c r="I4335" t="inlineStr">
        <is>
          <t>curated</t>
        </is>
      </c>
      <c r="J4335">
        <v>0.55</v>
      </c>
      <c r="K4335"/>
    </row>
    <row r="4336">
      <c r="A4336" t="inlineStr">
        <is>
          <t>CAR_MICROCRYSTALLINE_CELLULOSE</t>
        </is>
      </c>
      <c r="B4336" t="inlineStr">
        <is>
          <t>route_suitability</t>
        </is>
      </c>
      <c r="C4336" t="inlineStr">
        <is>
          <t>dry carrier/cryoprotectant; route-grade dependent</t>
        </is>
      </c>
      <c r="D4336"/>
      <c r="E4336"/>
      <c r="F4336"/>
      <c r="G4336"/>
      <c r="H4336" t="inlineStr">
        <is>
          <t>S008_FDA_IID</t>
        </is>
      </c>
      <c r="I4336" t="inlineStr">
        <is>
          <t>curated</t>
        </is>
      </c>
      <c r="J4336">
        <v>0.55</v>
      </c>
      <c r="K4336"/>
    </row>
    <row r="4337">
      <c r="A4337" t="inlineStr">
        <is>
          <t>CAR_MICROCRYSTALLINE_CELLULOSE</t>
        </is>
      </c>
      <c r="B4337" t="inlineStr">
        <is>
          <t>safety_notes</t>
        </is>
      </c>
      <c r="C4337" t="inlineStr">
        <is>
          <t>good solid carrier; not soluble</t>
        </is>
      </c>
      <c r="D4337"/>
      <c r="E4337"/>
      <c r="F4337"/>
      <c r="G4337"/>
      <c r="H4337" t="inlineStr">
        <is>
          <t>S007_EXCIPIENTS_HANDBOOK</t>
        </is>
      </c>
      <c r="I4337" t="inlineStr">
        <is>
          <t>curated</t>
        </is>
      </c>
      <c r="J4337">
        <v>0.65</v>
      </c>
      <c r="K4337"/>
    </row>
    <row r="4338">
      <c r="A4338" t="inlineStr">
        <is>
          <t>CAR_MICROCRYSTALLINE_CELLULOSE</t>
        </is>
      </c>
      <c r="B4338" t="inlineStr">
        <is>
          <t>bulk_density</t>
        </is>
      </c>
      <c r="C4338">
        <v>0.30</v>
      </c>
      <c r="D4338" t="inlineStr">
        <is>
          <t>g/mL</t>
        </is>
      </c>
      <c r="E4338"/>
      <c r="F4338"/>
      <c r="G4338" t="inlineStr">
        <is>
          <t>grade-dependent</t>
        </is>
      </c>
      <c r="H4338" t="inlineStr">
        <is>
          <t>S007_EXCIPIENTS_HANDBOOK</t>
        </is>
      </c>
      <c r="I4338" t="inlineStr">
        <is>
          <t>handbook</t>
        </is>
      </c>
      <c r="J4338">
        <v>0.48</v>
      </c>
      <c r="K4338"/>
    </row>
    <row r="4339">
      <c r="A4339" t="inlineStr">
        <is>
          <t>CAR_MICROCRYSTALLINE_CELLULOSE</t>
        </is>
      </c>
      <c r="B4339" t="inlineStr">
        <is>
          <t>tapped_density</t>
        </is>
      </c>
      <c r="C4339">
        <v>0.45</v>
      </c>
      <c r="D4339" t="inlineStr">
        <is>
          <t>g/mL</t>
        </is>
      </c>
      <c r="E4339"/>
      <c r="F4339"/>
      <c r="G4339" t="inlineStr">
        <is>
          <t>grade-dependent</t>
        </is>
      </c>
      <c r="H4339" t="inlineStr">
        <is>
          <t>S007_EXCIPIENTS_HANDBOOK</t>
        </is>
      </c>
      <c r="I4339" t="inlineStr">
        <is>
          <t>handbook</t>
        </is>
      </c>
      <c r="J4339">
        <v>0.48</v>
      </c>
      <c r="K4339"/>
    </row>
    <row r="4340">
      <c r="A4340" t="inlineStr">
        <is>
          <t>CAR_MICROCRYSTALLINE_CELLULOSE</t>
        </is>
      </c>
      <c r="B4340" t="inlineStr">
        <is>
          <t>porosity</t>
        </is>
      </c>
      <c r="C4340" t="inlineStr">
        <is>
          <t>porous grades</t>
        </is>
      </c>
      <c r="D4340"/>
      <c r="E4340"/>
      <c r="F4340"/>
      <c r="G4340" t="inlineStr">
        <is>
          <t>grade-dependent</t>
        </is>
      </c>
      <c r="H4340" t="inlineStr">
        <is>
          <t>S007_EXCIPIENTS_HANDBOOK</t>
        </is>
      </c>
      <c r="I4340" t="inlineStr">
        <is>
          <t>handbook</t>
        </is>
      </c>
      <c r="J4340">
        <v>0.48</v>
      </c>
      <c r="K4340"/>
    </row>
    <row r="4341">
      <c r="A4341" t="inlineStr">
        <is>
          <t>CAR_MICROCRYSTALLINE_CELLULOSE</t>
        </is>
      </c>
      <c r="B4341" t="inlineStr">
        <is>
          <t>particle_size_grade</t>
        </is>
      </c>
      <c r="C4341" t="inlineStr">
        <is>
          <t>Avicel/grade-dependent</t>
        </is>
      </c>
      <c r="D4341"/>
      <c r="E4341"/>
      <c r="F4341"/>
      <c r="G4341" t="inlineStr">
        <is>
          <t>grade-dependent</t>
        </is>
      </c>
      <c r="H4341" t="inlineStr">
        <is>
          <t>S007_EXCIPIENTS_HANDBOOK</t>
        </is>
      </c>
      <c r="I4341" t="inlineStr">
        <is>
          <t>supplier-reported</t>
        </is>
      </c>
      <c r="J4341">
        <v>0.48</v>
      </c>
      <c r="K4341"/>
    </row>
    <row r="4342">
      <c r="A4342" t="inlineStr">
        <is>
          <t>CAR_AEROSIL_COLLOIDAL_SILICON_DIOXIDE</t>
        </is>
      </c>
      <c r="B4342" t="inlineStr">
        <is>
          <t>average_MW</t>
        </is>
      </c>
      <c r="C4342">
        <v>60.08</v>
      </c>
      <c r="D4342" t="inlineStr">
        <is>
          <t>g/mol</t>
        </is>
      </c>
      <c r="E4342"/>
      <c r="F4342"/>
      <c r="G4342" t="inlineStr">
        <is>
          <t>grade-dependent</t>
        </is>
      </c>
      <c r="H4342" t="inlineStr">
        <is>
          <t>S007_EXCIPIENTS_HANDBOOK</t>
        </is>
      </c>
      <c r="I4342" t="inlineStr">
        <is>
          <t>supplier-reported</t>
        </is>
      </c>
      <c r="J4342">
        <v>0.45</v>
      </c>
      <c r="K4342"/>
    </row>
    <row r="4343">
      <c r="A4343" t="inlineStr">
        <is>
          <t>CAR_AEROSIL_COLLOIDAL_SILICON_DIOXIDE</t>
        </is>
      </c>
      <c r="B4343" t="inlineStr">
        <is>
          <t>carrier_type</t>
        </is>
      </c>
      <c r="C4343" t="inlineStr">
        <is>
          <t>porous adsorbent</t>
        </is>
      </c>
      <c r="D4343"/>
      <c r="E4343"/>
      <c r="F4343"/>
      <c r="G4343"/>
      <c r="H4343" t="inlineStr">
        <is>
          <t>S007_EXCIPIENTS_HANDBOOK</t>
        </is>
      </c>
      <c r="I4343" t="inlineStr">
        <is>
          <t>curated</t>
        </is>
      </c>
      <c r="J4343">
        <v>0.75</v>
      </c>
      <c r="K4343"/>
    </row>
    <row r="4344">
      <c r="A4344" t="inlineStr">
        <is>
          <t>CAR_AEROSIL_COLLOIDAL_SILICON_DIOXIDE</t>
        </is>
      </c>
      <c r="B4344" t="inlineStr">
        <is>
          <t>water_solubility</t>
        </is>
      </c>
      <c r="C4344" t="inlineStr">
        <is>
          <t>insoluble</t>
        </is>
      </c>
      <c r="D4344"/>
      <c r="E4344"/>
      <c r="F4344"/>
      <c r="G4344"/>
      <c r="H4344" t="inlineStr">
        <is>
          <t>S007_EXCIPIENTS_HANDBOOK</t>
        </is>
      </c>
      <c r="I4344" t="inlineStr">
        <is>
          <t>handbook</t>
        </is>
      </c>
      <c r="J4344">
        <v>0.65</v>
      </c>
      <c r="K4344"/>
    </row>
    <row r="4345">
      <c r="A4345" t="inlineStr">
        <is>
          <t>CAR_AEROSIL_COLLOIDAL_SILICON_DIOXIDE</t>
        </is>
      </c>
      <c r="B4345" t="inlineStr">
        <is>
          <t>hygroscopicity</t>
        </is>
      </c>
      <c r="C4345" t="inlineStr">
        <is>
          <t>hygroscopic</t>
        </is>
      </c>
      <c r="D4345"/>
      <c r="E4345"/>
      <c r="F4345"/>
      <c r="G4345"/>
      <c r="H4345" t="inlineStr">
        <is>
          <t>S007_EXCIPIENTS_HANDBOOK</t>
        </is>
      </c>
      <c r="I4345" t="inlineStr">
        <is>
          <t>handbook</t>
        </is>
      </c>
      <c r="J4345">
        <v>0.55</v>
      </c>
      <c r="K4345"/>
    </row>
    <row r="4346">
      <c r="A4346" t="inlineStr">
        <is>
          <t>CAR_AEROSIL_COLLOIDAL_SILICON_DIOXIDE</t>
        </is>
      </c>
      <c r="B4346" t="inlineStr">
        <is>
          <t>cryoprotection_score</t>
        </is>
      </c>
      <c r="C4346">
        <v>0</v>
      </c>
      <c r="D4346" t="inlineStr">
        <is>
          <t>0-5</t>
        </is>
      </c>
      <c r="E4346"/>
      <c r="F4346"/>
      <c r="G4346" t="inlineStr">
        <is>
          <t>formulation heuristic</t>
        </is>
      </c>
      <c r="H4346" t="inlineStr">
        <is>
          <t>S014_AULTON</t>
        </is>
      </c>
      <c r="I4346" t="inlineStr">
        <is>
          <t>estimated</t>
        </is>
      </c>
      <c r="J4346">
        <v>0.45</v>
      </c>
      <c r="K4346"/>
    </row>
    <row r="4347">
      <c r="A4347" t="inlineStr">
        <is>
          <t>CAR_AEROSIL_COLLOIDAL_SILICON_DIOXIDE</t>
        </is>
      </c>
      <c r="B4347" t="inlineStr">
        <is>
          <t>proniosome_suitability_score</t>
        </is>
      </c>
      <c r="C4347">
        <v>5</v>
      </c>
      <c r="D4347" t="inlineStr">
        <is>
          <t>0-5</t>
        </is>
      </c>
      <c r="E4347"/>
      <c r="F4347"/>
      <c r="G4347" t="inlineStr">
        <is>
          <t>carrier loading/hydration heuristic</t>
        </is>
      </c>
      <c r="H4347" t="inlineStr">
        <is>
          <t>S014_AULTON</t>
        </is>
      </c>
      <c r="I4347" t="inlineStr">
        <is>
          <t>estimated</t>
        </is>
      </c>
      <c r="J4347">
        <v>0.45</v>
      </c>
      <c r="K4347"/>
    </row>
    <row r="4348">
      <c r="A4348" t="inlineStr">
        <is>
          <t>CAR_AEROSIL_COLLOIDAL_SILICON_DIOXIDE</t>
        </is>
      </c>
      <c r="B4348" t="inlineStr">
        <is>
          <t>spray_drying_suitability</t>
        </is>
      </c>
      <c r="C4348" t="inlineStr">
        <is>
          <t>yes</t>
        </is>
      </c>
      <c r="D4348"/>
      <c r="E4348"/>
      <c r="F4348"/>
      <c r="G4348"/>
      <c r="H4348" t="inlineStr">
        <is>
          <t>S014_AULTON</t>
        </is>
      </c>
      <c r="I4348" t="inlineStr">
        <is>
          <t>curated</t>
        </is>
      </c>
      <c r="J4348">
        <v>0.55</v>
      </c>
      <c r="K4348"/>
    </row>
    <row r="4349">
      <c r="A4349" t="inlineStr">
        <is>
          <t>CAR_AEROSIL_COLLOIDAL_SILICON_DIOXIDE</t>
        </is>
      </c>
      <c r="B4349" t="inlineStr">
        <is>
          <t>inhalation_suitability</t>
        </is>
      </c>
      <c r="C4349" t="inlineStr">
        <is>
          <t>conditional</t>
        </is>
      </c>
      <c r="D4349"/>
      <c r="E4349"/>
      <c r="F4349"/>
      <c r="G4349"/>
      <c r="H4349" t="inlineStr">
        <is>
          <t>S014_AULTON</t>
        </is>
      </c>
      <c r="I4349" t="inlineStr">
        <is>
          <t>curated</t>
        </is>
      </c>
      <c r="J4349">
        <v>0.55</v>
      </c>
      <c r="K4349"/>
    </row>
    <row r="4350">
      <c r="A4350" t="inlineStr">
        <is>
          <t>CAR_AEROSIL_COLLOIDAL_SILICON_DIOXIDE</t>
        </is>
      </c>
      <c r="B4350" t="inlineStr">
        <is>
          <t>route_suitability</t>
        </is>
      </c>
      <c r="C4350" t="inlineStr">
        <is>
          <t>dry carrier/cryoprotectant; route-grade dependent</t>
        </is>
      </c>
      <c r="D4350"/>
      <c r="E4350"/>
      <c r="F4350"/>
      <c r="G4350"/>
      <c r="H4350" t="inlineStr">
        <is>
          <t>S008_FDA_IID</t>
        </is>
      </c>
      <c r="I4350" t="inlineStr">
        <is>
          <t>curated</t>
        </is>
      </c>
      <c r="J4350">
        <v>0.55</v>
      </c>
      <c r="K4350"/>
    </row>
    <row r="4351">
      <c r="A4351" t="inlineStr">
        <is>
          <t>CAR_AEROSIL_COLLOIDAL_SILICON_DIOXIDE</t>
        </is>
      </c>
      <c r="B4351" t="inlineStr">
        <is>
          <t>safety_notes</t>
        </is>
      </c>
      <c r="C4351" t="inlineStr">
        <is>
          <t>high surface area adsorbent; inhalation safety caution</t>
        </is>
      </c>
      <c r="D4351"/>
      <c r="E4351"/>
      <c r="F4351"/>
      <c r="G4351"/>
      <c r="H4351" t="inlineStr">
        <is>
          <t>S007_EXCIPIENTS_HANDBOOK</t>
        </is>
      </c>
      <c r="I4351" t="inlineStr">
        <is>
          <t>curated</t>
        </is>
      </c>
      <c r="J4351">
        <v>0.65</v>
      </c>
      <c r="K4351"/>
    </row>
    <row r="4352">
      <c r="A4352" t="inlineStr">
        <is>
          <t>CAR_AEROSIL_COLLOIDAL_SILICON_DIOXIDE</t>
        </is>
      </c>
      <c r="B4352" t="inlineStr">
        <is>
          <t>bulk_density</t>
        </is>
      </c>
      <c r="C4352">
        <v>0.05</v>
      </c>
      <c r="D4352" t="inlineStr">
        <is>
          <t>g/mL</t>
        </is>
      </c>
      <c r="E4352"/>
      <c r="F4352"/>
      <c r="G4352" t="inlineStr">
        <is>
          <t>grade-dependent</t>
        </is>
      </c>
      <c r="H4352" t="inlineStr">
        <is>
          <t>S007_EXCIPIENTS_HANDBOOK</t>
        </is>
      </c>
      <c r="I4352" t="inlineStr">
        <is>
          <t>handbook</t>
        </is>
      </c>
      <c r="J4352">
        <v>0.48</v>
      </c>
      <c r="K4352"/>
    </row>
    <row r="4353">
      <c r="A4353" t="inlineStr">
        <is>
          <t>CAR_AEROSIL_COLLOIDAL_SILICON_DIOXIDE</t>
        </is>
      </c>
      <c r="B4353" t="inlineStr">
        <is>
          <t>tapped_density</t>
        </is>
      </c>
      <c r="C4353">
        <v>0.08</v>
      </c>
      <c r="D4353" t="inlineStr">
        <is>
          <t>g/mL</t>
        </is>
      </c>
      <c r="E4353"/>
      <c r="F4353"/>
      <c r="G4353" t="inlineStr">
        <is>
          <t>grade-dependent</t>
        </is>
      </c>
      <c r="H4353" t="inlineStr">
        <is>
          <t>S007_EXCIPIENTS_HANDBOOK</t>
        </is>
      </c>
      <c r="I4353" t="inlineStr">
        <is>
          <t>handbook</t>
        </is>
      </c>
      <c r="J4353">
        <v>0.48</v>
      </c>
      <c r="K4353"/>
    </row>
    <row r="4354">
      <c r="A4354" t="inlineStr">
        <is>
          <t>CAR_AEROSIL_COLLOIDAL_SILICON_DIOXIDE</t>
        </is>
      </c>
      <c r="B4354" t="inlineStr">
        <is>
          <t>surface_area_m2_g</t>
        </is>
      </c>
      <c r="C4354">
        <v>200</v>
      </c>
      <c r="D4354" t="inlineStr">
        <is>
          <t>m2/g</t>
        </is>
      </c>
      <c r="E4354"/>
      <c r="F4354"/>
      <c r="G4354" t="inlineStr">
        <is>
          <t>grade-dependent</t>
        </is>
      </c>
      <c r="H4354" t="inlineStr">
        <is>
          <t>S007_EXCIPIENTS_HANDBOOK</t>
        </is>
      </c>
      <c r="I4354" t="inlineStr">
        <is>
          <t>supplier-reported</t>
        </is>
      </c>
      <c r="J4354">
        <v>0.48</v>
      </c>
      <c r="K4354"/>
    </row>
    <row r="4355">
      <c r="A4355" t="inlineStr">
        <is>
          <t>CAR_AEROSIL_COLLOIDAL_SILICON_DIOXIDE</t>
        </is>
      </c>
      <c r="B4355" t="inlineStr">
        <is>
          <t>porosity</t>
        </is>
      </c>
      <c r="C4355" t="inlineStr">
        <is>
          <t>high</t>
        </is>
      </c>
      <c r="D4355"/>
      <c r="E4355"/>
      <c r="F4355"/>
      <c r="G4355" t="inlineStr">
        <is>
          <t>grade-dependent</t>
        </is>
      </c>
      <c r="H4355" t="inlineStr">
        <is>
          <t>S007_EXCIPIENTS_HANDBOOK</t>
        </is>
      </c>
      <c r="I4355" t="inlineStr">
        <is>
          <t>handbook</t>
        </is>
      </c>
      <c r="J4355">
        <v>0.48</v>
      </c>
      <c r="K4355"/>
    </row>
    <row r="4356">
      <c r="A4356" t="inlineStr">
        <is>
          <t>CAR_AEROSIL_COLLOIDAL_SILICON_DIOXIDE</t>
        </is>
      </c>
      <c r="B4356" t="inlineStr">
        <is>
          <t>particle_size_grade</t>
        </is>
      </c>
      <c r="C4356" t="inlineStr">
        <is>
          <t>Aerosil 200-like</t>
        </is>
      </c>
      <c r="D4356"/>
      <c r="E4356"/>
      <c r="F4356"/>
      <c r="G4356" t="inlineStr">
        <is>
          <t>grade-dependent</t>
        </is>
      </c>
      <c r="H4356" t="inlineStr">
        <is>
          <t>S007_EXCIPIENTS_HANDBOOK</t>
        </is>
      </c>
      <c r="I4356" t="inlineStr">
        <is>
          <t>supplier-reported</t>
        </is>
      </c>
      <c r="J4356">
        <v>0.48</v>
      </c>
      <c r="K4356"/>
    </row>
    <row r="4357">
      <c r="A4357" t="inlineStr">
        <is>
          <t>CAR_CALCIUM_CARBONATE</t>
        </is>
      </c>
      <c r="B4357" t="inlineStr">
        <is>
          <t>molecular_weight_g_mol</t>
        </is>
      </c>
      <c r="C4357">
        <v>100.09</v>
      </c>
      <c r="D4357" t="inlineStr">
        <is>
          <t>g/mol</t>
        </is>
      </c>
      <c r="E4357"/>
      <c r="F4357"/>
      <c r="G4357"/>
      <c r="H4357" t="inlineStr">
        <is>
          <t>S001_PUBCHEM</t>
        </is>
      </c>
      <c r="I4357" t="inlineStr">
        <is>
          <t>database-derived</t>
        </is>
      </c>
      <c r="J4357">
        <v>0.78</v>
      </c>
      <c r="K4357"/>
    </row>
    <row r="4358">
      <c r="A4358" t="inlineStr">
        <is>
          <t>CAR_CALCIUM_CARBONATE</t>
        </is>
      </c>
      <c r="B4358" t="inlineStr">
        <is>
          <t>carrier_type</t>
        </is>
      </c>
      <c r="C4358" t="inlineStr">
        <is>
          <t>inorganic carrier</t>
        </is>
      </c>
      <c r="D4358"/>
      <c r="E4358"/>
      <c r="F4358"/>
      <c r="G4358"/>
      <c r="H4358" t="inlineStr">
        <is>
          <t>S007_EXCIPIENTS_HANDBOOK</t>
        </is>
      </c>
      <c r="I4358" t="inlineStr">
        <is>
          <t>curated</t>
        </is>
      </c>
      <c r="J4358">
        <v>0.75</v>
      </c>
      <c r="K4358"/>
    </row>
    <row r="4359">
      <c r="A4359" t="inlineStr">
        <is>
          <t>CAR_CALCIUM_CARBONATE</t>
        </is>
      </c>
      <c r="B4359" t="inlineStr">
        <is>
          <t>water_solubility</t>
        </is>
      </c>
      <c r="C4359" t="inlineStr">
        <is>
          <t>insoluble</t>
        </is>
      </c>
      <c r="D4359"/>
      <c r="E4359"/>
      <c r="F4359"/>
      <c r="G4359"/>
      <c r="H4359" t="inlineStr">
        <is>
          <t>S007_EXCIPIENTS_HANDBOOK</t>
        </is>
      </c>
      <c r="I4359" t="inlineStr">
        <is>
          <t>handbook</t>
        </is>
      </c>
      <c r="J4359">
        <v>0.65</v>
      </c>
      <c r="K4359"/>
    </row>
    <row r="4360">
      <c r="A4360" t="inlineStr">
        <is>
          <t>CAR_CALCIUM_CARBONATE</t>
        </is>
      </c>
      <c r="B4360" t="inlineStr">
        <is>
          <t>hygroscopicity</t>
        </is>
      </c>
      <c r="C4360" t="inlineStr">
        <is>
          <t>low</t>
        </is>
      </c>
      <c r="D4360"/>
      <c r="E4360"/>
      <c r="F4360"/>
      <c r="G4360"/>
      <c r="H4360" t="inlineStr">
        <is>
          <t>S007_EXCIPIENTS_HANDBOOK</t>
        </is>
      </c>
      <c r="I4360" t="inlineStr">
        <is>
          <t>handbook</t>
        </is>
      </c>
      <c r="J4360">
        <v>0.55</v>
      </c>
      <c r="K4360"/>
    </row>
    <row r="4361">
      <c r="A4361" t="inlineStr">
        <is>
          <t>CAR_CALCIUM_CARBONATE</t>
        </is>
      </c>
      <c r="B4361" t="inlineStr">
        <is>
          <t>cryoprotection_score</t>
        </is>
      </c>
      <c r="C4361">
        <v>0</v>
      </c>
      <c r="D4361" t="inlineStr">
        <is>
          <t>0-5</t>
        </is>
      </c>
      <c r="E4361"/>
      <c r="F4361"/>
      <c r="G4361" t="inlineStr">
        <is>
          <t>formulation heuristic</t>
        </is>
      </c>
      <c r="H4361" t="inlineStr">
        <is>
          <t>S014_AULTON</t>
        </is>
      </c>
      <c r="I4361" t="inlineStr">
        <is>
          <t>estimated</t>
        </is>
      </c>
      <c r="J4361">
        <v>0.45</v>
      </c>
      <c r="K4361"/>
    </row>
    <row r="4362">
      <c r="A4362" t="inlineStr">
        <is>
          <t>CAR_CALCIUM_CARBONATE</t>
        </is>
      </c>
      <c r="B4362" t="inlineStr">
        <is>
          <t>proniosome_suitability_score</t>
        </is>
      </c>
      <c r="C4362">
        <v>2</v>
      </c>
      <c r="D4362" t="inlineStr">
        <is>
          <t>0-5</t>
        </is>
      </c>
      <c r="E4362"/>
      <c r="F4362"/>
      <c r="G4362" t="inlineStr">
        <is>
          <t>carrier loading/hydration heuristic</t>
        </is>
      </c>
      <c r="H4362" t="inlineStr">
        <is>
          <t>S014_AULTON</t>
        </is>
      </c>
      <c r="I4362" t="inlineStr">
        <is>
          <t>estimated</t>
        </is>
      </c>
      <c r="J4362">
        <v>0.45</v>
      </c>
      <c r="K4362"/>
    </row>
    <row r="4363">
      <c r="A4363" t="inlineStr">
        <is>
          <t>CAR_CALCIUM_CARBONATE</t>
        </is>
      </c>
      <c r="B4363" t="inlineStr">
        <is>
          <t>spray_drying_suitability</t>
        </is>
      </c>
      <c r="C4363" t="inlineStr">
        <is>
          <t>no</t>
        </is>
      </c>
      <c r="D4363"/>
      <c r="E4363"/>
      <c r="F4363"/>
      <c r="G4363"/>
      <c r="H4363" t="inlineStr">
        <is>
          <t>S014_AULTON</t>
        </is>
      </c>
      <c r="I4363" t="inlineStr">
        <is>
          <t>curated</t>
        </is>
      </c>
      <c r="J4363">
        <v>0.55</v>
      </c>
      <c r="K4363"/>
    </row>
    <row r="4364">
      <c r="A4364" t="inlineStr">
        <is>
          <t>CAR_CALCIUM_CARBONATE</t>
        </is>
      </c>
      <c r="B4364" t="inlineStr">
        <is>
          <t>inhalation_suitability</t>
        </is>
      </c>
      <c r="C4364" t="inlineStr">
        <is>
          <t>no</t>
        </is>
      </c>
      <c r="D4364"/>
      <c r="E4364"/>
      <c r="F4364"/>
      <c r="G4364"/>
      <c r="H4364" t="inlineStr">
        <is>
          <t>S014_AULTON</t>
        </is>
      </c>
      <c r="I4364" t="inlineStr">
        <is>
          <t>curated</t>
        </is>
      </c>
      <c r="J4364">
        <v>0.55</v>
      </c>
      <c r="K4364"/>
    </row>
    <row r="4365">
      <c r="A4365" t="inlineStr">
        <is>
          <t>CAR_CALCIUM_CARBONATE</t>
        </is>
      </c>
      <c r="B4365" t="inlineStr">
        <is>
          <t>route_suitability</t>
        </is>
      </c>
      <c r="C4365" t="inlineStr">
        <is>
          <t>dry carrier/cryoprotectant; route-grade dependent</t>
        </is>
      </c>
      <c r="D4365"/>
      <c r="E4365"/>
      <c r="F4365"/>
      <c r="G4365"/>
      <c r="H4365" t="inlineStr">
        <is>
          <t>S008_FDA_IID</t>
        </is>
      </c>
      <c r="I4365" t="inlineStr">
        <is>
          <t>curated</t>
        </is>
      </c>
      <c r="J4365">
        <v>0.55</v>
      </c>
      <c r="K4365"/>
    </row>
    <row r="4366">
      <c r="A4366" t="inlineStr">
        <is>
          <t>CAR_CALCIUM_CARBONATE</t>
        </is>
      </c>
      <c r="B4366" t="inlineStr">
        <is>
          <t>safety_notes</t>
        </is>
      </c>
      <c r="C4366" t="inlineStr">
        <is>
          <t>alkaline; can interact with acids</t>
        </is>
      </c>
      <c r="D4366"/>
      <c r="E4366"/>
      <c r="F4366"/>
      <c r="G4366"/>
      <c r="H4366" t="inlineStr">
        <is>
          <t>S007_EXCIPIENTS_HANDBOOK</t>
        </is>
      </c>
      <c r="I4366" t="inlineStr">
        <is>
          <t>curated</t>
        </is>
      </c>
      <c r="J4366">
        <v>0.65</v>
      </c>
      <c r="K4366"/>
    </row>
    <row r="4367">
      <c r="A4367" t="inlineStr">
        <is>
          <t>CAR_CALCIUM_CARBONATE</t>
        </is>
      </c>
      <c r="B4367" t="inlineStr">
        <is>
          <t>melting_point_C</t>
        </is>
      </c>
      <c r="C4367">
        <v>825</v>
      </c>
      <c r="D4367" t="inlineStr">
        <is>
          <t>°C</t>
        </is>
      </c>
      <c r="E4367"/>
      <c r="F4367"/>
      <c r="G4367" t="inlineStr">
        <is>
          <t>grade-dependent</t>
        </is>
      </c>
      <c r="H4367" t="inlineStr">
        <is>
          <t>S007_EXCIPIENTS_HANDBOOK</t>
        </is>
      </c>
      <c r="I4367" t="inlineStr">
        <is>
          <t>handbook</t>
        </is>
      </c>
      <c r="J4367">
        <v>0.48</v>
      </c>
      <c r="K4367"/>
    </row>
    <row r="4368">
      <c r="A4368" t="inlineStr">
        <is>
          <t>CAR_CALCIUM_CARBONATE</t>
        </is>
      </c>
      <c r="B4368" t="inlineStr">
        <is>
          <t>bulk_density</t>
        </is>
      </c>
      <c r="C4368">
        <v>1.0</v>
      </c>
      <c r="D4368" t="inlineStr">
        <is>
          <t>g/mL</t>
        </is>
      </c>
      <c r="E4368"/>
      <c r="F4368"/>
      <c r="G4368" t="inlineStr">
        <is>
          <t>grade-dependent</t>
        </is>
      </c>
      <c r="H4368" t="inlineStr">
        <is>
          <t>S007_EXCIPIENTS_HANDBOOK</t>
        </is>
      </c>
      <c r="I4368" t="inlineStr">
        <is>
          <t>handbook</t>
        </is>
      </c>
      <c r="J4368">
        <v>0.48</v>
      </c>
      <c r="K4368"/>
    </row>
    <row r="4369">
      <c r="A4369" t="inlineStr">
        <is>
          <t>CAR_CALCIUM_CARBONATE</t>
        </is>
      </c>
      <c r="B4369" t="inlineStr">
        <is>
          <t>tapped_density</t>
        </is>
      </c>
      <c r="C4369">
        <v>1.4</v>
      </c>
      <c r="D4369" t="inlineStr">
        <is>
          <t>g/mL</t>
        </is>
      </c>
      <c r="E4369"/>
      <c r="F4369"/>
      <c r="G4369" t="inlineStr">
        <is>
          <t>grade-dependent</t>
        </is>
      </c>
      <c r="H4369" t="inlineStr">
        <is>
          <t>S007_EXCIPIENTS_HANDBOOK</t>
        </is>
      </c>
      <c r="I4369" t="inlineStr">
        <is>
          <t>handbook</t>
        </is>
      </c>
      <c r="J4369">
        <v>0.48</v>
      </c>
      <c r="K4369"/>
    </row>
    <row r="4370">
      <c r="A4370" t="inlineStr">
        <is>
          <t>CAR_PREGELATINIZED_STARCH</t>
        </is>
      </c>
      <c r="B4370" t="inlineStr">
        <is>
          <t>average_MW</t>
        </is>
      </c>
      <c r="C4370">
        <v>50000</v>
      </c>
      <c r="D4370" t="inlineStr">
        <is>
          <t>g/mol</t>
        </is>
      </c>
      <c r="E4370"/>
      <c r="F4370"/>
      <c r="G4370" t="inlineStr">
        <is>
          <t>grade-dependent</t>
        </is>
      </c>
      <c r="H4370" t="inlineStr">
        <is>
          <t>S007_EXCIPIENTS_HANDBOOK</t>
        </is>
      </c>
      <c r="I4370" t="inlineStr">
        <is>
          <t>supplier-reported</t>
        </is>
      </c>
      <c r="J4370">
        <v>0.45</v>
      </c>
      <c r="K4370"/>
    </row>
    <row r="4371">
      <c r="A4371" t="inlineStr">
        <is>
          <t>CAR_PREGELATINIZED_STARCH</t>
        </is>
      </c>
      <c r="B4371" t="inlineStr">
        <is>
          <t>carrier_type</t>
        </is>
      </c>
      <c r="C4371" t="inlineStr">
        <is>
          <t>starch derivative</t>
        </is>
      </c>
      <c r="D4371"/>
      <c r="E4371"/>
      <c r="F4371"/>
      <c r="G4371"/>
      <c r="H4371" t="inlineStr">
        <is>
          <t>S007_EXCIPIENTS_HANDBOOK</t>
        </is>
      </c>
      <c r="I4371" t="inlineStr">
        <is>
          <t>curated</t>
        </is>
      </c>
      <c r="J4371">
        <v>0.75</v>
      </c>
      <c r="K4371"/>
    </row>
    <row r="4372">
      <c r="A4372" t="inlineStr">
        <is>
          <t>CAR_PREGELATINIZED_STARCH</t>
        </is>
      </c>
      <c r="B4372" t="inlineStr">
        <is>
          <t>water_solubility</t>
        </is>
      </c>
      <c r="C4372" t="inlineStr">
        <is>
          <t>swells</t>
        </is>
      </c>
      <c r="D4372"/>
      <c r="E4372"/>
      <c r="F4372"/>
      <c r="G4372"/>
      <c r="H4372" t="inlineStr">
        <is>
          <t>S007_EXCIPIENTS_HANDBOOK</t>
        </is>
      </c>
      <c r="I4372" t="inlineStr">
        <is>
          <t>handbook</t>
        </is>
      </c>
      <c r="J4372">
        <v>0.65</v>
      </c>
      <c r="K4372"/>
    </row>
    <row r="4373">
      <c r="A4373" t="inlineStr">
        <is>
          <t>CAR_PREGELATINIZED_STARCH</t>
        </is>
      </c>
      <c r="B4373" t="inlineStr">
        <is>
          <t>hygroscopicity</t>
        </is>
      </c>
      <c r="C4373" t="inlineStr">
        <is>
          <t>moderate</t>
        </is>
      </c>
      <c r="D4373"/>
      <c r="E4373"/>
      <c r="F4373"/>
      <c r="G4373"/>
      <c r="H4373" t="inlineStr">
        <is>
          <t>S007_EXCIPIENTS_HANDBOOK</t>
        </is>
      </c>
      <c r="I4373" t="inlineStr">
        <is>
          <t>handbook</t>
        </is>
      </c>
      <c r="J4373">
        <v>0.55</v>
      </c>
      <c r="K4373"/>
    </row>
    <row r="4374">
      <c r="A4374" t="inlineStr">
        <is>
          <t>CAR_PREGELATINIZED_STARCH</t>
        </is>
      </c>
      <c r="B4374" t="inlineStr">
        <is>
          <t>cryoprotection_score</t>
        </is>
      </c>
      <c r="C4374">
        <v>1</v>
      </c>
      <c r="D4374" t="inlineStr">
        <is>
          <t>0-5</t>
        </is>
      </c>
      <c r="E4374"/>
      <c r="F4374"/>
      <c r="G4374" t="inlineStr">
        <is>
          <t>formulation heuristic</t>
        </is>
      </c>
      <c r="H4374" t="inlineStr">
        <is>
          <t>S014_AULTON</t>
        </is>
      </c>
      <c r="I4374" t="inlineStr">
        <is>
          <t>estimated</t>
        </is>
      </c>
      <c r="J4374">
        <v>0.45</v>
      </c>
      <c r="K4374"/>
    </row>
    <row r="4375">
      <c r="A4375" t="inlineStr">
        <is>
          <t>CAR_PREGELATINIZED_STARCH</t>
        </is>
      </c>
      <c r="B4375" t="inlineStr">
        <is>
          <t>proniosome_suitability_score</t>
        </is>
      </c>
      <c r="C4375">
        <v>3</v>
      </c>
      <c r="D4375" t="inlineStr">
        <is>
          <t>0-5</t>
        </is>
      </c>
      <c r="E4375"/>
      <c r="F4375"/>
      <c r="G4375" t="inlineStr">
        <is>
          <t>carrier loading/hydration heuristic</t>
        </is>
      </c>
      <c r="H4375" t="inlineStr">
        <is>
          <t>S014_AULTON</t>
        </is>
      </c>
      <c r="I4375" t="inlineStr">
        <is>
          <t>estimated</t>
        </is>
      </c>
      <c r="J4375">
        <v>0.45</v>
      </c>
      <c r="K4375"/>
    </row>
    <row r="4376">
      <c r="A4376" t="inlineStr">
        <is>
          <t>CAR_PREGELATINIZED_STARCH</t>
        </is>
      </c>
      <c r="B4376" t="inlineStr">
        <is>
          <t>spray_drying_suitability</t>
        </is>
      </c>
      <c r="C4376" t="inlineStr">
        <is>
          <t>conditional</t>
        </is>
      </c>
      <c r="D4376"/>
      <c r="E4376"/>
      <c r="F4376"/>
      <c r="G4376"/>
      <c r="H4376" t="inlineStr">
        <is>
          <t>S014_AULTON</t>
        </is>
      </c>
      <c r="I4376" t="inlineStr">
        <is>
          <t>curated</t>
        </is>
      </c>
      <c r="J4376">
        <v>0.55</v>
      </c>
      <c r="K4376"/>
    </row>
    <row r="4377">
      <c r="A4377" t="inlineStr">
        <is>
          <t>CAR_PREGELATINIZED_STARCH</t>
        </is>
      </c>
      <c r="B4377" t="inlineStr">
        <is>
          <t>inhalation_suitability</t>
        </is>
      </c>
      <c r="C4377" t="inlineStr">
        <is>
          <t>no</t>
        </is>
      </c>
      <c r="D4377"/>
      <c r="E4377"/>
      <c r="F4377"/>
      <c r="G4377"/>
      <c r="H4377" t="inlineStr">
        <is>
          <t>S014_AULTON</t>
        </is>
      </c>
      <c r="I4377" t="inlineStr">
        <is>
          <t>curated</t>
        </is>
      </c>
      <c r="J4377">
        <v>0.55</v>
      </c>
      <c r="K4377"/>
    </row>
    <row r="4378">
      <c r="A4378" t="inlineStr">
        <is>
          <t>CAR_PREGELATINIZED_STARCH</t>
        </is>
      </c>
      <c r="B4378" t="inlineStr">
        <is>
          <t>route_suitability</t>
        </is>
      </c>
      <c r="C4378" t="inlineStr">
        <is>
          <t>dry carrier/cryoprotectant; route-grade dependent</t>
        </is>
      </c>
      <c r="D4378"/>
      <c r="E4378"/>
      <c r="F4378"/>
      <c r="G4378"/>
      <c r="H4378" t="inlineStr">
        <is>
          <t>S008_FDA_IID</t>
        </is>
      </c>
      <c r="I4378" t="inlineStr">
        <is>
          <t>curated</t>
        </is>
      </c>
      <c r="J4378">
        <v>0.55</v>
      </c>
      <c r="K4378"/>
    </row>
    <row r="4379">
      <c r="A4379" t="inlineStr">
        <is>
          <t>CAR_PREGELATINIZED_STARCH</t>
        </is>
      </c>
      <c r="B4379" t="inlineStr">
        <is>
          <t>safety_notes</t>
        </is>
      </c>
      <c r="C4379" t="inlineStr">
        <is>
          <t>swelling carrier/disintegrant</t>
        </is>
      </c>
      <c r="D4379"/>
      <c r="E4379"/>
      <c r="F4379"/>
      <c r="G4379"/>
      <c r="H4379" t="inlineStr">
        <is>
          <t>S007_EXCIPIENTS_HANDBOOK</t>
        </is>
      </c>
      <c r="I4379" t="inlineStr">
        <is>
          <t>curated</t>
        </is>
      </c>
      <c r="J4379">
        <v>0.65</v>
      </c>
      <c r="K4379"/>
    </row>
    <row r="4380">
      <c r="A4380" t="inlineStr">
        <is>
          <t>CAR_PREGELATINIZED_STARCH</t>
        </is>
      </c>
      <c r="B4380" t="inlineStr">
        <is>
          <t>bulk_density</t>
        </is>
      </c>
      <c r="C4380">
        <v>0.45</v>
      </c>
      <c r="D4380" t="inlineStr">
        <is>
          <t>g/mL</t>
        </is>
      </c>
      <c r="E4380"/>
      <c r="F4380"/>
      <c r="G4380" t="inlineStr">
        <is>
          <t>grade-dependent</t>
        </is>
      </c>
      <c r="H4380" t="inlineStr">
        <is>
          <t>S007_EXCIPIENTS_HANDBOOK</t>
        </is>
      </c>
      <c r="I4380" t="inlineStr">
        <is>
          <t>handbook</t>
        </is>
      </c>
      <c r="J4380">
        <v>0.48</v>
      </c>
      <c r="K4380"/>
    </row>
    <row r="4381">
      <c r="A4381" t="inlineStr">
        <is>
          <t>CAR_PREGELATINIZED_STARCH</t>
        </is>
      </c>
      <c r="B4381" t="inlineStr">
        <is>
          <t>tapped_density</t>
        </is>
      </c>
      <c r="C4381">
        <v>0.65</v>
      </c>
      <c r="D4381" t="inlineStr">
        <is>
          <t>g/mL</t>
        </is>
      </c>
      <c r="E4381"/>
      <c r="F4381"/>
      <c r="G4381" t="inlineStr">
        <is>
          <t>grade-dependent</t>
        </is>
      </c>
      <c r="H4381" t="inlineStr">
        <is>
          <t>S007_EXCIPIENTS_HANDBOOK</t>
        </is>
      </c>
      <c r="I4381" t="inlineStr">
        <is>
          <t>handbook</t>
        </is>
      </c>
      <c r="J4381">
        <v>0.48</v>
      </c>
      <c r="K4381"/>
    </row>
    <row r="4382">
      <c r="A4382" t="inlineStr">
        <is>
          <t>CAR_L_LEUCINE</t>
        </is>
      </c>
      <c r="B4382" t="inlineStr">
        <is>
          <t>molecular_weight_g_mol</t>
        </is>
      </c>
      <c r="C4382">
        <v>131.17</v>
      </c>
      <c r="D4382" t="inlineStr">
        <is>
          <t>g/mol</t>
        </is>
      </c>
      <c r="E4382"/>
      <c r="F4382"/>
      <c r="G4382"/>
      <c r="H4382" t="inlineStr">
        <is>
          <t>S001_PUBCHEM</t>
        </is>
      </c>
      <c r="I4382" t="inlineStr">
        <is>
          <t>database-derived</t>
        </is>
      </c>
      <c r="J4382">
        <v>0.78</v>
      </c>
      <c r="K4382"/>
    </row>
    <row r="4383">
      <c r="A4383" t="inlineStr">
        <is>
          <t>CAR_L_LEUCINE</t>
        </is>
      </c>
      <c r="B4383" t="inlineStr">
        <is>
          <t>carrier_type</t>
        </is>
      </c>
      <c r="C4383" t="inlineStr">
        <is>
          <t>amino acid / inhalation dispersibility enhancer</t>
        </is>
      </c>
      <c r="D4383"/>
      <c r="E4383"/>
      <c r="F4383"/>
      <c r="G4383"/>
      <c r="H4383" t="inlineStr">
        <is>
          <t>S007_EXCIPIENTS_HANDBOOK</t>
        </is>
      </c>
      <c r="I4383" t="inlineStr">
        <is>
          <t>curated</t>
        </is>
      </c>
      <c r="J4383">
        <v>0.75</v>
      </c>
      <c r="K4383"/>
    </row>
    <row r="4384">
      <c r="A4384" t="inlineStr">
        <is>
          <t>CAR_L_LEUCINE</t>
        </is>
      </c>
      <c r="B4384" t="inlineStr">
        <is>
          <t>water_solubility</t>
        </is>
      </c>
      <c r="C4384" t="inlineStr">
        <is>
          <t>moderate</t>
        </is>
      </c>
      <c r="D4384"/>
      <c r="E4384"/>
      <c r="F4384"/>
      <c r="G4384"/>
      <c r="H4384" t="inlineStr">
        <is>
          <t>S007_EXCIPIENTS_HANDBOOK</t>
        </is>
      </c>
      <c r="I4384" t="inlineStr">
        <is>
          <t>handbook</t>
        </is>
      </c>
      <c r="J4384">
        <v>0.65</v>
      </c>
      <c r="K4384"/>
    </row>
    <row r="4385">
      <c r="A4385" t="inlineStr">
        <is>
          <t>CAR_L_LEUCINE</t>
        </is>
      </c>
      <c r="B4385" t="inlineStr">
        <is>
          <t>hygroscopicity</t>
        </is>
      </c>
      <c r="C4385" t="inlineStr">
        <is>
          <t>low</t>
        </is>
      </c>
      <c r="D4385"/>
      <c r="E4385"/>
      <c r="F4385"/>
      <c r="G4385"/>
      <c r="H4385" t="inlineStr">
        <is>
          <t>S007_EXCIPIENTS_HANDBOOK</t>
        </is>
      </c>
      <c r="I4385" t="inlineStr">
        <is>
          <t>handbook</t>
        </is>
      </c>
      <c r="J4385">
        <v>0.55</v>
      </c>
      <c r="K4385"/>
    </row>
    <row r="4386">
      <c r="A4386" t="inlineStr">
        <is>
          <t>CAR_L_LEUCINE</t>
        </is>
      </c>
      <c r="B4386" t="inlineStr">
        <is>
          <t>cryoprotection_score</t>
        </is>
      </c>
      <c r="C4386">
        <v>1</v>
      </c>
      <c r="D4386" t="inlineStr">
        <is>
          <t>0-5</t>
        </is>
      </c>
      <c r="E4386"/>
      <c r="F4386"/>
      <c r="G4386" t="inlineStr">
        <is>
          <t>formulation heuristic</t>
        </is>
      </c>
      <c r="H4386" t="inlineStr">
        <is>
          <t>S014_AULTON</t>
        </is>
      </c>
      <c r="I4386" t="inlineStr">
        <is>
          <t>estimated</t>
        </is>
      </c>
      <c r="J4386">
        <v>0.45</v>
      </c>
      <c r="K4386"/>
    </row>
    <row r="4387">
      <c r="A4387" t="inlineStr">
        <is>
          <t>CAR_L_LEUCINE</t>
        </is>
      </c>
      <c r="B4387" t="inlineStr">
        <is>
          <t>proniosome_suitability_score</t>
        </is>
      </c>
      <c r="C4387">
        <v>4</v>
      </c>
      <c r="D4387" t="inlineStr">
        <is>
          <t>0-5</t>
        </is>
      </c>
      <c r="E4387"/>
      <c r="F4387"/>
      <c r="G4387" t="inlineStr">
        <is>
          <t>carrier loading/hydration heuristic</t>
        </is>
      </c>
      <c r="H4387" t="inlineStr">
        <is>
          <t>S014_AULTON</t>
        </is>
      </c>
      <c r="I4387" t="inlineStr">
        <is>
          <t>estimated</t>
        </is>
      </c>
      <c r="J4387">
        <v>0.45</v>
      </c>
      <c r="K4387"/>
    </row>
    <row r="4388">
      <c r="A4388" t="inlineStr">
        <is>
          <t>CAR_L_LEUCINE</t>
        </is>
      </c>
      <c r="B4388" t="inlineStr">
        <is>
          <t>spray_drying_suitability</t>
        </is>
      </c>
      <c r="C4388" t="inlineStr">
        <is>
          <t>yes</t>
        </is>
      </c>
      <c r="D4388"/>
      <c r="E4388"/>
      <c r="F4388"/>
      <c r="G4388"/>
      <c r="H4388" t="inlineStr">
        <is>
          <t>S014_AULTON</t>
        </is>
      </c>
      <c r="I4388" t="inlineStr">
        <is>
          <t>curated</t>
        </is>
      </c>
      <c r="J4388">
        <v>0.55</v>
      </c>
      <c r="K4388"/>
    </row>
    <row r="4389">
      <c r="A4389" t="inlineStr">
        <is>
          <t>CAR_L_LEUCINE</t>
        </is>
      </c>
      <c r="B4389" t="inlineStr">
        <is>
          <t>inhalation_suitability</t>
        </is>
      </c>
      <c r="C4389" t="inlineStr">
        <is>
          <t>yes</t>
        </is>
      </c>
      <c r="D4389"/>
      <c r="E4389"/>
      <c r="F4389"/>
      <c r="G4389"/>
      <c r="H4389" t="inlineStr">
        <is>
          <t>S014_AULTON</t>
        </is>
      </c>
      <c r="I4389" t="inlineStr">
        <is>
          <t>curated</t>
        </is>
      </c>
      <c r="J4389">
        <v>0.55</v>
      </c>
      <c r="K4389"/>
    </row>
    <row r="4390">
      <c r="A4390" t="inlineStr">
        <is>
          <t>CAR_L_LEUCINE</t>
        </is>
      </c>
      <c r="B4390" t="inlineStr">
        <is>
          <t>route_suitability</t>
        </is>
      </c>
      <c r="C4390" t="inlineStr">
        <is>
          <t>dry carrier/cryoprotectant; route-grade dependent</t>
        </is>
      </c>
      <c r="D4390"/>
      <c r="E4390"/>
      <c r="F4390"/>
      <c r="G4390"/>
      <c r="H4390" t="inlineStr">
        <is>
          <t>S008_FDA_IID</t>
        </is>
      </c>
      <c r="I4390" t="inlineStr">
        <is>
          <t>curated</t>
        </is>
      </c>
      <c r="J4390">
        <v>0.55</v>
      </c>
      <c r="K4390"/>
    </row>
    <row r="4391">
      <c r="A4391" t="inlineStr">
        <is>
          <t>CAR_L_LEUCINE</t>
        </is>
      </c>
      <c r="B4391" t="inlineStr">
        <is>
          <t>safety_notes</t>
        </is>
      </c>
      <c r="C4391" t="inlineStr">
        <is>
          <t>surface-active amino acid for inhalation powders</t>
        </is>
      </c>
      <c r="D4391"/>
      <c r="E4391"/>
      <c r="F4391"/>
      <c r="G4391"/>
      <c r="H4391" t="inlineStr">
        <is>
          <t>S007_EXCIPIENTS_HANDBOOK</t>
        </is>
      </c>
      <c r="I4391" t="inlineStr">
        <is>
          <t>curated</t>
        </is>
      </c>
      <c r="J4391">
        <v>0.65</v>
      </c>
      <c r="K4391"/>
    </row>
    <row r="4392">
      <c r="A4392" t="inlineStr">
        <is>
          <t>CAR_L_LEUCINE</t>
        </is>
      </c>
      <c r="B4392" t="inlineStr">
        <is>
          <t>melting_point_C</t>
        </is>
      </c>
      <c r="C4392">
        <v>293</v>
      </c>
      <c r="D4392" t="inlineStr">
        <is>
          <t>°C</t>
        </is>
      </c>
      <c r="E4392"/>
      <c r="F4392"/>
      <c r="G4392" t="inlineStr">
        <is>
          <t>grade-dependent</t>
        </is>
      </c>
      <c r="H4392" t="inlineStr">
        <is>
          <t>S007_EXCIPIENTS_HANDBOOK</t>
        </is>
      </c>
      <c r="I4392" t="inlineStr">
        <is>
          <t>handbook</t>
        </is>
      </c>
      <c r="J4392">
        <v>0.48</v>
      </c>
      <c r="K4392"/>
    </row>
    <row r="4393">
      <c r="A4393" t="inlineStr">
        <is>
          <t>CAR_L_LEUCINE</t>
        </is>
      </c>
      <c r="B4393" t="inlineStr">
        <is>
          <t>bulk_density</t>
        </is>
      </c>
      <c r="C4393">
        <v>0.45</v>
      </c>
      <c r="D4393" t="inlineStr">
        <is>
          <t>g/mL</t>
        </is>
      </c>
      <c r="E4393"/>
      <c r="F4393"/>
      <c r="G4393" t="inlineStr">
        <is>
          <t>grade-dependent</t>
        </is>
      </c>
      <c r="H4393" t="inlineStr">
        <is>
          <t>S007_EXCIPIENTS_HANDBOOK</t>
        </is>
      </c>
      <c r="I4393" t="inlineStr">
        <is>
          <t>handbook</t>
        </is>
      </c>
      <c r="J4393">
        <v>0.48</v>
      </c>
      <c r="K4393"/>
    </row>
    <row r="4394">
      <c r="A4394" t="inlineStr">
        <is>
          <t>CAR_L_LEUCINE</t>
        </is>
      </c>
      <c r="B4394" t="inlineStr">
        <is>
          <t>tapped_density</t>
        </is>
      </c>
      <c r="C4394">
        <v>0.65</v>
      </c>
      <c r="D4394" t="inlineStr">
        <is>
          <t>g/mL</t>
        </is>
      </c>
      <c r="E4394"/>
      <c r="F4394"/>
      <c r="G4394" t="inlineStr">
        <is>
          <t>grade-dependent</t>
        </is>
      </c>
      <c r="H4394" t="inlineStr">
        <is>
          <t>S007_EXCIPIENTS_HANDBOOK</t>
        </is>
      </c>
      <c r="I4394" t="inlineStr">
        <is>
          <t>handbook</t>
        </is>
      </c>
      <c r="J4394">
        <v>0.48</v>
      </c>
      <c r="K4394"/>
    </row>
    <row r="4395">
      <c r="A4395" t="inlineStr">
        <is>
          <t>CAR_L_LEUCINE</t>
        </is>
      </c>
      <c r="B4395" t="inlineStr">
        <is>
          <t>particle_size_grade</t>
        </is>
      </c>
      <c r="C4395" t="inlineStr">
        <is>
          <t>inhalation spray-dried</t>
        </is>
      </c>
      <c r="D4395"/>
      <c r="E4395"/>
      <c r="F4395"/>
      <c r="G4395" t="inlineStr">
        <is>
          <t>grade-dependent</t>
        </is>
      </c>
      <c r="H4395" t="inlineStr">
        <is>
          <t>S007_EXCIPIENTS_HANDBOOK</t>
        </is>
      </c>
      <c r="I4395" t="inlineStr">
        <is>
          <t>supplier-reported</t>
        </is>
      </c>
      <c r="J4395">
        <v>0.48</v>
      </c>
      <c r="K4395"/>
    </row>
    <row r="4396">
      <c r="A4396" t="inlineStr">
        <is>
          <t>CAR_LEUCINE_FOR_INHALATION_POWDERS</t>
        </is>
      </c>
      <c r="B4396" t="inlineStr">
        <is>
          <t>molecular_weight_g_mol</t>
        </is>
      </c>
      <c r="C4396">
        <v>131.17</v>
      </c>
      <c r="D4396" t="inlineStr">
        <is>
          <t>g/mol</t>
        </is>
      </c>
      <c r="E4396"/>
      <c r="F4396"/>
      <c r="G4396"/>
      <c r="H4396" t="inlineStr">
        <is>
          <t>S001_PUBCHEM</t>
        </is>
      </c>
      <c r="I4396" t="inlineStr">
        <is>
          <t>database-derived</t>
        </is>
      </c>
      <c r="J4396">
        <v>0.78</v>
      </c>
      <c r="K4396"/>
    </row>
    <row r="4397">
      <c r="A4397" t="inlineStr">
        <is>
          <t>CAR_LEUCINE_FOR_INHALATION_POWDERS</t>
        </is>
      </c>
      <c r="B4397" t="inlineStr">
        <is>
          <t>carrier_type</t>
        </is>
      </c>
      <c r="C4397" t="inlineStr">
        <is>
          <t>amino acid / inhalation dispersibility enhancer</t>
        </is>
      </c>
      <c r="D4397"/>
      <c r="E4397"/>
      <c r="F4397"/>
      <c r="G4397"/>
      <c r="H4397" t="inlineStr">
        <is>
          <t>S007_EXCIPIENTS_HANDBOOK</t>
        </is>
      </c>
      <c r="I4397" t="inlineStr">
        <is>
          <t>curated</t>
        </is>
      </c>
      <c r="J4397">
        <v>0.75</v>
      </c>
      <c r="K4397"/>
    </row>
    <row r="4398">
      <c r="A4398" t="inlineStr">
        <is>
          <t>CAR_LEUCINE_FOR_INHALATION_POWDERS</t>
        </is>
      </c>
      <c r="B4398" t="inlineStr">
        <is>
          <t>water_solubility</t>
        </is>
      </c>
      <c r="C4398" t="inlineStr">
        <is>
          <t>moderate</t>
        </is>
      </c>
      <c r="D4398"/>
      <c r="E4398"/>
      <c r="F4398"/>
      <c r="G4398"/>
      <c r="H4398" t="inlineStr">
        <is>
          <t>S007_EXCIPIENTS_HANDBOOK</t>
        </is>
      </c>
      <c r="I4398" t="inlineStr">
        <is>
          <t>handbook</t>
        </is>
      </c>
      <c r="J4398">
        <v>0.65</v>
      </c>
      <c r="K4398"/>
    </row>
    <row r="4399">
      <c r="A4399" t="inlineStr">
        <is>
          <t>CAR_LEUCINE_FOR_INHALATION_POWDERS</t>
        </is>
      </c>
      <c r="B4399" t="inlineStr">
        <is>
          <t>hygroscopicity</t>
        </is>
      </c>
      <c r="C4399" t="inlineStr">
        <is>
          <t>low</t>
        </is>
      </c>
      <c r="D4399"/>
      <c r="E4399"/>
      <c r="F4399"/>
      <c r="G4399"/>
      <c r="H4399" t="inlineStr">
        <is>
          <t>S007_EXCIPIENTS_HANDBOOK</t>
        </is>
      </c>
      <c r="I4399" t="inlineStr">
        <is>
          <t>handbook</t>
        </is>
      </c>
      <c r="J4399">
        <v>0.55</v>
      </c>
      <c r="K4399"/>
    </row>
    <row r="4400">
      <c r="A4400" t="inlineStr">
        <is>
          <t>CAR_LEUCINE_FOR_INHALATION_POWDERS</t>
        </is>
      </c>
      <c r="B4400" t="inlineStr">
        <is>
          <t>cryoprotection_score</t>
        </is>
      </c>
      <c r="C4400">
        <v>1</v>
      </c>
      <c r="D4400" t="inlineStr">
        <is>
          <t>0-5</t>
        </is>
      </c>
      <c r="E4400"/>
      <c r="F4400"/>
      <c r="G4400" t="inlineStr">
        <is>
          <t>formulation heuristic</t>
        </is>
      </c>
      <c r="H4400" t="inlineStr">
        <is>
          <t>S014_AULTON</t>
        </is>
      </c>
      <c r="I4400" t="inlineStr">
        <is>
          <t>estimated</t>
        </is>
      </c>
      <c r="J4400">
        <v>0.45</v>
      </c>
      <c r="K4400"/>
    </row>
    <row r="4401">
      <c r="A4401" t="inlineStr">
        <is>
          <t>CAR_LEUCINE_FOR_INHALATION_POWDERS</t>
        </is>
      </c>
      <c r="B4401" t="inlineStr">
        <is>
          <t>proniosome_suitability_score</t>
        </is>
      </c>
      <c r="C4401">
        <v>4</v>
      </c>
      <c r="D4401" t="inlineStr">
        <is>
          <t>0-5</t>
        </is>
      </c>
      <c r="E4401"/>
      <c r="F4401"/>
      <c r="G4401" t="inlineStr">
        <is>
          <t>carrier loading/hydration heuristic</t>
        </is>
      </c>
      <c r="H4401" t="inlineStr">
        <is>
          <t>S014_AULTON</t>
        </is>
      </c>
      <c r="I4401" t="inlineStr">
        <is>
          <t>estimated</t>
        </is>
      </c>
      <c r="J4401">
        <v>0.45</v>
      </c>
      <c r="K4401"/>
    </row>
    <row r="4402">
      <c r="A4402" t="inlineStr">
        <is>
          <t>CAR_LEUCINE_FOR_INHALATION_POWDERS</t>
        </is>
      </c>
      <c r="B4402" t="inlineStr">
        <is>
          <t>spray_drying_suitability</t>
        </is>
      </c>
      <c r="C4402" t="inlineStr">
        <is>
          <t>yes</t>
        </is>
      </c>
      <c r="D4402"/>
      <c r="E4402"/>
      <c r="F4402"/>
      <c r="G4402"/>
      <c r="H4402" t="inlineStr">
        <is>
          <t>S014_AULTON</t>
        </is>
      </c>
      <c r="I4402" t="inlineStr">
        <is>
          <t>curated</t>
        </is>
      </c>
      <c r="J4402">
        <v>0.55</v>
      </c>
      <c r="K4402"/>
    </row>
    <row r="4403">
      <c r="A4403" t="inlineStr">
        <is>
          <t>CAR_LEUCINE_FOR_INHALATION_POWDERS</t>
        </is>
      </c>
      <c r="B4403" t="inlineStr">
        <is>
          <t>inhalation_suitability</t>
        </is>
      </c>
      <c r="C4403" t="inlineStr">
        <is>
          <t>yes</t>
        </is>
      </c>
      <c r="D4403"/>
      <c r="E4403"/>
      <c r="F4403"/>
      <c r="G4403"/>
      <c r="H4403" t="inlineStr">
        <is>
          <t>S014_AULTON</t>
        </is>
      </c>
      <c r="I4403" t="inlineStr">
        <is>
          <t>curated</t>
        </is>
      </c>
      <c r="J4403">
        <v>0.55</v>
      </c>
      <c r="K4403"/>
    </row>
    <row r="4404">
      <c r="A4404" t="inlineStr">
        <is>
          <t>CAR_LEUCINE_FOR_INHALATION_POWDERS</t>
        </is>
      </c>
      <c r="B4404" t="inlineStr">
        <is>
          <t>route_suitability</t>
        </is>
      </c>
      <c r="C4404" t="inlineStr">
        <is>
          <t>dry carrier/cryoprotectant; route-grade dependent</t>
        </is>
      </c>
      <c r="D4404"/>
      <c r="E4404"/>
      <c r="F4404"/>
      <c r="G4404"/>
      <c r="H4404" t="inlineStr">
        <is>
          <t>S008_FDA_IID</t>
        </is>
      </c>
      <c r="I4404" t="inlineStr">
        <is>
          <t>curated</t>
        </is>
      </c>
      <c r="J4404">
        <v>0.55</v>
      </c>
      <c r="K4404"/>
    </row>
    <row r="4405">
      <c r="A4405" t="inlineStr">
        <is>
          <t>CAR_LEUCINE_FOR_INHALATION_POWDERS</t>
        </is>
      </c>
      <c r="B4405" t="inlineStr">
        <is>
          <t>safety_notes</t>
        </is>
      </c>
      <c r="C4405" t="inlineStr">
        <is>
          <t>duplicate functional grade of L-leucine</t>
        </is>
      </c>
      <c r="D4405"/>
      <c r="E4405"/>
      <c r="F4405"/>
      <c r="G4405"/>
      <c r="H4405" t="inlineStr">
        <is>
          <t>S007_EXCIPIENTS_HANDBOOK</t>
        </is>
      </c>
      <c r="I4405" t="inlineStr">
        <is>
          <t>curated</t>
        </is>
      </c>
      <c r="J4405">
        <v>0.65</v>
      </c>
      <c r="K4405"/>
    </row>
    <row r="4406">
      <c r="A4406" t="inlineStr">
        <is>
          <t>CAR_LEUCINE_FOR_INHALATION_POWDERS</t>
        </is>
      </c>
      <c r="B4406" t="inlineStr">
        <is>
          <t>melting_point_C</t>
        </is>
      </c>
      <c r="C4406">
        <v>293</v>
      </c>
      <c r="D4406" t="inlineStr">
        <is>
          <t>°C</t>
        </is>
      </c>
      <c r="E4406"/>
      <c r="F4406"/>
      <c r="G4406" t="inlineStr">
        <is>
          <t>grade-dependent</t>
        </is>
      </c>
      <c r="H4406" t="inlineStr">
        <is>
          <t>S007_EXCIPIENTS_HANDBOOK</t>
        </is>
      </c>
      <c r="I4406" t="inlineStr">
        <is>
          <t>handbook</t>
        </is>
      </c>
      <c r="J4406">
        <v>0.48</v>
      </c>
      <c r="K4406"/>
    </row>
    <row r="4407">
      <c r="A4407" t="inlineStr">
        <is>
          <t>CAR_LEUCINE_FOR_INHALATION_POWDERS</t>
        </is>
      </c>
      <c r="B4407" t="inlineStr">
        <is>
          <t>bulk_density</t>
        </is>
      </c>
      <c r="C4407">
        <v>0.45</v>
      </c>
      <c r="D4407" t="inlineStr">
        <is>
          <t>g/mL</t>
        </is>
      </c>
      <c r="E4407"/>
      <c r="F4407"/>
      <c r="G4407" t="inlineStr">
        <is>
          <t>grade-dependent</t>
        </is>
      </c>
      <c r="H4407" t="inlineStr">
        <is>
          <t>S007_EXCIPIENTS_HANDBOOK</t>
        </is>
      </c>
      <c r="I4407" t="inlineStr">
        <is>
          <t>handbook</t>
        </is>
      </c>
      <c r="J4407">
        <v>0.48</v>
      </c>
      <c r="K4407"/>
    </row>
    <row r="4408">
      <c r="A4408" t="inlineStr">
        <is>
          <t>CAR_LEUCINE_FOR_INHALATION_POWDERS</t>
        </is>
      </c>
      <c r="B4408" t="inlineStr">
        <is>
          <t>tapped_density</t>
        </is>
      </c>
      <c r="C4408">
        <v>0.65</v>
      </c>
      <c r="D4408" t="inlineStr">
        <is>
          <t>g/mL</t>
        </is>
      </c>
      <c r="E4408"/>
      <c r="F4408"/>
      <c r="G4408" t="inlineStr">
        <is>
          <t>grade-dependent</t>
        </is>
      </c>
      <c r="H4408" t="inlineStr">
        <is>
          <t>S007_EXCIPIENTS_HANDBOOK</t>
        </is>
      </c>
      <c r="I4408" t="inlineStr">
        <is>
          <t>handbook</t>
        </is>
      </c>
      <c r="J4408">
        <v>0.48</v>
      </c>
      <c r="K4408"/>
    </row>
    <row r="4409">
      <c r="A4409" t="inlineStr">
        <is>
          <t>CAR_LEUCINE_FOR_INHALATION_POWDERS</t>
        </is>
      </c>
      <c r="B4409" t="inlineStr">
        <is>
          <t>particle_size_grade</t>
        </is>
      </c>
      <c r="C4409" t="inlineStr">
        <is>
          <t>inhalation grade</t>
        </is>
      </c>
      <c r="D4409"/>
      <c r="E4409"/>
      <c r="F4409"/>
      <c r="G4409" t="inlineStr">
        <is>
          <t>grade-dependent</t>
        </is>
      </c>
      <c r="H4409" t="inlineStr">
        <is>
          <t>S007_EXCIPIENTS_HANDBOOK</t>
        </is>
      </c>
      <c r="I4409" t="inlineStr">
        <is>
          <t>supplier-reported</t>
        </is>
      </c>
      <c r="J4409">
        <v>0.48</v>
      </c>
      <c r="K4409"/>
    </row>
    <row r="4410">
      <c r="A4410" t="inlineStr">
        <is>
          <t>CAR_GLYCINE</t>
        </is>
      </c>
      <c r="B4410" t="inlineStr">
        <is>
          <t>molecular_weight_g_mol</t>
        </is>
      </c>
      <c r="C4410">
        <v>75.07</v>
      </c>
      <c r="D4410" t="inlineStr">
        <is>
          <t>g/mol</t>
        </is>
      </c>
      <c r="E4410"/>
      <c r="F4410"/>
      <c r="G4410"/>
      <c r="H4410" t="inlineStr">
        <is>
          <t>S001_PUBCHEM</t>
        </is>
      </c>
      <c r="I4410" t="inlineStr">
        <is>
          <t>database-derived</t>
        </is>
      </c>
      <c r="J4410">
        <v>0.78</v>
      </c>
      <c r="K4410"/>
    </row>
    <row r="4411">
      <c r="A4411" t="inlineStr">
        <is>
          <t>CAR_GLYCINE</t>
        </is>
      </c>
      <c r="B4411" t="inlineStr">
        <is>
          <t>carrier_type</t>
        </is>
      </c>
      <c r="C4411" t="inlineStr">
        <is>
          <t>amino acid</t>
        </is>
      </c>
      <c r="D4411"/>
      <c r="E4411"/>
      <c r="F4411"/>
      <c r="G4411"/>
      <c r="H4411" t="inlineStr">
        <is>
          <t>S007_EXCIPIENTS_HANDBOOK</t>
        </is>
      </c>
      <c r="I4411" t="inlineStr">
        <is>
          <t>curated</t>
        </is>
      </c>
      <c r="J4411">
        <v>0.75</v>
      </c>
      <c r="K4411"/>
    </row>
    <row r="4412">
      <c r="A4412" t="inlineStr">
        <is>
          <t>CAR_GLYCINE</t>
        </is>
      </c>
      <c r="B4412" t="inlineStr">
        <is>
          <t>water_solubility</t>
        </is>
      </c>
      <c r="C4412" t="inlineStr">
        <is>
          <t>high</t>
        </is>
      </c>
      <c r="D4412"/>
      <c r="E4412"/>
      <c r="F4412"/>
      <c r="G4412"/>
      <c r="H4412" t="inlineStr">
        <is>
          <t>S007_EXCIPIENTS_HANDBOOK</t>
        </is>
      </c>
      <c r="I4412" t="inlineStr">
        <is>
          <t>handbook</t>
        </is>
      </c>
      <c r="J4412">
        <v>0.65</v>
      </c>
      <c r="K4412"/>
    </row>
    <row r="4413">
      <c r="A4413" t="inlineStr">
        <is>
          <t>CAR_GLYCINE</t>
        </is>
      </c>
      <c r="B4413" t="inlineStr">
        <is>
          <t>hygroscopicity</t>
        </is>
      </c>
      <c r="C4413" t="inlineStr">
        <is>
          <t>low</t>
        </is>
      </c>
      <c r="D4413"/>
      <c r="E4413"/>
      <c r="F4413"/>
      <c r="G4413"/>
      <c r="H4413" t="inlineStr">
        <is>
          <t>S007_EXCIPIENTS_HANDBOOK</t>
        </is>
      </c>
      <c r="I4413" t="inlineStr">
        <is>
          <t>handbook</t>
        </is>
      </c>
      <c r="J4413">
        <v>0.55</v>
      </c>
      <c r="K4413"/>
    </row>
    <row r="4414">
      <c r="A4414" t="inlineStr">
        <is>
          <t>CAR_GLYCINE</t>
        </is>
      </c>
      <c r="B4414" t="inlineStr">
        <is>
          <t>cryoprotection_score</t>
        </is>
      </c>
      <c r="C4414">
        <v>2</v>
      </c>
      <c r="D4414" t="inlineStr">
        <is>
          <t>0-5</t>
        </is>
      </c>
      <c r="E4414"/>
      <c r="F4414"/>
      <c r="G4414" t="inlineStr">
        <is>
          <t>formulation heuristic</t>
        </is>
      </c>
      <c r="H4414" t="inlineStr">
        <is>
          <t>S014_AULTON</t>
        </is>
      </c>
      <c r="I4414" t="inlineStr">
        <is>
          <t>estimated</t>
        </is>
      </c>
      <c r="J4414">
        <v>0.45</v>
      </c>
      <c r="K4414"/>
    </row>
    <row r="4415">
      <c r="A4415" t="inlineStr">
        <is>
          <t>CAR_GLYCINE</t>
        </is>
      </c>
      <c r="B4415" t="inlineStr">
        <is>
          <t>proniosome_suitability_score</t>
        </is>
      </c>
      <c r="C4415">
        <v>2</v>
      </c>
      <c r="D4415" t="inlineStr">
        <is>
          <t>0-5</t>
        </is>
      </c>
      <c r="E4415"/>
      <c r="F4415"/>
      <c r="G4415" t="inlineStr">
        <is>
          <t>carrier loading/hydration heuristic</t>
        </is>
      </c>
      <c r="H4415" t="inlineStr">
        <is>
          <t>S014_AULTON</t>
        </is>
      </c>
      <c r="I4415" t="inlineStr">
        <is>
          <t>estimated</t>
        </is>
      </c>
      <c r="J4415">
        <v>0.45</v>
      </c>
      <c r="K4415"/>
    </row>
    <row r="4416">
      <c r="A4416" t="inlineStr">
        <is>
          <t>CAR_GLYCINE</t>
        </is>
      </c>
      <c r="B4416" t="inlineStr">
        <is>
          <t>spray_drying_suitability</t>
        </is>
      </c>
      <c r="C4416" t="inlineStr">
        <is>
          <t>yes</t>
        </is>
      </c>
      <c r="D4416"/>
      <c r="E4416"/>
      <c r="F4416"/>
      <c r="G4416"/>
      <c r="H4416" t="inlineStr">
        <is>
          <t>S014_AULTON</t>
        </is>
      </c>
      <c r="I4416" t="inlineStr">
        <is>
          <t>curated</t>
        </is>
      </c>
      <c r="J4416">
        <v>0.55</v>
      </c>
      <c r="K4416"/>
    </row>
    <row r="4417">
      <c r="A4417" t="inlineStr">
        <is>
          <t>CAR_GLYCINE</t>
        </is>
      </c>
      <c r="B4417" t="inlineStr">
        <is>
          <t>inhalation_suitability</t>
        </is>
      </c>
      <c r="C4417" t="inlineStr">
        <is>
          <t>conditional</t>
        </is>
      </c>
      <c r="D4417"/>
      <c r="E4417"/>
      <c r="F4417"/>
      <c r="G4417"/>
      <c r="H4417" t="inlineStr">
        <is>
          <t>S014_AULTON</t>
        </is>
      </c>
      <c r="I4417" t="inlineStr">
        <is>
          <t>curated</t>
        </is>
      </c>
      <c r="J4417">
        <v>0.55</v>
      </c>
      <c r="K4417"/>
    </row>
    <row r="4418">
      <c r="A4418" t="inlineStr">
        <is>
          <t>CAR_GLYCINE</t>
        </is>
      </c>
      <c r="B4418" t="inlineStr">
        <is>
          <t>route_suitability</t>
        </is>
      </c>
      <c r="C4418" t="inlineStr">
        <is>
          <t>dry carrier/cryoprotectant; route-grade dependent</t>
        </is>
      </c>
      <c r="D4418"/>
      <c r="E4418"/>
      <c r="F4418"/>
      <c r="G4418"/>
      <c r="H4418" t="inlineStr">
        <is>
          <t>S008_FDA_IID</t>
        </is>
      </c>
      <c r="I4418" t="inlineStr">
        <is>
          <t>curated</t>
        </is>
      </c>
      <c r="J4418">
        <v>0.55</v>
      </c>
      <c r="K4418"/>
    </row>
    <row r="4419">
      <c r="A4419" t="inlineStr">
        <is>
          <t>CAR_GLYCINE</t>
        </is>
      </c>
      <c r="B4419" t="inlineStr">
        <is>
          <t>safety_notes</t>
        </is>
      </c>
      <c r="C4419" t="inlineStr">
        <is>
          <t>buffer/bulking carrier</t>
        </is>
      </c>
      <c r="D4419"/>
      <c r="E4419"/>
      <c r="F4419"/>
      <c r="G4419"/>
      <c r="H4419" t="inlineStr">
        <is>
          <t>S007_EXCIPIENTS_HANDBOOK</t>
        </is>
      </c>
      <c r="I4419" t="inlineStr">
        <is>
          <t>curated</t>
        </is>
      </c>
      <c r="J4419">
        <v>0.65</v>
      </c>
      <c r="K4419"/>
    </row>
    <row r="4420">
      <c r="A4420" t="inlineStr">
        <is>
          <t>CAR_GLYCINE</t>
        </is>
      </c>
      <c r="B4420" t="inlineStr">
        <is>
          <t>melting_point_C</t>
        </is>
      </c>
      <c r="C4420">
        <v>240</v>
      </c>
      <c r="D4420" t="inlineStr">
        <is>
          <t>°C</t>
        </is>
      </c>
      <c r="E4420"/>
      <c r="F4420"/>
      <c r="G4420" t="inlineStr">
        <is>
          <t>grade-dependent</t>
        </is>
      </c>
      <c r="H4420" t="inlineStr">
        <is>
          <t>S007_EXCIPIENTS_HANDBOOK</t>
        </is>
      </c>
      <c r="I4420" t="inlineStr">
        <is>
          <t>handbook</t>
        </is>
      </c>
      <c r="J4420">
        <v>0.48</v>
      </c>
      <c r="K4420"/>
    </row>
    <row r="4421">
      <c r="A4421" t="inlineStr">
        <is>
          <t>CAR_GLYCINE</t>
        </is>
      </c>
      <c r="B4421" t="inlineStr">
        <is>
          <t>bulk_density</t>
        </is>
      </c>
      <c r="C4421">
        <v>0.55</v>
      </c>
      <c r="D4421" t="inlineStr">
        <is>
          <t>g/mL</t>
        </is>
      </c>
      <c r="E4421"/>
      <c r="F4421"/>
      <c r="G4421" t="inlineStr">
        <is>
          <t>grade-dependent</t>
        </is>
      </c>
      <c r="H4421" t="inlineStr">
        <is>
          <t>S007_EXCIPIENTS_HANDBOOK</t>
        </is>
      </c>
      <c r="I4421" t="inlineStr">
        <is>
          <t>handbook</t>
        </is>
      </c>
      <c r="J4421">
        <v>0.48</v>
      </c>
      <c r="K4421"/>
    </row>
    <row r="4422">
      <c r="A4422" t="inlineStr">
        <is>
          <t>CAR_GLYCINE</t>
        </is>
      </c>
      <c r="B4422" t="inlineStr">
        <is>
          <t>tapped_density</t>
        </is>
      </c>
      <c r="C4422">
        <v>0.75</v>
      </c>
      <c r="D4422" t="inlineStr">
        <is>
          <t>g/mL</t>
        </is>
      </c>
      <c r="E4422"/>
      <c r="F4422"/>
      <c r="G4422" t="inlineStr">
        <is>
          <t>grade-dependent</t>
        </is>
      </c>
      <c r="H4422" t="inlineStr">
        <is>
          <t>S007_EXCIPIENTS_HANDBOOK</t>
        </is>
      </c>
      <c r="I4422" t="inlineStr">
        <is>
          <t>handbook</t>
        </is>
      </c>
      <c r="J4422">
        <v>0.48</v>
      </c>
      <c r="K4422"/>
    </row>
    <row r="4423">
      <c r="A4423" t="inlineStr">
        <is>
          <t>CAR_ALBUMIN</t>
        </is>
      </c>
      <c r="B4423" t="inlineStr">
        <is>
          <t>average_MW</t>
        </is>
      </c>
      <c r="C4423">
        <v>66500</v>
      </c>
      <c r="D4423" t="inlineStr">
        <is>
          <t>g/mol</t>
        </is>
      </c>
      <c r="E4423"/>
      <c r="F4423"/>
      <c r="G4423" t="inlineStr">
        <is>
          <t>grade-dependent</t>
        </is>
      </c>
      <c r="H4423" t="inlineStr">
        <is>
          <t>S007_EXCIPIENTS_HANDBOOK</t>
        </is>
      </c>
      <c r="I4423" t="inlineStr">
        <is>
          <t>supplier-reported</t>
        </is>
      </c>
      <c r="J4423">
        <v>0.45</v>
      </c>
      <c r="K4423"/>
    </row>
    <row r="4424">
      <c r="A4424" t="inlineStr">
        <is>
          <t>CAR_ALBUMIN</t>
        </is>
      </c>
      <c r="B4424" t="inlineStr">
        <is>
          <t>carrier_type</t>
        </is>
      </c>
      <c r="C4424" t="inlineStr">
        <is>
          <t>protein carrier</t>
        </is>
      </c>
      <c r="D4424"/>
      <c r="E4424"/>
      <c r="F4424"/>
      <c r="G4424"/>
      <c r="H4424" t="inlineStr">
        <is>
          <t>S007_EXCIPIENTS_HANDBOOK</t>
        </is>
      </c>
      <c r="I4424" t="inlineStr">
        <is>
          <t>curated</t>
        </is>
      </c>
      <c r="J4424">
        <v>0.75</v>
      </c>
      <c r="K4424"/>
    </row>
    <row r="4425">
      <c r="A4425" t="inlineStr">
        <is>
          <t>CAR_ALBUMIN</t>
        </is>
      </c>
      <c r="B4425" t="inlineStr">
        <is>
          <t>water_solubility</t>
        </is>
      </c>
      <c r="C4425" t="inlineStr">
        <is>
          <t>high</t>
        </is>
      </c>
      <c r="D4425"/>
      <c r="E4425"/>
      <c r="F4425"/>
      <c r="G4425"/>
      <c r="H4425" t="inlineStr">
        <is>
          <t>S007_EXCIPIENTS_HANDBOOK</t>
        </is>
      </c>
      <c r="I4425" t="inlineStr">
        <is>
          <t>handbook</t>
        </is>
      </c>
      <c r="J4425">
        <v>0.65</v>
      </c>
      <c r="K4425"/>
    </row>
    <row r="4426">
      <c r="A4426" t="inlineStr">
        <is>
          <t>CAR_ALBUMIN</t>
        </is>
      </c>
      <c r="B4426" t="inlineStr">
        <is>
          <t>hygroscopicity</t>
        </is>
      </c>
      <c r="C4426" t="inlineStr">
        <is>
          <t>moderate</t>
        </is>
      </c>
      <c r="D4426"/>
      <c r="E4426"/>
      <c r="F4426"/>
      <c r="G4426"/>
      <c r="H4426" t="inlineStr">
        <is>
          <t>S007_EXCIPIENTS_HANDBOOK</t>
        </is>
      </c>
      <c r="I4426" t="inlineStr">
        <is>
          <t>handbook</t>
        </is>
      </c>
      <c r="J4426">
        <v>0.55</v>
      </c>
      <c r="K4426"/>
    </row>
    <row r="4427">
      <c r="A4427" t="inlineStr">
        <is>
          <t>CAR_ALBUMIN</t>
        </is>
      </c>
      <c r="B4427" t="inlineStr">
        <is>
          <t>cryoprotection_score</t>
        </is>
      </c>
      <c r="C4427">
        <v>3</v>
      </c>
      <c r="D4427" t="inlineStr">
        <is>
          <t>0-5</t>
        </is>
      </c>
      <c r="E4427"/>
      <c r="F4427"/>
      <c r="G4427" t="inlineStr">
        <is>
          <t>formulation heuristic</t>
        </is>
      </c>
      <c r="H4427" t="inlineStr">
        <is>
          <t>S014_AULTON</t>
        </is>
      </c>
      <c r="I4427" t="inlineStr">
        <is>
          <t>estimated</t>
        </is>
      </c>
      <c r="J4427">
        <v>0.45</v>
      </c>
      <c r="K4427"/>
    </row>
    <row r="4428">
      <c r="A4428" t="inlineStr">
        <is>
          <t>CAR_ALBUMIN</t>
        </is>
      </c>
      <c r="B4428" t="inlineStr">
        <is>
          <t>proniosome_suitability_score</t>
        </is>
      </c>
      <c r="C4428">
        <v>2</v>
      </c>
      <c r="D4428" t="inlineStr">
        <is>
          <t>0-5</t>
        </is>
      </c>
      <c r="E4428"/>
      <c r="F4428"/>
      <c r="G4428" t="inlineStr">
        <is>
          <t>carrier loading/hydration heuristic</t>
        </is>
      </c>
      <c r="H4428" t="inlineStr">
        <is>
          <t>S014_AULTON</t>
        </is>
      </c>
      <c r="I4428" t="inlineStr">
        <is>
          <t>estimated</t>
        </is>
      </c>
      <c r="J4428">
        <v>0.45</v>
      </c>
      <c r="K4428"/>
    </row>
    <row r="4429">
      <c r="A4429" t="inlineStr">
        <is>
          <t>CAR_ALBUMIN</t>
        </is>
      </c>
      <c r="B4429" t="inlineStr">
        <is>
          <t>spray_drying_suitability</t>
        </is>
      </c>
      <c r="C4429" t="inlineStr">
        <is>
          <t>conditional</t>
        </is>
      </c>
      <c r="D4429"/>
      <c r="E4429"/>
      <c r="F4429"/>
      <c r="G4429"/>
      <c r="H4429" t="inlineStr">
        <is>
          <t>S014_AULTON</t>
        </is>
      </c>
      <c r="I4429" t="inlineStr">
        <is>
          <t>curated</t>
        </is>
      </c>
      <c r="J4429">
        <v>0.55</v>
      </c>
      <c r="K4429"/>
    </row>
    <row r="4430">
      <c r="A4430" t="inlineStr">
        <is>
          <t>CAR_ALBUMIN</t>
        </is>
      </c>
      <c r="B4430" t="inlineStr">
        <is>
          <t>inhalation_suitability</t>
        </is>
      </c>
      <c r="C4430" t="inlineStr">
        <is>
          <t>conditional</t>
        </is>
      </c>
      <c r="D4430"/>
      <c r="E4430"/>
      <c r="F4430"/>
      <c r="G4430"/>
      <c r="H4430" t="inlineStr">
        <is>
          <t>S014_AULTON</t>
        </is>
      </c>
      <c r="I4430" t="inlineStr">
        <is>
          <t>curated</t>
        </is>
      </c>
      <c r="J4430">
        <v>0.55</v>
      </c>
      <c r="K4430"/>
    </row>
    <row r="4431">
      <c r="A4431" t="inlineStr">
        <is>
          <t>CAR_ALBUMIN</t>
        </is>
      </c>
      <c r="B4431" t="inlineStr">
        <is>
          <t>route_suitability</t>
        </is>
      </c>
      <c r="C4431" t="inlineStr">
        <is>
          <t>dry carrier/cryoprotectant; route-grade dependent</t>
        </is>
      </c>
      <c r="D4431"/>
      <c r="E4431"/>
      <c r="F4431"/>
      <c r="G4431"/>
      <c r="H4431" t="inlineStr">
        <is>
          <t>S008_FDA_IID</t>
        </is>
      </c>
      <c r="I4431" t="inlineStr">
        <is>
          <t>curated</t>
        </is>
      </c>
      <c r="J4431">
        <v>0.55</v>
      </c>
      <c r="K4431"/>
    </row>
    <row r="4432">
      <c r="A4432" t="inlineStr">
        <is>
          <t>CAR_ALBUMIN</t>
        </is>
      </c>
      <c r="B4432" t="inlineStr">
        <is>
          <t>safety_notes</t>
        </is>
      </c>
      <c r="C4432" t="inlineStr">
        <is>
          <t>biological material; immunogenicity/source control</t>
        </is>
      </c>
      <c r="D4432"/>
      <c r="E4432"/>
      <c r="F4432"/>
      <c r="G4432"/>
      <c r="H4432" t="inlineStr">
        <is>
          <t>S007_EXCIPIENTS_HANDBOOK</t>
        </is>
      </c>
      <c r="I4432" t="inlineStr">
        <is>
          <t>curated</t>
        </is>
      </c>
      <c r="J4432">
        <v>0.65</v>
      </c>
      <c r="K4432"/>
    </row>
    <row r="4433">
      <c r="A4433" t="inlineStr">
        <is>
          <t>CAR_ALBUMIN</t>
        </is>
      </c>
      <c r="B4433" t="inlineStr">
        <is>
          <t>glass_transition_temperature_C</t>
        </is>
      </c>
      <c r="C4433">
        <v>70</v>
      </c>
      <c r="D4433" t="inlineStr">
        <is>
          <t>°C</t>
        </is>
      </c>
      <c r="E4433"/>
      <c r="F4433"/>
      <c r="G4433" t="inlineStr">
        <is>
          <t>grade-dependent</t>
        </is>
      </c>
      <c r="H4433" t="inlineStr">
        <is>
          <t>S007_EXCIPIENTS_HANDBOOK</t>
        </is>
      </c>
      <c r="I4433" t="inlineStr">
        <is>
          <t>handbook</t>
        </is>
      </c>
      <c r="J4433">
        <v>0.48</v>
      </c>
      <c r="K4433"/>
    </row>
    <row r="4434">
      <c r="A4434" t="inlineStr">
        <is>
          <t>CAR_ALBUMIN</t>
        </is>
      </c>
      <c r="B4434" t="inlineStr">
        <is>
          <t>particle_size_grade</t>
        </is>
      </c>
      <c r="C4434" t="inlineStr">
        <is>
          <t>HSA/BSA grade-specific</t>
        </is>
      </c>
      <c r="D4434"/>
      <c r="E4434"/>
      <c r="F4434"/>
      <c r="G4434" t="inlineStr">
        <is>
          <t>grade-dependent</t>
        </is>
      </c>
      <c r="H4434" t="inlineStr">
        <is>
          <t>S007_EXCIPIENTS_HANDBOOK</t>
        </is>
      </c>
      <c r="I4434" t="inlineStr">
        <is>
          <t>supplier-reported</t>
        </is>
      </c>
      <c r="J4434">
        <v>0.48</v>
      </c>
      <c r="K4434"/>
    </row>
    <row r="4435">
      <c r="A4435" t="inlineStr">
        <is>
          <t>CHG_DICETYL_PHOSPHATE</t>
        </is>
      </c>
      <c r="B4435" t="inlineStr">
        <is>
          <t>molecular_weight_g_mol</t>
        </is>
      </c>
      <c r="C4435">
        <v>546.85</v>
      </c>
      <c r="D4435" t="inlineStr">
        <is>
          <t>g/mol</t>
        </is>
      </c>
      <c r="E4435"/>
      <c r="F4435"/>
      <c r="G4435"/>
      <c r="H4435" t="inlineStr">
        <is>
          <t>S001_PUBCHEM</t>
        </is>
      </c>
      <c r="I4435" t="inlineStr">
        <is>
          <t>database-derived</t>
        </is>
      </c>
      <c r="J4435">
        <v>0.75</v>
      </c>
      <c r="K4435"/>
    </row>
    <row r="4436">
      <c r="A4436" t="inlineStr">
        <is>
          <t>CHG_DICETYL_PHOSPHATE</t>
        </is>
      </c>
      <c r="B4436" t="inlineStr">
        <is>
          <t>charge_type</t>
        </is>
      </c>
      <c r="C4436" t="inlineStr">
        <is>
          <t>anionic</t>
        </is>
      </c>
      <c r="D4436"/>
      <c r="E4436"/>
      <c r="F4436"/>
      <c r="G4436"/>
      <c r="H4436" t="inlineStr">
        <is>
          <t>S001_PUBCHEM</t>
        </is>
      </c>
      <c r="I4436" t="inlineStr">
        <is>
          <t>curated</t>
        </is>
      </c>
      <c r="J4436">
        <v>0.85</v>
      </c>
      <c r="K4436"/>
    </row>
    <row r="4437">
      <c r="A4437" t="inlineStr">
        <is>
          <t>CHG_DICETYL_PHOSPHATE</t>
        </is>
      </c>
      <c r="B4437" t="inlineStr">
        <is>
          <t>formal_charge</t>
        </is>
      </c>
      <c r="C4437">
        <v>-1</v>
      </c>
      <c r="D4437" t="inlineStr">
        <is>
          <t>e</t>
        </is>
      </c>
      <c r="E4437"/>
      <c r="F4437"/>
      <c r="G4437"/>
      <c r="H4437" t="inlineStr">
        <is>
          <t>S001_PUBCHEM</t>
        </is>
      </c>
      <c r="I4437" t="inlineStr">
        <is>
          <t>curated</t>
        </is>
      </c>
      <c r="J4437">
        <v>0.85</v>
      </c>
      <c r="K4437"/>
    </row>
    <row r="4438">
      <c r="A4438" t="inlineStr">
        <is>
          <t>CHG_DICETYL_PHOSPHATE</t>
        </is>
      </c>
      <c r="B4438" t="inlineStr">
        <is>
          <t>pKa</t>
        </is>
      </c>
      <c r="C4438">
        <v>2.1</v>
      </c>
      <c r="D4438"/>
      <c r="E4438"/>
      <c r="F4438"/>
      <c r="G4438"/>
      <c r="H4438" t="inlineStr">
        <is>
          <t>S001_PUBCHEM</t>
        </is>
      </c>
      <c r="I4438" t="inlineStr">
        <is>
          <t>literature</t>
        </is>
      </c>
      <c r="J4438">
        <v>0.55</v>
      </c>
      <c r="K4438"/>
    </row>
    <row r="4439">
      <c r="A4439" t="inlineStr">
        <is>
          <t>CHG_DICETYL_PHOSPHATE</t>
        </is>
      </c>
      <c r="B4439" t="inlineStr">
        <is>
          <t>typical_mol_percent</t>
        </is>
      </c>
      <c r="C4439" t="inlineStr">
        <is>
          <t>2-10</t>
        </is>
      </c>
      <c r="D4439" t="inlineStr">
        <is>
          <t>mol%</t>
        </is>
      </c>
      <c r="E4439"/>
      <c r="F4439"/>
      <c r="G4439" t="inlineStr">
        <is>
          <t>typical formulation screening range</t>
        </is>
      </c>
      <c r="H4439" t="inlineStr">
        <is>
          <t>S014_AULTON</t>
        </is>
      </c>
      <c r="I4439" t="inlineStr">
        <is>
          <t>estimated</t>
        </is>
      </c>
      <c r="J4439">
        <v>0.45</v>
      </c>
      <c r="K4439"/>
    </row>
    <row r="4440">
      <c r="A4440" t="inlineStr">
        <is>
          <t>CHG_DICETYL_PHOSPHATE</t>
        </is>
      </c>
      <c r="B4440" t="inlineStr">
        <is>
          <t>tail_carbons</t>
        </is>
      </c>
      <c r="C4440">
        <v>16</v>
      </c>
      <c r="D4440" t="inlineStr">
        <is>
          <t>count</t>
        </is>
      </c>
      <c r="E4440"/>
      <c r="F4440"/>
      <c r="G4440"/>
      <c r="H4440" t="inlineStr">
        <is>
          <t>S001_PUBCHEM</t>
        </is>
      </c>
      <c r="I4440" t="inlineStr">
        <is>
          <t>curated</t>
        </is>
      </c>
      <c r="J4440">
        <v>0.75</v>
      </c>
      <c r="K4440"/>
    </row>
    <row r="4441">
      <c r="A4441" t="inlineStr">
        <is>
          <t>CHG_DICETYL_PHOSPHATE</t>
        </is>
      </c>
      <c r="B4441" t="inlineStr">
        <is>
          <t>tail_unsaturation</t>
        </is>
      </c>
      <c r="C4441">
        <v>0</v>
      </c>
      <c r="D4441" t="inlineStr">
        <is>
          <t>double_bonds</t>
        </is>
      </c>
      <c r="E4441"/>
      <c r="F4441"/>
      <c r="G4441"/>
      <c r="H4441" t="inlineStr">
        <is>
          <t>S001_PUBCHEM</t>
        </is>
      </c>
      <c r="I4441" t="inlineStr">
        <is>
          <t>curated</t>
        </is>
      </c>
      <c r="J4441">
        <v>0.75</v>
      </c>
      <c r="K4441"/>
    </row>
    <row r="4442">
      <c r="A4442" t="inlineStr">
        <is>
          <t>CHG_DICETYL_PHOSPHATE</t>
        </is>
      </c>
      <c r="B4442" t="inlineStr">
        <is>
          <t>number_of_tails</t>
        </is>
      </c>
      <c r="C4442">
        <v>2</v>
      </c>
      <c r="D4442" t="inlineStr">
        <is>
          <t>count</t>
        </is>
      </c>
      <c r="E4442"/>
      <c r="F4442"/>
      <c r="G4442"/>
      <c r="H4442" t="inlineStr">
        <is>
          <t>S001_PUBCHEM</t>
        </is>
      </c>
      <c r="I4442" t="inlineStr">
        <is>
          <t>curated</t>
        </is>
      </c>
      <c r="J4442">
        <v>0.75</v>
      </c>
      <c r="K4442"/>
    </row>
    <row r="4443">
      <c r="A4443" t="inlineStr">
        <is>
          <t>CHG_DICETYL_PHOSPHATE</t>
        </is>
      </c>
      <c r="B4443" t="inlineStr">
        <is>
          <t>toxicity_notes</t>
        </is>
      </c>
      <c r="C4443" t="inlineStr">
        <is>
          <t>anionic membrane charge inducer</t>
        </is>
      </c>
      <c r="D4443"/>
      <c r="E4443"/>
      <c r="F4443"/>
      <c r="G4443"/>
      <c r="H4443" t="inlineStr">
        <is>
          <t>S014_AULTON</t>
        </is>
      </c>
      <c r="I4443" t="inlineStr">
        <is>
          <t>curated</t>
        </is>
      </c>
      <c r="J4443">
        <v>0.65</v>
      </c>
      <c r="K4443"/>
    </row>
    <row r="4444">
      <c r="A4444" t="inlineStr">
        <is>
          <t>CHG_DICETYL_PHOSPHATE</t>
        </is>
      </c>
      <c r="B4444" t="inlineStr">
        <is>
          <t>route_suitability</t>
        </is>
      </c>
      <c r="C4444" t="inlineStr">
        <is>
          <t>niosomes/liposomes as charge modifier; route-specific toxicology required</t>
        </is>
      </c>
      <c r="D4444"/>
      <c r="E4444"/>
      <c r="F4444"/>
      <c r="G4444"/>
      <c r="H4444" t="inlineStr">
        <is>
          <t>S008_FDA_IID</t>
        </is>
      </c>
      <c r="I4444" t="inlineStr">
        <is>
          <t>curated</t>
        </is>
      </c>
      <c r="J4444">
        <v>0.55</v>
      </c>
      <c r="K4444"/>
    </row>
    <row r="4445">
      <c r="A4445" t="inlineStr">
        <is>
          <t>CHG_DICETYL_PHOSPHATE</t>
        </is>
      </c>
      <c r="B4445" t="inlineStr">
        <is>
          <t>Hansen_delta_D</t>
        </is>
      </c>
      <c r="C4445">
        <v>17.2</v>
      </c>
      <c r="D4445" t="inlineStr">
        <is>
          <t>MPa^0.5</t>
        </is>
      </c>
      <c r="E4445"/>
      <c r="F4445"/>
      <c r="G4445" t="inlineStr">
        <is>
          <t>heuristic group-contribution/nearest-neighbour</t>
        </is>
      </c>
      <c r="H4445" t="inlineStr">
        <is>
          <t>S013_EST_HSP_HEURISTIC</t>
        </is>
      </c>
      <c r="I4445" t="inlineStr">
        <is>
          <t>estimated</t>
        </is>
      </c>
      <c r="J4445">
        <v>0.37</v>
      </c>
      <c r="K4445" t="inlineStr">
        <is>
          <t>Provisional HSP for screening; replace with experimental/literature value before model lock.</t>
        </is>
      </c>
    </row>
    <row r="4446">
      <c r="A4446" t="inlineStr">
        <is>
          <t>CHG_DICETYL_PHOSPHATE</t>
        </is>
      </c>
      <c r="B4446" t="inlineStr">
        <is>
          <t>Hansen_delta_P</t>
        </is>
      </c>
      <c r="C4446">
        <v>6.5</v>
      </c>
      <c r="D4446" t="inlineStr">
        <is>
          <t>MPa^0.5</t>
        </is>
      </c>
      <c r="E4446"/>
      <c r="F4446"/>
      <c r="G4446" t="inlineStr">
        <is>
          <t>heuristic group-contribution/nearest-neighbour</t>
        </is>
      </c>
      <c r="H4446" t="inlineStr">
        <is>
          <t>S013_EST_HSP_HEURISTIC</t>
        </is>
      </c>
      <c r="I4446" t="inlineStr">
        <is>
          <t>estimated</t>
        </is>
      </c>
      <c r="J4446">
        <v>0.37</v>
      </c>
      <c r="K4446" t="inlineStr">
        <is>
          <t>Provisional HSP for screening; replace with experimental/literature value before model lock.</t>
        </is>
      </c>
    </row>
    <row r="4447">
      <c r="A4447" t="inlineStr">
        <is>
          <t>CHG_DICETYL_PHOSPHATE</t>
        </is>
      </c>
      <c r="B4447" t="inlineStr">
        <is>
          <t>Hansen_delta_H</t>
        </is>
      </c>
      <c r="C4447">
        <v>7.5</v>
      </c>
      <c r="D4447" t="inlineStr">
        <is>
          <t>MPa^0.5</t>
        </is>
      </c>
      <c r="E4447"/>
      <c r="F4447"/>
      <c r="G4447" t="inlineStr">
        <is>
          <t>heuristic group-contribution/nearest-neighbour</t>
        </is>
      </c>
      <c r="H4447" t="inlineStr">
        <is>
          <t>S013_EST_HSP_HEURISTIC</t>
        </is>
      </c>
      <c r="I4447" t="inlineStr">
        <is>
          <t>estimated</t>
        </is>
      </c>
      <c r="J4447">
        <v>0.37</v>
      </c>
      <c r="K4447" t="inlineStr">
        <is>
          <t>Provisional HSP for screening; replace with experimental/literature value before model lock.</t>
        </is>
      </c>
    </row>
    <row r="4448">
      <c r="A4448" t="inlineStr">
        <is>
          <t>CHG_DICETYL_PHOSPHATE</t>
        </is>
      </c>
      <c r="B4448" t="inlineStr">
        <is>
          <t>Hildebrand_delta_T</t>
        </is>
      </c>
      <c r="C4448">
        <v>19.86</v>
      </c>
      <c r="D4448" t="inlineStr">
        <is>
          <t>MPa^0.5</t>
        </is>
      </c>
      <c r="E4448"/>
      <c r="F4448"/>
      <c r="G4448" t="inlineStr">
        <is>
          <t>sqrt(deltaD^2+deltaP^2+deltaH^2)</t>
        </is>
      </c>
      <c r="H4448" t="inlineStr">
        <is>
          <t>S012_CALCULATED</t>
        </is>
      </c>
      <c r="I4448" t="inlineStr">
        <is>
          <t>calculated</t>
        </is>
      </c>
      <c r="J4448">
        <v>0.42</v>
      </c>
      <c r="K4448" t="inlineStr">
        <is>
          <t>Derived from stored Hansen components.</t>
        </is>
      </c>
    </row>
    <row r="4449">
      <c r="A4449" t="inlineStr">
        <is>
          <t>CHG_DICETYL_PHOSPHATE</t>
        </is>
      </c>
      <c r="B4449" t="inlineStr">
        <is>
          <t>molar_volume_cm3_mol</t>
        </is>
      </c>
      <c r="C4449">
        <v>575.63</v>
      </c>
      <c r="D4449" t="inlineStr">
        <is>
          <t>cm3/mol</t>
        </is>
      </c>
      <c r="E4449"/>
      <c r="F4449"/>
      <c r="G4449" t="inlineStr">
        <is>
          <t>MW/density estimate</t>
        </is>
      </c>
      <c r="H4449" t="inlineStr">
        <is>
          <t>S012_CALCULATED</t>
        </is>
      </c>
      <c r="I4449" t="inlineStr">
        <is>
          <t>estimated</t>
        </is>
      </c>
      <c r="J4449">
        <v>0.4</v>
      </c>
      <c r="K4449" t="inlineStr">
        <is>
          <t>Estimated from MW/density; replace with measured molar volume or density-specific grade data.</t>
        </is>
      </c>
    </row>
    <row r="4450">
      <c r="A4450" t="inlineStr">
        <is>
          <t>CHG_STEARYLAMINE</t>
        </is>
      </c>
      <c r="B4450" t="inlineStr">
        <is>
          <t>molecular_weight_g_mol</t>
        </is>
      </c>
      <c r="C4450">
        <v>269.51</v>
      </c>
      <c r="D4450" t="inlineStr">
        <is>
          <t>g/mol</t>
        </is>
      </c>
      <c r="E4450"/>
      <c r="F4450"/>
      <c r="G4450"/>
      <c r="H4450" t="inlineStr">
        <is>
          <t>S001_PUBCHEM</t>
        </is>
      </c>
      <c r="I4450" t="inlineStr">
        <is>
          <t>database-derived</t>
        </is>
      </c>
      <c r="J4450">
        <v>0.75</v>
      </c>
      <c r="K4450"/>
    </row>
    <row r="4451">
      <c r="A4451" t="inlineStr">
        <is>
          <t>CHG_STEARYLAMINE</t>
        </is>
      </c>
      <c r="B4451" t="inlineStr">
        <is>
          <t>charge_type</t>
        </is>
      </c>
      <c r="C4451" t="inlineStr">
        <is>
          <t>cationic</t>
        </is>
      </c>
      <c r="D4451"/>
      <c r="E4451"/>
      <c r="F4451"/>
      <c r="G4451"/>
      <c r="H4451" t="inlineStr">
        <is>
          <t>S001_PUBCHEM</t>
        </is>
      </c>
      <c r="I4451" t="inlineStr">
        <is>
          <t>curated</t>
        </is>
      </c>
      <c r="J4451">
        <v>0.85</v>
      </c>
      <c r="K4451"/>
    </row>
    <row r="4452">
      <c r="A4452" t="inlineStr">
        <is>
          <t>CHG_STEARYLAMINE</t>
        </is>
      </c>
      <c r="B4452" t="inlineStr">
        <is>
          <t>formal_charge</t>
        </is>
      </c>
      <c r="C4452">
        <v>1</v>
      </c>
      <c r="D4452" t="inlineStr">
        <is>
          <t>e</t>
        </is>
      </c>
      <c r="E4452"/>
      <c r="F4452"/>
      <c r="G4452"/>
      <c r="H4452" t="inlineStr">
        <is>
          <t>S001_PUBCHEM</t>
        </is>
      </c>
      <c r="I4452" t="inlineStr">
        <is>
          <t>curated</t>
        </is>
      </c>
      <c r="J4452">
        <v>0.85</v>
      </c>
      <c r="K4452"/>
    </row>
    <row r="4453">
      <c r="A4453" t="inlineStr">
        <is>
          <t>CHG_STEARYLAMINE</t>
        </is>
      </c>
      <c r="B4453" t="inlineStr">
        <is>
          <t>pKa</t>
        </is>
      </c>
      <c r="C4453">
        <v>10.6</v>
      </c>
      <c r="D4453"/>
      <c r="E4453"/>
      <c r="F4453"/>
      <c r="G4453"/>
      <c r="H4453" t="inlineStr">
        <is>
          <t>S001_PUBCHEM</t>
        </is>
      </c>
      <c r="I4453" t="inlineStr">
        <is>
          <t>literature</t>
        </is>
      </c>
      <c r="J4453">
        <v>0.55</v>
      </c>
      <c r="K4453"/>
    </row>
    <row r="4454">
      <c r="A4454" t="inlineStr">
        <is>
          <t>CHG_STEARYLAMINE</t>
        </is>
      </c>
      <c r="B4454" t="inlineStr">
        <is>
          <t>typical_mol_percent</t>
        </is>
      </c>
      <c r="C4454" t="inlineStr">
        <is>
          <t>1-10</t>
        </is>
      </c>
      <c r="D4454" t="inlineStr">
        <is>
          <t>mol%</t>
        </is>
      </c>
      <c r="E4454"/>
      <c r="F4454"/>
      <c r="G4454" t="inlineStr">
        <is>
          <t>typical formulation screening range</t>
        </is>
      </c>
      <c r="H4454" t="inlineStr">
        <is>
          <t>S014_AULTON</t>
        </is>
      </c>
      <c r="I4454" t="inlineStr">
        <is>
          <t>estimated</t>
        </is>
      </c>
      <c r="J4454">
        <v>0.45</v>
      </c>
      <c r="K4454"/>
    </row>
    <row r="4455">
      <c r="A4455" t="inlineStr">
        <is>
          <t>CHG_STEARYLAMINE</t>
        </is>
      </c>
      <c r="B4455" t="inlineStr">
        <is>
          <t>tail_carbons</t>
        </is>
      </c>
      <c r="C4455">
        <v>18</v>
      </c>
      <c r="D4455" t="inlineStr">
        <is>
          <t>count</t>
        </is>
      </c>
      <c r="E4455"/>
      <c r="F4455"/>
      <c r="G4455"/>
      <c r="H4455" t="inlineStr">
        <is>
          <t>S001_PUBCHEM</t>
        </is>
      </c>
      <c r="I4455" t="inlineStr">
        <is>
          <t>curated</t>
        </is>
      </c>
      <c r="J4455">
        <v>0.75</v>
      </c>
      <c r="K4455"/>
    </row>
    <row r="4456">
      <c r="A4456" t="inlineStr">
        <is>
          <t>CHG_STEARYLAMINE</t>
        </is>
      </c>
      <c r="B4456" t="inlineStr">
        <is>
          <t>tail_unsaturation</t>
        </is>
      </c>
      <c r="C4456">
        <v>0</v>
      </c>
      <c r="D4456" t="inlineStr">
        <is>
          <t>double_bonds</t>
        </is>
      </c>
      <c r="E4456"/>
      <c r="F4456"/>
      <c r="G4456"/>
      <c r="H4456" t="inlineStr">
        <is>
          <t>S001_PUBCHEM</t>
        </is>
      </c>
      <c r="I4456" t="inlineStr">
        <is>
          <t>curated</t>
        </is>
      </c>
      <c r="J4456">
        <v>0.75</v>
      </c>
      <c r="K4456"/>
    </row>
    <row r="4457">
      <c r="A4457" t="inlineStr">
        <is>
          <t>CHG_STEARYLAMINE</t>
        </is>
      </c>
      <c r="B4457" t="inlineStr">
        <is>
          <t>number_of_tails</t>
        </is>
      </c>
      <c r="C4457">
        <v>1</v>
      </c>
      <c r="D4457" t="inlineStr">
        <is>
          <t>count</t>
        </is>
      </c>
      <c r="E4457"/>
      <c r="F4457"/>
      <c r="G4457"/>
      <c r="H4457" t="inlineStr">
        <is>
          <t>S001_PUBCHEM</t>
        </is>
      </c>
      <c r="I4457" t="inlineStr">
        <is>
          <t>curated</t>
        </is>
      </c>
      <c r="J4457">
        <v>0.75</v>
      </c>
      <c r="K4457"/>
    </row>
    <row r="4458">
      <c r="A4458" t="inlineStr">
        <is>
          <t>CHG_STEARYLAMINE</t>
        </is>
      </c>
      <c r="B4458" t="inlineStr">
        <is>
          <t>toxicity_notes</t>
        </is>
      </c>
      <c r="C4458" t="inlineStr">
        <is>
          <t>primary amine; high cytotoxicity risk</t>
        </is>
      </c>
      <c r="D4458"/>
      <c r="E4458"/>
      <c r="F4458"/>
      <c r="G4458"/>
      <c r="H4458" t="inlineStr">
        <is>
          <t>S014_AULTON</t>
        </is>
      </c>
      <c r="I4458" t="inlineStr">
        <is>
          <t>curated</t>
        </is>
      </c>
      <c r="J4458">
        <v>0.65</v>
      </c>
      <c r="K4458"/>
    </row>
    <row r="4459">
      <c r="A4459" t="inlineStr">
        <is>
          <t>CHG_STEARYLAMINE</t>
        </is>
      </c>
      <c r="B4459" t="inlineStr">
        <is>
          <t>route_suitability</t>
        </is>
      </c>
      <c r="C4459" t="inlineStr">
        <is>
          <t>niosomes/liposomes as charge modifier; route-specific toxicology required</t>
        </is>
      </c>
      <c r="D4459"/>
      <c r="E4459"/>
      <c r="F4459"/>
      <c r="G4459"/>
      <c r="H4459" t="inlineStr">
        <is>
          <t>S008_FDA_IID</t>
        </is>
      </c>
      <c r="I4459" t="inlineStr">
        <is>
          <t>curated</t>
        </is>
      </c>
      <c r="J4459">
        <v>0.55</v>
      </c>
      <c r="K4459"/>
    </row>
    <row r="4460">
      <c r="A4460" t="inlineStr">
        <is>
          <t>CHG_STEARYLAMINE</t>
        </is>
      </c>
      <c r="B4460" t="inlineStr">
        <is>
          <t>Hansen_delta_D</t>
        </is>
      </c>
      <c r="C4460">
        <v>17.2</v>
      </c>
      <c r="D4460" t="inlineStr">
        <is>
          <t>MPa^0.5</t>
        </is>
      </c>
      <c r="E4460"/>
      <c r="F4460"/>
      <c r="G4460" t="inlineStr">
        <is>
          <t>heuristic group-contribution/nearest-neighbour</t>
        </is>
      </c>
      <c r="H4460" t="inlineStr">
        <is>
          <t>S013_EST_HSP_HEURISTIC</t>
        </is>
      </c>
      <c r="I4460" t="inlineStr">
        <is>
          <t>estimated</t>
        </is>
      </c>
      <c r="J4460">
        <v>0.37</v>
      </c>
      <c r="K4460" t="inlineStr">
        <is>
          <t>Provisional HSP for screening; replace with experimental/literature value before model lock.</t>
        </is>
      </c>
    </row>
    <row r="4461">
      <c r="A4461" t="inlineStr">
        <is>
          <t>CHG_STEARYLAMINE</t>
        </is>
      </c>
      <c r="B4461" t="inlineStr">
        <is>
          <t>Hansen_delta_P</t>
        </is>
      </c>
      <c r="C4461">
        <v>6.5</v>
      </c>
      <c r="D4461" t="inlineStr">
        <is>
          <t>MPa^0.5</t>
        </is>
      </c>
      <c r="E4461"/>
      <c r="F4461"/>
      <c r="G4461" t="inlineStr">
        <is>
          <t>heuristic group-contribution/nearest-neighbour</t>
        </is>
      </c>
      <c r="H4461" t="inlineStr">
        <is>
          <t>S013_EST_HSP_HEURISTIC</t>
        </is>
      </c>
      <c r="I4461" t="inlineStr">
        <is>
          <t>estimated</t>
        </is>
      </c>
      <c r="J4461">
        <v>0.37</v>
      </c>
      <c r="K4461" t="inlineStr">
        <is>
          <t>Provisional HSP for screening; replace with experimental/literature value before model lock.</t>
        </is>
      </c>
    </row>
    <row r="4462">
      <c r="A4462" t="inlineStr">
        <is>
          <t>CHG_STEARYLAMINE</t>
        </is>
      </c>
      <c r="B4462" t="inlineStr">
        <is>
          <t>Hansen_delta_H</t>
        </is>
      </c>
      <c r="C4462">
        <v>7.5</v>
      </c>
      <c r="D4462" t="inlineStr">
        <is>
          <t>MPa^0.5</t>
        </is>
      </c>
      <c r="E4462"/>
      <c r="F4462"/>
      <c r="G4462" t="inlineStr">
        <is>
          <t>heuristic group-contribution/nearest-neighbour</t>
        </is>
      </c>
      <c r="H4462" t="inlineStr">
        <is>
          <t>S013_EST_HSP_HEURISTIC</t>
        </is>
      </c>
      <c r="I4462" t="inlineStr">
        <is>
          <t>estimated</t>
        </is>
      </c>
      <c r="J4462">
        <v>0.37</v>
      </c>
      <c r="K4462" t="inlineStr">
        <is>
          <t>Provisional HSP for screening; replace with experimental/literature value before model lock.</t>
        </is>
      </c>
    </row>
    <row r="4463">
      <c r="A4463" t="inlineStr">
        <is>
          <t>CHG_STEARYLAMINE</t>
        </is>
      </c>
      <c r="B4463" t="inlineStr">
        <is>
          <t>Hildebrand_delta_T</t>
        </is>
      </c>
      <c r="C4463">
        <v>19.86</v>
      </c>
      <c r="D4463" t="inlineStr">
        <is>
          <t>MPa^0.5</t>
        </is>
      </c>
      <c r="E4463"/>
      <c r="F4463"/>
      <c r="G4463" t="inlineStr">
        <is>
          <t>sqrt(deltaD^2+deltaP^2+deltaH^2)</t>
        </is>
      </c>
      <c r="H4463" t="inlineStr">
        <is>
          <t>S012_CALCULATED</t>
        </is>
      </c>
      <c r="I4463" t="inlineStr">
        <is>
          <t>calculated</t>
        </is>
      </c>
      <c r="J4463">
        <v>0.42</v>
      </c>
      <c r="K4463" t="inlineStr">
        <is>
          <t>Derived from stored Hansen components.</t>
        </is>
      </c>
    </row>
    <row r="4464">
      <c r="A4464" t="inlineStr">
        <is>
          <t>CHG_STEARYLAMINE</t>
        </is>
      </c>
      <c r="B4464" t="inlineStr">
        <is>
          <t>molar_volume_cm3_mol</t>
        </is>
      </c>
      <c r="C4464">
        <v>283.69</v>
      </c>
      <c r="D4464" t="inlineStr">
        <is>
          <t>cm3/mol</t>
        </is>
      </c>
      <c r="E4464"/>
      <c r="F4464"/>
      <c r="G4464" t="inlineStr">
        <is>
          <t>MW/density estimate</t>
        </is>
      </c>
      <c r="H4464" t="inlineStr">
        <is>
          <t>S012_CALCULATED</t>
        </is>
      </c>
      <c r="I4464" t="inlineStr">
        <is>
          <t>estimated</t>
        </is>
      </c>
      <c r="J4464">
        <v>0.4</v>
      </c>
      <c r="K4464" t="inlineStr">
        <is>
          <t>Estimated from MW/density; replace with measured molar volume or density-specific grade data.</t>
        </is>
      </c>
    </row>
    <row r="4465">
      <c r="A4465" t="inlineStr">
        <is>
          <t>CHG_SODIUM_STEARATE</t>
        </is>
      </c>
      <c r="B4465" t="inlineStr">
        <is>
          <t>molecular_weight_g_mol</t>
        </is>
      </c>
      <c r="C4465">
        <v>306.46</v>
      </c>
      <c r="D4465" t="inlineStr">
        <is>
          <t>g/mol</t>
        </is>
      </c>
      <c r="E4465"/>
      <c r="F4465"/>
      <c r="G4465"/>
      <c r="H4465" t="inlineStr">
        <is>
          <t>S001_PUBCHEM</t>
        </is>
      </c>
      <c r="I4465" t="inlineStr">
        <is>
          <t>database-derived</t>
        </is>
      </c>
      <c r="J4465">
        <v>0.75</v>
      </c>
      <c r="K4465"/>
    </row>
    <row r="4466">
      <c r="A4466" t="inlineStr">
        <is>
          <t>CHG_SODIUM_STEARATE</t>
        </is>
      </c>
      <c r="B4466" t="inlineStr">
        <is>
          <t>charge_type</t>
        </is>
      </c>
      <c r="C4466" t="inlineStr">
        <is>
          <t>anionic</t>
        </is>
      </c>
      <c r="D4466"/>
      <c r="E4466"/>
      <c r="F4466"/>
      <c r="G4466"/>
      <c r="H4466" t="inlineStr">
        <is>
          <t>S001_PUBCHEM</t>
        </is>
      </c>
      <c r="I4466" t="inlineStr">
        <is>
          <t>curated</t>
        </is>
      </c>
      <c r="J4466">
        <v>0.85</v>
      </c>
      <c r="K4466"/>
    </row>
    <row r="4467">
      <c r="A4467" t="inlineStr">
        <is>
          <t>CHG_SODIUM_STEARATE</t>
        </is>
      </c>
      <c r="B4467" t="inlineStr">
        <is>
          <t>formal_charge</t>
        </is>
      </c>
      <c r="C4467">
        <v>-1</v>
      </c>
      <c r="D4467" t="inlineStr">
        <is>
          <t>e</t>
        </is>
      </c>
      <c r="E4467"/>
      <c r="F4467"/>
      <c r="G4467"/>
      <c r="H4467" t="inlineStr">
        <is>
          <t>S001_PUBCHEM</t>
        </is>
      </c>
      <c r="I4467" t="inlineStr">
        <is>
          <t>curated</t>
        </is>
      </c>
      <c r="J4467">
        <v>0.85</v>
      </c>
      <c r="K4467"/>
    </row>
    <row r="4468">
      <c r="A4468" t="inlineStr">
        <is>
          <t>CHG_SODIUM_STEARATE</t>
        </is>
      </c>
      <c r="B4468" t="inlineStr">
        <is>
          <t>pKa</t>
        </is>
      </c>
      <c r="C4468">
        <v>5.0</v>
      </c>
      <c r="D4468"/>
      <c r="E4468"/>
      <c r="F4468"/>
      <c r="G4468"/>
      <c r="H4468" t="inlineStr">
        <is>
          <t>S001_PUBCHEM</t>
        </is>
      </c>
      <c r="I4468" t="inlineStr">
        <is>
          <t>literature</t>
        </is>
      </c>
      <c r="J4468">
        <v>0.55</v>
      </c>
      <c r="K4468"/>
    </row>
    <row r="4469">
      <c r="A4469" t="inlineStr">
        <is>
          <t>CHG_SODIUM_STEARATE</t>
        </is>
      </c>
      <c r="B4469" t="inlineStr">
        <is>
          <t>typical_mol_percent</t>
        </is>
      </c>
      <c r="C4469" t="inlineStr">
        <is>
          <t>1-10</t>
        </is>
      </c>
      <c r="D4469" t="inlineStr">
        <is>
          <t>mol%</t>
        </is>
      </c>
      <c r="E4469"/>
      <c r="F4469"/>
      <c r="G4469" t="inlineStr">
        <is>
          <t>typical formulation screening range</t>
        </is>
      </c>
      <c r="H4469" t="inlineStr">
        <is>
          <t>S014_AULTON</t>
        </is>
      </c>
      <c r="I4469" t="inlineStr">
        <is>
          <t>estimated</t>
        </is>
      </c>
      <c r="J4469">
        <v>0.45</v>
      </c>
      <c r="K4469"/>
    </row>
    <row r="4470">
      <c r="A4470" t="inlineStr">
        <is>
          <t>CHG_SODIUM_STEARATE</t>
        </is>
      </c>
      <c r="B4470" t="inlineStr">
        <is>
          <t>tail_carbons</t>
        </is>
      </c>
      <c r="C4470">
        <v>18</v>
      </c>
      <c r="D4470" t="inlineStr">
        <is>
          <t>count</t>
        </is>
      </c>
      <c r="E4470"/>
      <c r="F4470"/>
      <c r="G4470"/>
      <c r="H4470" t="inlineStr">
        <is>
          <t>S001_PUBCHEM</t>
        </is>
      </c>
      <c r="I4470" t="inlineStr">
        <is>
          <t>curated</t>
        </is>
      </c>
      <c r="J4470">
        <v>0.75</v>
      </c>
      <c r="K4470"/>
    </row>
    <row r="4471">
      <c r="A4471" t="inlineStr">
        <is>
          <t>CHG_SODIUM_STEARATE</t>
        </is>
      </c>
      <c r="B4471" t="inlineStr">
        <is>
          <t>tail_unsaturation</t>
        </is>
      </c>
      <c r="C4471">
        <v>0</v>
      </c>
      <c r="D4471" t="inlineStr">
        <is>
          <t>double_bonds</t>
        </is>
      </c>
      <c r="E4471"/>
      <c r="F4471"/>
      <c r="G4471"/>
      <c r="H4471" t="inlineStr">
        <is>
          <t>S001_PUBCHEM</t>
        </is>
      </c>
      <c r="I4471" t="inlineStr">
        <is>
          <t>curated</t>
        </is>
      </c>
      <c r="J4471">
        <v>0.75</v>
      </c>
      <c r="K4471"/>
    </row>
    <row r="4472">
      <c r="A4472" t="inlineStr">
        <is>
          <t>CHG_SODIUM_STEARATE</t>
        </is>
      </c>
      <c r="B4472" t="inlineStr">
        <is>
          <t>number_of_tails</t>
        </is>
      </c>
      <c r="C4472">
        <v>1</v>
      </c>
      <c r="D4472" t="inlineStr">
        <is>
          <t>count</t>
        </is>
      </c>
      <c r="E4472"/>
      <c r="F4472"/>
      <c r="G4472"/>
      <c r="H4472" t="inlineStr">
        <is>
          <t>S001_PUBCHEM</t>
        </is>
      </c>
      <c r="I4472" t="inlineStr">
        <is>
          <t>curated</t>
        </is>
      </c>
      <c r="J4472">
        <v>0.75</v>
      </c>
      <c r="K4472"/>
    </row>
    <row r="4473">
      <c r="A4473" t="inlineStr">
        <is>
          <t>CHG_SODIUM_STEARATE</t>
        </is>
      </c>
      <c r="B4473" t="inlineStr">
        <is>
          <t>toxicity_notes</t>
        </is>
      </c>
      <c r="C4473" t="inlineStr">
        <is>
          <t>charge inducers alter cytotoxicity, complement activation, and mucus interaction; titrate cautiously</t>
        </is>
      </c>
      <c r="D4473"/>
      <c r="E4473"/>
      <c r="F4473"/>
      <c r="G4473"/>
      <c r="H4473" t="inlineStr">
        <is>
          <t>S014_AULTON</t>
        </is>
      </c>
      <c r="I4473" t="inlineStr">
        <is>
          <t>curated</t>
        </is>
      </c>
      <c r="J4473">
        <v>0.65</v>
      </c>
      <c r="K4473"/>
    </row>
    <row r="4474">
      <c r="A4474" t="inlineStr">
        <is>
          <t>CHG_SODIUM_STEARATE</t>
        </is>
      </c>
      <c r="B4474" t="inlineStr">
        <is>
          <t>route_suitability</t>
        </is>
      </c>
      <c r="C4474" t="inlineStr">
        <is>
          <t>niosomes/liposomes as charge modifier; route-specific toxicology required</t>
        </is>
      </c>
      <c r="D4474"/>
      <c r="E4474"/>
      <c r="F4474"/>
      <c r="G4474"/>
      <c r="H4474" t="inlineStr">
        <is>
          <t>S008_FDA_IID</t>
        </is>
      </c>
      <c r="I4474" t="inlineStr">
        <is>
          <t>curated</t>
        </is>
      </c>
      <c r="J4474">
        <v>0.55</v>
      </c>
      <c r="K4474"/>
    </row>
    <row r="4475">
      <c r="A4475" t="inlineStr">
        <is>
          <t>CHG_SODIUM_STEARATE</t>
        </is>
      </c>
      <c r="B4475" t="inlineStr">
        <is>
          <t>Hansen_delta_D</t>
        </is>
      </c>
      <c r="C4475">
        <v>17.2</v>
      </c>
      <c r="D4475" t="inlineStr">
        <is>
          <t>MPa^0.5</t>
        </is>
      </c>
      <c r="E4475"/>
      <c r="F4475"/>
      <c r="G4475" t="inlineStr">
        <is>
          <t>heuristic group-contribution/nearest-neighbour</t>
        </is>
      </c>
      <c r="H4475" t="inlineStr">
        <is>
          <t>S013_EST_HSP_HEURISTIC</t>
        </is>
      </c>
      <c r="I4475" t="inlineStr">
        <is>
          <t>estimated</t>
        </is>
      </c>
      <c r="J4475">
        <v>0.37</v>
      </c>
      <c r="K4475" t="inlineStr">
        <is>
          <t>Provisional HSP for screening; replace with experimental/literature value before model lock.</t>
        </is>
      </c>
    </row>
    <row r="4476">
      <c r="A4476" t="inlineStr">
        <is>
          <t>CHG_SODIUM_STEARATE</t>
        </is>
      </c>
      <c r="B4476" t="inlineStr">
        <is>
          <t>Hansen_delta_P</t>
        </is>
      </c>
      <c r="C4476">
        <v>6.5</v>
      </c>
      <c r="D4476" t="inlineStr">
        <is>
          <t>MPa^0.5</t>
        </is>
      </c>
      <c r="E4476"/>
      <c r="F4476"/>
      <c r="G4476" t="inlineStr">
        <is>
          <t>heuristic group-contribution/nearest-neighbour</t>
        </is>
      </c>
      <c r="H4476" t="inlineStr">
        <is>
          <t>S013_EST_HSP_HEURISTIC</t>
        </is>
      </c>
      <c r="I4476" t="inlineStr">
        <is>
          <t>estimated</t>
        </is>
      </c>
      <c r="J4476">
        <v>0.37</v>
      </c>
      <c r="K4476" t="inlineStr">
        <is>
          <t>Provisional HSP for screening; replace with experimental/literature value before model lock.</t>
        </is>
      </c>
    </row>
    <row r="4477">
      <c r="A4477" t="inlineStr">
        <is>
          <t>CHG_SODIUM_STEARATE</t>
        </is>
      </c>
      <c r="B4477" t="inlineStr">
        <is>
          <t>Hansen_delta_H</t>
        </is>
      </c>
      <c r="C4477">
        <v>7.5</v>
      </c>
      <c r="D4477" t="inlineStr">
        <is>
          <t>MPa^0.5</t>
        </is>
      </c>
      <c r="E4477"/>
      <c r="F4477"/>
      <c r="G4477" t="inlineStr">
        <is>
          <t>heuristic group-contribution/nearest-neighbour</t>
        </is>
      </c>
      <c r="H4477" t="inlineStr">
        <is>
          <t>S013_EST_HSP_HEURISTIC</t>
        </is>
      </c>
      <c r="I4477" t="inlineStr">
        <is>
          <t>estimated</t>
        </is>
      </c>
      <c r="J4477">
        <v>0.37</v>
      </c>
      <c r="K4477" t="inlineStr">
        <is>
          <t>Provisional HSP for screening; replace with experimental/literature value before model lock.</t>
        </is>
      </c>
    </row>
    <row r="4478">
      <c r="A4478" t="inlineStr">
        <is>
          <t>CHG_SODIUM_STEARATE</t>
        </is>
      </c>
      <c r="B4478" t="inlineStr">
        <is>
          <t>Hildebrand_delta_T</t>
        </is>
      </c>
      <c r="C4478">
        <v>19.86</v>
      </c>
      <c r="D4478" t="inlineStr">
        <is>
          <t>MPa^0.5</t>
        </is>
      </c>
      <c r="E4478"/>
      <c r="F4478"/>
      <c r="G4478" t="inlineStr">
        <is>
          <t>sqrt(deltaD^2+deltaP^2+deltaH^2)</t>
        </is>
      </c>
      <c r="H4478" t="inlineStr">
        <is>
          <t>S012_CALCULATED</t>
        </is>
      </c>
      <c r="I4478" t="inlineStr">
        <is>
          <t>calculated</t>
        </is>
      </c>
      <c r="J4478">
        <v>0.42</v>
      </c>
      <c r="K4478" t="inlineStr">
        <is>
          <t>Derived from stored Hansen components.</t>
        </is>
      </c>
    </row>
    <row r="4479">
      <c r="A4479" t="inlineStr">
        <is>
          <t>CHG_SODIUM_STEARATE</t>
        </is>
      </c>
      <c r="B4479" t="inlineStr">
        <is>
          <t>molar_volume_cm3_mol</t>
        </is>
      </c>
      <c r="C4479">
        <v>322.59</v>
      </c>
      <c r="D4479" t="inlineStr">
        <is>
          <t>cm3/mol</t>
        </is>
      </c>
      <c r="E4479"/>
      <c r="F4479"/>
      <c r="G4479" t="inlineStr">
        <is>
          <t>MW/density estimate</t>
        </is>
      </c>
      <c r="H4479" t="inlineStr">
        <is>
          <t>S012_CALCULATED</t>
        </is>
      </c>
      <c r="I4479" t="inlineStr">
        <is>
          <t>estimated</t>
        </is>
      </c>
      <c r="J4479">
        <v>0.4</v>
      </c>
      <c r="K4479" t="inlineStr">
        <is>
          <t>Estimated from MW/density; replace with measured molar volume or density-specific grade data.</t>
        </is>
      </c>
    </row>
    <row r="4480">
      <c r="A4480" t="inlineStr">
        <is>
          <t>CHG_SODIUM_OLEATE</t>
        </is>
      </c>
      <c r="B4480" t="inlineStr">
        <is>
          <t>molecular_weight_g_mol</t>
        </is>
      </c>
      <c r="C4480">
        <v>304.44</v>
      </c>
      <c r="D4480" t="inlineStr">
        <is>
          <t>g/mol</t>
        </is>
      </c>
      <c r="E4480"/>
      <c r="F4480"/>
      <c r="G4480"/>
      <c r="H4480" t="inlineStr">
        <is>
          <t>S001_PUBCHEM</t>
        </is>
      </c>
      <c r="I4480" t="inlineStr">
        <is>
          <t>database-derived</t>
        </is>
      </c>
      <c r="J4480">
        <v>0.75</v>
      </c>
      <c r="K4480"/>
    </row>
    <row r="4481">
      <c r="A4481" t="inlineStr">
        <is>
          <t>CHG_SODIUM_OLEATE</t>
        </is>
      </c>
      <c r="B4481" t="inlineStr">
        <is>
          <t>charge_type</t>
        </is>
      </c>
      <c r="C4481" t="inlineStr">
        <is>
          <t>anionic</t>
        </is>
      </c>
      <c r="D4481"/>
      <c r="E4481"/>
      <c r="F4481"/>
      <c r="G4481"/>
      <c r="H4481" t="inlineStr">
        <is>
          <t>S001_PUBCHEM</t>
        </is>
      </c>
      <c r="I4481" t="inlineStr">
        <is>
          <t>curated</t>
        </is>
      </c>
      <c r="J4481">
        <v>0.85</v>
      </c>
      <c r="K4481"/>
    </row>
    <row r="4482">
      <c r="A4482" t="inlineStr">
        <is>
          <t>CHG_SODIUM_OLEATE</t>
        </is>
      </c>
      <c r="B4482" t="inlineStr">
        <is>
          <t>formal_charge</t>
        </is>
      </c>
      <c r="C4482">
        <v>-1</v>
      </c>
      <c r="D4482" t="inlineStr">
        <is>
          <t>e</t>
        </is>
      </c>
      <c r="E4482"/>
      <c r="F4482"/>
      <c r="G4482"/>
      <c r="H4482" t="inlineStr">
        <is>
          <t>S001_PUBCHEM</t>
        </is>
      </c>
      <c r="I4482" t="inlineStr">
        <is>
          <t>curated</t>
        </is>
      </c>
      <c r="J4482">
        <v>0.85</v>
      </c>
      <c r="K4482"/>
    </row>
    <row r="4483">
      <c r="A4483" t="inlineStr">
        <is>
          <t>CHG_SODIUM_OLEATE</t>
        </is>
      </c>
      <c r="B4483" t="inlineStr">
        <is>
          <t>pKa</t>
        </is>
      </c>
      <c r="C4483">
        <v>5.0</v>
      </c>
      <c r="D4483"/>
      <c r="E4483"/>
      <c r="F4483"/>
      <c r="G4483"/>
      <c r="H4483" t="inlineStr">
        <is>
          <t>S001_PUBCHEM</t>
        </is>
      </c>
      <c r="I4483" t="inlineStr">
        <is>
          <t>literature</t>
        </is>
      </c>
      <c r="J4483">
        <v>0.55</v>
      </c>
      <c r="K4483"/>
    </row>
    <row r="4484">
      <c r="A4484" t="inlineStr">
        <is>
          <t>CHG_SODIUM_OLEATE</t>
        </is>
      </c>
      <c r="B4484" t="inlineStr">
        <is>
          <t>typical_mol_percent</t>
        </is>
      </c>
      <c r="C4484" t="inlineStr">
        <is>
          <t>1-10</t>
        </is>
      </c>
      <c r="D4484" t="inlineStr">
        <is>
          <t>mol%</t>
        </is>
      </c>
      <c r="E4484"/>
      <c r="F4484"/>
      <c r="G4484" t="inlineStr">
        <is>
          <t>typical formulation screening range</t>
        </is>
      </c>
      <c r="H4484" t="inlineStr">
        <is>
          <t>S014_AULTON</t>
        </is>
      </c>
      <c r="I4484" t="inlineStr">
        <is>
          <t>estimated</t>
        </is>
      </c>
      <c r="J4484">
        <v>0.45</v>
      </c>
      <c r="K4484"/>
    </row>
    <row r="4485">
      <c r="A4485" t="inlineStr">
        <is>
          <t>CHG_SODIUM_OLEATE</t>
        </is>
      </c>
      <c r="B4485" t="inlineStr">
        <is>
          <t>tail_carbons</t>
        </is>
      </c>
      <c r="C4485">
        <v>18</v>
      </c>
      <c r="D4485" t="inlineStr">
        <is>
          <t>count</t>
        </is>
      </c>
      <c r="E4485"/>
      <c r="F4485"/>
      <c r="G4485"/>
      <c r="H4485" t="inlineStr">
        <is>
          <t>S001_PUBCHEM</t>
        </is>
      </c>
      <c r="I4485" t="inlineStr">
        <is>
          <t>curated</t>
        </is>
      </c>
      <c r="J4485">
        <v>0.75</v>
      </c>
      <c r="K4485"/>
    </row>
    <row r="4486">
      <c r="A4486" t="inlineStr">
        <is>
          <t>CHG_SODIUM_OLEATE</t>
        </is>
      </c>
      <c r="B4486" t="inlineStr">
        <is>
          <t>tail_unsaturation</t>
        </is>
      </c>
      <c r="C4486">
        <v>1</v>
      </c>
      <c r="D4486" t="inlineStr">
        <is>
          <t>double_bonds</t>
        </is>
      </c>
      <c r="E4486"/>
      <c r="F4486"/>
      <c r="G4486"/>
      <c r="H4486" t="inlineStr">
        <is>
          <t>S001_PUBCHEM</t>
        </is>
      </c>
      <c r="I4486" t="inlineStr">
        <is>
          <t>curated</t>
        </is>
      </c>
      <c r="J4486">
        <v>0.75</v>
      </c>
      <c r="K4486"/>
    </row>
    <row r="4487">
      <c r="A4487" t="inlineStr">
        <is>
          <t>CHG_SODIUM_OLEATE</t>
        </is>
      </c>
      <c r="B4487" t="inlineStr">
        <is>
          <t>number_of_tails</t>
        </is>
      </c>
      <c r="C4487">
        <v>1</v>
      </c>
      <c r="D4487" t="inlineStr">
        <is>
          <t>count</t>
        </is>
      </c>
      <c r="E4487"/>
      <c r="F4487"/>
      <c r="G4487"/>
      <c r="H4487" t="inlineStr">
        <is>
          <t>S001_PUBCHEM</t>
        </is>
      </c>
      <c r="I4487" t="inlineStr">
        <is>
          <t>curated</t>
        </is>
      </c>
      <c r="J4487">
        <v>0.75</v>
      </c>
      <c r="K4487"/>
    </row>
    <row r="4488">
      <c r="A4488" t="inlineStr">
        <is>
          <t>CHG_SODIUM_OLEATE</t>
        </is>
      </c>
      <c r="B4488" t="inlineStr">
        <is>
          <t>toxicity_notes</t>
        </is>
      </c>
      <c r="C4488" t="inlineStr">
        <is>
          <t>fluid anionic surfactant</t>
        </is>
      </c>
      <c r="D4488"/>
      <c r="E4488"/>
      <c r="F4488"/>
      <c r="G4488"/>
      <c r="H4488" t="inlineStr">
        <is>
          <t>S014_AULTON</t>
        </is>
      </c>
      <c r="I4488" t="inlineStr">
        <is>
          <t>curated</t>
        </is>
      </c>
      <c r="J4488">
        <v>0.65</v>
      </c>
      <c r="K4488"/>
    </row>
    <row r="4489">
      <c r="A4489" t="inlineStr">
        <is>
          <t>CHG_SODIUM_OLEATE</t>
        </is>
      </c>
      <c r="B4489" t="inlineStr">
        <is>
          <t>route_suitability</t>
        </is>
      </c>
      <c r="C4489" t="inlineStr">
        <is>
          <t>niosomes/liposomes as charge modifier; route-specific toxicology required</t>
        </is>
      </c>
      <c r="D4489"/>
      <c r="E4489"/>
      <c r="F4489"/>
      <c r="G4489"/>
      <c r="H4489" t="inlineStr">
        <is>
          <t>S008_FDA_IID</t>
        </is>
      </c>
      <c r="I4489" t="inlineStr">
        <is>
          <t>curated</t>
        </is>
      </c>
      <c r="J4489">
        <v>0.55</v>
      </c>
      <c r="K4489"/>
    </row>
    <row r="4490">
      <c r="A4490" t="inlineStr">
        <is>
          <t>CHG_SODIUM_OLEATE</t>
        </is>
      </c>
      <c r="B4490" t="inlineStr">
        <is>
          <t>Hansen_delta_D</t>
        </is>
      </c>
      <c r="C4490">
        <v>17.2</v>
      </c>
      <c r="D4490" t="inlineStr">
        <is>
          <t>MPa^0.5</t>
        </is>
      </c>
      <c r="E4490"/>
      <c r="F4490"/>
      <c r="G4490" t="inlineStr">
        <is>
          <t>heuristic group-contribution/nearest-neighbour</t>
        </is>
      </c>
      <c r="H4490" t="inlineStr">
        <is>
          <t>S013_EST_HSP_HEURISTIC</t>
        </is>
      </c>
      <c r="I4490" t="inlineStr">
        <is>
          <t>estimated</t>
        </is>
      </c>
      <c r="J4490">
        <v>0.37</v>
      </c>
      <c r="K4490" t="inlineStr">
        <is>
          <t>Provisional HSP for screening; replace with experimental/literature value before model lock.</t>
        </is>
      </c>
    </row>
    <row r="4491">
      <c r="A4491" t="inlineStr">
        <is>
          <t>CHG_SODIUM_OLEATE</t>
        </is>
      </c>
      <c r="B4491" t="inlineStr">
        <is>
          <t>Hansen_delta_P</t>
        </is>
      </c>
      <c r="C4491">
        <v>6.5</v>
      </c>
      <c r="D4491" t="inlineStr">
        <is>
          <t>MPa^0.5</t>
        </is>
      </c>
      <c r="E4491"/>
      <c r="F4491"/>
      <c r="G4491" t="inlineStr">
        <is>
          <t>heuristic group-contribution/nearest-neighbour</t>
        </is>
      </c>
      <c r="H4491" t="inlineStr">
        <is>
          <t>S013_EST_HSP_HEURISTIC</t>
        </is>
      </c>
      <c r="I4491" t="inlineStr">
        <is>
          <t>estimated</t>
        </is>
      </c>
      <c r="J4491">
        <v>0.37</v>
      </c>
      <c r="K4491" t="inlineStr">
        <is>
          <t>Provisional HSP for screening; replace with experimental/literature value before model lock.</t>
        </is>
      </c>
    </row>
    <row r="4492">
      <c r="A4492" t="inlineStr">
        <is>
          <t>CHG_SODIUM_OLEATE</t>
        </is>
      </c>
      <c r="B4492" t="inlineStr">
        <is>
          <t>Hansen_delta_H</t>
        </is>
      </c>
      <c r="C4492">
        <v>7.5</v>
      </c>
      <c r="D4492" t="inlineStr">
        <is>
          <t>MPa^0.5</t>
        </is>
      </c>
      <c r="E4492"/>
      <c r="F4492"/>
      <c r="G4492" t="inlineStr">
        <is>
          <t>heuristic group-contribution/nearest-neighbour</t>
        </is>
      </c>
      <c r="H4492" t="inlineStr">
        <is>
          <t>S013_EST_HSP_HEURISTIC</t>
        </is>
      </c>
      <c r="I4492" t="inlineStr">
        <is>
          <t>estimated</t>
        </is>
      </c>
      <c r="J4492">
        <v>0.37</v>
      </c>
      <c r="K4492" t="inlineStr">
        <is>
          <t>Provisional HSP for screening; replace with experimental/literature value before model lock.</t>
        </is>
      </c>
    </row>
    <row r="4493">
      <c r="A4493" t="inlineStr">
        <is>
          <t>CHG_SODIUM_OLEATE</t>
        </is>
      </c>
      <c r="B4493" t="inlineStr">
        <is>
          <t>Hildebrand_delta_T</t>
        </is>
      </c>
      <c r="C4493">
        <v>19.86</v>
      </c>
      <c r="D4493" t="inlineStr">
        <is>
          <t>MPa^0.5</t>
        </is>
      </c>
      <c r="E4493"/>
      <c r="F4493"/>
      <c r="G4493" t="inlineStr">
        <is>
          <t>sqrt(deltaD^2+deltaP^2+deltaH^2)</t>
        </is>
      </c>
      <c r="H4493" t="inlineStr">
        <is>
          <t>S012_CALCULATED</t>
        </is>
      </c>
      <c r="I4493" t="inlineStr">
        <is>
          <t>calculated</t>
        </is>
      </c>
      <c r="J4493">
        <v>0.42</v>
      </c>
      <c r="K4493" t="inlineStr">
        <is>
          <t>Derived from stored Hansen components.</t>
        </is>
      </c>
    </row>
    <row r="4494">
      <c r="A4494" t="inlineStr">
        <is>
          <t>CHG_SODIUM_OLEATE</t>
        </is>
      </c>
      <c r="B4494" t="inlineStr">
        <is>
          <t>molar_volume_cm3_mol</t>
        </is>
      </c>
      <c r="C4494">
        <v>320.46</v>
      </c>
      <c r="D4494" t="inlineStr">
        <is>
          <t>cm3/mol</t>
        </is>
      </c>
      <c r="E4494"/>
      <c r="F4494"/>
      <c r="G4494" t="inlineStr">
        <is>
          <t>MW/density estimate</t>
        </is>
      </c>
      <c r="H4494" t="inlineStr">
        <is>
          <t>S012_CALCULATED</t>
        </is>
      </c>
      <c r="I4494" t="inlineStr">
        <is>
          <t>estimated</t>
        </is>
      </c>
      <c r="J4494">
        <v>0.4</v>
      </c>
      <c r="K4494" t="inlineStr">
        <is>
          <t>Estimated from MW/density; replace with measured molar volume or density-specific grade data.</t>
        </is>
      </c>
    </row>
    <row r="4495">
      <c r="A4495" t="inlineStr">
        <is>
          <t>POL_PLGA_50_50</t>
        </is>
      </c>
      <c r="B4495" t="inlineStr">
        <is>
          <t>repeat_unit_mw_g_mol</t>
        </is>
      </c>
      <c r="C4495">
        <v>72</v>
      </c>
      <c r="D4495" t="inlineStr">
        <is>
          <t>g/mol</t>
        </is>
      </c>
      <c r="E4495"/>
      <c r="F4495"/>
      <c r="G4495"/>
      <c r="H4495" t="inlineStr">
        <is>
          <t>S007_EXCIPIENTS_HANDBOOK</t>
        </is>
      </c>
      <c r="I4495" t="inlineStr">
        <is>
          <t>handbook</t>
        </is>
      </c>
      <c r="J4495">
        <v>0.65</v>
      </c>
      <c r="K4495"/>
    </row>
    <row r="4496">
      <c r="A4496" t="inlineStr">
        <is>
          <t>POL_PLGA_50_50</t>
        </is>
      </c>
      <c r="B4496" t="inlineStr">
        <is>
          <t>mw_range</t>
        </is>
      </c>
      <c r="C4496" t="inlineStr">
        <is>
          <t>10,000-100,000</t>
        </is>
      </c>
      <c r="D4496" t="inlineStr">
        <is>
          <t>g/mol</t>
        </is>
      </c>
      <c r="E4496"/>
      <c r="F4496"/>
      <c r="G4496" t="inlineStr">
        <is>
          <t>grade-dependent</t>
        </is>
      </c>
      <c r="H4496" t="inlineStr">
        <is>
          <t>S007_EXCIPIENTS_HANDBOOK</t>
        </is>
      </c>
      <c r="I4496" t="inlineStr">
        <is>
          <t>supplier-reported</t>
        </is>
      </c>
      <c r="J4496">
        <v>0.45</v>
      </c>
      <c r="K4496"/>
    </row>
    <row r="4497">
      <c r="A4497" t="inlineStr">
        <is>
          <t>POL_PLGA_50_50</t>
        </is>
      </c>
      <c r="B4497" t="inlineStr">
        <is>
          <t>Tg_C</t>
        </is>
      </c>
      <c r="C4497">
        <v>45</v>
      </c>
      <c r="D4497" t="inlineStr">
        <is>
          <t>°C</t>
        </is>
      </c>
      <c r="E4497"/>
      <c r="F4497"/>
      <c r="G4497" t="inlineStr">
        <is>
          <t>grade/substitution dependent</t>
        </is>
      </c>
      <c r="H4497" t="inlineStr">
        <is>
          <t>S007_EXCIPIENTS_HANDBOOK</t>
        </is>
      </c>
      <c r="I4497" t="inlineStr">
        <is>
          <t>handbook</t>
        </is>
      </c>
      <c r="J4497">
        <v>0.48</v>
      </c>
      <c r="K4497"/>
    </row>
    <row r="4498">
      <c r="A4498" t="inlineStr">
        <is>
          <t>POL_PLGA_50_50</t>
        </is>
      </c>
      <c r="B4498" t="inlineStr">
        <is>
          <t>charge_type</t>
        </is>
      </c>
      <c r="C4498" t="inlineStr">
        <is>
          <t>neutral</t>
        </is>
      </c>
      <c r="D4498"/>
      <c r="E4498"/>
      <c r="F4498"/>
      <c r="G4498"/>
      <c r="H4498" t="inlineStr">
        <is>
          <t>S007_EXCIPIENTS_HANDBOOK</t>
        </is>
      </c>
      <c r="I4498" t="inlineStr">
        <is>
          <t>curated</t>
        </is>
      </c>
      <c r="J4498">
        <v>0.75</v>
      </c>
      <c r="K4498"/>
    </row>
    <row r="4499">
      <c r="A4499" t="inlineStr">
        <is>
          <t>POL_PLGA_50_50</t>
        </is>
      </c>
      <c r="B4499" t="inlineStr">
        <is>
          <t>formal_charge</t>
        </is>
      </c>
      <c r="C4499">
        <v>0</v>
      </c>
      <c r="D4499" t="inlineStr">
        <is>
          <t>e</t>
        </is>
      </c>
      <c r="E4499"/>
      <c r="F4499"/>
      <c r="G4499"/>
      <c r="H4499" t="inlineStr">
        <is>
          <t>S007_EXCIPIENTS_HANDBOOK</t>
        </is>
      </c>
      <c r="I4499" t="inlineStr">
        <is>
          <t>curated</t>
        </is>
      </c>
      <c r="J4499">
        <v>0.75</v>
      </c>
      <c r="K4499"/>
    </row>
    <row r="4500">
      <c r="A4500" t="inlineStr">
        <is>
          <t>POL_PLGA_50_50</t>
        </is>
      </c>
      <c r="B4500" t="inlineStr">
        <is>
          <t>solubility_in_water</t>
        </is>
      </c>
      <c r="C4500" t="inlineStr">
        <is>
          <t>poor</t>
        </is>
      </c>
      <c r="D4500"/>
      <c r="E4500"/>
      <c r="F4500"/>
      <c r="G4500"/>
      <c r="H4500" t="inlineStr">
        <is>
          <t>S007_EXCIPIENTS_HANDBOOK</t>
        </is>
      </c>
      <c r="I4500" t="inlineStr">
        <is>
          <t>handbook</t>
        </is>
      </c>
      <c r="J4500">
        <v>0.55</v>
      </c>
      <c r="K4500"/>
    </row>
    <row r="4501">
      <c r="A4501" t="inlineStr">
        <is>
          <t>POL_PLGA_50_50</t>
        </is>
      </c>
      <c r="B4501" t="inlineStr">
        <is>
          <t>solubility_in_ethanol</t>
        </is>
      </c>
      <c r="C4501" t="inlineStr">
        <is>
          <t>soluble</t>
        </is>
      </c>
      <c r="D4501"/>
      <c r="E4501"/>
      <c r="F4501"/>
      <c r="G4501"/>
      <c r="H4501" t="inlineStr">
        <is>
          <t>S007_EXCIPIENTS_HANDBOOK</t>
        </is>
      </c>
      <c r="I4501" t="inlineStr">
        <is>
          <t>handbook</t>
        </is>
      </c>
      <c r="J4501">
        <v>0.55</v>
      </c>
      <c r="K4501"/>
    </row>
    <row r="4502">
      <c r="A4502" t="inlineStr">
        <is>
          <t>POL_PLGA_50_50</t>
        </is>
      </c>
      <c r="B4502" t="inlineStr">
        <is>
          <t>solubility_in_acetone</t>
        </is>
      </c>
      <c r="C4502" t="inlineStr">
        <is>
          <t>soluble</t>
        </is>
      </c>
      <c r="D4502"/>
      <c r="E4502"/>
      <c r="F4502"/>
      <c r="G4502"/>
      <c r="H4502" t="inlineStr">
        <is>
          <t>S007_EXCIPIENTS_HANDBOOK</t>
        </is>
      </c>
      <c r="I4502" t="inlineStr">
        <is>
          <t>handbook</t>
        </is>
      </c>
      <c r="J4502">
        <v>0.55</v>
      </c>
      <c r="K4502"/>
    </row>
    <row r="4503">
      <c r="A4503" t="inlineStr">
        <is>
          <t>POL_PLGA_50_50</t>
        </is>
      </c>
      <c r="B4503" t="inlineStr">
        <is>
          <t>solubility_in_dcm</t>
        </is>
      </c>
      <c r="C4503" t="inlineStr">
        <is>
          <t>soluble</t>
        </is>
      </c>
      <c r="D4503"/>
      <c r="E4503"/>
      <c r="F4503"/>
      <c r="G4503"/>
      <c r="H4503" t="inlineStr">
        <is>
          <t>S007_EXCIPIENTS_HANDBOOK</t>
        </is>
      </c>
      <c r="I4503" t="inlineStr">
        <is>
          <t>handbook</t>
        </is>
      </c>
      <c r="J4503">
        <v>0.55</v>
      </c>
      <c r="K4503"/>
    </row>
    <row r="4504">
      <c r="A4504" t="inlineStr">
        <is>
          <t>POL_PLGA_50_50</t>
        </is>
      </c>
      <c r="B4504" t="inlineStr">
        <is>
          <t>biodegradability</t>
        </is>
      </c>
      <c r="C4504" t="inlineStr">
        <is>
          <t>yes</t>
        </is>
      </c>
      <c r="D4504"/>
      <c r="E4504"/>
      <c r="F4504"/>
      <c r="G4504"/>
      <c r="H4504" t="inlineStr">
        <is>
          <t>S014_AULTON</t>
        </is>
      </c>
      <c r="I4504" t="inlineStr">
        <is>
          <t>curated</t>
        </is>
      </c>
      <c r="J4504">
        <v>0.65</v>
      </c>
      <c r="K4504"/>
    </row>
    <row r="4505">
      <c r="A4505" t="inlineStr">
        <is>
          <t>POL_PLGA_50_50</t>
        </is>
      </c>
      <c r="B4505" t="inlineStr">
        <is>
          <t>mucoadhesive_flag</t>
        </is>
      </c>
      <c r="C4505" t="inlineStr">
        <is>
          <t>no</t>
        </is>
      </c>
      <c r="D4505"/>
      <c r="E4505"/>
      <c r="F4505"/>
      <c r="G4505"/>
      <c r="H4505" t="inlineStr">
        <is>
          <t>S014_AULTON</t>
        </is>
      </c>
      <c r="I4505" t="inlineStr">
        <is>
          <t>curated</t>
        </is>
      </c>
      <c r="J4505">
        <v>0.65</v>
      </c>
      <c r="K4505"/>
    </row>
    <row r="4506">
      <c r="A4506" t="inlineStr">
        <is>
          <t>POL_PLGA_50_50</t>
        </is>
      </c>
      <c r="B4506" t="inlineStr">
        <is>
          <t>coating_role</t>
        </is>
      </c>
      <c r="C4506" t="inlineStr">
        <is>
          <t>matrix polymer</t>
        </is>
      </c>
      <c r="D4506"/>
      <c r="E4506"/>
      <c r="F4506"/>
      <c r="G4506"/>
      <c r="H4506" t="inlineStr">
        <is>
          <t>S014_AULTON</t>
        </is>
      </c>
      <c r="I4506" t="inlineStr">
        <is>
          <t>curated</t>
        </is>
      </c>
      <c r="J4506">
        <v>0.6</v>
      </c>
      <c r="K4506"/>
    </row>
    <row r="4507">
      <c r="A4507" t="inlineStr">
        <is>
          <t>POL_PLGA_50_50</t>
        </is>
      </c>
      <c r="B4507" t="inlineStr">
        <is>
          <t>stabilizer_role</t>
        </is>
      </c>
      <c r="C4507" t="inlineStr">
        <is>
          <t>no</t>
        </is>
      </c>
      <c r="D4507"/>
      <c r="E4507"/>
      <c r="F4507"/>
      <c r="G4507"/>
      <c r="H4507" t="inlineStr">
        <is>
          <t>S014_AULTON</t>
        </is>
      </c>
      <c r="I4507" t="inlineStr">
        <is>
          <t>curated</t>
        </is>
      </c>
      <c r="J4507">
        <v>0.6</v>
      </c>
      <c r="K4507"/>
    </row>
    <row r="4508">
      <c r="A4508" t="inlineStr">
        <is>
          <t>POL_PLGA_50_50</t>
        </is>
      </c>
      <c r="B4508" t="inlineStr">
        <is>
          <t>route_suitability</t>
        </is>
      </c>
      <c r="C4508" t="inlineStr">
        <is>
          <t>polymeric/hybrid/coating/stabilizer systems; grade and route dependent</t>
        </is>
      </c>
      <c r="D4508"/>
      <c r="E4508"/>
      <c r="F4508"/>
      <c r="G4508"/>
      <c r="H4508" t="inlineStr">
        <is>
          <t>S008_FDA_IID</t>
        </is>
      </c>
      <c r="I4508" t="inlineStr">
        <is>
          <t>curated</t>
        </is>
      </c>
      <c r="J4508">
        <v>0.55</v>
      </c>
      <c r="K4508"/>
    </row>
    <row r="4509">
      <c r="A4509" t="inlineStr">
        <is>
          <t>POL_PLGA_50_50</t>
        </is>
      </c>
      <c r="B4509" t="inlineStr">
        <is>
          <t>toxicity_notes</t>
        </is>
      </c>
      <c r="C4509" t="inlineStr">
        <is>
          <t>hydrolysis acidic degradation; residual solvent control</t>
        </is>
      </c>
      <c r="D4509"/>
      <c r="E4509"/>
      <c r="F4509"/>
      <c r="G4509"/>
      <c r="H4509" t="inlineStr">
        <is>
          <t>S007_EXCIPIENTS_HANDBOOK</t>
        </is>
      </c>
      <c r="I4509" t="inlineStr">
        <is>
          <t>curated</t>
        </is>
      </c>
      <c r="J4509">
        <v>0.65</v>
      </c>
      <c r="K4509"/>
    </row>
    <row r="4510">
      <c r="A4510" t="inlineStr">
        <is>
          <t>POL_PLGA_50_50</t>
        </is>
      </c>
      <c r="B4510" t="inlineStr">
        <is>
          <t>Hansen_delta_D</t>
        </is>
      </c>
      <c r="C4510">
        <v>18.0</v>
      </c>
      <c r="D4510" t="inlineStr">
        <is>
          <t>MPa^0.5</t>
        </is>
      </c>
      <c r="E4510"/>
      <c r="F4510"/>
      <c r="G4510" t="inlineStr">
        <is>
          <t>heuristic group-contribution/nearest-neighbour</t>
        </is>
      </c>
      <c r="H4510" t="inlineStr">
        <is>
          <t>S013_EST_HSP_HEURISTIC</t>
        </is>
      </c>
      <c r="I4510" t="inlineStr">
        <is>
          <t>estimated</t>
        </is>
      </c>
      <c r="J4510">
        <v>0.35</v>
      </c>
      <c r="K4510" t="inlineStr">
        <is>
          <t>Provisional HSP for screening; replace with experimental/literature value before model lock.</t>
        </is>
      </c>
    </row>
    <row r="4511">
      <c r="A4511" t="inlineStr">
        <is>
          <t>POL_PLGA_50_50</t>
        </is>
      </c>
      <c r="B4511" t="inlineStr">
        <is>
          <t>Hansen_delta_P</t>
        </is>
      </c>
      <c r="C4511">
        <v>8.0</v>
      </c>
      <c r="D4511" t="inlineStr">
        <is>
          <t>MPa^0.5</t>
        </is>
      </c>
      <c r="E4511"/>
      <c r="F4511"/>
      <c r="G4511" t="inlineStr">
        <is>
          <t>heuristic group-contribution/nearest-neighbour</t>
        </is>
      </c>
      <c r="H4511" t="inlineStr">
        <is>
          <t>S013_EST_HSP_HEURISTIC</t>
        </is>
      </c>
      <c r="I4511" t="inlineStr">
        <is>
          <t>estimated</t>
        </is>
      </c>
      <c r="J4511">
        <v>0.35</v>
      </c>
      <c r="K4511" t="inlineStr">
        <is>
          <t>Provisional HSP for screening; replace with experimental/literature value before model lock.</t>
        </is>
      </c>
    </row>
    <row r="4512">
      <c r="A4512" t="inlineStr">
        <is>
          <t>POL_PLGA_50_50</t>
        </is>
      </c>
      <c r="B4512" t="inlineStr">
        <is>
          <t>Hansen_delta_H</t>
        </is>
      </c>
      <c r="C4512">
        <v>10.0</v>
      </c>
      <c r="D4512" t="inlineStr">
        <is>
          <t>MPa^0.5</t>
        </is>
      </c>
      <c r="E4512"/>
      <c r="F4512"/>
      <c r="G4512" t="inlineStr">
        <is>
          <t>heuristic group-contribution/nearest-neighbour</t>
        </is>
      </c>
      <c r="H4512" t="inlineStr">
        <is>
          <t>S013_EST_HSP_HEURISTIC</t>
        </is>
      </c>
      <c r="I4512" t="inlineStr">
        <is>
          <t>estimated</t>
        </is>
      </c>
      <c r="J4512">
        <v>0.35</v>
      </c>
      <c r="K4512" t="inlineStr">
        <is>
          <t>Provisional HSP for screening; replace with experimental/literature value before model lock.</t>
        </is>
      </c>
    </row>
    <row r="4513">
      <c r="A4513" t="inlineStr">
        <is>
          <t>POL_PLGA_50_50</t>
        </is>
      </c>
      <c r="B4513" t="inlineStr">
        <is>
          <t>Hildebrand_delta_T</t>
        </is>
      </c>
      <c r="C4513">
        <v>22.09</v>
      </c>
      <c r="D4513" t="inlineStr">
        <is>
          <t>MPa^0.5</t>
        </is>
      </c>
      <c r="E4513"/>
      <c r="F4513"/>
      <c r="G4513" t="inlineStr">
        <is>
          <t>sqrt(deltaD^2+deltaP^2+deltaH^2)</t>
        </is>
      </c>
      <c r="H4513" t="inlineStr">
        <is>
          <t>S012_CALCULATED</t>
        </is>
      </c>
      <c r="I4513" t="inlineStr">
        <is>
          <t>calculated</t>
        </is>
      </c>
      <c r="J4513">
        <v>0.39999999999999997</v>
      </c>
      <c r="K4513" t="inlineStr">
        <is>
          <t>Derived from stored Hansen components.</t>
        </is>
      </c>
    </row>
    <row r="4514">
      <c r="A4514" t="inlineStr">
        <is>
          <t>POL_PLGA_50_50</t>
        </is>
      </c>
      <c r="B4514" t="inlineStr">
        <is>
          <t>HSP_radius_R0</t>
        </is>
      </c>
      <c r="C4514">
        <v>9.0</v>
      </c>
      <c r="D4514" t="inlineStr">
        <is>
          <t>MPa^0.5</t>
        </is>
      </c>
      <c r="E4514"/>
      <c r="F4514"/>
      <c r="G4514" t="inlineStr">
        <is>
          <t>literature/heuristic solubility sphere</t>
        </is>
      </c>
      <c r="H4514" t="inlineStr">
        <is>
          <t>S013_EST_HSP_HEURISTIC</t>
        </is>
      </c>
      <c r="I4514" t="inlineStr">
        <is>
          <t>estimated</t>
        </is>
      </c>
      <c r="J4514">
        <v>0.35</v>
      </c>
      <c r="K4514" t="inlineStr">
        <is>
          <t>Screening radius only unless experimentally determined.</t>
        </is>
      </c>
    </row>
    <row r="4515">
      <c r="A4515" t="inlineStr">
        <is>
          <t>POL_PLGA_50_50</t>
        </is>
      </c>
      <c r="B4515" t="inlineStr">
        <is>
          <t>repeat_unit_molar_volume</t>
        </is>
      </c>
      <c r="C4515">
        <v>60.0</v>
      </c>
      <c r="D4515" t="inlineStr">
        <is>
          <t>cm3/mol</t>
        </is>
      </c>
      <c r="E4515"/>
      <c r="F4515"/>
      <c r="G4515" t="inlineStr">
        <is>
          <t>repeat-unit MW / assumed density</t>
        </is>
      </c>
      <c r="H4515" t="inlineStr">
        <is>
          <t>S012_CALCULATED</t>
        </is>
      </c>
      <c r="I4515" t="inlineStr">
        <is>
          <t>estimated</t>
        </is>
      </c>
      <c r="J4515">
        <v>0.35</v>
      </c>
      <c r="K4515"/>
    </row>
    <row r="4516">
      <c r="A4516" t="inlineStr">
        <is>
          <t>POL_PLGA_65_35</t>
        </is>
      </c>
      <c r="B4516" t="inlineStr">
        <is>
          <t>repeat_unit_mw_g_mol</t>
        </is>
      </c>
      <c r="C4516">
        <v>72</v>
      </c>
      <c r="D4516" t="inlineStr">
        <is>
          <t>g/mol</t>
        </is>
      </c>
      <c r="E4516"/>
      <c r="F4516"/>
      <c r="G4516"/>
      <c r="H4516" t="inlineStr">
        <is>
          <t>S007_EXCIPIENTS_HANDBOOK</t>
        </is>
      </c>
      <c r="I4516" t="inlineStr">
        <is>
          <t>handbook</t>
        </is>
      </c>
      <c r="J4516">
        <v>0.65</v>
      </c>
      <c r="K4516"/>
    </row>
    <row r="4517">
      <c r="A4517" t="inlineStr">
        <is>
          <t>POL_PLGA_65_35</t>
        </is>
      </c>
      <c r="B4517" t="inlineStr">
        <is>
          <t>mw_range</t>
        </is>
      </c>
      <c r="C4517" t="inlineStr">
        <is>
          <t>10,000-100,000</t>
        </is>
      </c>
      <c r="D4517" t="inlineStr">
        <is>
          <t>g/mol</t>
        </is>
      </c>
      <c r="E4517"/>
      <c r="F4517"/>
      <c r="G4517" t="inlineStr">
        <is>
          <t>grade-dependent</t>
        </is>
      </c>
      <c r="H4517" t="inlineStr">
        <is>
          <t>S007_EXCIPIENTS_HANDBOOK</t>
        </is>
      </c>
      <c r="I4517" t="inlineStr">
        <is>
          <t>supplier-reported</t>
        </is>
      </c>
      <c r="J4517">
        <v>0.45</v>
      </c>
      <c r="K4517"/>
    </row>
    <row r="4518">
      <c r="A4518" t="inlineStr">
        <is>
          <t>POL_PLGA_65_35</t>
        </is>
      </c>
      <c r="B4518" t="inlineStr">
        <is>
          <t>Tg_C</t>
        </is>
      </c>
      <c r="C4518">
        <v>48</v>
      </c>
      <c r="D4518" t="inlineStr">
        <is>
          <t>°C</t>
        </is>
      </c>
      <c r="E4518"/>
      <c r="F4518"/>
      <c r="G4518" t="inlineStr">
        <is>
          <t>grade/substitution dependent</t>
        </is>
      </c>
      <c r="H4518" t="inlineStr">
        <is>
          <t>S007_EXCIPIENTS_HANDBOOK</t>
        </is>
      </c>
      <c r="I4518" t="inlineStr">
        <is>
          <t>handbook</t>
        </is>
      </c>
      <c r="J4518">
        <v>0.48</v>
      </c>
      <c r="K4518"/>
    </row>
    <row r="4519">
      <c r="A4519" t="inlineStr">
        <is>
          <t>POL_PLGA_65_35</t>
        </is>
      </c>
      <c r="B4519" t="inlineStr">
        <is>
          <t>charge_type</t>
        </is>
      </c>
      <c r="C4519" t="inlineStr">
        <is>
          <t>neutral</t>
        </is>
      </c>
      <c r="D4519"/>
      <c r="E4519"/>
      <c r="F4519"/>
      <c r="G4519"/>
      <c r="H4519" t="inlineStr">
        <is>
          <t>S007_EXCIPIENTS_HANDBOOK</t>
        </is>
      </c>
      <c r="I4519" t="inlineStr">
        <is>
          <t>curated</t>
        </is>
      </c>
      <c r="J4519">
        <v>0.75</v>
      </c>
      <c r="K4519"/>
    </row>
    <row r="4520">
      <c r="A4520" t="inlineStr">
        <is>
          <t>POL_PLGA_65_35</t>
        </is>
      </c>
      <c r="B4520" t="inlineStr">
        <is>
          <t>formal_charge</t>
        </is>
      </c>
      <c r="C4520">
        <v>0</v>
      </c>
      <c r="D4520" t="inlineStr">
        <is>
          <t>e</t>
        </is>
      </c>
      <c r="E4520"/>
      <c r="F4520"/>
      <c r="G4520"/>
      <c r="H4520" t="inlineStr">
        <is>
          <t>S007_EXCIPIENTS_HANDBOOK</t>
        </is>
      </c>
      <c r="I4520" t="inlineStr">
        <is>
          <t>curated</t>
        </is>
      </c>
      <c r="J4520">
        <v>0.75</v>
      </c>
      <c r="K4520"/>
    </row>
    <row r="4521">
      <c r="A4521" t="inlineStr">
        <is>
          <t>POL_PLGA_65_35</t>
        </is>
      </c>
      <c r="B4521" t="inlineStr">
        <is>
          <t>solubility_in_water</t>
        </is>
      </c>
      <c r="C4521" t="inlineStr">
        <is>
          <t>poor</t>
        </is>
      </c>
      <c r="D4521"/>
      <c r="E4521"/>
      <c r="F4521"/>
      <c r="G4521"/>
      <c r="H4521" t="inlineStr">
        <is>
          <t>S007_EXCIPIENTS_HANDBOOK</t>
        </is>
      </c>
      <c r="I4521" t="inlineStr">
        <is>
          <t>handbook</t>
        </is>
      </c>
      <c r="J4521">
        <v>0.55</v>
      </c>
      <c r="K4521"/>
    </row>
    <row r="4522">
      <c r="A4522" t="inlineStr">
        <is>
          <t>POL_PLGA_65_35</t>
        </is>
      </c>
      <c r="B4522" t="inlineStr">
        <is>
          <t>solubility_in_ethanol</t>
        </is>
      </c>
      <c r="C4522" t="inlineStr">
        <is>
          <t>soluble</t>
        </is>
      </c>
      <c r="D4522"/>
      <c r="E4522"/>
      <c r="F4522"/>
      <c r="G4522"/>
      <c r="H4522" t="inlineStr">
        <is>
          <t>S007_EXCIPIENTS_HANDBOOK</t>
        </is>
      </c>
      <c r="I4522" t="inlineStr">
        <is>
          <t>handbook</t>
        </is>
      </c>
      <c r="J4522">
        <v>0.55</v>
      </c>
      <c r="K4522"/>
    </row>
    <row r="4523">
      <c r="A4523" t="inlineStr">
        <is>
          <t>POL_PLGA_65_35</t>
        </is>
      </c>
      <c r="B4523" t="inlineStr">
        <is>
          <t>solubility_in_acetone</t>
        </is>
      </c>
      <c r="C4523" t="inlineStr">
        <is>
          <t>soluble</t>
        </is>
      </c>
      <c r="D4523"/>
      <c r="E4523"/>
      <c r="F4523"/>
      <c r="G4523"/>
      <c r="H4523" t="inlineStr">
        <is>
          <t>S007_EXCIPIENTS_HANDBOOK</t>
        </is>
      </c>
      <c r="I4523" t="inlineStr">
        <is>
          <t>handbook</t>
        </is>
      </c>
      <c r="J4523">
        <v>0.55</v>
      </c>
      <c r="K4523"/>
    </row>
    <row r="4524">
      <c r="A4524" t="inlineStr">
        <is>
          <t>POL_PLGA_65_35</t>
        </is>
      </c>
      <c r="B4524" t="inlineStr">
        <is>
          <t>solubility_in_dcm</t>
        </is>
      </c>
      <c r="C4524" t="inlineStr">
        <is>
          <t>soluble</t>
        </is>
      </c>
      <c r="D4524"/>
      <c r="E4524"/>
      <c r="F4524"/>
      <c r="G4524"/>
      <c r="H4524" t="inlineStr">
        <is>
          <t>S007_EXCIPIENTS_HANDBOOK</t>
        </is>
      </c>
      <c r="I4524" t="inlineStr">
        <is>
          <t>handbook</t>
        </is>
      </c>
      <c r="J4524">
        <v>0.55</v>
      </c>
      <c r="K4524"/>
    </row>
    <row r="4525">
      <c r="A4525" t="inlineStr">
        <is>
          <t>POL_PLGA_65_35</t>
        </is>
      </c>
      <c r="B4525" t="inlineStr">
        <is>
          <t>biodegradability</t>
        </is>
      </c>
      <c r="C4525" t="inlineStr">
        <is>
          <t>yes</t>
        </is>
      </c>
      <c r="D4525"/>
      <c r="E4525"/>
      <c r="F4525"/>
      <c r="G4525"/>
      <c r="H4525" t="inlineStr">
        <is>
          <t>S014_AULTON</t>
        </is>
      </c>
      <c r="I4525" t="inlineStr">
        <is>
          <t>curated</t>
        </is>
      </c>
      <c r="J4525">
        <v>0.65</v>
      </c>
      <c r="K4525"/>
    </row>
    <row r="4526">
      <c r="A4526" t="inlineStr">
        <is>
          <t>POL_PLGA_65_35</t>
        </is>
      </c>
      <c r="B4526" t="inlineStr">
        <is>
          <t>mucoadhesive_flag</t>
        </is>
      </c>
      <c r="C4526" t="inlineStr">
        <is>
          <t>no</t>
        </is>
      </c>
      <c r="D4526"/>
      <c r="E4526"/>
      <c r="F4526"/>
      <c r="G4526"/>
      <c r="H4526" t="inlineStr">
        <is>
          <t>S014_AULTON</t>
        </is>
      </c>
      <c r="I4526" t="inlineStr">
        <is>
          <t>curated</t>
        </is>
      </c>
      <c r="J4526">
        <v>0.65</v>
      </c>
      <c r="K4526"/>
    </row>
    <row r="4527">
      <c r="A4527" t="inlineStr">
        <is>
          <t>POL_PLGA_65_35</t>
        </is>
      </c>
      <c r="B4527" t="inlineStr">
        <is>
          <t>coating_role</t>
        </is>
      </c>
      <c r="C4527" t="inlineStr">
        <is>
          <t>matrix polymer</t>
        </is>
      </c>
      <c r="D4527"/>
      <c r="E4527"/>
      <c r="F4527"/>
      <c r="G4527"/>
      <c r="H4527" t="inlineStr">
        <is>
          <t>S014_AULTON</t>
        </is>
      </c>
      <c r="I4527" t="inlineStr">
        <is>
          <t>curated</t>
        </is>
      </c>
      <c r="J4527">
        <v>0.6</v>
      </c>
      <c r="K4527"/>
    </row>
    <row r="4528">
      <c r="A4528" t="inlineStr">
        <is>
          <t>POL_PLGA_65_35</t>
        </is>
      </c>
      <c r="B4528" t="inlineStr">
        <is>
          <t>stabilizer_role</t>
        </is>
      </c>
      <c r="C4528" t="inlineStr">
        <is>
          <t>no</t>
        </is>
      </c>
      <c r="D4528"/>
      <c r="E4528"/>
      <c r="F4528"/>
      <c r="G4528"/>
      <c r="H4528" t="inlineStr">
        <is>
          <t>S014_AULTON</t>
        </is>
      </c>
      <c r="I4528" t="inlineStr">
        <is>
          <t>curated</t>
        </is>
      </c>
      <c r="J4528">
        <v>0.6</v>
      </c>
      <c r="K4528"/>
    </row>
    <row r="4529">
      <c r="A4529" t="inlineStr">
        <is>
          <t>POL_PLGA_65_35</t>
        </is>
      </c>
      <c r="B4529" t="inlineStr">
        <is>
          <t>route_suitability</t>
        </is>
      </c>
      <c r="C4529" t="inlineStr">
        <is>
          <t>polymeric/hybrid/coating/stabilizer systems; grade and route dependent</t>
        </is>
      </c>
      <c r="D4529"/>
      <c r="E4529"/>
      <c r="F4529"/>
      <c r="G4529"/>
      <c r="H4529" t="inlineStr">
        <is>
          <t>S008_FDA_IID</t>
        </is>
      </c>
      <c r="I4529" t="inlineStr">
        <is>
          <t>curated</t>
        </is>
      </c>
      <c r="J4529">
        <v>0.55</v>
      </c>
      <c r="K4529"/>
    </row>
    <row r="4530">
      <c r="A4530" t="inlineStr">
        <is>
          <t>POL_PLGA_65_35</t>
        </is>
      </c>
      <c r="B4530" t="inlineStr">
        <is>
          <t>toxicity_notes</t>
        </is>
      </c>
      <c r="C4530" t="inlineStr">
        <is>
          <t>hydrolysis acidic degradation</t>
        </is>
      </c>
      <c r="D4530"/>
      <c r="E4530"/>
      <c r="F4530"/>
      <c r="G4530"/>
      <c r="H4530" t="inlineStr">
        <is>
          <t>S007_EXCIPIENTS_HANDBOOK</t>
        </is>
      </c>
      <c r="I4530" t="inlineStr">
        <is>
          <t>curated</t>
        </is>
      </c>
      <c r="J4530">
        <v>0.65</v>
      </c>
      <c r="K4530"/>
    </row>
    <row r="4531">
      <c r="A4531" t="inlineStr">
        <is>
          <t>POL_PLGA_65_35</t>
        </is>
      </c>
      <c r="B4531" t="inlineStr">
        <is>
          <t>Hansen_delta_D</t>
        </is>
      </c>
      <c r="C4531">
        <v>18.0</v>
      </c>
      <c r="D4531" t="inlineStr">
        <is>
          <t>MPa^0.5</t>
        </is>
      </c>
      <c r="E4531"/>
      <c r="F4531"/>
      <c r="G4531" t="inlineStr">
        <is>
          <t>heuristic group-contribution/nearest-neighbour</t>
        </is>
      </c>
      <c r="H4531" t="inlineStr">
        <is>
          <t>S013_EST_HSP_HEURISTIC</t>
        </is>
      </c>
      <c r="I4531" t="inlineStr">
        <is>
          <t>estimated</t>
        </is>
      </c>
      <c r="J4531">
        <v>0.35</v>
      </c>
      <c r="K4531" t="inlineStr">
        <is>
          <t>Provisional HSP for screening; replace with experimental/literature value before model lock.</t>
        </is>
      </c>
    </row>
    <row r="4532">
      <c r="A4532" t="inlineStr">
        <is>
          <t>POL_PLGA_65_35</t>
        </is>
      </c>
      <c r="B4532" t="inlineStr">
        <is>
          <t>Hansen_delta_P</t>
        </is>
      </c>
      <c r="C4532">
        <v>8.0</v>
      </c>
      <c r="D4532" t="inlineStr">
        <is>
          <t>MPa^0.5</t>
        </is>
      </c>
      <c r="E4532"/>
      <c r="F4532"/>
      <c r="G4532" t="inlineStr">
        <is>
          <t>heuristic group-contribution/nearest-neighbour</t>
        </is>
      </c>
      <c r="H4532" t="inlineStr">
        <is>
          <t>S013_EST_HSP_HEURISTIC</t>
        </is>
      </c>
      <c r="I4532" t="inlineStr">
        <is>
          <t>estimated</t>
        </is>
      </c>
      <c r="J4532">
        <v>0.35</v>
      </c>
      <c r="K4532" t="inlineStr">
        <is>
          <t>Provisional HSP for screening; replace with experimental/literature value before model lock.</t>
        </is>
      </c>
    </row>
    <row r="4533">
      <c r="A4533" t="inlineStr">
        <is>
          <t>POL_PLGA_65_35</t>
        </is>
      </c>
      <c r="B4533" t="inlineStr">
        <is>
          <t>Hansen_delta_H</t>
        </is>
      </c>
      <c r="C4533">
        <v>10.0</v>
      </c>
      <c r="D4533" t="inlineStr">
        <is>
          <t>MPa^0.5</t>
        </is>
      </c>
      <c r="E4533"/>
      <c r="F4533"/>
      <c r="G4533" t="inlineStr">
        <is>
          <t>heuristic group-contribution/nearest-neighbour</t>
        </is>
      </c>
      <c r="H4533" t="inlineStr">
        <is>
          <t>S013_EST_HSP_HEURISTIC</t>
        </is>
      </c>
      <c r="I4533" t="inlineStr">
        <is>
          <t>estimated</t>
        </is>
      </c>
      <c r="J4533">
        <v>0.35</v>
      </c>
      <c r="K4533" t="inlineStr">
        <is>
          <t>Provisional HSP for screening; replace with experimental/literature value before model lock.</t>
        </is>
      </c>
    </row>
    <row r="4534">
      <c r="A4534" t="inlineStr">
        <is>
          <t>POL_PLGA_65_35</t>
        </is>
      </c>
      <c r="B4534" t="inlineStr">
        <is>
          <t>Hildebrand_delta_T</t>
        </is>
      </c>
      <c r="C4534">
        <v>22.09</v>
      </c>
      <c r="D4534" t="inlineStr">
        <is>
          <t>MPa^0.5</t>
        </is>
      </c>
      <c r="E4534"/>
      <c r="F4534"/>
      <c r="G4534" t="inlineStr">
        <is>
          <t>sqrt(deltaD^2+deltaP^2+deltaH^2)</t>
        </is>
      </c>
      <c r="H4534" t="inlineStr">
        <is>
          <t>S012_CALCULATED</t>
        </is>
      </c>
      <c r="I4534" t="inlineStr">
        <is>
          <t>calculated</t>
        </is>
      </c>
      <c r="J4534">
        <v>0.39999999999999997</v>
      </c>
      <c r="K4534" t="inlineStr">
        <is>
          <t>Derived from stored Hansen components.</t>
        </is>
      </c>
    </row>
    <row r="4535">
      <c r="A4535" t="inlineStr">
        <is>
          <t>POL_PLGA_65_35</t>
        </is>
      </c>
      <c r="B4535" t="inlineStr">
        <is>
          <t>HSP_radius_R0</t>
        </is>
      </c>
      <c r="C4535">
        <v>9.0</v>
      </c>
      <c r="D4535" t="inlineStr">
        <is>
          <t>MPa^0.5</t>
        </is>
      </c>
      <c r="E4535"/>
      <c r="F4535"/>
      <c r="G4535" t="inlineStr">
        <is>
          <t>literature/heuristic solubility sphere</t>
        </is>
      </c>
      <c r="H4535" t="inlineStr">
        <is>
          <t>S013_EST_HSP_HEURISTIC</t>
        </is>
      </c>
      <c r="I4535" t="inlineStr">
        <is>
          <t>estimated</t>
        </is>
      </c>
      <c r="J4535">
        <v>0.35</v>
      </c>
      <c r="K4535" t="inlineStr">
        <is>
          <t>Screening radius only unless experimentally determined.</t>
        </is>
      </c>
    </row>
    <row r="4536">
      <c r="A4536" t="inlineStr">
        <is>
          <t>POL_PLGA_65_35</t>
        </is>
      </c>
      <c r="B4536" t="inlineStr">
        <is>
          <t>repeat_unit_molar_volume</t>
        </is>
      </c>
      <c r="C4536">
        <v>60.0</v>
      </c>
      <c r="D4536" t="inlineStr">
        <is>
          <t>cm3/mol</t>
        </is>
      </c>
      <c r="E4536"/>
      <c r="F4536"/>
      <c r="G4536" t="inlineStr">
        <is>
          <t>repeat-unit MW / assumed density</t>
        </is>
      </c>
      <c r="H4536" t="inlineStr">
        <is>
          <t>S012_CALCULATED</t>
        </is>
      </c>
      <c r="I4536" t="inlineStr">
        <is>
          <t>estimated</t>
        </is>
      </c>
      <c r="J4536">
        <v>0.35</v>
      </c>
      <c r="K4536"/>
    </row>
    <row r="4537">
      <c r="A4537" t="inlineStr">
        <is>
          <t>POL_PLGA_75_25</t>
        </is>
      </c>
      <c r="B4537" t="inlineStr">
        <is>
          <t>repeat_unit_mw_g_mol</t>
        </is>
      </c>
      <c r="C4537">
        <v>72</v>
      </c>
      <c r="D4537" t="inlineStr">
        <is>
          <t>g/mol</t>
        </is>
      </c>
      <c r="E4537"/>
      <c r="F4537"/>
      <c r="G4537"/>
      <c r="H4537" t="inlineStr">
        <is>
          <t>S007_EXCIPIENTS_HANDBOOK</t>
        </is>
      </c>
      <c r="I4537" t="inlineStr">
        <is>
          <t>handbook</t>
        </is>
      </c>
      <c r="J4537">
        <v>0.65</v>
      </c>
      <c r="K4537"/>
    </row>
    <row r="4538">
      <c r="A4538" t="inlineStr">
        <is>
          <t>POL_PLGA_75_25</t>
        </is>
      </c>
      <c r="B4538" t="inlineStr">
        <is>
          <t>mw_range</t>
        </is>
      </c>
      <c r="C4538" t="inlineStr">
        <is>
          <t>10,000-100,000</t>
        </is>
      </c>
      <c r="D4538" t="inlineStr">
        <is>
          <t>g/mol</t>
        </is>
      </c>
      <c r="E4538"/>
      <c r="F4538"/>
      <c r="G4538" t="inlineStr">
        <is>
          <t>grade-dependent</t>
        </is>
      </c>
      <c r="H4538" t="inlineStr">
        <is>
          <t>S007_EXCIPIENTS_HANDBOOK</t>
        </is>
      </c>
      <c r="I4538" t="inlineStr">
        <is>
          <t>supplier-reported</t>
        </is>
      </c>
      <c r="J4538">
        <v>0.45</v>
      </c>
      <c r="K4538"/>
    </row>
    <row r="4539">
      <c r="A4539" t="inlineStr">
        <is>
          <t>POL_PLGA_75_25</t>
        </is>
      </c>
      <c r="B4539" t="inlineStr">
        <is>
          <t>Tg_C</t>
        </is>
      </c>
      <c r="C4539">
        <v>50</v>
      </c>
      <c r="D4539" t="inlineStr">
        <is>
          <t>°C</t>
        </is>
      </c>
      <c r="E4539"/>
      <c r="F4539"/>
      <c r="G4539" t="inlineStr">
        <is>
          <t>grade/substitution dependent</t>
        </is>
      </c>
      <c r="H4539" t="inlineStr">
        <is>
          <t>S007_EXCIPIENTS_HANDBOOK</t>
        </is>
      </c>
      <c r="I4539" t="inlineStr">
        <is>
          <t>handbook</t>
        </is>
      </c>
      <c r="J4539">
        <v>0.48</v>
      </c>
      <c r="K4539"/>
    </row>
    <row r="4540">
      <c r="A4540" t="inlineStr">
        <is>
          <t>POL_PLGA_75_25</t>
        </is>
      </c>
      <c r="B4540" t="inlineStr">
        <is>
          <t>charge_type</t>
        </is>
      </c>
      <c r="C4540" t="inlineStr">
        <is>
          <t>neutral</t>
        </is>
      </c>
      <c r="D4540"/>
      <c r="E4540"/>
      <c r="F4540"/>
      <c r="G4540"/>
      <c r="H4540" t="inlineStr">
        <is>
          <t>S007_EXCIPIENTS_HANDBOOK</t>
        </is>
      </c>
      <c r="I4540" t="inlineStr">
        <is>
          <t>curated</t>
        </is>
      </c>
      <c r="J4540">
        <v>0.75</v>
      </c>
      <c r="K4540"/>
    </row>
    <row r="4541">
      <c r="A4541" t="inlineStr">
        <is>
          <t>POL_PLGA_75_25</t>
        </is>
      </c>
      <c r="B4541" t="inlineStr">
        <is>
          <t>formal_charge</t>
        </is>
      </c>
      <c r="C4541">
        <v>0</v>
      </c>
      <c r="D4541" t="inlineStr">
        <is>
          <t>e</t>
        </is>
      </c>
      <c r="E4541"/>
      <c r="F4541"/>
      <c r="G4541"/>
      <c r="H4541" t="inlineStr">
        <is>
          <t>S007_EXCIPIENTS_HANDBOOK</t>
        </is>
      </c>
      <c r="I4541" t="inlineStr">
        <is>
          <t>curated</t>
        </is>
      </c>
      <c r="J4541">
        <v>0.75</v>
      </c>
      <c r="K4541"/>
    </row>
    <row r="4542">
      <c r="A4542" t="inlineStr">
        <is>
          <t>POL_PLGA_75_25</t>
        </is>
      </c>
      <c r="B4542" t="inlineStr">
        <is>
          <t>solubility_in_water</t>
        </is>
      </c>
      <c r="C4542" t="inlineStr">
        <is>
          <t>poor</t>
        </is>
      </c>
      <c r="D4542"/>
      <c r="E4542"/>
      <c r="F4542"/>
      <c r="G4542"/>
      <c r="H4542" t="inlineStr">
        <is>
          <t>S007_EXCIPIENTS_HANDBOOK</t>
        </is>
      </c>
      <c r="I4542" t="inlineStr">
        <is>
          <t>handbook</t>
        </is>
      </c>
      <c r="J4542">
        <v>0.55</v>
      </c>
      <c r="K4542"/>
    </row>
    <row r="4543">
      <c r="A4543" t="inlineStr">
        <is>
          <t>POL_PLGA_75_25</t>
        </is>
      </c>
      <c r="B4543" t="inlineStr">
        <is>
          <t>solubility_in_ethanol</t>
        </is>
      </c>
      <c r="C4543" t="inlineStr">
        <is>
          <t>soluble</t>
        </is>
      </c>
      <c r="D4543"/>
      <c r="E4543"/>
      <c r="F4543"/>
      <c r="G4543"/>
      <c r="H4543" t="inlineStr">
        <is>
          <t>S007_EXCIPIENTS_HANDBOOK</t>
        </is>
      </c>
      <c r="I4543" t="inlineStr">
        <is>
          <t>handbook</t>
        </is>
      </c>
      <c r="J4543">
        <v>0.55</v>
      </c>
      <c r="K4543"/>
    </row>
    <row r="4544">
      <c r="A4544" t="inlineStr">
        <is>
          <t>POL_PLGA_75_25</t>
        </is>
      </c>
      <c r="B4544" t="inlineStr">
        <is>
          <t>solubility_in_acetone</t>
        </is>
      </c>
      <c r="C4544" t="inlineStr">
        <is>
          <t>soluble</t>
        </is>
      </c>
      <c r="D4544"/>
      <c r="E4544"/>
      <c r="F4544"/>
      <c r="G4544"/>
      <c r="H4544" t="inlineStr">
        <is>
          <t>S007_EXCIPIENTS_HANDBOOK</t>
        </is>
      </c>
      <c r="I4544" t="inlineStr">
        <is>
          <t>handbook</t>
        </is>
      </c>
      <c r="J4544">
        <v>0.55</v>
      </c>
      <c r="K4544"/>
    </row>
    <row r="4545">
      <c r="A4545" t="inlineStr">
        <is>
          <t>POL_PLGA_75_25</t>
        </is>
      </c>
      <c r="B4545" t="inlineStr">
        <is>
          <t>solubility_in_dcm</t>
        </is>
      </c>
      <c r="C4545" t="inlineStr">
        <is>
          <t>soluble</t>
        </is>
      </c>
      <c r="D4545"/>
      <c r="E4545"/>
      <c r="F4545"/>
      <c r="G4545"/>
      <c r="H4545" t="inlineStr">
        <is>
          <t>S007_EXCIPIENTS_HANDBOOK</t>
        </is>
      </c>
      <c r="I4545" t="inlineStr">
        <is>
          <t>handbook</t>
        </is>
      </c>
      <c r="J4545">
        <v>0.55</v>
      </c>
      <c r="K4545"/>
    </row>
    <row r="4546">
      <c r="A4546" t="inlineStr">
        <is>
          <t>POL_PLGA_75_25</t>
        </is>
      </c>
      <c r="B4546" t="inlineStr">
        <is>
          <t>biodegradability</t>
        </is>
      </c>
      <c r="C4546" t="inlineStr">
        <is>
          <t>yes</t>
        </is>
      </c>
      <c r="D4546"/>
      <c r="E4546"/>
      <c r="F4546"/>
      <c r="G4546"/>
      <c r="H4546" t="inlineStr">
        <is>
          <t>S014_AULTON</t>
        </is>
      </c>
      <c r="I4546" t="inlineStr">
        <is>
          <t>curated</t>
        </is>
      </c>
      <c r="J4546">
        <v>0.65</v>
      </c>
      <c r="K4546"/>
    </row>
    <row r="4547">
      <c r="A4547" t="inlineStr">
        <is>
          <t>POL_PLGA_75_25</t>
        </is>
      </c>
      <c r="B4547" t="inlineStr">
        <is>
          <t>mucoadhesive_flag</t>
        </is>
      </c>
      <c r="C4547" t="inlineStr">
        <is>
          <t>no</t>
        </is>
      </c>
      <c r="D4547"/>
      <c r="E4547"/>
      <c r="F4547"/>
      <c r="G4547"/>
      <c r="H4547" t="inlineStr">
        <is>
          <t>S014_AULTON</t>
        </is>
      </c>
      <c r="I4547" t="inlineStr">
        <is>
          <t>curated</t>
        </is>
      </c>
      <c r="J4547">
        <v>0.65</v>
      </c>
      <c r="K4547"/>
    </row>
    <row r="4548">
      <c r="A4548" t="inlineStr">
        <is>
          <t>POL_PLGA_75_25</t>
        </is>
      </c>
      <c r="B4548" t="inlineStr">
        <is>
          <t>coating_role</t>
        </is>
      </c>
      <c r="C4548" t="inlineStr">
        <is>
          <t>matrix polymer</t>
        </is>
      </c>
      <c r="D4548"/>
      <c r="E4548"/>
      <c r="F4548"/>
      <c r="G4548"/>
      <c r="H4548" t="inlineStr">
        <is>
          <t>S014_AULTON</t>
        </is>
      </c>
      <c r="I4548" t="inlineStr">
        <is>
          <t>curated</t>
        </is>
      </c>
      <c r="J4548">
        <v>0.6</v>
      </c>
      <c r="K4548"/>
    </row>
    <row r="4549">
      <c r="A4549" t="inlineStr">
        <is>
          <t>POL_PLGA_75_25</t>
        </is>
      </c>
      <c r="B4549" t="inlineStr">
        <is>
          <t>stabilizer_role</t>
        </is>
      </c>
      <c r="C4549" t="inlineStr">
        <is>
          <t>no</t>
        </is>
      </c>
      <c r="D4549"/>
      <c r="E4549"/>
      <c r="F4549"/>
      <c r="G4549"/>
      <c r="H4549" t="inlineStr">
        <is>
          <t>S014_AULTON</t>
        </is>
      </c>
      <c r="I4549" t="inlineStr">
        <is>
          <t>curated</t>
        </is>
      </c>
      <c r="J4549">
        <v>0.6</v>
      </c>
      <c r="K4549"/>
    </row>
    <row r="4550">
      <c r="A4550" t="inlineStr">
        <is>
          <t>POL_PLGA_75_25</t>
        </is>
      </c>
      <c r="B4550" t="inlineStr">
        <is>
          <t>route_suitability</t>
        </is>
      </c>
      <c r="C4550" t="inlineStr">
        <is>
          <t>polymeric/hybrid/coating/stabilizer systems; grade and route dependent</t>
        </is>
      </c>
      <c r="D4550"/>
      <c r="E4550"/>
      <c r="F4550"/>
      <c r="G4550"/>
      <c r="H4550" t="inlineStr">
        <is>
          <t>S008_FDA_IID</t>
        </is>
      </c>
      <c r="I4550" t="inlineStr">
        <is>
          <t>curated</t>
        </is>
      </c>
      <c r="J4550">
        <v>0.55</v>
      </c>
      <c r="K4550"/>
    </row>
    <row r="4551">
      <c r="A4551" t="inlineStr">
        <is>
          <t>POL_PLGA_75_25</t>
        </is>
      </c>
      <c r="B4551" t="inlineStr">
        <is>
          <t>toxicity_notes</t>
        </is>
      </c>
      <c r="C4551" t="inlineStr">
        <is>
          <t>slower degradation than 50:50</t>
        </is>
      </c>
      <c r="D4551"/>
      <c r="E4551"/>
      <c r="F4551"/>
      <c r="G4551"/>
      <c r="H4551" t="inlineStr">
        <is>
          <t>S007_EXCIPIENTS_HANDBOOK</t>
        </is>
      </c>
      <c r="I4551" t="inlineStr">
        <is>
          <t>curated</t>
        </is>
      </c>
      <c r="J4551">
        <v>0.65</v>
      </c>
      <c r="K4551"/>
    </row>
    <row r="4552">
      <c r="A4552" t="inlineStr">
        <is>
          <t>POL_PLGA_75_25</t>
        </is>
      </c>
      <c r="B4552" t="inlineStr">
        <is>
          <t>Hansen_delta_D</t>
        </is>
      </c>
      <c r="C4552">
        <v>18.0</v>
      </c>
      <c r="D4552" t="inlineStr">
        <is>
          <t>MPa^0.5</t>
        </is>
      </c>
      <c r="E4552"/>
      <c r="F4552"/>
      <c r="G4552" t="inlineStr">
        <is>
          <t>heuristic group-contribution/nearest-neighbour</t>
        </is>
      </c>
      <c r="H4552" t="inlineStr">
        <is>
          <t>S013_EST_HSP_HEURISTIC</t>
        </is>
      </c>
      <c r="I4552" t="inlineStr">
        <is>
          <t>estimated</t>
        </is>
      </c>
      <c r="J4552">
        <v>0.35</v>
      </c>
      <c r="K4552" t="inlineStr">
        <is>
          <t>Provisional HSP for screening; replace with experimental/literature value before model lock.</t>
        </is>
      </c>
    </row>
    <row r="4553">
      <c r="A4553" t="inlineStr">
        <is>
          <t>POL_PLGA_75_25</t>
        </is>
      </c>
      <c r="B4553" t="inlineStr">
        <is>
          <t>Hansen_delta_P</t>
        </is>
      </c>
      <c r="C4553">
        <v>8.0</v>
      </c>
      <c r="D4553" t="inlineStr">
        <is>
          <t>MPa^0.5</t>
        </is>
      </c>
      <c r="E4553"/>
      <c r="F4553"/>
      <c r="G4553" t="inlineStr">
        <is>
          <t>heuristic group-contribution/nearest-neighbour</t>
        </is>
      </c>
      <c r="H4553" t="inlineStr">
        <is>
          <t>S013_EST_HSP_HEURISTIC</t>
        </is>
      </c>
      <c r="I4553" t="inlineStr">
        <is>
          <t>estimated</t>
        </is>
      </c>
      <c r="J4553">
        <v>0.35</v>
      </c>
      <c r="K4553" t="inlineStr">
        <is>
          <t>Provisional HSP for screening; replace with experimental/literature value before model lock.</t>
        </is>
      </c>
    </row>
    <row r="4554">
      <c r="A4554" t="inlineStr">
        <is>
          <t>POL_PLGA_75_25</t>
        </is>
      </c>
      <c r="B4554" t="inlineStr">
        <is>
          <t>Hansen_delta_H</t>
        </is>
      </c>
      <c r="C4554">
        <v>10.0</v>
      </c>
      <c r="D4554" t="inlineStr">
        <is>
          <t>MPa^0.5</t>
        </is>
      </c>
      <c r="E4554"/>
      <c r="F4554"/>
      <c r="G4554" t="inlineStr">
        <is>
          <t>heuristic group-contribution/nearest-neighbour</t>
        </is>
      </c>
      <c r="H4554" t="inlineStr">
        <is>
          <t>S013_EST_HSP_HEURISTIC</t>
        </is>
      </c>
      <c r="I4554" t="inlineStr">
        <is>
          <t>estimated</t>
        </is>
      </c>
      <c r="J4554">
        <v>0.35</v>
      </c>
      <c r="K4554" t="inlineStr">
        <is>
          <t>Provisional HSP for screening; replace with experimental/literature value before model lock.</t>
        </is>
      </c>
    </row>
    <row r="4555">
      <c r="A4555" t="inlineStr">
        <is>
          <t>POL_PLGA_75_25</t>
        </is>
      </c>
      <c r="B4555" t="inlineStr">
        <is>
          <t>Hildebrand_delta_T</t>
        </is>
      </c>
      <c r="C4555">
        <v>22.09</v>
      </c>
      <c r="D4555" t="inlineStr">
        <is>
          <t>MPa^0.5</t>
        </is>
      </c>
      <c r="E4555"/>
      <c r="F4555"/>
      <c r="G4555" t="inlineStr">
        <is>
          <t>sqrt(deltaD^2+deltaP^2+deltaH^2)</t>
        </is>
      </c>
      <c r="H4555" t="inlineStr">
        <is>
          <t>S012_CALCULATED</t>
        </is>
      </c>
      <c r="I4555" t="inlineStr">
        <is>
          <t>calculated</t>
        </is>
      </c>
      <c r="J4555">
        <v>0.39999999999999997</v>
      </c>
      <c r="K4555" t="inlineStr">
        <is>
          <t>Derived from stored Hansen components.</t>
        </is>
      </c>
    </row>
    <row r="4556">
      <c r="A4556" t="inlineStr">
        <is>
          <t>POL_PLGA_75_25</t>
        </is>
      </c>
      <c r="B4556" t="inlineStr">
        <is>
          <t>HSP_radius_R0</t>
        </is>
      </c>
      <c r="C4556">
        <v>9.0</v>
      </c>
      <c r="D4556" t="inlineStr">
        <is>
          <t>MPa^0.5</t>
        </is>
      </c>
      <c r="E4556"/>
      <c r="F4556"/>
      <c r="G4556" t="inlineStr">
        <is>
          <t>literature/heuristic solubility sphere</t>
        </is>
      </c>
      <c r="H4556" t="inlineStr">
        <is>
          <t>S013_EST_HSP_HEURISTIC</t>
        </is>
      </c>
      <c r="I4556" t="inlineStr">
        <is>
          <t>estimated</t>
        </is>
      </c>
      <c r="J4556">
        <v>0.35</v>
      </c>
      <c r="K4556" t="inlineStr">
        <is>
          <t>Screening radius only unless experimentally determined.</t>
        </is>
      </c>
    </row>
    <row r="4557">
      <c r="A4557" t="inlineStr">
        <is>
          <t>POL_PLGA_75_25</t>
        </is>
      </c>
      <c r="B4557" t="inlineStr">
        <is>
          <t>repeat_unit_molar_volume</t>
        </is>
      </c>
      <c r="C4557">
        <v>60.0</v>
      </c>
      <c r="D4557" t="inlineStr">
        <is>
          <t>cm3/mol</t>
        </is>
      </c>
      <c r="E4557"/>
      <c r="F4557"/>
      <c r="G4557" t="inlineStr">
        <is>
          <t>repeat-unit MW / assumed density</t>
        </is>
      </c>
      <c r="H4557" t="inlineStr">
        <is>
          <t>S012_CALCULATED</t>
        </is>
      </c>
      <c r="I4557" t="inlineStr">
        <is>
          <t>estimated</t>
        </is>
      </c>
      <c r="J4557">
        <v>0.35</v>
      </c>
      <c r="K4557"/>
    </row>
    <row r="4558">
      <c r="A4558" t="inlineStr">
        <is>
          <t>POL_PLA</t>
        </is>
      </c>
      <c r="B4558" t="inlineStr">
        <is>
          <t>repeat_unit_mw_g_mol</t>
        </is>
      </c>
      <c r="C4558">
        <v>72</v>
      </c>
      <c r="D4558" t="inlineStr">
        <is>
          <t>g/mol</t>
        </is>
      </c>
      <c r="E4558"/>
      <c r="F4558"/>
      <c r="G4558"/>
      <c r="H4558" t="inlineStr">
        <is>
          <t>S007_EXCIPIENTS_HANDBOOK</t>
        </is>
      </c>
      <c r="I4558" t="inlineStr">
        <is>
          <t>handbook</t>
        </is>
      </c>
      <c r="J4558">
        <v>0.65</v>
      </c>
      <c r="K4558"/>
    </row>
    <row r="4559">
      <c r="A4559" t="inlineStr">
        <is>
          <t>POL_PLA</t>
        </is>
      </c>
      <c r="B4559" t="inlineStr">
        <is>
          <t>mw_range</t>
        </is>
      </c>
      <c r="C4559" t="inlineStr">
        <is>
          <t>10,000-200,000</t>
        </is>
      </c>
      <c r="D4559" t="inlineStr">
        <is>
          <t>g/mol</t>
        </is>
      </c>
      <c r="E4559"/>
      <c r="F4559"/>
      <c r="G4559" t="inlineStr">
        <is>
          <t>grade-dependent</t>
        </is>
      </c>
      <c r="H4559" t="inlineStr">
        <is>
          <t>S007_EXCIPIENTS_HANDBOOK</t>
        </is>
      </c>
      <c r="I4559" t="inlineStr">
        <is>
          <t>supplier-reported</t>
        </is>
      </c>
      <c r="J4559">
        <v>0.45</v>
      </c>
      <c r="K4559"/>
    </row>
    <row r="4560">
      <c r="A4560" t="inlineStr">
        <is>
          <t>POL_PLA</t>
        </is>
      </c>
      <c r="B4560" t="inlineStr">
        <is>
          <t>Tg_C</t>
        </is>
      </c>
      <c r="C4560">
        <v>55</v>
      </c>
      <c r="D4560" t="inlineStr">
        <is>
          <t>°C</t>
        </is>
      </c>
      <c r="E4560"/>
      <c r="F4560"/>
      <c r="G4560" t="inlineStr">
        <is>
          <t>grade/substitution dependent</t>
        </is>
      </c>
      <c r="H4560" t="inlineStr">
        <is>
          <t>S007_EXCIPIENTS_HANDBOOK</t>
        </is>
      </c>
      <c r="I4560" t="inlineStr">
        <is>
          <t>handbook</t>
        </is>
      </c>
      <c r="J4560">
        <v>0.48</v>
      </c>
      <c r="K4560"/>
    </row>
    <row r="4561">
      <c r="A4561" t="inlineStr">
        <is>
          <t>POL_PLA</t>
        </is>
      </c>
      <c r="B4561" t="inlineStr">
        <is>
          <t>Tm_C</t>
        </is>
      </c>
      <c r="C4561">
        <v>160</v>
      </c>
      <c r="D4561" t="inlineStr">
        <is>
          <t>°C</t>
        </is>
      </c>
      <c r="E4561"/>
      <c r="F4561"/>
      <c r="G4561" t="inlineStr">
        <is>
          <t>grade/substitution dependent</t>
        </is>
      </c>
      <c r="H4561" t="inlineStr">
        <is>
          <t>S007_EXCIPIENTS_HANDBOOK</t>
        </is>
      </c>
      <c r="I4561" t="inlineStr">
        <is>
          <t>handbook</t>
        </is>
      </c>
      <c r="J4561">
        <v>0.48</v>
      </c>
      <c r="K4561"/>
    </row>
    <row r="4562">
      <c r="A4562" t="inlineStr">
        <is>
          <t>POL_PLA</t>
        </is>
      </c>
      <c r="B4562" t="inlineStr">
        <is>
          <t>charge_type</t>
        </is>
      </c>
      <c r="C4562" t="inlineStr">
        <is>
          <t>neutral</t>
        </is>
      </c>
      <c r="D4562"/>
      <c r="E4562"/>
      <c r="F4562"/>
      <c r="G4562"/>
      <c r="H4562" t="inlineStr">
        <is>
          <t>S007_EXCIPIENTS_HANDBOOK</t>
        </is>
      </c>
      <c r="I4562" t="inlineStr">
        <is>
          <t>curated</t>
        </is>
      </c>
      <c r="J4562">
        <v>0.75</v>
      </c>
      <c r="K4562"/>
    </row>
    <row r="4563">
      <c r="A4563" t="inlineStr">
        <is>
          <t>POL_PLA</t>
        </is>
      </c>
      <c r="B4563" t="inlineStr">
        <is>
          <t>formal_charge</t>
        </is>
      </c>
      <c r="C4563">
        <v>0</v>
      </c>
      <c r="D4563" t="inlineStr">
        <is>
          <t>e</t>
        </is>
      </c>
      <c r="E4563"/>
      <c r="F4563"/>
      <c r="G4563"/>
      <c r="H4563" t="inlineStr">
        <is>
          <t>S007_EXCIPIENTS_HANDBOOK</t>
        </is>
      </c>
      <c r="I4563" t="inlineStr">
        <is>
          <t>curated</t>
        </is>
      </c>
      <c r="J4563">
        <v>0.75</v>
      </c>
      <c r="K4563"/>
    </row>
    <row r="4564">
      <c r="A4564" t="inlineStr">
        <is>
          <t>POL_PLA</t>
        </is>
      </c>
      <c r="B4564" t="inlineStr">
        <is>
          <t>solubility_in_water</t>
        </is>
      </c>
      <c r="C4564" t="inlineStr">
        <is>
          <t>poor</t>
        </is>
      </c>
      <c r="D4564"/>
      <c r="E4564"/>
      <c r="F4564"/>
      <c r="G4564"/>
      <c r="H4564" t="inlineStr">
        <is>
          <t>S007_EXCIPIENTS_HANDBOOK</t>
        </is>
      </c>
      <c r="I4564" t="inlineStr">
        <is>
          <t>handbook</t>
        </is>
      </c>
      <c r="J4564">
        <v>0.55</v>
      </c>
      <c r="K4564"/>
    </row>
    <row r="4565">
      <c r="A4565" t="inlineStr">
        <is>
          <t>POL_PLA</t>
        </is>
      </c>
      <c r="B4565" t="inlineStr">
        <is>
          <t>solubility_in_ethanol</t>
        </is>
      </c>
      <c r="C4565" t="inlineStr">
        <is>
          <t>soluble</t>
        </is>
      </c>
      <c r="D4565"/>
      <c r="E4565"/>
      <c r="F4565"/>
      <c r="G4565"/>
      <c r="H4565" t="inlineStr">
        <is>
          <t>S007_EXCIPIENTS_HANDBOOK</t>
        </is>
      </c>
      <c r="I4565" t="inlineStr">
        <is>
          <t>handbook</t>
        </is>
      </c>
      <c r="J4565">
        <v>0.55</v>
      </c>
      <c r="K4565"/>
    </row>
    <row r="4566">
      <c r="A4566" t="inlineStr">
        <is>
          <t>POL_PLA</t>
        </is>
      </c>
      <c r="B4566" t="inlineStr">
        <is>
          <t>solubility_in_acetone</t>
        </is>
      </c>
      <c r="C4566" t="inlineStr">
        <is>
          <t>soluble</t>
        </is>
      </c>
      <c r="D4566"/>
      <c r="E4566"/>
      <c r="F4566"/>
      <c r="G4566"/>
      <c r="H4566" t="inlineStr">
        <is>
          <t>S007_EXCIPIENTS_HANDBOOK</t>
        </is>
      </c>
      <c r="I4566" t="inlineStr">
        <is>
          <t>handbook</t>
        </is>
      </c>
      <c r="J4566">
        <v>0.55</v>
      </c>
      <c r="K4566"/>
    </row>
    <row r="4567">
      <c r="A4567" t="inlineStr">
        <is>
          <t>POL_PLA</t>
        </is>
      </c>
      <c r="B4567" t="inlineStr">
        <is>
          <t>solubility_in_dcm</t>
        </is>
      </c>
      <c r="C4567" t="inlineStr">
        <is>
          <t>soluble</t>
        </is>
      </c>
      <c r="D4567"/>
      <c r="E4567"/>
      <c r="F4567"/>
      <c r="G4567"/>
      <c r="H4567" t="inlineStr">
        <is>
          <t>S007_EXCIPIENTS_HANDBOOK</t>
        </is>
      </c>
      <c r="I4567" t="inlineStr">
        <is>
          <t>handbook</t>
        </is>
      </c>
      <c r="J4567">
        <v>0.55</v>
      </c>
      <c r="K4567"/>
    </row>
    <row r="4568">
      <c r="A4568" t="inlineStr">
        <is>
          <t>POL_PLA</t>
        </is>
      </c>
      <c r="B4568" t="inlineStr">
        <is>
          <t>biodegradability</t>
        </is>
      </c>
      <c r="C4568" t="inlineStr">
        <is>
          <t>yes</t>
        </is>
      </c>
      <c r="D4568"/>
      <c r="E4568"/>
      <c r="F4568"/>
      <c r="G4568"/>
      <c r="H4568" t="inlineStr">
        <is>
          <t>S014_AULTON</t>
        </is>
      </c>
      <c r="I4568" t="inlineStr">
        <is>
          <t>curated</t>
        </is>
      </c>
      <c r="J4568">
        <v>0.65</v>
      </c>
      <c r="K4568"/>
    </row>
    <row r="4569">
      <c r="A4569" t="inlineStr">
        <is>
          <t>POL_PLA</t>
        </is>
      </c>
      <c r="B4569" t="inlineStr">
        <is>
          <t>mucoadhesive_flag</t>
        </is>
      </c>
      <c r="C4569" t="inlineStr">
        <is>
          <t>no</t>
        </is>
      </c>
      <c r="D4569"/>
      <c r="E4569"/>
      <c r="F4569"/>
      <c r="G4569"/>
      <c r="H4569" t="inlineStr">
        <is>
          <t>S014_AULTON</t>
        </is>
      </c>
      <c r="I4569" t="inlineStr">
        <is>
          <t>curated</t>
        </is>
      </c>
      <c r="J4569">
        <v>0.65</v>
      </c>
      <c r="K4569"/>
    </row>
    <row r="4570">
      <c r="A4570" t="inlineStr">
        <is>
          <t>POL_PLA</t>
        </is>
      </c>
      <c r="B4570" t="inlineStr">
        <is>
          <t>coating_role</t>
        </is>
      </c>
      <c r="C4570" t="inlineStr">
        <is>
          <t>matrix polymer</t>
        </is>
      </c>
      <c r="D4570"/>
      <c r="E4570"/>
      <c r="F4570"/>
      <c r="G4570"/>
      <c r="H4570" t="inlineStr">
        <is>
          <t>S014_AULTON</t>
        </is>
      </c>
      <c r="I4570" t="inlineStr">
        <is>
          <t>curated</t>
        </is>
      </c>
      <c r="J4570">
        <v>0.6</v>
      </c>
      <c r="K4570"/>
    </row>
    <row r="4571">
      <c r="A4571" t="inlineStr">
        <is>
          <t>POL_PLA</t>
        </is>
      </c>
      <c r="B4571" t="inlineStr">
        <is>
          <t>stabilizer_role</t>
        </is>
      </c>
      <c r="C4571" t="inlineStr">
        <is>
          <t>no</t>
        </is>
      </c>
      <c r="D4571"/>
      <c r="E4571"/>
      <c r="F4571"/>
      <c r="G4571"/>
      <c r="H4571" t="inlineStr">
        <is>
          <t>S014_AULTON</t>
        </is>
      </c>
      <c r="I4571" t="inlineStr">
        <is>
          <t>curated</t>
        </is>
      </c>
      <c r="J4571">
        <v>0.6</v>
      </c>
      <c r="K4571"/>
    </row>
    <row r="4572">
      <c r="A4572" t="inlineStr">
        <is>
          <t>POL_PLA</t>
        </is>
      </c>
      <c r="B4572" t="inlineStr">
        <is>
          <t>route_suitability</t>
        </is>
      </c>
      <c r="C4572" t="inlineStr">
        <is>
          <t>polymeric/hybrid/coating/stabilizer systems; grade and route dependent</t>
        </is>
      </c>
      <c r="D4572"/>
      <c r="E4572"/>
      <c r="F4572"/>
      <c r="G4572"/>
      <c r="H4572" t="inlineStr">
        <is>
          <t>S008_FDA_IID</t>
        </is>
      </c>
      <c r="I4572" t="inlineStr">
        <is>
          <t>curated</t>
        </is>
      </c>
      <c r="J4572">
        <v>0.55</v>
      </c>
      <c r="K4572"/>
    </row>
    <row r="4573">
      <c r="A4573" t="inlineStr">
        <is>
          <t>POL_PLA</t>
        </is>
      </c>
      <c r="B4573" t="inlineStr">
        <is>
          <t>toxicity_notes</t>
        </is>
      </c>
      <c r="C4573" t="inlineStr">
        <is>
          <t>polymer grade, residual monomers/solvents, endotoxin and molecular weight distribution must be controlled</t>
        </is>
      </c>
      <c r="D4573"/>
      <c r="E4573"/>
      <c r="F4573"/>
      <c r="G4573"/>
      <c r="H4573" t="inlineStr">
        <is>
          <t>S007_EXCIPIENTS_HANDBOOK</t>
        </is>
      </c>
      <c r="I4573" t="inlineStr">
        <is>
          <t>curated</t>
        </is>
      </c>
      <c r="J4573">
        <v>0.65</v>
      </c>
      <c r="K4573"/>
    </row>
    <row r="4574">
      <c r="A4574" t="inlineStr">
        <is>
          <t>POL_PLA</t>
        </is>
      </c>
      <c r="B4574" t="inlineStr">
        <is>
          <t>Hansen_delta_D</t>
        </is>
      </c>
      <c r="C4574">
        <v>18.0</v>
      </c>
      <c r="D4574" t="inlineStr">
        <is>
          <t>MPa^0.5</t>
        </is>
      </c>
      <c r="E4574"/>
      <c r="F4574"/>
      <c r="G4574" t="inlineStr">
        <is>
          <t>heuristic group-contribution/nearest-neighbour</t>
        </is>
      </c>
      <c r="H4574" t="inlineStr">
        <is>
          <t>S013_EST_HSP_HEURISTIC</t>
        </is>
      </c>
      <c r="I4574" t="inlineStr">
        <is>
          <t>estimated</t>
        </is>
      </c>
      <c r="J4574">
        <v>0.35</v>
      </c>
      <c r="K4574" t="inlineStr">
        <is>
          <t>Provisional HSP for screening; replace with experimental/literature value before model lock.</t>
        </is>
      </c>
    </row>
    <row r="4575">
      <c r="A4575" t="inlineStr">
        <is>
          <t>POL_PLA</t>
        </is>
      </c>
      <c r="B4575" t="inlineStr">
        <is>
          <t>Hansen_delta_P</t>
        </is>
      </c>
      <c r="C4575">
        <v>8.0</v>
      </c>
      <c r="D4575" t="inlineStr">
        <is>
          <t>MPa^0.5</t>
        </is>
      </c>
      <c r="E4575"/>
      <c r="F4575"/>
      <c r="G4575" t="inlineStr">
        <is>
          <t>heuristic group-contribution/nearest-neighbour</t>
        </is>
      </c>
      <c r="H4575" t="inlineStr">
        <is>
          <t>S013_EST_HSP_HEURISTIC</t>
        </is>
      </c>
      <c r="I4575" t="inlineStr">
        <is>
          <t>estimated</t>
        </is>
      </c>
      <c r="J4575">
        <v>0.35</v>
      </c>
      <c r="K4575" t="inlineStr">
        <is>
          <t>Provisional HSP for screening; replace with experimental/literature value before model lock.</t>
        </is>
      </c>
    </row>
    <row r="4576">
      <c r="A4576" t="inlineStr">
        <is>
          <t>POL_PLA</t>
        </is>
      </c>
      <c r="B4576" t="inlineStr">
        <is>
          <t>Hansen_delta_H</t>
        </is>
      </c>
      <c r="C4576">
        <v>10.0</v>
      </c>
      <c r="D4576" t="inlineStr">
        <is>
          <t>MPa^0.5</t>
        </is>
      </c>
      <c r="E4576"/>
      <c r="F4576"/>
      <c r="G4576" t="inlineStr">
        <is>
          <t>heuristic group-contribution/nearest-neighbour</t>
        </is>
      </c>
      <c r="H4576" t="inlineStr">
        <is>
          <t>S013_EST_HSP_HEURISTIC</t>
        </is>
      </c>
      <c r="I4576" t="inlineStr">
        <is>
          <t>estimated</t>
        </is>
      </c>
      <c r="J4576">
        <v>0.35</v>
      </c>
      <c r="K4576" t="inlineStr">
        <is>
          <t>Provisional HSP for screening; replace with experimental/literature value before model lock.</t>
        </is>
      </c>
    </row>
    <row r="4577">
      <c r="A4577" t="inlineStr">
        <is>
          <t>POL_PLA</t>
        </is>
      </c>
      <c r="B4577" t="inlineStr">
        <is>
          <t>Hildebrand_delta_T</t>
        </is>
      </c>
      <c r="C4577">
        <v>22.09</v>
      </c>
      <c r="D4577" t="inlineStr">
        <is>
          <t>MPa^0.5</t>
        </is>
      </c>
      <c r="E4577"/>
      <c r="F4577"/>
      <c r="G4577" t="inlineStr">
        <is>
          <t>sqrt(deltaD^2+deltaP^2+deltaH^2)</t>
        </is>
      </c>
      <c r="H4577" t="inlineStr">
        <is>
          <t>S012_CALCULATED</t>
        </is>
      </c>
      <c r="I4577" t="inlineStr">
        <is>
          <t>calculated</t>
        </is>
      </c>
      <c r="J4577">
        <v>0.39999999999999997</v>
      </c>
      <c r="K4577" t="inlineStr">
        <is>
          <t>Derived from stored Hansen components.</t>
        </is>
      </c>
    </row>
    <row r="4578">
      <c r="A4578" t="inlineStr">
        <is>
          <t>POL_PLA</t>
        </is>
      </c>
      <c r="B4578" t="inlineStr">
        <is>
          <t>HSP_radius_R0</t>
        </is>
      </c>
      <c r="C4578">
        <v>9.0</v>
      </c>
      <c r="D4578" t="inlineStr">
        <is>
          <t>MPa^0.5</t>
        </is>
      </c>
      <c r="E4578"/>
      <c r="F4578"/>
      <c r="G4578" t="inlineStr">
        <is>
          <t>literature/heuristic solubility sphere</t>
        </is>
      </c>
      <c r="H4578" t="inlineStr">
        <is>
          <t>S013_EST_HSP_HEURISTIC</t>
        </is>
      </c>
      <c r="I4578" t="inlineStr">
        <is>
          <t>estimated</t>
        </is>
      </c>
      <c r="J4578">
        <v>0.35</v>
      </c>
      <c r="K4578" t="inlineStr">
        <is>
          <t>Screening radius only unless experimentally determined.</t>
        </is>
      </c>
    </row>
    <row r="4579">
      <c r="A4579" t="inlineStr">
        <is>
          <t>POL_PLA</t>
        </is>
      </c>
      <c r="B4579" t="inlineStr">
        <is>
          <t>repeat_unit_molar_volume</t>
        </is>
      </c>
      <c r="C4579">
        <v>60.0</v>
      </c>
      <c r="D4579" t="inlineStr">
        <is>
          <t>cm3/mol</t>
        </is>
      </c>
      <c r="E4579"/>
      <c r="F4579"/>
      <c r="G4579" t="inlineStr">
        <is>
          <t>repeat-unit MW / assumed density</t>
        </is>
      </c>
      <c r="H4579" t="inlineStr">
        <is>
          <t>S012_CALCULATED</t>
        </is>
      </c>
      <c r="I4579" t="inlineStr">
        <is>
          <t>estimated</t>
        </is>
      </c>
      <c r="J4579">
        <v>0.35</v>
      </c>
      <c r="K4579"/>
    </row>
    <row r="4580">
      <c r="A4580" t="inlineStr">
        <is>
          <t>POL_PCL</t>
        </is>
      </c>
      <c r="B4580" t="inlineStr">
        <is>
          <t>repeat_unit_mw_g_mol</t>
        </is>
      </c>
      <c r="C4580">
        <v>114</v>
      </c>
      <c r="D4580" t="inlineStr">
        <is>
          <t>g/mol</t>
        </is>
      </c>
      <c r="E4580"/>
      <c r="F4580"/>
      <c r="G4580"/>
      <c r="H4580" t="inlineStr">
        <is>
          <t>S007_EXCIPIENTS_HANDBOOK</t>
        </is>
      </c>
      <c r="I4580" t="inlineStr">
        <is>
          <t>handbook</t>
        </is>
      </c>
      <c r="J4580">
        <v>0.65</v>
      </c>
      <c r="K4580"/>
    </row>
    <row r="4581">
      <c r="A4581" t="inlineStr">
        <is>
          <t>POL_PCL</t>
        </is>
      </c>
      <c r="B4581" t="inlineStr">
        <is>
          <t>mw_range</t>
        </is>
      </c>
      <c r="C4581" t="inlineStr">
        <is>
          <t>10,000-100,000</t>
        </is>
      </c>
      <c r="D4581" t="inlineStr">
        <is>
          <t>g/mol</t>
        </is>
      </c>
      <c r="E4581"/>
      <c r="F4581"/>
      <c r="G4581" t="inlineStr">
        <is>
          <t>grade-dependent</t>
        </is>
      </c>
      <c r="H4581" t="inlineStr">
        <is>
          <t>S007_EXCIPIENTS_HANDBOOK</t>
        </is>
      </c>
      <c r="I4581" t="inlineStr">
        <is>
          <t>supplier-reported</t>
        </is>
      </c>
      <c r="J4581">
        <v>0.45</v>
      </c>
      <c r="K4581"/>
    </row>
    <row r="4582">
      <c r="A4582" t="inlineStr">
        <is>
          <t>POL_PCL</t>
        </is>
      </c>
      <c r="B4582" t="inlineStr">
        <is>
          <t>Tg_C</t>
        </is>
      </c>
      <c r="C4582">
        <v>-60</v>
      </c>
      <c r="D4582" t="inlineStr">
        <is>
          <t>°C</t>
        </is>
      </c>
      <c r="E4582"/>
      <c r="F4582"/>
      <c r="G4582" t="inlineStr">
        <is>
          <t>grade/substitution dependent</t>
        </is>
      </c>
      <c r="H4582" t="inlineStr">
        <is>
          <t>S007_EXCIPIENTS_HANDBOOK</t>
        </is>
      </c>
      <c r="I4582" t="inlineStr">
        <is>
          <t>handbook</t>
        </is>
      </c>
      <c r="J4582">
        <v>0.48</v>
      </c>
      <c r="K4582"/>
    </row>
    <row r="4583">
      <c r="A4583" t="inlineStr">
        <is>
          <t>POL_PCL</t>
        </is>
      </c>
      <c r="B4583" t="inlineStr">
        <is>
          <t>Tm_C</t>
        </is>
      </c>
      <c r="C4583">
        <v>60</v>
      </c>
      <c r="D4583" t="inlineStr">
        <is>
          <t>°C</t>
        </is>
      </c>
      <c r="E4583"/>
      <c r="F4583"/>
      <c r="G4583" t="inlineStr">
        <is>
          <t>grade/substitution dependent</t>
        </is>
      </c>
      <c r="H4583" t="inlineStr">
        <is>
          <t>S007_EXCIPIENTS_HANDBOOK</t>
        </is>
      </c>
      <c r="I4583" t="inlineStr">
        <is>
          <t>handbook</t>
        </is>
      </c>
      <c r="J4583">
        <v>0.48</v>
      </c>
      <c r="K4583"/>
    </row>
    <row r="4584">
      <c r="A4584" t="inlineStr">
        <is>
          <t>POL_PCL</t>
        </is>
      </c>
      <c r="B4584" t="inlineStr">
        <is>
          <t>charge_type</t>
        </is>
      </c>
      <c r="C4584" t="inlineStr">
        <is>
          <t>neutral</t>
        </is>
      </c>
      <c r="D4584"/>
      <c r="E4584"/>
      <c r="F4584"/>
      <c r="G4584"/>
      <c r="H4584" t="inlineStr">
        <is>
          <t>S007_EXCIPIENTS_HANDBOOK</t>
        </is>
      </c>
      <c r="I4584" t="inlineStr">
        <is>
          <t>curated</t>
        </is>
      </c>
      <c r="J4584">
        <v>0.75</v>
      </c>
      <c r="K4584"/>
    </row>
    <row r="4585">
      <c r="A4585" t="inlineStr">
        <is>
          <t>POL_PCL</t>
        </is>
      </c>
      <c r="B4585" t="inlineStr">
        <is>
          <t>formal_charge</t>
        </is>
      </c>
      <c r="C4585">
        <v>0</v>
      </c>
      <c r="D4585" t="inlineStr">
        <is>
          <t>e</t>
        </is>
      </c>
      <c r="E4585"/>
      <c r="F4585"/>
      <c r="G4585"/>
      <c r="H4585" t="inlineStr">
        <is>
          <t>S007_EXCIPIENTS_HANDBOOK</t>
        </is>
      </c>
      <c r="I4585" t="inlineStr">
        <is>
          <t>curated</t>
        </is>
      </c>
      <c r="J4585">
        <v>0.75</v>
      </c>
      <c r="K4585"/>
    </row>
    <row r="4586">
      <c r="A4586" t="inlineStr">
        <is>
          <t>POL_PCL</t>
        </is>
      </c>
      <c r="B4586" t="inlineStr">
        <is>
          <t>solubility_in_water</t>
        </is>
      </c>
      <c r="C4586" t="inlineStr">
        <is>
          <t>poor</t>
        </is>
      </c>
      <c r="D4586"/>
      <c r="E4586"/>
      <c r="F4586"/>
      <c r="G4586"/>
      <c r="H4586" t="inlineStr">
        <is>
          <t>S007_EXCIPIENTS_HANDBOOK</t>
        </is>
      </c>
      <c r="I4586" t="inlineStr">
        <is>
          <t>handbook</t>
        </is>
      </c>
      <c r="J4586">
        <v>0.55</v>
      </c>
      <c r="K4586"/>
    </row>
    <row r="4587">
      <c r="A4587" t="inlineStr">
        <is>
          <t>POL_PCL</t>
        </is>
      </c>
      <c r="B4587" t="inlineStr">
        <is>
          <t>solubility_in_ethanol</t>
        </is>
      </c>
      <c r="C4587" t="inlineStr">
        <is>
          <t>soluble</t>
        </is>
      </c>
      <c r="D4587"/>
      <c r="E4587"/>
      <c r="F4587"/>
      <c r="G4587"/>
      <c r="H4587" t="inlineStr">
        <is>
          <t>S007_EXCIPIENTS_HANDBOOK</t>
        </is>
      </c>
      <c r="I4587" t="inlineStr">
        <is>
          <t>handbook</t>
        </is>
      </c>
      <c r="J4587">
        <v>0.55</v>
      </c>
      <c r="K4587"/>
    </row>
    <row r="4588">
      <c r="A4588" t="inlineStr">
        <is>
          <t>POL_PCL</t>
        </is>
      </c>
      <c r="B4588" t="inlineStr">
        <is>
          <t>solubility_in_acetone</t>
        </is>
      </c>
      <c r="C4588" t="inlineStr">
        <is>
          <t>soluble</t>
        </is>
      </c>
      <c r="D4588"/>
      <c r="E4588"/>
      <c r="F4588"/>
      <c r="G4588"/>
      <c r="H4588" t="inlineStr">
        <is>
          <t>S007_EXCIPIENTS_HANDBOOK</t>
        </is>
      </c>
      <c r="I4588" t="inlineStr">
        <is>
          <t>handbook</t>
        </is>
      </c>
      <c r="J4588">
        <v>0.55</v>
      </c>
      <c r="K4588"/>
    </row>
    <row r="4589">
      <c r="A4589" t="inlineStr">
        <is>
          <t>POL_PCL</t>
        </is>
      </c>
      <c r="B4589" t="inlineStr">
        <is>
          <t>solubility_in_dcm</t>
        </is>
      </c>
      <c r="C4589" t="inlineStr">
        <is>
          <t>soluble</t>
        </is>
      </c>
      <c r="D4589"/>
      <c r="E4589"/>
      <c r="F4589"/>
      <c r="G4589"/>
      <c r="H4589" t="inlineStr">
        <is>
          <t>S007_EXCIPIENTS_HANDBOOK</t>
        </is>
      </c>
      <c r="I4589" t="inlineStr">
        <is>
          <t>handbook</t>
        </is>
      </c>
      <c r="J4589">
        <v>0.55</v>
      </c>
      <c r="K4589"/>
    </row>
    <row r="4590">
      <c r="A4590" t="inlineStr">
        <is>
          <t>POL_PCL</t>
        </is>
      </c>
      <c r="B4590" t="inlineStr">
        <is>
          <t>biodegradability</t>
        </is>
      </c>
      <c r="C4590" t="inlineStr">
        <is>
          <t>yes/slow</t>
        </is>
      </c>
      <c r="D4590"/>
      <c r="E4590"/>
      <c r="F4590"/>
      <c r="G4590"/>
      <c r="H4590" t="inlineStr">
        <is>
          <t>S014_AULTON</t>
        </is>
      </c>
      <c r="I4590" t="inlineStr">
        <is>
          <t>curated</t>
        </is>
      </c>
      <c r="J4590">
        <v>0.65</v>
      </c>
      <c r="K4590"/>
    </row>
    <row r="4591">
      <c r="A4591" t="inlineStr">
        <is>
          <t>POL_PCL</t>
        </is>
      </c>
      <c r="B4591" t="inlineStr">
        <is>
          <t>mucoadhesive_flag</t>
        </is>
      </c>
      <c r="C4591" t="inlineStr">
        <is>
          <t>no</t>
        </is>
      </c>
      <c r="D4591"/>
      <c r="E4591"/>
      <c r="F4591"/>
      <c r="G4591"/>
      <c r="H4591" t="inlineStr">
        <is>
          <t>S014_AULTON</t>
        </is>
      </c>
      <c r="I4591" t="inlineStr">
        <is>
          <t>curated</t>
        </is>
      </c>
      <c r="J4591">
        <v>0.65</v>
      </c>
      <c r="K4591"/>
    </row>
    <row r="4592">
      <c r="A4592" t="inlineStr">
        <is>
          <t>POL_PCL</t>
        </is>
      </c>
      <c r="B4592" t="inlineStr">
        <is>
          <t>coating_role</t>
        </is>
      </c>
      <c r="C4592" t="inlineStr">
        <is>
          <t>matrix polymer</t>
        </is>
      </c>
      <c r="D4592"/>
      <c r="E4592"/>
      <c r="F4592"/>
      <c r="G4592"/>
      <c r="H4592" t="inlineStr">
        <is>
          <t>S014_AULTON</t>
        </is>
      </c>
      <c r="I4592" t="inlineStr">
        <is>
          <t>curated</t>
        </is>
      </c>
      <c r="J4592">
        <v>0.6</v>
      </c>
      <c r="K4592"/>
    </row>
    <row r="4593">
      <c r="A4593" t="inlineStr">
        <is>
          <t>POL_PCL</t>
        </is>
      </c>
      <c r="B4593" t="inlineStr">
        <is>
          <t>stabilizer_role</t>
        </is>
      </c>
      <c r="C4593" t="inlineStr">
        <is>
          <t>no</t>
        </is>
      </c>
      <c r="D4593"/>
      <c r="E4593"/>
      <c r="F4593"/>
      <c r="G4593"/>
      <c r="H4593" t="inlineStr">
        <is>
          <t>S014_AULTON</t>
        </is>
      </c>
      <c r="I4593" t="inlineStr">
        <is>
          <t>curated</t>
        </is>
      </c>
      <c r="J4593">
        <v>0.6</v>
      </c>
      <c r="K4593"/>
    </row>
    <row r="4594">
      <c r="A4594" t="inlineStr">
        <is>
          <t>POL_PCL</t>
        </is>
      </c>
      <c r="B4594" t="inlineStr">
        <is>
          <t>route_suitability</t>
        </is>
      </c>
      <c r="C4594" t="inlineStr">
        <is>
          <t>polymeric/hybrid/coating/stabilizer systems; grade and route dependent</t>
        </is>
      </c>
      <c r="D4594"/>
      <c r="E4594"/>
      <c r="F4594"/>
      <c r="G4594"/>
      <c r="H4594" t="inlineStr">
        <is>
          <t>S008_FDA_IID</t>
        </is>
      </c>
      <c r="I4594" t="inlineStr">
        <is>
          <t>curated</t>
        </is>
      </c>
      <c r="J4594">
        <v>0.55</v>
      </c>
      <c r="K4594"/>
    </row>
    <row r="4595">
      <c r="A4595" t="inlineStr">
        <is>
          <t>POL_PCL</t>
        </is>
      </c>
      <c r="B4595" t="inlineStr">
        <is>
          <t>toxicity_notes</t>
        </is>
      </c>
      <c r="C4595" t="inlineStr">
        <is>
          <t>polymer grade, residual monomers/solvents, endotoxin and molecular weight distribution must be controlled</t>
        </is>
      </c>
      <c r="D4595"/>
      <c r="E4595"/>
      <c r="F4595"/>
      <c r="G4595"/>
      <c r="H4595" t="inlineStr">
        <is>
          <t>S007_EXCIPIENTS_HANDBOOK</t>
        </is>
      </c>
      <c r="I4595" t="inlineStr">
        <is>
          <t>curated</t>
        </is>
      </c>
      <c r="J4595">
        <v>0.65</v>
      </c>
      <c r="K4595"/>
    </row>
    <row r="4596">
      <c r="A4596" t="inlineStr">
        <is>
          <t>POL_PCL</t>
        </is>
      </c>
      <c r="B4596" t="inlineStr">
        <is>
          <t>Hansen_delta_D</t>
        </is>
      </c>
      <c r="C4596">
        <v>18.0</v>
      </c>
      <c r="D4596" t="inlineStr">
        <is>
          <t>MPa^0.5</t>
        </is>
      </c>
      <c r="E4596"/>
      <c r="F4596"/>
      <c r="G4596" t="inlineStr">
        <is>
          <t>heuristic group-contribution/nearest-neighbour</t>
        </is>
      </c>
      <c r="H4596" t="inlineStr">
        <is>
          <t>S013_EST_HSP_HEURISTIC</t>
        </is>
      </c>
      <c r="I4596" t="inlineStr">
        <is>
          <t>estimated</t>
        </is>
      </c>
      <c r="J4596">
        <v>0.35</v>
      </c>
      <c r="K4596" t="inlineStr">
        <is>
          <t>Provisional HSP for screening; replace with experimental/literature value before model lock.</t>
        </is>
      </c>
    </row>
    <row r="4597">
      <c r="A4597" t="inlineStr">
        <is>
          <t>POL_PCL</t>
        </is>
      </c>
      <c r="B4597" t="inlineStr">
        <is>
          <t>Hansen_delta_P</t>
        </is>
      </c>
      <c r="C4597">
        <v>8.0</v>
      </c>
      <c r="D4597" t="inlineStr">
        <is>
          <t>MPa^0.5</t>
        </is>
      </c>
      <c r="E4597"/>
      <c r="F4597"/>
      <c r="G4597" t="inlineStr">
        <is>
          <t>heuristic group-contribution/nearest-neighbour</t>
        </is>
      </c>
      <c r="H4597" t="inlineStr">
        <is>
          <t>S013_EST_HSP_HEURISTIC</t>
        </is>
      </c>
      <c r="I4597" t="inlineStr">
        <is>
          <t>estimated</t>
        </is>
      </c>
      <c r="J4597">
        <v>0.35</v>
      </c>
      <c r="K4597" t="inlineStr">
        <is>
          <t>Provisional HSP for screening; replace with experimental/literature value before model lock.</t>
        </is>
      </c>
    </row>
    <row r="4598">
      <c r="A4598" t="inlineStr">
        <is>
          <t>POL_PCL</t>
        </is>
      </c>
      <c r="B4598" t="inlineStr">
        <is>
          <t>Hansen_delta_H</t>
        </is>
      </c>
      <c r="C4598">
        <v>10.0</v>
      </c>
      <c r="D4598" t="inlineStr">
        <is>
          <t>MPa^0.5</t>
        </is>
      </c>
      <c r="E4598"/>
      <c r="F4598"/>
      <c r="G4598" t="inlineStr">
        <is>
          <t>heuristic group-contribution/nearest-neighbour</t>
        </is>
      </c>
      <c r="H4598" t="inlineStr">
        <is>
          <t>S013_EST_HSP_HEURISTIC</t>
        </is>
      </c>
      <c r="I4598" t="inlineStr">
        <is>
          <t>estimated</t>
        </is>
      </c>
      <c r="J4598">
        <v>0.35</v>
      </c>
      <c r="K4598" t="inlineStr">
        <is>
          <t>Provisional HSP for screening; replace with experimental/literature value before model lock.</t>
        </is>
      </c>
    </row>
    <row r="4599">
      <c r="A4599" t="inlineStr">
        <is>
          <t>POL_PCL</t>
        </is>
      </c>
      <c r="B4599" t="inlineStr">
        <is>
          <t>Hildebrand_delta_T</t>
        </is>
      </c>
      <c r="C4599">
        <v>22.09</v>
      </c>
      <c r="D4599" t="inlineStr">
        <is>
          <t>MPa^0.5</t>
        </is>
      </c>
      <c r="E4599"/>
      <c r="F4599"/>
      <c r="G4599" t="inlineStr">
        <is>
          <t>sqrt(deltaD^2+deltaP^2+deltaH^2)</t>
        </is>
      </c>
      <c r="H4599" t="inlineStr">
        <is>
          <t>S012_CALCULATED</t>
        </is>
      </c>
      <c r="I4599" t="inlineStr">
        <is>
          <t>calculated</t>
        </is>
      </c>
      <c r="J4599">
        <v>0.39999999999999997</v>
      </c>
      <c r="K4599" t="inlineStr">
        <is>
          <t>Derived from stored Hansen components.</t>
        </is>
      </c>
    </row>
    <row r="4600">
      <c r="A4600" t="inlineStr">
        <is>
          <t>POL_PCL</t>
        </is>
      </c>
      <c r="B4600" t="inlineStr">
        <is>
          <t>HSP_radius_R0</t>
        </is>
      </c>
      <c r="C4600">
        <v>9.0</v>
      </c>
      <c r="D4600" t="inlineStr">
        <is>
          <t>MPa^0.5</t>
        </is>
      </c>
      <c r="E4600"/>
      <c r="F4600"/>
      <c r="G4600" t="inlineStr">
        <is>
          <t>literature/heuristic solubility sphere</t>
        </is>
      </c>
      <c r="H4600" t="inlineStr">
        <is>
          <t>S013_EST_HSP_HEURISTIC</t>
        </is>
      </c>
      <c r="I4600" t="inlineStr">
        <is>
          <t>estimated</t>
        </is>
      </c>
      <c r="J4600">
        <v>0.35</v>
      </c>
      <c r="K4600" t="inlineStr">
        <is>
          <t>Screening radius only unless experimentally determined.</t>
        </is>
      </c>
    </row>
    <row r="4601">
      <c r="A4601" t="inlineStr">
        <is>
          <t>POL_PCL</t>
        </is>
      </c>
      <c r="B4601" t="inlineStr">
        <is>
          <t>repeat_unit_molar_volume</t>
        </is>
      </c>
      <c r="C4601">
        <v>95.0</v>
      </c>
      <c r="D4601" t="inlineStr">
        <is>
          <t>cm3/mol</t>
        </is>
      </c>
      <c r="E4601"/>
      <c r="F4601"/>
      <c r="G4601" t="inlineStr">
        <is>
          <t>repeat-unit MW / assumed density</t>
        </is>
      </c>
      <c r="H4601" t="inlineStr">
        <is>
          <t>S012_CALCULATED</t>
        </is>
      </c>
      <c r="I4601" t="inlineStr">
        <is>
          <t>estimated</t>
        </is>
      </c>
      <c r="J4601">
        <v>0.35</v>
      </c>
      <c r="K4601"/>
    </row>
    <row r="4602">
      <c r="A4602" t="inlineStr">
        <is>
          <t>POL_PGA</t>
        </is>
      </c>
      <c r="B4602" t="inlineStr">
        <is>
          <t>repeat_unit_mw_g_mol</t>
        </is>
      </c>
      <c r="C4602">
        <v>58</v>
      </c>
      <c r="D4602" t="inlineStr">
        <is>
          <t>g/mol</t>
        </is>
      </c>
      <c r="E4602"/>
      <c r="F4602"/>
      <c r="G4602"/>
      <c r="H4602" t="inlineStr">
        <is>
          <t>S007_EXCIPIENTS_HANDBOOK</t>
        </is>
      </c>
      <c r="I4602" t="inlineStr">
        <is>
          <t>handbook</t>
        </is>
      </c>
      <c r="J4602">
        <v>0.65</v>
      </c>
      <c r="K4602"/>
    </row>
    <row r="4603">
      <c r="A4603" t="inlineStr">
        <is>
          <t>POL_PGA</t>
        </is>
      </c>
      <c r="B4603" t="inlineStr">
        <is>
          <t>mw_range</t>
        </is>
      </c>
      <c r="C4603" t="inlineStr">
        <is>
          <t>10,000-100,000</t>
        </is>
      </c>
      <c r="D4603" t="inlineStr">
        <is>
          <t>g/mol</t>
        </is>
      </c>
      <c r="E4603"/>
      <c r="F4603"/>
      <c r="G4603" t="inlineStr">
        <is>
          <t>grade-dependent</t>
        </is>
      </c>
      <c r="H4603" t="inlineStr">
        <is>
          <t>S007_EXCIPIENTS_HANDBOOK</t>
        </is>
      </c>
      <c r="I4603" t="inlineStr">
        <is>
          <t>supplier-reported</t>
        </is>
      </c>
      <c r="J4603">
        <v>0.45</v>
      </c>
      <c r="K4603"/>
    </row>
    <row r="4604">
      <c r="A4604" t="inlineStr">
        <is>
          <t>POL_PGA</t>
        </is>
      </c>
      <c r="B4604" t="inlineStr">
        <is>
          <t>Tg_C</t>
        </is>
      </c>
      <c r="C4604">
        <v>35</v>
      </c>
      <c r="D4604" t="inlineStr">
        <is>
          <t>°C</t>
        </is>
      </c>
      <c r="E4604"/>
      <c r="F4604"/>
      <c r="G4604" t="inlineStr">
        <is>
          <t>grade/substitution dependent</t>
        </is>
      </c>
      <c r="H4604" t="inlineStr">
        <is>
          <t>S007_EXCIPIENTS_HANDBOOK</t>
        </is>
      </c>
      <c r="I4604" t="inlineStr">
        <is>
          <t>handbook</t>
        </is>
      </c>
      <c r="J4604">
        <v>0.48</v>
      </c>
      <c r="K4604"/>
    </row>
    <row r="4605">
      <c r="A4605" t="inlineStr">
        <is>
          <t>POL_PGA</t>
        </is>
      </c>
      <c r="B4605" t="inlineStr">
        <is>
          <t>Tm_C</t>
        </is>
      </c>
      <c r="C4605">
        <v>225</v>
      </c>
      <c r="D4605" t="inlineStr">
        <is>
          <t>°C</t>
        </is>
      </c>
      <c r="E4605"/>
      <c r="F4605"/>
      <c r="G4605" t="inlineStr">
        <is>
          <t>grade/substitution dependent</t>
        </is>
      </c>
      <c r="H4605" t="inlineStr">
        <is>
          <t>S007_EXCIPIENTS_HANDBOOK</t>
        </is>
      </c>
      <c r="I4605" t="inlineStr">
        <is>
          <t>handbook</t>
        </is>
      </c>
      <c r="J4605">
        <v>0.48</v>
      </c>
      <c r="K4605"/>
    </row>
    <row r="4606">
      <c r="A4606" t="inlineStr">
        <is>
          <t>POL_PGA</t>
        </is>
      </c>
      <c r="B4606" t="inlineStr">
        <is>
          <t>charge_type</t>
        </is>
      </c>
      <c r="C4606" t="inlineStr">
        <is>
          <t>neutral</t>
        </is>
      </c>
      <c r="D4606"/>
      <c r="E4606"/>
      <c r="F4606"/>
      <c r="G4606"/>
      <c r="H4606" t="inlineStr">
        <is>
          <t>S007_EXCIPIENTS_HANDBOOK</t>
        </is>
      </c>
      <c r="I4606" t="inlineStr">
        <is>
          <t>curated</t>
        </is>
      </c>
      <c r="J4606">
        <v>0.75</v>
      </c>
      <c r="K4606"/>
    </row>
    <row r="4607">
      <c r="A4607" t="inlineStr">
        <is>
          <t>POL_PGA</t>
        </is>
      </c>
      <c r="B4607" t="inlineStr">
        <is>
          <t>formal_charge</t>
        </is>
      </c>
      <c r="C4607">
        <v>0</v>
      </c>
      <c r="D4607" t="inlineStr">
        <is>
          <t>e</t>
        </is>
      </c>
      <c r="E4607"/>
      <c r="F4607"/>
      <c r="G4607"/>
      <c r="H4607" t="inlineStr">
        <is>
          <t>S007_EXCIPIENTS_HANDBOOK</t>
        </is>
      </c>
      <c r="I4607" t="inlineStr">
        <is>
          <t>curated</t>
        </is>
      </c>
      <c r="J4607">
        <v>0.75</v>
      </c>
      <c r="K4607"/>
    </row>
    <row r="4608">
      <c r="A4608" t="inlineStr">
        <is>
          <t>POL_PGA</t>
        </is>
      </c>
      <c r="B4608" t="inlineStr">
        <is>
          <t>solubility_in_water</t>
        </is>
      </c>
      <c r="C4608" t="inlineStr">
        <is>
          <t>poor</t>
        </is>
      </c>
      <c r="D4608"/>
      <c r="E4608"/>
      <c r="F4608"/>
      <c r="G4608"/>
      <c r="H4608" t="inlineStr">
        <is>
          <t>S007_EXCIPIENTS_HANDBOOK</t>
        </is>
      </c>
      <c r="I4608" t="inlineStr">
        <is>
          <t>handbook</t>
        </is>
      </c>
      <c r="J4608">
        <v>0.55</v>
      </c>
      <c r="K4608"/>
    </row>
    <row r="4609">
      <c r="A4609" t="inlineStr">
        <is>
          <t>POL_PGA</t>
        </is>
      </c>
      <c r="B4609" t="inlineStr">
        <is>
          <t>solubility_in_ethanol</t>
        </is>
      </c>
      <c r="C4609" t="inlineStr">
        <is>
          <t>poor</t>
        </is>
      </c>
      <c r="D4609"/>
      <c r="E4609"/>
      <c r="F4609"/>
      <c r="G4609"/>
      <c r="H4609" t="inlineStr">
        <is>
          <t>S007_EXCIPIENTS_HANDBOOK</t>
        </is>
      </c>
      <c r="I4609" t="inlineStr">
        <is>
          <t>handbook</t>
        </is>
      </c>
      <c r="J4609">
        <v>0.55</v>
      </c>
      <c r="K4609"/>
    </row>
    <row r="4610">
      <c r="A4610" t="inlineStr">
        <is>
          <t>POL_PGA</t>
        </is>
      </c>
      <c r="B4610" t="inlineStr">
        <is>
          <t>solubility_in_acetone</t>
        </is>
      </c>
      <c r="C4610" t="inlineStr">
        <is>
          <t>poor</t>
        </is>
      </c>
      <c r="D4610"/>
      <c r="E4610"/>
      <c r="F4610"/>
      <c r="G4610"/>
      <c r="H4610" t="inlineStr">
        <is>
          <t>S007_EXCIPIENTS_HANDBOOK</t>
        </is>
      </c>
      <c r="I4610" t="inlineStr">
        <is>
          <t>handbook</t>
        </is>
      </c>
      <c r="J4610">
        <v>0.55</v>
      </c>
      <c r="K4610"/>
    </row>
    <row r="4611">
      <c r="A4611" t="inlineStr">
        <is>
          <t>POL_PGA</t>
        </is>
      </c>
      <c r="B4611" t="inlineStr">
        <is>
          <t>solubility_in_dcm</t>
        </is>
      </c>
      <c r="C4611" t="inlineStr">
        <is>
          <t>poor</t>
        </is>
      </c>
      <c r="D4611"/>
      <c r="E4611"/>
      <c r="F4611"/>
      <c r="G4611"/>
      <c r="H4611" t="inlineStr">
        <is>
          <t>S007_EXCIPIENTS_HANDBOOK</t>
        </is>
      </c>
      <c r="I4611" t="inlineStr">
        <is>
          <t>handbook</t>
        </is>
      </c>
      <c r="J4611">
        <v>0.55</v>
      </c>
      <c r="K4611"/>
    </row>
    <row r="4612">
      <c r="A4612" t="inlineStr">
        <is>
          <t>POL_PGA</t>
        </is>
      </c>
      <c r="B4612" t="inlineStr">
        <is>
          <t>biodegradability</t>
        </is>
      </c>
      <c r="C4612" t="inlineStr">
        <is>
          <t>yes</t>
        </is>
      </c>
      <c r="D4612"/>
      <c r="E4612"/>
      <c r="F4612"/>
      <c r="G4612"/>
      <c r="H4612" t="inlineStr">
        <is>
          <t>S014_AULTON</t>
        </is>
      </c>
      <c r="I4612" t="inlineStr">
        <is>
          <t>curated</t>
        </is>
      </c>
      <c r="J4612">
        <v>0.65</v>
      </c>
      <c r="K4612"/>
    </row>
    <row r="4613">
      <c r="A4613" t="inlineStr">
        <is>
          <t>POL_PGA</t>
        </is>
      </c>
      <c r="B4613" t="inlineStr">
        <is>
          <t>mucoadhesive_flag</t>
        </is>
      </c>
      <c r="C4613" t="inlineStr">
        <is>
          <t>no</t>
        </is>
      </c>
      <c r="D4613"/>
      <c r="E4613"/>
      <c r="F4613"/>
      <c r="G4613"/>
      <c r="H4613" t="inlineStr">
        <is>
          <t>S014_AULTON</t>
        </is>
      </c>
      <c r="I4613" t="inlineStr">
        <is>
          <t>curated</t>
        </is>
      </c>
      <c r="J4613">
        <v>0.65</v>
      </c>
      <c r="K4613"/>
    </row>
    <row r="4614">
      <c r="A4614" t="inlineStr">
        <is>
          <t>POL_PGA</t>
        </is>
      </c>
      <c r="B4614" t="inlineStr">
        <is>
          <t>coating_role</t>
        </is>
      </c>
      <c r="C4614" t="inlineStr">
        <is>
          <t>matrix polymer</t>
        </is>
      </c>
      <c r="D4614"/>
      <c r="E4614"/>
      <c r="F4614"/>
      <c r="G4614"/>
      <c r="H4614" t="inlineStr">
        <is>
          <t>S014_AULTON</t>
        </is>
      </c>
      <c r="I4614" t="inlineStr">
        <is>
          <t>curated</t>
        </is>
      </c>
      <c r="J4614">
        <v>0.6</v>
      </c>
      <c r="K4614"/>
    </row>
    <row r="4615">
      <c r="A4615" t="inlineStr">
        <is>
          <t>POL_PGA</t>
        </is>
      </c>
      <c r="B4615" t="inlineStr">
        <is>
          <t>stabilizer_role</t>
        </is>
      </c>
      <c r="C4615" t="inlineStr">
        <is>
          <t>no</t>
        </is>
      </c>
      <c r="D4615"/>
      <c r="E4615"/>
      <c r="F4615"/>
      <c r="G4615"/>
      <c r="H4615" t="inlineStr">
        <is>
          <t>S014_AULTON</t>
        </is>
      </c>
      <c r="I4615" t="inlineStr">
        <is>
          <t>curated</t>
        </is>
      </c>
      <c r="J4615">
        <v>0.6</v>
      </c>
      <c r="K4615"/>
    </row>
    <row r="4616">
      <c r="A4616" t="inlineStr">
        <is>
          <t>POL_PGA</t>
        </is>
      </c>
      <c r="B4616" t="inlineStr">
        <is>
          <t>route_suitability</t>
        </is>
      </c>
      <c r="C4616" t="inlineStr">
        <is>
          <t>polymeric/hybrid/coating/stabilizer systems; grade and route dependent</t>
        </is>
      </c>
      <c r="D4616"/>
      <c r="E4616"/>
      <c r="F4616"/>
      <c r="G4616"/>
      <c r="H4616" t="inlineStr">
        <is>
          <t>S008_FDA_IID</t>
        </is>
      </c>
      <c r="I4616" t="inlineStr">
        <is>
          <t>curated</t>
        </is>
      </c>
      <c r="J4616">
        <v>0.55</v>
      </c>
      <c r="K4616"/>
    </row>
    <row r="4617">
      <c r="A4617" t="inlineStr">
        <is>
          <t>POL_PGA</t>
        </is>
      </c>
      <c r="B4617" t="inlineStr">
        <is>
          <t>toxicity_notes</t>
        </is>
      </c>
      <c r="C4617" t="inlineStr">
        <is>
          <t>polymer grade, residual monomers/solvents, endotoxin and molecular weight distribution must be controlled</t>
        </is>
      </c>
      <c r="D4617"/>
      <c r="E4617"/>
      <c r="F4617"/>
      <c r="G4617"/>
      <c r="H4617" t="inlineStr">
        <is>
          <t>S007_EXCIPIENTS_HANDBOOK</t>
        </is>
      </c>
      <c r="I4617" t="inlineStr">
        <is>
          <t>curated</t>
        </is>
      </c>
      <c r="J4617">
        <v>0.65</v>
      </c>
      <c r="K4617"/>
    </row>
    <row r="4618">
      <c r="A4618" t="inlineStr">
        <is>
          <t>POL_PGA</t>
        </is>
      </c>
      <c r="B4618" t="inlineStr">
        <is>
          <t>Hansen_delta_D</t>
        </is>
      </c>
      <c r="C4618">
        <v>18.0</v>
      </c>
      <c r="D4618" t="inlineStr">
        <is>
          <t>MPa^0.5</t>
        </is>
      </c>
      <c r="E4618"/>
      <c r="F4618"/>
      <c r="G4618" t="inlineStr">
        <is>
          <t>heuristic group-contribution/nearest-neighbour</t>
        </is>
      </c>
      <c r="H4618" t="inlineStr">
        <is>
          <t>S013_EST_HSP_HEURISTIC</t>
        </is>
      </c>
      <c r="I4618" t="inlineStr">
        <is>
          <t>estimated</t>
        </is>
      </c>
      <c r="J4618">
        <v>0.35</v>
      </c>
      <c r="K4618" t="inlineStr">
        <is>
          <t>Provisional HSP for screening; replace with experimental/literature value before model lock.</t>
        </is>
      </c>
    </row>
    <row r="4619">
      <c r="A4619" t="inlineStr">
        <is>
          <t>POL_PGA</t>
        </is>
      </c>
      <c r="B4619" t="inlineStr">
        <is>
          <t>Hansen_delta_P</t>
        </is>
      </c>
      <c r="C4619">
        <v>8.0</v>
      </c>
      <c r="D4619" t="inlineStr">
        <is>
          <t>MPa^0.5</t>
        </is>
      </c>
      <c r="E4619"/>
      <c r="F4619"/>
      <c r="G4619" t="inlineStr">
        <is>
          <t>heuristic group-contribution/nearest-neighbour</t>
        </is>
      </c>
      <c r="H4619" t="inlineStr">
        <is>
          <t>S013_EST_HSP_HEURISTIC</t>
        </is>
      </c>
      <c r="I4619" t="inlineStr">
        <is>
          <t>estimated</t>
        </is>
      </c>
      <c r="J4619">
        <v>0.35</v>
      </c>
      <c r="K4619" t="inlineStr">
        <is>
          <t>Provisional HSP for screening; replace with experimental/literature value before model lock.</t>
        </is>
      </c>
    </row>
    <row r="4620">
      <c r="A4620" t="inlineStr">
        <is>
          <t>POL_PGA</t>
        </is>
      </c>
      <c r="B4620" t="inlineStr">
        <is>
          <t>Hansen_delta_H</t>
        </is>
      </c>
      <c r="C4620">
        <v>10.0</v>
      </c>
      <c r="D4620" t="inlineStr">
        <is>
          <t>MPa^0.5</t>
        </is>
      </c>
      <c r="E4620"/>
      <c r="F4620"/>
      <c r="G4620" t="inlineStr">
        <is>
          <t>heuristic group-contribution/nearest-neighbour</t>
        </is>
      </c>
      <c r="H4620" t="inlineStr">
        <is>
          <t>S013_EST_HSP_HEURISTIC</t>
        </is>
      </c>
      <c r="I4620" t="inlineStr">
        <is>
          <t>estimated</t>
        </is>
      </c>
      <c r="J4620">
        <v>0.35</v>
      </c>
      <c r="K4620" t="inlineStr">
        <is>
          <t>Provisional HSP for screening; replace with experimental/literature value before model lock.</t>
        </is>
      </c>
    </row>
    <row r="4621">
      <c r="A4621" t="inlineStr">
        <is>
          <t>POL_PGA</t>
        </is>
      </c>
      <c r="B4621" t="inlineStr">
        <is>
          <t>Hildebrand_delta_T</t>
        </is>
      </c>
      <c r="C4621">
        <v>22.09</v>
      </c>
      <c r="D4621" t="inlineStr">
        <is>
          <t>MPa^0.5</t>
        </is>
      </c>
      <c r="E4621"/>
      <c r="F4621"/>
      <c r="G4621" t="inlineStr">
        <is>
          <t>sqrt(deltaD^2+deltaP^2+deltaH^2)</t>
        </is>
      </c>
      <c r="H4621" t="inlineStr">
        <is>
          <t>S012_CALCULATED</t>
        </is>
      </c>
      <c r="I4621" t="inlineStr">
        <is>
          <t>calculated</t>
        </is>
      </c>
      <c r="J4621">
        <v>0.39999999999999997</v>
      </c>
      <c r="K4621" t="inlineStr">
        <is>
          <t>Derived from stored Hansen components.</t>
        </is>
      </c>
    </row>
    <row r="4622">
      <c r="A4622" t="inlineStr">
        <is>
          <t>POL_PGA</t>
        </is>
      </c>
      <c r="B4622" t="inlineStr">
        <is>
          <t>HSP_radius_R0</t>
        </is>
      </c>
      <c r="C4622">
        <v>9.0</v>
      </c>
      <c r="D4622" t="inlineStr">
        <is>
          <t>MPa^0.5</t>
        </is>
      </c>
      <c r="E4622"/>
      <c r="F4622"/>
      <c r="G4622" t="inlineStr">
        <is>
          <t>literature/heuristic solubility sphere</t>
        </is>
      </c>
      <c r="H4622" t="inlineStr">
        <is>
          <t>S013_EST_HSP_HEURISTIC</t>
        </is>
      </c>
      <c r="I4622" t="inlineStr">
        <is>
          <t>estimated</t>
        </is>
      </c>
      <c r="J4622">
        <v>0.35</v>
      </c>
      <c r="K4622" t="inlineStr">
        <is>
          <t>Screening radius only unless experimentally determined.</t>
        </is>
      </c>
    </row>
    <row r="4623">
      <c r="A4623" t="inlineStr">
        <is>
          <t>POL_PGA</t>
        </is>
      </c>
      <c r="B4623" t="inlineStr">
        <is>
          <t>repeat_unit_molar_volume</t>
        </is>
      </c>
      <c r="C4623">
        <v>48.33</v>
      </c>
      <c r="D4623" t="inlineStr">
        <is>
          <t>cm3/mol</t>
        </is>
      </c>
      <c r="E4623"/>
      <c r="F4623"/>
      <c r="G4623" t="inlineStr">
        <is>
          <t>repeat-unit MW / assumed density</t>
        </is>
      </c>
      <c r="H4623" t="inlineStr">
        <is>
          <t>S012_CALCULATED</t>
        </is>
      </c>
      <c r="I4623" t="inlineStr">
        <is>
          <t>estimated</t>
        </is>
      </c>
      <c r="J4623">
        <v>0.35</v>
      </c>
      <c r="K4623"/>
    </row>
    <row r="4624">
      <c r="A4624" t="inlineStr">
        <is>
          <t>POL_PEG_1000</t>
        </is>
      </c>
      <c r="B4624" t="inlineStr">
        <is>
          <t>repeat_unit_mw_g_mol</t>
        </is>
      </c>
      <c r="C4624">
        <v>44</v>
      </c>
      <c r="D4624" t="inlineStr">
        <is>
          <t>g/mol</t>
        </is>
      </c>
      <c r="E4624"/>
      <c r="F4624"/>
      <c r="G4624"/>
      <c r="H4624" t="inlineStr">
        <is>
          <t>S007_EXCIPIENTS_HANDBOOK</t>
        </is>
      </c>
      <c r="I4624" t="inlineStr">
        <is>
          <t>handbook</t>
        </is>
      </c>
      <c r="J4624">
        <v>0.65</v>
      </c>
      <c r="K4624"/>
    </row>
    <row r="4625">
      <c r="A4625" t="inlineStr">
        <is>
          <t>POL_PEG_1000</t>
        </is>
      </c>
      <c r="B4625" t="inlineStr">
        <is>
          <t>average_mw_g_mol</t>
        </is>
      </c>
      <c r="C4625">
        <v>1000</v>
      </c>
      <c r="D4625" t="inlineStr">
        <is>
          <t>g/mol</t>
        </is>
      </c>
      <c r="E4625"/>
      <c r="F4625"/>
      <c r="G4625" t="inlineStr">
        <is>
          <t>grade-dependent</t>
        </is>
      </c>
      <c r="H4625" t="inlineStr">
        <is>
          <t>S007_EXCIPIENTS_HANDBOOK</t>
        </is>
      </c>
      <c r="I4625" t="inlineStr">
        <is>
          <t>supplier-reported</t>
        </is>
      </c>
      <c r="J4625">
        <v>0.45</v>
      </c>
      <c r="K4625"/>
    </row>
    <row r="4626">
      <c r="A4626" t="inlineStr">
        <is>
          <t>POL_PEG_1000</t>
        </is>
      </c>
      <c r="B4626" t="inlineStr">
        <is>
          <t>Tg_C</t>
        </is>
      </c>
      <c r="C4626">
        <v>-60</v>
      </c>
      <c r="D4626" t="inlineStr">
        <is>
          <t>°C</t>
        </is>
      </c>
      <c r="E4626"/>
      <c r="F4626"/>
      <c r="G4626" t="inlineStr">
        <is>
          <t>grade/substitution dependent</t>
        </is>
      </c>
      <c r="H4626" t="inlineStr">
        <is>
          <t>S007_EXCIPIENTS_HANDBOOK</t>
        </is>
      </c>
      <c r="I4626" t="inlineStr">
        <is>
          <t>handbook</t>
        </is>
      </c>
      <c r="J4626">
        <v>0.48</v>
      </c>
      <c r="K4626"/>
    </row>
    <row r="4627">
      <c r="A4627" t="inlineStr">
        <is>
          <t>POL_PEG_1000</t>
        </is>
      </c>
      <c r="B4627" t="inlineStr">
        <is>
          <t>Tm_C</t>
        </is>
      </c>
      <c r="C4627">
        <v>37</v>
      </c>
      <c r="D4627" t="inlineStr">
        <is>
          <t>°C</t>
        </is>
      </c>
      <c r="E4627"/>
      <c r="F4627"/>
      <c r="G4627" t="inlineStr">
        <is>
          <t>grade/substitution dependent</t>
        </is>
      </c>
      <c r="H4627" t="inlineStr">
        <is>
          <t>S007_EXCIPIENTS_HANDBOOK</t>
        </is>
      </c>
      <c r="I4627" t="inlineStr">
        <is>
          <t>handbook</t>
        </is>
      </c>
      <c r="J4627">
        <v>0.48</v>
      </c>
      <c r="K4627"/>
    </row>
    <row r="4628">
      <c r="A4628" t="inlineStr">
        <is>
          <t>POL_PEG_1000</t>
        </is>
      </c>
      <c r="B4628" t="inlineStr">
        <is>
          <t>charge_type</t>
        </is>
      </c>
      <c r="C4628" t="inlineStr">
        <is>
          <t>neutral</t>
        </is>
      </c>
      <c r="D4628"/>
      <c r="E4628"/>
      <c r="F4628"/>
      <c r="G4628"/>
      <c r="H4628" t="inlineStr">
        <is>
          <t>S007_EXCIPIENTS_HANDBOOK</t>
        </is>
      </c>
      <c r="I4628" t="inlineStr">
        <is>
          <t>curated</t>
        </is>
      </c>
      <c r="J4628">
        <v>0.75</v>
      </c>
      <c r="K4628"/>
    </row>
    <row r="4629">
      <c r="A4629" t="inlineStr">
        <is>
          <t>POL_PEG_1000</t>
        </is>
      </c>
      <c r="B4629" t="inlineStr">
        <is>
          <t>formal_charge</t>
        </is>
      </c>
      <c r="C4629">
        <v>0</v>
      </c>
      <c r="D4629" t="inlineStr">
        <is>
          <t>e</t>
        </is>
      </c>
      <c r="E4629"/>
      <c r="F4629"/>
      <c r="G4629"/>
      <c r="H4629" t="inlineStr">
        <is>
          <t>S007_EXCIPIENTS_HANDBOOK</t>
        </is>
      </c>
      <c r="I4629" t="inlineStr">
        <is>
          <t>curated</t>
        </is>
      </c>
      <c r="J4629">
        <v>0.75</v>
      </c>
      <c r="K4629"/>
    </row>
    <row r="4630">
      <c r="A4630" t="inlineStr">
        <is>
          <t>POL_PEG_1000</t>
        </is>
      </c>
      <c r="B4630" t="inlineStr">
        <is>
          <t>solubility_in_water</t>
        </is>
      </c>
      <c r="C4630" t="inlineStr">
        <is>
          <t>high</t>
        </is>
      </c>
      <c r="D4630"/>
      <c r="E4630"/>
      <c r="F4630"/>
      <c r="G4630"/>
      <c r="H4630" t="inlineStr">
        <is>
          <t>S007_EXCIPIENTS_HANDBOOK</t>
        </is>
      </c>
      <c r="I4630" t="inlineStr">
        <is>
          <t>handbook</t>
        </is>
      </c>
      <c r="J4630">
        <v>0.55</v>
      </c>
      <c r="K4630"/>
    </row>
    <row r="4631">
      <c r="A4631" t="inlineStr">
        <is>
          <t>POL_PEG_1000</t>
        </is>
      </c>
      <c r="B4631" t="inlineStr">
        <is>
          <t>solubility_in_ethanol</t>
        </is>
      </c>
      <c r="C4631" t="inlineStr">
        <is>
          <t>soluble</t>
        </is>
      </c>
      <c r="D4631"/>
      <c r="E4631"/>
      <c r="F4631"/>
      <c r="G4631"/>
      <c r="H4631" t="inlineStr">
        <is>
          <t>S007_EXCIPIENTS_HANDBOOK</t>
        </is>
      </c>
      <c r="I4631" t="inlineStr">
        <is>
          <t>handbook</t>
        </is>
      </c>
      <c r="J4631">
        <v>0.55</v>
      </c>
      <c r="K4631"/>
    </row>
    <row r="4632">
      <c r="A4632" t="inlineStr">
        <is>
          <t>POL_PEG_1000</t>
        </is>
      </c>
      <c r="B4632" t="inlineStr">
        <is>
          <t>solubility_in_acetone</t>
        </is>
      </c>
      <c r="C4632" t="inlineStr">
        <is>
          <t>poor</t>
        </is>
      </c>
      <c r="D4632"/>
      <c r="E4632"/>
      <c r="F4632"/>
      <c r="G4632"/>
      <c r="H4632" t="inlineStr">
        <is>
          <t>S007_EXCIPIENTS_HANDBOOK</t>
        </is>
      </c>
      <c r="I4632" t="inlineStr">
        <is>
          <t>handbook</t>
        </is>
      </c>
      <c r="J4632">
        <v>0.55</v>
      </c>
      <c r="K4632"/>
    </row>
    <row r="4633">
      <c r="A4633" t="inlineStr">
        <is>
          <t>POL_PEG_1000</t>
        </is>
      </c>
      <c r="B4633" t="inlineStr">
        <is>
          <t>solubility_in_dcm</t>
        </is>
      </c>
      <c r="C4633" t="inlineStr">
        <is>
          <t>poor</t>
        </is>
      </c>
      <c r="D4633"/>
      <c r="E4633"/>
      <c r="F4633"/>
      <c r="G4633"/>
      <c r="H4633" t="inlineStr">
        <is>
          <t>S007_EXCIPIENTS_HANDBOOK</t>
        </is>
      </c>
      <c r="I4633" t="inlineStr">
        <is>
          <t>handbook</t>
        </is>
      </c>
      <c r="J4633">
        <v>0.55</v>
      </c>
      <c r="K4633"/>
    </row>
    <row r="4634">
      <c r="A4634" t="inlineStr">
        <is>
          <t>POL_PEG_1000</t>
        </is>
      </c>
      <c r="B4634" t="inlineStr">
        <is>
          <t>biodegradability</t>
        </is>
      </c>
      <c r="C4634" t="inlineStr">
        <is>
          <t>limited</t>
        </is>
      </c>
      <c r="D4634"/>
      <c r="E4634"/>
      <c r="F4634"/>
      <c r="G4634"/>
      <c r="H4634" t="inlineStr">
        <is>
          <t>S014_AULTON</t>
        </is>
      </c>
      <c r="I4634" t="inlineStr">
        <is>
          <t>curated</t>
        </is>
      </c>
      <c r="J4634">
        <v>0.65</v>
      </c>
      <c r="K4634"/>
    </row>
    <row r="4635">
      <c r="A4635" t="inlineStr">
        <is>
          <t>POL_PEG_1000</t>
        </is>
      </c>
      <c r="B4635" t="inlineStr">
        <is>
          <t>mucoadhesive_flag</t>
        </is>
      </c>
      <c r="C4635" t="inlineStr">
        <is>
          <t>no</t>
        </is>
      </c>
      <c r="D4635"/>
      <c r="E4635"/>
      <c r="F4635"/>
      <c r="G4635"/>
      <c r="H4635" t="inlineStr">
        <is>
          <t>S014_AULTON</t>
        </is>
      </c>
      <c r="I4635" t="inlineStr">
        <is>
          <t>curated</t>
        </is>
      </c>
      <c r="J4635">
        <v>0.65</v>
      </c>
      <c r="K4635"/>
    </row>
    <row r="4636">
      <c r="A4636" t="inlineStr">
        <is>
          <t>POL_PEG_1000</t>
        </is>
      </c>
      <c r="B4636" t="inlineStr">
        <is>
          <t>coating_role</t>
        </is>
      </c>
      <c r="C4636" t="inlineStr">
        <is>
          <t>plasticizer</t>
        </is>
      </c>
      <c r="D4636"/>
      <c r="E4636"/>
      <c r="F4636"/>
      <c r="G4636"/>
      <c r="H4636" t="inlineStr">
        <is>
          <t>S014_AULTON</t>
        </is>
      </c>
      <c r="I4636" t="inlineStr">
        <is>
          <t>curated</t>
        </is>
      </c>
      <c r="J4636">
        <v>0.6</v>
      </c>
      <c r="K4636"/>
    </row>
    <row r="4637">
      <c r="A4637" t="inlineStr">
        <is>
          <t>POL_PEG_1000</t>
        </is>
      </c>
      <c r="B4637" t="inlineStr">
        <is>
          <t>stabilizer_role</t>
        </is>
      </c>
      <c r="C4637" t="inlineStr">
        <is>
          <t>yes</t>
        </is>
      </c>
      <c r="D4637"/>
      <c r="E4637"/>
      <c r="F4637"/>
      <c r="G4637"/>
      <c r="H4637" t="inlineStr">
        <is>
          <t>S014_AULTON</t>
        </is>
      </c>
      <c r="I4637" t="inlineStr">
        <is>
          <t>curated</t>
        </is>
      </c>
      <c r="J4637">
        <v>0.6</v>
      </c>
      <c r="K4637"/>
    </row>
    <row r="4638">
      <c r="A4638" t="inlineStr">
        <is>
          <t>POL_PEG_1000</t>
        </is>
      </c>
      <c r="B4638" t="inlineStr">
        <is>
          <t>route_suitability</t>
        </is>
      </c>
      <c r="C4638" t="inlineStr">
        <is>
          <t>polymeric/hybrid/coating/stabilizer systems; grade and route dependent</t>
        </is>
      </c>
      <c r="D4638"/>
      <c r="E4638"/>
      <c r="F4638"/>
      <c r="G4638"/>
      <c r="H4638" t="inlineStr">
        <is>
          <t>S008_FDA_IID</t>
        </is>
      </c>
      <c r="I4638" t="inlineStr">
        <is>
          <t>curated</t>
        </is>
      </c>
      <c r="J4638">
        <v>0.55</v>
      </c>
      <c r="K4638"/>
    </row>
    <row r="4639">
      <c r="A4639" t="inlineStr">
        <is>
          <t>POL_PEG_1000</t>
        </is>
      </c>
      <c r="B4639" t="inlineStr">
        <is>
          <t>toxicity_notes</t>
        </is>
      </c>
      <c r="C4639" t="inlineStr">
        <is>
          <t>polymer grade, residual monomers/solvents, endotoxin and molecular weight distribution must be controlled</t>
        </is>
      </c>
      <c r="D4639"/>
      <c r="E4639"/>
      <c r="F4639"/>
      <c r="G4639"/>
      <c r="H4639" t="inlineStr">
        <is>
          <t>S007_EXCIPIENTS_HANDBOOK</t>
        </is>
      </c>
      <c r="I4639" t="inlineStr">
        <is>
          <t>curated</t>
        </is>
      </c>
      <c r="J4639">
        <v>0.65</v>
      </c>
      <c r="K4639"/>
    </row>
    <row r="4640">
      <c r="A4640" t="inlineStr">
        <is>
          <t>POL_PEG_1000</t>
        </is>
      </c>
      <c r="B4640" t="inlineStr">
        <is>
          <t>Hansen_delta_D</t>
        </is>
      </c>
      <c r="C4640">
        <v>18.0</v>
      </c>
      <c r="D4640" t="inlineStr">
        <is>
          <t>MPa^0.5</t>
        </is>
      </c>
      <c r="E4640"/>
      <c r="F4640"/>
      <c r="G4640" t="inlineStr">
        <is>
          <t>heuristic group-contribution/nearest-neighbour</t>
        </is>
      </c>
      <c r="H4640" t="inlineStr">
        <is>
          <t>S013_EST_HSP_HEURISTIC</t>
        </is>
      </c>
      <c r="I4640" t="inlineStr">
        <is>
          <t>estimated</t>
        </is>
      </c>
      <c r="J4640">
        <v>0.35</v>
      </c>
      <c r="K4640" t="inlineStr">
        <is>
          <t>Provisional HSP for screening; replace with experimental/literature value before model lock.</t>
        </is>
      </c>
    </row>
    <row r="4641">
      <c r="A4641" t="inlineStr">
        <is>
          <t>POL_PEG_1000</t>
        </is>
      </c>
      <c r="B4641" t="inlineStr">
        <is>
          <t>Hansen_delta_P</t>
        </is>
      </c>
      <c r="C4641">
        <v>8.0</v>
      </c>
      <c r="D4641" t="inlineStr">
        <is>
          <t>MPa^0.5</t>
        </is>
      </c>
      <c r="E4641"/>
      <c r="F4641"/>
      <c r="G4641" t="inlineStr">
        <is>
          <t>heuristic group-contribution/nearest-neighbour</t>
        </is>
      </c>
      <c r="H4641" t="inlineStr">
        <is>
          <t>S013_EST_HSP_HEURISTIC</t>
        </is>
      </c>
      <c r="I4641" t="inlineStr">
        <is>
          <t>estimated</t>
        </is>
      </c>
      <c r="J4641">
        <v>0.35</v>
      </c>
      <c r="K4641" t="inlineStr">
        <is>
          <t>Provisional HSP for screening; replace with experimental/literature value before model lock.</t>
        </is>
      </c>
    </row>
    <row r="4642">
      <c r="A4642" t="inlineStr">
        <is>
          <t>POL_PEG_1000</t>
        </is>
      </c>
      <c r="B4642" t="inlineStr">
        <is>
          <t>Hansen_delta_H</t>
        </is>
      </c>
      <c r="C4642">
        <v>10.0</v>
      </c>
      <c r="D4642" t="inlineStr">
        <is>
          <t>MPa^0.5</t>
        </is>
      </c>
      <c r="E4642"/>
      <c r="F4642"/>
      <c r="G4642" t="inlineStr">
        <is>
          <t>heuristic group-contribution/nearest-neighbour</t>
        </is>
      </c>
      <c r="H4642" t="inlineStr">
        <is>
          <t>S013_EST_HSP_HEURISTIC</t>
        </is>
      </c>
      <c r="I4642" t="inlineStr">
        <is>
          <t>estimated</t>
        </is>
      </c>
      <c r="J4642">
        <v>0.35</v>
      </c>
      <c r="K4642" t="inlineStr">
        <is>
          <t>Provisional HSP for screening; replace with experimental/literature value before model lock.</t>
        </is>
      </c>
    </row>
    <row r="4643">
      <c r="A4643" t="inlineStr">
        <is>
          <t>POL_PEG_1000</t>
        </is>
      </c>
      <c r="B4643" t="inlineStr">
        <is>
          <t>Hildebrand_delta_T</t>
        </is>
      </c>
      <c r="C4643">
        <v>22.09</v>
      </c>
      <c r="D4643" t="inlineStr">
        <is>
          <t>MPa^0.5</t>
        </is>
      </c>
      <c r="E4643"/>
      <c r="F4643"/>
      <c r="G4643" t="inlineStr">
        <is>
          <t>sqrt(deltaD^2+deltaP^2+deltaH^2)</t>
        </is>
      </c>
      <c r="H4643" t="inlineStr">
        <is>
          <t>S012_CALCULATED</t>
        </is>
      </c>
      <c r="I4643" t="inlineStr">
        <is>
          <t>calculated</t>
        </is>
      </c>
      <c r="J4643">
        <v>0.39999999999999997</v>
      </c>
      <c r="K4643" t="inlineStr">
        <is>
          <t>Derived from stored Hansen components.</t>
        </is>
      </c>
    </row>
    <row r="4644">
      <c r="A4644" t="inlineStr">
        <is>
          <t>POL_PEG_1000</t>
        </is>
      </c>
      <c r="B4644" t="inlineStr">
        <is>
          <t>HSP_radius_R0</t>
        </is>
      </c>
      <c r="C4644">
        <v>9.0</v>
      </c>
      <c r="D4644" t="inlineStr">
        <is>
          <t>MPa^0.5</t>
        </is>
      </c>
      <c r="E4644"/>
      <c r="F4644"/>
      <c r="G4644" t="inlineStr">
        <is>
          <t>literature/heuristic solubility sphere</t>
        </is>
      </c>
      <c r="H4644" t="inlineStr">
        <is>
          <t>S013_EST_HSP_HEURISTIC</t>
        </is>
      </c>
      <c r="I4644" t="inlineStr">
        <is>
          <t>estimated</t>
        </is>
      </c>
      <c r="J4644">
        <v>0.35</v>
      </c>
      <c r="K4644" t="inlineStr">
        <is>
          <t>Screening radius only unless experimentally determined.</t>
        </is>
      </c>
    </row>
    <row r="4645">
      <c r="A4645" t="inlineStr">
        <is>
          <t>POL_PEG_1000</t>
        </is>
      </c>
      <c r="B4645" t="inlineStr">
        <is>
          <t>repeat_unit_molar_volume</t>
        </is>
      </c>
      <c r="C4645">
        <v>36.67</v>
      </c>
      <c r="D4645" t="inlineStr">
        <is>
          <t>cm3/mol</t>
        </is>
      </c>
      <c r="E4645"/>
      <c r="F4645"/>
      <c r="G4645" t="inlineStr">
        <is>
          <t>repeat-unit MW / assumed density</t>
        </is>
      </c>
      <c r="H4645" t="inlineStr">
        <is>
          <t>S012_CALCULATED</t>
        </is>
      </c>
      <c r="I4645" t="inlineStr">
        <is>
          <t>estimated</t>
        </is>
      </c>
      <c r="J4645">
        <v>0.35</v>
      </c>
      <c r="K4645"/>
    </row>
    <row r="4646">
      <c r="A4646" t="inlineStr">
        <is>
          <t>POL_PEG_2000</t>
        </is>
      </c>
      <c r="B4646" t="inlineStr">
        <is>
          <t>repeat_unit_mw_g_mol</t>
        </is>
      </c>
      <c r="C4646">
        <v>44</v>
      </c>
      <c r="D4646" t="inlineStr">
        <is>
          <t>g/mol</t>
        </is>
      </c>
      <c r="E4646"/>
      <c r="F4646"/>
      <c r="G4646"/>
      <c r="H4646" t="inlineStr">
        <is>
          <t>S007_EXCIPIENTS_HANDBOOK</t>
        </is>
      </c>
      <c r="I4646" t="inlineStr">
        <is>
          <t>handbook</t>
        </is>
      </c>
      <c r="J4646">
        <v>0.65</v>
      </c>
      <c r="K4646"/>
    </row>
    <row r="4647">
      <c r="A4647" t="inlineStr">
        <is>
          <t>POL_PEG_2000</t>
        </is>
      </c>
      <c r="B4647" t="inlineStr">
        <is>
          <t>average_mw_g_mol</t>
        </is>
      </c>
      <c r="C4647">
        <v>2000</v>
      </c>
      <c r="D4647" t="inlineStr">
        <is>
          <t>g/mol</t>
        </is>
      </c>
      <c r="E4647"/>
      <c r="F4647"/>
      <c r="G4647" t="inlineStr">
        <is>
          <t>grade-dependent</t>
        </is>
      </c>
      <c r="H4647" t="inlineStr">
        <is>
          <t>S007_EXCIPIENTS_HANDBOOK</t>
        </is>
      </c>
      <c r="I4647" t="inlineStr">
        <is>
          <t>supplier-reported</t>
        </is>
      </c>
      <c r="J4647">
        <v>0.45</v>
      </c>
      <c r="K4647"/>
    </row>
    <row r="4648">
      <c r="A4648" t="inlineStr">
        <is>
          <t>POL_PEG_2000</t>
        </is>
      </c>
      <c r="B4648" t="inlineStr">
        <is>
          <t>Tg_C</t>
        </is>
      </c>
      <c r="C4648">
        <v>-60</v>
      </c>
      <c r="D4648" t="inlineStr">
        <is>
          <t>°C</t>
        </is>
      </c>
      <c r="E4648"/>
      <c r="F4648"/>
      <c r="G4648" t="inlineStr">
        <is>
          <t>grade/substitution dependent</t>
        </is>
      </c>
      <c r="H4648" t="inlineStr">
        <is>
          <t>S007_EXCIPIENTS_HANDBOOK</t>
        </is>
      </c>
      <c r="I4648" t="inlineStr">
        <is>
          <t>handbook</t>
        </is>
      </c>
      <c r="J4648">
        <v>0.48</v>
      </c>
      <c r="K4648"/>
    </row>
    <row r="4649">
      <c r="A4649" t="inlineStr">
        <is>
          <t>POL_PEG_2000</t>
        </is>
      </c>
      <c r="B4649" t="inlineStr">
        <is>
          <t>Tm_C</t>
        </is>
      </c>
      <c r="C4649">
        <v>50</v>
      </c>
      <c r="D4649" t="inlineStr">
        <is>
          <t>°C</t>
        </is>
      </c>
      <c r="E4649"/>
      <c r="F4649"/>
      <c r="G4649" t="inlineStr">
        <is>
          <t>grade/substitution dependent</t>
        </is>
      </c>
      <c r="H4649" t="inlineStr">
        <is>
          <t>S007_EXCIPIENTS_HANDBOOK</t>
        </is>
      </c>
      <c r="I4649" t="inlineStr">
        <is>
          <t>handbook</t>
        </is>
      </c>
      <c r="J4649">
        <v>0.48</v>
      </c>
      <c r="K4649"/>
    </row>
    <row r="4650">
      <c r="A4650" t="inlineStr">
        <is>
          <t>POL_PEG_2000</t>
        </is>
      </c>
      <c r="B4650" t="inlineStr">
        <is>
          <t>charge_type</t>
        </is>
      </c>
      <c r="C4650" t="inlineStr">
        <is>
          <t>neutral</t>
        </is>
      </c>
      <c r="D4650"/>
      <c r="E4650"/>
      <c r="F4650"/>
      <c r="G4650"/>
      <c r="H4650" t="inlineStr">
        <is>
          <t>S007_EXCIPIENTS_HANDBOOK</t>
        </is>
      </c>
      <c r="I4650" t="inlineStr">
        <is>
          <t>curated</t>
        </is>
      </c>
      <c r="J4650">
        <v>0.75</v>
      </c>
      <c r="K4650"/>
    </row>
    <row r="4651">
      <c r="A4651" t="inlineStr">
        <is>
          <t>POL_PEG_2000</t>
        </is>
      </c>
      <c r="B4651" t="inlineStr">
        <is>
          <t>formal_charge</t>
        </is>
      </c>
      <c r="C4651">
        <v>0</v>
      </c>
      <c r="D4651" t="inlineStr">
        <is>
          <t>e</t>
        </is>
      </c>
      <c r="E4651"/>
      <c r="F4651"/>
      <c r="G4651"/>
      <c r="H4651" t="inlineStr">
        <is>
          <t>S007_EXCIPIENTS_HANDBOOK</t>
        </is>
      </c>
      <c r="I4651" t="inlineStr">
        <is>
          <t>curated</t>
        </is>
      </c>
      <c r="J4651">
        <v>0.75</v>
      </c>
      <c r="K4651"/>
    </row>
    <row r="4652">
      <c r="A4652" t="inlineStr">
        <is>
          <t>POL_PEG_2000</t>
        </is>
      </c>
      <c r="B4652" t="inlineStr">
        <is>
          <t>solubility_in_water</t>
        </is>
      </c>
      <c r="C4652" t="inlineStr">
        <is>
          <t>high</t>
        </is>
      </c>
      <c r="D4652"/>
      <c r="E4652"/>
      <c r="F4652"/>
      <c r="G4652"/>
      <c r="H4652" t="inlineStr">
        <is>
          <t>S007_EXCIPIENTS_HANDBOOK</t>
        </is>
      </c>
      <c r="I4652" t="inlineStr">
        <is>
          <t>handbook</t>
        </is>
      </c>
      <c r="J4652">
        <v>0.55</v>
      </c>
      <c r="K4652"/>
    </row>
    <row r="4653">
      <c r="A4653" t="inlineStr">
        <is>
          <t>POL_PEG_2000</t>
        </is>
      </c>
      <c r="B4653" t="inlineStr">
        <is>
          <t>solubility_in_ethanol</t>
        </is>
      </c>
      <c r="C4653" t="inlineStr">
        <is>
          <t>soluble</t>
        </is>
      </c>
      <c r="D4653"/>
      <c r="E4653"/>
      <c r="F4653"/>
      <c r="G4653"/>
      <c r="H4653" t="inlineStr">
        <is>
          <t>S007_EXCIPIENTS_HANDBOOK</t>
        </is>
      </c>
      <c r="I4653" t="inlineStr">
        <is>
          <t>handbook</t>
        </is>
      </c>
      <c r="J4653">
        <v>0.55</v>
      </c>
      <c r="K4653"/>
    </row>
    <row r="4654">
      <c r="A4654" t="inlineStr">
        <is>
          <t>POL_PEG_2000</t>
        </is>
      </c>
      <c r="B4654" t="inlineStr">
        <is>
          <t>solubility_in_acetone</t>
        </is>
      </c>
      <c r="C4654" t="inlineStr">
        <is>
          <t>poor</t>
        </is>
      </c>
      <c r="D4654"/>
      <c r="E4654"/>
      <c r="F4654"/>
      <c r="G4654"/>
      <c r="H4654" t="inlineStr">
        <is>
          <t>S007_EXCIPIENTS_HANDBOOK</t>
        </is>
      </c>
      <c r="I4654" t="inlineStr">
        <is>
          <t>handbook</t>
        </is>
      </c>
      <c r="J4654">
        <v>0.55</v>
      </c>
      <c r="K4654"/>
    </row>
    <row r="4655">
      <c r="A4655" t="inlineStr">
        <is>
          <t>POL_PEG_2000</t>
        </is>
      </c>
      <c r="B4655" t="inlineStr">
        <is>
          <t>solubility_in_dcm</t>
        </is>
      </c>
      <c r="C4655" t="inlineStr">
        <is>
          <t>poor</t>
        </is>
      </c>
      <c r="D4655"/>
      <c r="E4655"/>
      <c r="F4655"/>
      <c r="G4655"/>
      <c r="H4655" t="inlineStr">
        <is>
          <t>S007_EXCIPIENTS_HANDBOOK</t>
        </is>
      </c>
      <c r="I4655" t="inlineStr">
        <is>
          <t>handbook</t>
        </is>
      </c>
      <c r="J4655">
        <v>0.55</v>
      </c>
      <c r="K4655"/>
    </row>
    <row r="4656">
      <c r="A4656" t="inlineStr">
        <is>
          <t>POL_PEG_2000</t>
        </is>
      </c>
      <c r="B4656" t="inlineStr">
        <is>
          <t>biodegradability</t>
        </is>
      </c>
      <c r="C4656" t="inlineStr">
        <is>
          <t>limited</t>
        </is>
      </c>
      <c r="D4656"/>
      <c r="E4656"/>
      <c r="F4656"/>
      <c r="G4656"/>
      <c r="H4656" t="inlineStr">
        <is>
          <t>S014_AULTON</t>
        </is>
      </c>
      <c r="I4656" t="inlineStr">
        <is>
          <t>curated</t>
        </is>
      </c>
      <c r="J4656">
        <v>0.65</v>
      </c>
      <c r="K4656"/>
    </row>
    <row r="4657">
      <c r="A4657" t="inlineStr">
        <is>
          <t>POL_PEG_2000</t>
        </is>
      </c>
      <c r="B4657" t="inlineStr">
        <is>
          <t>mucoadhesive_flag</t>
        </is>
      </c>
      <c r="C4657" t="inlineStr">
        <is>
          <t>no</t>
        </is>
      </c>
      <c r="D4657"/>
      <c r="E4657"/>
      <c r="F4657"/>
      <c r="G4657"/>
      <c r="H4657" t="inlineStr">
        <is>
          <t>S014_AULTON</t>
        </is>
      </c>
      <c r="I4657" t="inlineStr">
        <is>
          <t>curated</t>
        </is>
      </c>
      <c r="J4657">
        <v>0.65</v>
      </c>
      <c r="K4657"/>
    </row>
    <row r="4658">
      <c r="A4658" t="inlineStr">
        <is>
          <t>POL_PEG_2000</t>
        </is>
      </c>
      <c r="B4658" t="inlineStr">
        <is>
          <t>coating_role</t>
        </is>
      </c>
      <c r="C4658" t="inlineStr">
        <is>
          <t>plasticizer</t>
        </is>
      </c>
      <c r="D4658"/>
      <c r="E4658"/>
      <c r="F4658"/>
      <c r="G4658"/>
      <c r="H4658" t="inlineStr">
        <is>
          <t>S014_AULTON</t>
        </is>
      </c>
      <c r="I4658" t="inlineStr">
        <is>
          <t>curated</t>
        </is>
      </c>
      <c r="J4658">
        <v>0.6</v>
      </c>
      <c r="K4658"/>
    </row>
    <row r="4659">
      <c r="A4659" t="inlineStr">
        <is>
          <t>POL_PEG_2000</t>
        </is>
      </c>
      <c r="B4659" t="inlineStr">
        <is>
          <t>stabilizer_role</t>
        </is>
      </c>
      <c r="C4659" t="inlineStr">
        <is>
          <t>yes</t>
        </is>
      </c>
      <c r="D4659"/>
      <c r="E4659"/>
      <c r="F4659"/>
      <c r="G4659"/>
      <c r="H4659" t="inlineStr">
        <is>
          <t>S014_AULTON</t>
        </is>
      </c>
      <c r="I4659" t="inlineStr">
        <is>
          <t>curated</t>
        </is>
      </c>
      <c r="J4659">
        <v>0.6</v>
      </c>
      <c r="K4659"/>
    </row>
    <row r="4660">
      <c r="A4660" t="inlineStr">
        <is>
          <t>POL_PEG_2000</t>
        </is>
      </c>
      <c r="B4660" t="inlineStr">
        <is>
          <t>route_suitability</t>
        </is>
      </c>
      <c r="C4660" t="inlineStr">
        <is>
          <t>polymeric/hybrid/coating/stabilizer systems; grade and route dependent</t>
        </is>
      </c>
      <c r="D4660"/>
      <c r="E4660"/>
      <c r="F4660"/>
      <c r="G4660"/>
      <c r="H4660" t="inlineStr">
        <is>
          <t>S008_FDA_IID</t>
        </is>
      </c>
      <c r="I4660" t="inlineStr">
        <is>
          <t>curated</t>
        </is>
      </c>
      <c r="J4660">
        <v>0.55</v>
      </c>
      <c r="K4660"/>
    </row>
    <row r="4661">
      <c r="A4661" t="inlineStr">
        <is>
          <t>POL_PEG_2000</t>
        </is>
      </c>
      <c r="B4661" t="inlineStr">
        <is>
          <t>toxicity_notes</t>
        </is>
      </c>
      <c r="C4661" t="inlineStr">
        <is>
          <t>polymer grade, residual monomers/solvents, endotoxin and molecular weight distribution must be controlled</t>
        </is>
      </c>
      <c r="D4661"/>
      <c r="E4661"/>
      <c r="F4661"/>
      <c r="G4661"/>
      <c r="H4661" t="inlineStr">
        <is>
          <t>S007_EXCIPIENTS_HANDBOOK</t>
        </is>
      </c>
      <c r="I4661" t="inlineStr">
        <is>
          <t>curated</t>
        </is>
      </c>
      <c r="J4661">
        <v>0.65</v>
      </c>
      <c r="K4661"/>
    </row>
    <row r="4662">
      <c r="A4662" t="inlineStr">
        <is>
          <t>POL_PEG_2000</t>
        </is>
      </c>
      <c r="B4662" t="inlineStr">
        <is>
          <t>Hansen_delta_D</t>
        </is>
      </c>
      <c r="C4662">
        <v>18.0</v>
      </c>
      <c r="D4662" t="inlineStr">
        <is>
          <t>MPa^0.5</t>
        </is>
      </c>
      <c r="E4662"/>
      <c r="F4662"/>
      <c r="G4662" t="inlineStr">
        <is>
          <t>heuristic group-contribution/nearest-neighbour</t>
        </is>
      </c>
      <c r="H4662" t="inlineStr">
        <is>
          <t>S013_EST_HSP_HEURISTIC</t>
        </is>
      </c>
      <c r="I4662" t="inlineStr">
        <is>
          <t>estimated</t>
        </is>
      </c>
      <c r="J4662">
        <v>0.35</v>
      </c>
      <c r="K4662" t="inlineStr">
        <is>
          <t>Provisional HSP for screening; replace with experimental/literature value before model lock.</t>
        </is>
      </c>
    </row>
    <row r="4663">
      <c r="A4663" t="inlineStr">
        <is>
          <t>POL_PEG_2000</t>
        </is>
      </c>
      <c r="B4663" t="inlineStr">
        <is>
          <t>Hansen_delta_P</t>
        </is>
      </c>
      <c r="C4663">
        <v>8.0</v>
      </c>
      <c r="D4663" t="inlineStr">
        <is>
          <t>MPa^0.5</t>
        </is>
      </c>
      <c r="E4663"/>
      <c r="F4663"/>
      <c r="G4663" t="inlineStr">
        <is>
          <t>heuristic group-contribution/nearest-neighbour</t>
        </is>
      </c>
      <c r="H4663" t="inlineStr">
        <is>
          <t>S013_EST_HSP_HEURISTIC</t>
        </is>
      </c>
      <c r="I4663" t="inlineStr">
        <is>
          <t>estimated</t>
        </is>
      </c>
      <c r="J4663">
        <v>0.35</v>
      </c>
      <c r="K4663" t="inlineStr">
        <is>
          <t>Provisional HSP for screening; replace with experimental/literature value before model lock.</t>
        </is>
      </c>
    </row>
    <row r="4664">
      <c r="A4664" t="inlineStr">
        <is>
          <t>POL_PEG_2000</t>
        </is>
      </c>
      <c r="B4664" t="inlineStr">
        <is>
          <t>Hansen_delta_H</t>
        </is>
      </c>
      <c r="C4664">
        <v>10.0</v>
      </c>
      <c r="D4664" t="inlineStr">
        <is>
          <t>MPa^0.5</t>
        </is>
      </c>
      <c r="E4664"/>
      <c r="F4664"/>
      <c r="G4664" t="inlineStr">
        <is>
          <t>heuristic group-contribution/nearest-neighbour</t>
        </is>
      </c>
      <c r="H4664" t="inlineStr">
        <is>
          <t>S013_EST_HSP_HEURISTIC</t>
        </is>
      </c>
      <c r="I4664" t="inlineStr">
        <is>
          <t>estimated</t>
        </is>
      </c>
      <c r="J4664">
        <v>0.35</v>
      </c>
      <c r="K4664" t="inlineStr">
        <is>
          <t>Provisional HSP for screening; replace with experimental/literature value before model lock.</t>
        </is>
      </c>
    </row>
    <row r="4665">
      <c r="A4665" t="inlineStr">
        <is>
          <t>POL_PEG_2000</t>
        </is>
      </c>
      <c r="B4665" t="inlineStr">
        <is>
          <t>Hildebrand_delta_T</t>
        </is>
      </c>
      <c r="C4665">
        <v>22.09</v>
      </c>
      <c r="D4665" t="inlineStr">
        <is>
          <t>MPa^0.5</t>
        </is>
      </c>
      <c r="E4665"/>
      <c r="F4665"/>
      <c r="G4665" t="inlineStr">
        <is>
          <t>sqrt(deltaD^2+deltaP^2+deltaH^2)</t>
        </is>
      </c>
      <c r="H4665" t="inlineStr">
        <is>
          <t>S012_CALCULATED</t>
        </is>
      </c>
      <c r="I4665" t="inlineStr">
        <is>
          <t>calculated</t>
        </is>
      </c>
      <c r="J4665">
        <v>0.39999999999999997</v>
      </c>
      <c r="K4665" t="inlineStr">
        <is>
          <t>Derived from stored Hansen components.</t>
        </is>
      </c>
    </row>
    <row r="4666">
      <c r="A4666" t="inlineStr">
        <is>
          <t>POL_PEG_2000</t>
        </is>
      </c>
      <c r="B4666" t="inlineStr">
        <is>
          <t>HSP_radius_R0</t>
        </is>
      </c>
      <c r="C4666">
        <v>9.0</v>
      </c>
      <c r="D4666" t="inlineStr">
        <is>
          <t>MPa^0.5</t>
        </is>
      </c>
      <c r="E4666"/>
      <c r="F4666"/>
      <c r="G4666" t="inlineStr">
        <is>
          <t>literature/heuristic solubility sphere</t>
        </is>
      </c>
      <c r="H4666" t="inlineStr">
        <is>
          <t>S013_EST_HSP_HEURISTIC</t>
        </is>
      </c>
      <c r="I4666" t="inlineStr">
        <is>
          <t>estimated</t>
        </is>
      </c>
      <c r="J4666">
        <v>0.35</v>
      </c>
      <c r="K4666" t="inlineStr">
        <is>
          <t>Screening radius only unless experimentally determined.</t>
        </is>
      </c>
    </row>
    <row r="4667">
      <c r="A4667" t="inlineStr">
        <is>
          <t>POL_PEG_2000</t>
        </is>
      </c>
      <c r="B4667" t="inlineStr">
        <is>
          <t>repeat_unit_molar_volume</t>
        </is>
      </c>
      <c r="C4667">
        <v>36.67</v>
      </c>
      <c r="D4667" t="inlineStr">
        <is>
          <t>cm3/mol</t>
        </is>
      </c>
      <c r="E4667"/>
      <c r="F4667"/>
      <c r="G4667" t="inlineStr">
        <is>
          <t>repeat-unit MW / assumed density</t>
        </is>
      </c>
      <c r="H4667" t="inlineStr">
        <is>
          <t>S012_CALCULATED</t>
        </is>
      </c>
      <c r="I4667" t="inlineStr">
        <is>
          <t>estimated</t>
        </is>
      </c>
      <c r="J4667">
        <v>0.35</v>
      </c>
      <c r="K4667"/>
    </row>
    <row r="4668">
      <c r="A4668" t="inlineStr">
        <is>
          <t>POL_PEG_5000</t>
        </is>
      </c>
      <c r="B4668" t="inlineStr">
        <is>
          <t>repeat_unit_mw_g_mol</t>
        </is>
      </c>
      <c r="C4668">
        <v>44</v>
      </c>
      <c r="D4668" t="inlineStr">
        <is>
          <t>g/mol</t>
        </is>
      </c>
      <c r="E4668"/>
      <c r="F4668"/>
      <c r="G4668"/>
      <c r="H4668" t="inlineStr">
        <is>
          <t>S007_EXCIPIENTS_HANDBOOK</t>
        </is>
      </c>
      <c r="I4668" t="inlineStr">
        <is>
          <t>handbook</t>
        </is>
      </c>
      <c r="J4668">
        <v>0.65</v>
      </c>
      <c r="K4668"/>
    </row>
    <row r="4669">
      <c r="A4669" t="inlineStr">
        <is>
          <t>POL_PEG_5000</t>
        </is>
      </c>
      <c r="B4669" t="inlineStr">
        <is>
          <t>average_mw_g_mol</t>
        </is>
      </c>
      <c r="C4669">
        <v>5000</v>
      </c>
      <c r="D4669" t="inlineStr">
        <is>
          <t>g/mol</t>
        </is>
      </c>
      <c r="E4669"/>
      <c r="F4669"/>
      <c r="G4669" t="inlineStr">
        <is>
          <t>grade-dependent</t>
        </is>
      </c>
      <c r="H4669" t="inlineStr">
        <is>
          <t>S007_EXCIPIENTS_HANDBOOK</t>
        </is>
      </c>
      <c r="I4669" t="inlineStr">
        <is>
          <t>supplier-reported</t>
        </is>
      </c>
      <c r="J4669">
        <v>0.45</v>
      </c>
      <c r="K4669"/>
    </row>
    <row r="4670">
      <c r="A4670" t="inlineStr">
        <is>
          <t>POL_PEG_5000</t>
        </is>
      </c>
      <c r="B4670" t="inlineStr">
        <is>
          <t>Tg_C</t>
        </is>
      </c>
      <c r="C4670">
        <v>-60</v>
      </c>
      <c r="D4670" t="inlineStr">
        <is>
          <t>°C</t>
        </is>
      </c>
      <c r="E4670"/>
      <c r="F4670"/>
      <c r="G4670" t="inlineStr">
        <is>
          <t>grade/substitution dependent</t>
        </is>
      </c>
      <c r="H4670" t="inlineStr">
        <is>
          <t>S007_EXCIPIENTS_HANDBOOK</t>
        </is>
      </c>
      <c r="I4670" t="inlineStr">
        <is>
          <t>handbook</t>
        </is>
      </c>
      <c r="J4670">
        <v>0.48</v>
      </c>
      <c r="K4670"/>
    </row>
    <row r="4671">
      <c r="A4671" t="inlineStr">
        <is>
          <t>POL_PEG_5000</t>
        </is>
      </c>
      <c r="B4671" t="inlineStr">
        <is>
          <t>Tm_C</t>
        </is>
      </c>
      <c r="C4671">
        <v>60</v>
      </c>
      <c r="D4671" t="inlineStr">
        <is>
          <t>°C</t>
        </is>
      </c>
      <c r="E4671"/>
      <c r="F4671"/>
      <c r="G4671" t="inlineStr">
        <is>
          <t>grade/substitution dependent</t>
        </is>
      </c>
      <c r="H4671" t="inlineStr">
        <is>
          <t>S007_EXCIPIENTS_HANDBOOK</t>
        </is>
      </c>
      <c r="I4671" t="inlineStr">
        <is>
          <t>handbook</t>
        </is>
      </c>
      <c r="J4671">
        <v>0.48</v>
      </c>
      <c r="K4671"/>
    </row>
    <row r="4672">
      <c r="A4672" t="inlineStr">
        <is>
          <t>POL_PEG_5000</t>
        </is>
      </c>
      <c r="B4672" t="inlineStr">
        <is>
          <t>charge_type</t>
        </is>
      </c>
      <c r="C4672" t="inlineStr">
        <is>
          <t>neutral</t>
        </is>
      </c>
      <c r="D4672"/>
      <c r="E4672"/>
      <c r="F4672"/>
      <c r="G4672"/>
      <c r="H4672" t="inlineStr">
        <is>
          <t>S007_EXCIPIENTS_HANDBOOK</t>
        </is>
      </c>
      <c r="I4672" t="inlineStr">
        <is>
          <t>curated</t>
        </is>
      </c>
      <c r="J4672">
        <v>0.75</v>
      </c>
      <c r="K4672"/>
    </row>
    <row r="4673">
      <c r="A4673" t="inlineStr">
        <is>
          <t>POL_PEG_5000</t>
        </is>
      </c>
      <c r="B4673" t="inlineStr">
        <is>
          <t>formal_charge</t>
        </is>
      </c>
      <c r="C4673">
        <v>0</v>
      </c>
      <c r="D4673" t="inlineStr">
        <is>
          <t>e</t>
        </is>
      </c>
      <c r="E4673"/>
      <c r="F4673"/>
      <c r="G4673"/>
      <c r="H4673" t="inlineStr">
        <is>
          <t>S007_EXCIPIENTS_HANDBOOK</t>
        </is>
      </c>
      <c r="I4673" t="inlineStr">
        <is>
          <t>curated</t>
        </is>
      </c>
      <c r="J4673">
        <v>0.75</v>
      </c>
      <c r="K4673"/>
    </row>
    <row r="4674">
      <c r="A4674" t="inlineStr">
        <is>
          <t>POL_PEG_5000</t>
        </is>
      </c>
      <c r="B4674" t="inlineStr">
        <is>
          <t>solubility_in_water</t>
        </is>
      </c>
      <c r="C4674" t="inlineStr">
        <is>
          <t>high</t>
        </is>
      </c>
      <c r="D4674"/>
      <c r="E4674"/>
      <c r="F4674"/>
      <c r="G4674"/>
      <c r="H4674" t="inlineStr">
        <is>
          <t>S007_EXCIPIENTS_HANDBOOK</t>
        </is>
      </c>
      <c r="I4674" t="inlineStr">
        <is>
          <t>handbook</t>
        </is>
      </c>
      <c r="J4674">
        <v>0.55</v>
      </c>
      <c r="K4674"/>
    </row>
    <row r="4675">
      <c r="A4675" t="inlineStr">
        <is>
          <t>POL_PEG_5000</t>
        </is>
      </c>
      <c r="B4675" t="inlineStr">
        <is>
          <t>solubility_in_ethanol</t>
        </is>
      </c>
      <c r="C4675" t="inlineStr">
        <is>
          <t>soluble</t>
        </is>
      </c>
      <c r="D4675"/>
      <c r="E4675"/>
      <c r="F4675"/>
      <c r="G4675"/>
      <c r="H4675" t="inlineStr">
        <is>
          <t>S007_EXCIPIENTS_HANDBOOK</t>
        </is>
      </c>
      <c r="I4675" t="inlineStr">
        <is>
          <t>handbook</t>
        </is>
      </c>
      <c r="J4675">
        <v>0.55</v>
      </c>
      <c r="K4675"/>
    </row>
    <row r="4676">
      <c r="A4676" t="inlineStr">
        <is>
          <t>POL_PEG_5000</t>
        </is>
      </c>
      <c r="B4676" t="inlineStr">
        <is>
          <t>solubility_in_acetone</t>
        </is>
      </c>
      <c r="C4676" t="inlineStr">
        <is>
          <t>poor</t>
        </is>
      </c>
      <c r="D4676"/>
      <c r="E4676"/>
      <c r="F4676"/>
      <c r="G4676"/>
      <c r="H4676" t="inlineStr">
        <is>
          <t>S007_EXCIPIENTS_HANDBOOK</t>
        </is>
      </c>
      <c r="I4676" t="inlineStr">
        <is>
          <t>handbook</t>
        </is>
      </c>
      <c r="J4676">
        <v>0.55</v>
      </c>
      <c r="K4676"/>
    </row>
    <row r="4677">
      <c r="A4677" t="inlineStr">
        <is>
          <t>POL_PEG_5000</t>
        </is>
      </c>
      <c r="B4677" t="inlineStr">
        <is>
          <t>solubility_in_dcm</t>
        </is>
      </c>
      <c r="C4677" t="inlineStr">
        <is>
          <t>poor</t>
        </is>
      </c>
      <c r="D4677"/>
      <c r="E4677"/>
      <c r="F4677"/>
      <c r="G4677"/>
      <c r="H4677" t="inlineStr">
        <is>
          <t>S007_EXCIPIENTS_HANDBOOK</t>
        </is>
      </c>
      <c r="I4677" t="inlineStr">
        <is>
          <t>handbook</t>
        </is>
      </c>
      <c r="J4677">
        <v>0.55</v>
      </c>
      <c r="K4677"/>
    </row>
    <row r="4678">
      <c r="A4678" t="inlineStr">
        <is>
          <t>POL_PEG_5000</t>
        </is>
      </c>
      <c r="B4678" t="inlineStr">
        <is>
          <t>biodegradability</t>
        </is>
      </c>
      <c r="C4678" t="inlineStr">
        <is>
          <t>limited</t>
        </is>
      </c>
      <c r="D4678"/>
      <c r="E4678"/>
      <c r="F4678"/>
      <c r="G4678"/>
      <c r="H4678" t="inlineStr">
        <is>
          <t>S014_AULTON</t>
        </is>
      </c>
      <c r="I4678" t="inlineStr">
        <is>
          <t>curated</t>
        </is>
      </c>
      <c r="J4678">
        <v>0.65</v>
      </c>
      <c r="K4678"/>
    </row>
    <row r="4679">
      <c r="A4679" t="inlineStr">
        <is>
          <t>POL_PEG_5000</t>
        </is>
      </c>
      <c r="B4679" t="inlineStr">
        <is>
          <t>mucoadhesive_flag</t>
        </is>
      </c>
      <c r="C4679" t="inlineStr">
        <is>
          <t>no</t>
        </is>
      </c>
      <c r="D4679"/>
      <c r="E4679"/>
      <c r="F4679"/>
      <c r="G4679"/>
      <c r="H4679" t="inlineStr">
        <is>
          <t>S014_AULTON</t>
        </is>
      </c>
      <c r="I4679" t="inlineStr">
        <is>
          <t>curated</t>
        </is>
      </c>
      <c r="J4679">
        <v>0.65</v>
      </c>
      <c r="K4679"/>
    </row>
    <row r="4680">
      <c r="A4680" t="inlineStr">
        <is>
          <t>POL_PEG_5000</t>
        </is>
      </c>
      <c r="B4680" t="inlineStr">
        <is>
          <t>coating_role</t>
        </is>
      </c>
      <c r="C4680" t="inlineStr">
        <is>
          <t>plasticizer</t>
        </is>
      </c>
      <c r="D4680"/>
      <c r="E4680"/>
      <c r="F4680"/>
      <c r="G4680"/>
      <c r="H4680" t="inlineStr">
        <is>
          <t>S014_AULTON</t>
        </is>
      </c>
      <c r="I4680" t="inlineStr">
        <is>
          <t>curated</t>
        </is>
      </c>
      <c r="J4680">
        <v>0.6</v>
      </c>
      <c r="K4680"/>
    </row>
    <row r="4681">
      <c r="A4681" t="inlineStr">
        <is>
          <t>POL_PEG_5000</t>
        </is>
      </c>
      <c r="B4681" t="inlineStr">
        <is>
          <t>stabilizer_role</t>
        </is>
      </c>
      <c r="C4681" t="inlineStr">
        <is>
          <t>yes</t>
        </is>
      </c>
      <c r="D4681"/>
      <c r="E4681"/>
      <c r="F4681"/>
      <c r="G4681"/>
      <c r="H4681" t="inlineStr">
        <is>
          <t>S014_AULTON</t>
        </is>
      </c>
      <c r="I4681" t="inlineStr">
        <is>
          <t>curated</t>
        </is>
      </c>
      <c r="J4681">
        <v>0.6</v>
      </c>
      <c r="K4681"/>
    </row>
    <row r="4682">
      <c r="A4682" t="inlineStr">
        <is>
          <t>POL_PEG_5000</t>
        </is>
      </c>
      <c r="B4682" t="inlineStr">
        <is>
          <t>route_suitability</t>
        </is>
      </c>
      <c r="C4682" t="inlineStr">
        <is>
          <t>polymeric/hybrid/coating/stabilizer systems; grade and route dependent</t>
        </is>
      </c>
      <c r="D4682"/>
      <c r="E4682"/>
      <c r="F4682"/>
      <c r="G4682"/>
      <c r="H4682" t="inlineStr">
        <is>
          <t>S008_FDA_IID</t>
        </is>
      </c>
      <c r="I4682" t="inlineStr">
        <is>
          <t>curated</t>
        </is>
      </c>
      <c r="J4682">
        <v>0.55</v>
      </c>
      <c r="K4682"/>
    </row>
    <row r="4683">
      <c r="A4683" t="inlineStr">
        <is>
          <t>POL_PEG_5000</t>
        </is>
      </c>
      <c r="B4683" t="inlineStr">
        <is>
          <t>toxicity_notes</t>
        </is>
      </c>
      <c r="C4683" t="inlineStr">
        <is>
          <t>polymer grade, residual monomers/solvents, endotoxin and molecular weight distribution must be controlled</t>
        </is>
      </c>
      <c r="D4683"/>
      <c r="E4683"/>
      <c r="F4683"/>
      <c r="G4683"/>
      <c r="H4683" t="inlineStr">
        <is>
          <t>S007_EXCIPIENTS_HANDBOOK</t>
        </is>
      </c>
      <c r="I4683" t="inlineStr">
        <is>
          <t>curated</t>
        </is>
      </c>
      <c r="J4683">
        <v>0.65</v>
      </c>
      <c r="K4683"/>
    </row>
    <row r="4684">
      <c r="A4684" t="inlineStr">
        <is>
          <t>POL_PEG_5000</t>
        </is>
      </c>
      <c r="B4684" t="inlineStr">
        <is>
          <t>Hansen_delta_D</t>
        </is>
      </c>
      <c r="C4684">
        <v>18.0</v>
      </c>
      <c r="D4684" t="inlineStr">
        <is>
          <t>MPa^0.5</t>
        </is>
      </c>
      <c r="E4684"/>
      <c r="F4684"/>
      <c r="G4684" t="inlineStr">
        <is>
          <t>heuristic group-contribution/nearest-neighbour</t>
        </is>
      </c>
      <c r="H4684" t="inlineStr">
        <is>
          <t>S013_EST_HSP_HEURISTIC</t>
        </is>
      </c>
      <c r="I4684" t="inlineStr">
        <is>
          <t>estimated</t>
        </is>
      </c>
      <c r="J4684">
        <v>0.35</v>
      </c>
      <c r="K4684" t="inlineStr">
        <is>
          <t>Provisional HSP for screening; replace with experimental/literature value before model lock.</t>
        </is>
      </c>
    </row>
    <row r="4685">
      <c r="A4685" t="inlineStr">
        <is>
          <t>POL_PEG_5000</t>
        </is>
      </c>
      <c r="B4685" t="inlineStr">
        <is>
          <t>Hansen_delta_P</t>
        </is>
      </c>
      <c r="C4685">
        <v>8.0</v>
      </c>
      <c r="D4685" t="inlineStr">
        <is>
          <t>MPa^0.5</t>
        </is>
      </c>
      <c r="E4685"/>
      <c r="F4685"/>
      <c r="G4685" t="inlineStr">
        <is>
          <t>heuristic group-contribution/nearest-neighbour</t>
        </is>
      </c>
      <c r="H4685" t="inlineStr">
        <is>
          <t>S013_EST_HSP_HEURISTIC</t>
        </is>
      </c>
      <c r="I4685" t="inlineStr">
        <is>
          <t>estimated</t>
        </is>
      </c>
      <c r="J4685">
        <v>0.35</v>
      </c>
      <c r="K4685" t="inlineStr">
        <is>
          <t>Provisional HSP for screening; replace with experimental/literature value before model lock.</t>
        </is>
      </c>
    </row>
    <row r="4686">
      <c r="A4686" t="inlineStr">
        <is>
          <t>POL_PEG_5000</t>
        </is>
      </c>
      <c r="B4686" t="inlineStr">
        <is>
          <t>Hansen_delta_H</t>
        </is>
      </c>
      <c r="C4686">
        <v>10.0</v>
      </c>
      <c r="D4686" t="inlineStr">
        <is>
          <t>MPa^0.5</t>
        </is>
      </c>
      <c r="E4686"/>
      <c r="F4686"/>
      <c r="G4686" t="inlineStr">
        <is>
          <t>heuristic group-contribution/nearest-neighbour</t>
        </is>
      </c>
      <c r="H4686" t="inlineStr">
        <is>
          <t>S013_EST_HSP_HEURISTIC</t>
        </is>
      </c>
      <c r="I4686" t="inlineStr">
        <is>
          <t>estimated</t>
        </is>
      </c>
      <c r="J4686">
        <v>0.35</v>
      </c>
      <c r="K4686" t="inlineStr">
        <is>
          <t>Provisional HSP for screening; replace with experimental/literature value before model lock.</t>
        </is>
      </c>
    </row>
    <row r="4687">
      <c r="A4687" t="inlineStr">
        <is>
          <t>POL_PEG_5000</t>
        </is>
      </c>
      <c r="B4687" t="inlineStr">
        <is>
          <t>Hildebrand_delta_T</t>
        </is>
      </c>
      <c r="C4687">
        <v>22.09</v>
      </c>
      <c r="D4687" t="inlineStr">
        <is>
          <t>MPa^0.5</t>
        </is>
      </c>
      <c r="E4687"/>
      <c r="F4687"/>
      <c r="G4687" t="inlineStr">
        <is>
          <t>sqrt(deltaD^2+deltaP^2+deltaH^2)</t>
        </is>
      </c>
      <c r="H4687" t="inlineStr">
        <is>
          <t>S012_CALCULATED</t>
        </is>
      </c>
      <c r="I4687" t="inlineStr">
        <is>
          <t>calculated</t>
        </is>
      </c>
      <c r="J4687">
        <v>0.39999999999999997</v>
      </c>
      <c r="K4687" t="inlineStr">
        <is>
          <t>Derived from stored Hansen components.</t>
        </is>
      </c>
    </row>
    <row r="4688">
      <c r="A4688" t="inlineStr">
        <is>
          <t>POL_PEG_5000</t>
        </is>
      </c>
      <c r="B4688" t="inlineStr">
        <is>
          <t>HSP_radius_R0</t>
        </is>
      </c>
      <c r="C4688">
        <v>9.0</v>
      </c>
      <c r="D4688" t="inlineStr">
        <is>
          <t>MPa^0.5</t>
        </is>
      </c>
      <c r="E4688"/>
      <c r="F4688"/>
      <c r="G4688" t="inlineStr">
        <is>
          <t>literature/heuristic solubility sphere</t>
        </is>
      </c>
      <c r="H4688" t="inlineStr">
        <is>
          <t>S013_EST_HSP_HEURISTIC</t>
        </is>
      </c>
      <c r="I4688" t="inlineStr">
        <is>
          <t>estimated</t>
        </is>
      </c>
      <c r="J4688">
        <v>0.35</v>
      </c>
      <c r="K4688" t="inlineStr">
        <is>
          <t>Screening radius only unless experimentally determined.</t>
        </is>
      </c>
    </row>
    <row r="4689">
      <c r="A4689" t="inlineStr">
        <is>
          <t>POL_PEG_5000</t>
        </is>
      </c>
      <c r="B4689" t="inlineStr">
        <is>
          <t>repeat_unit_molar_volume</t>
        </is>
      </c>
      <c r="C4689">
        <v>36.67</v>
      </c>
      <c r="D4689" t="inlineStr">
        <is>
          <t>cm3/mol</t>
        </is>
      </c>
      <c r="E4689"/>
      <c r="F4689"/>
      <c r="G4689" t="inlineStr">
        <is>
          <t>repeat-unit MW / assumed density</t>
        </is>
      </c>
      <c r="H4689" t="inlineStr">
        <is>
          <t>S012_CALCULATED</t>
        </is>
      </c>
      <c r="I4689" t="inlineStr">
        <is>
          <t>estimated</t>
        </is>
      </c>
      <c r="J4689">
        <v>0.35</v>
      </c>
      <c r="K4689"/>
    </row>
    <row r="4690">
      <c r="A4690" t="inlineStr">
        <is>
          <t>POL_PEG_10000</t>
        </is>
      </c>
      <c r="B4690" t="inlineStr">
        <is>
          <t>repeat_unit_mw_g_mol</t>
        </is>
      </c>
      <c r="C4690">
        <v>44</v>
      </c>
      <c r="D4690" t="inlineStr">
        <is>
          <t>g/mol</t>
        </is>
      </c>
      <c r="E4690"/>
      <c r="F4690"/>
      <c r="G4690"/>
      <c r="H4690" t="inlineStr">
        <is>
          <t>S007_EXCIPIENTS_HANDBOOK</t>
        </is>
      </c>
      <c r="I4690" t="inlineStr">
        <is>
          <t>handbook</t>
        </is>
      </c>
      <c r="J4690">
        <v>0.65</v>
      </c>
      <c r="K4690"/>
    </row>
    <row r="4691">
      <c r="A4691" t="inlineStr">
        <is>
          <t>POL_PEG_10000</t>
        </is>
      </c>
      <c r="B4691" t="inlineStr">
        <is>
          <t>average_mw_g_mol</t>
        </is>
      </c>
      <c r="C4691">
        <v>10000</v>
      </c>
      <c r="D4691" t="inlineStr">
        <is>
          <t>g/mol</t>
        </is>
      </c>
      <c r="E4691"/>
      <c r="F4691"/>
      <c r="G4691" t="inlineStr">
        <is>
          <t>grade-dependent</t>
        </is>
      </c>
      <c r="H4691" t="inlineStr">
        <is>
          <t>S007_EXCIPIENTS_HANDBOOK</t>
        </is>
      </c>
      <c r="I4691" t="inlineStr">
        <is>
          <t>supplier-reported</t>
        </is>
      </c>
      <c r="J4691">
        <v>0.45</v>
      </c>
      <c r="K4691"/>
    </row>
    <row r="4692">
      <c r="A4692" t="inlineStr">
        <is>
          <t>POL_PEG_10000</t>
        </is>
      </c>
      <c r="B4692" t="inlineStr">
        <is>
          <t>Tg_C</t>
        </is>
      </c>
      <c r="C4692">
        <v>-60</v>
      </c>
      <c r="D4692" t="inlineStr">
        <is>
          <t>°C</t>
        </is>
      </c>
      <c r="E4692"/>
      <c r="F4692"/>
      <c r="G4692" t="inlineStr">
        <is>
          <t>grade/substitution dependent</t>
        </is>
      </c>
      <c r="H4692" t="inlineStr">
        <is>
          <t>S007_EXCIPIENTS_HANDBOOK</t>
        </is>
      </c>
      <c r="I4692" t="inlineStr">
        <is>
          <t>handbook</t>
        </is>
      </c>
      <c r="J4692">
        <v>0.48</v>
      </c>
      <c r="K4692"/>
    </row>
    <row r="4693">
      <c r="A4693" t="inlineStr">
        <is>
          <t>POL_PEG_10000</t>
        </is>
      </c>
      <c r="B4693" t="inlineStr">
        <is>
          <t>Tm_C</t>
        </is>
      </c>
      <c r="C4693">
        <v>63</v>
      </c>
      <c r="D4693" t="inlineStr">
        <is>
          <t>°C</t>
        </is>
      </c>
      <c r="E4693"/>
      <c r="F4693"/>
      <c r="G4693" t="inlineStr">
        <is>
          <t>grade/substitution dependent</t>
        </is>
      </c>
      <c r="H4693" t="inlineStr">
        <is>
          <t>S007_EXCIPIENTS_HANDBOOK</t>
        </is>
      </c>
      <c r="I4693" t="inlineStr">
        <is>
          <t>handbook</t>
        </is>
      </c>
      <c r="J4693">
        <v>0.48</v>
      </c>
      <c r="K4693"/>
    </row>
    <row r="4694">
      <c r="A4694" t="inlineStr">
        <is>
          <t>POL_PEG_10000</t>
        </is>
      </c>
      <c r="B4694" t="inlineStr">
        <is>
          <t>charge_type</t>
        </is>
      </c>
      <c r="C4694" t="inlineStr">
        <is>
          <t>neutral</t>
        </is>
      </c>
      <c r="D4694"/>
      <c r="E4694"/>
      <c r="F4694"/>
      <c r="G4694"/>
      <c r="H4694" t="inlineStr">
        <is>
          <t>S007_EXCIPIENTS_HANDBOOK</t>
        </is>
      </c>
      <c r="I4694" t="inlineStr">
        <is>
          <t>curated</t>
        </is>
      </c>
      <c r="J4694">
        <v>0.75</v>
      </c>
      <c r="K4694"/>
    </row>
    <row r="4695">
      <c r="A4695" t="inlineStr">
        <is>
          <t>POL_PEG_10000</t>
        </is>
      </c>
      <c r="B4695" t="inlineStr">
        <is>
          <t>formal_charge</t>
        </is>
      </c>
      <c r="C4695">
        <v>0</v>
      </c>
      <c r="D4695" t="inlineStr">
        <is>
          <t>e</t>
        </is>
      </c>
      <c r="E4695"/>
      <c r="F4695"/>
      <c r="G4695"/>
      <c r="H4695" t="inlineStr">
        <is>
          <t>S007_EXCIPIENTS_HANDBOOK</t>
        </is>
      </c>
      <c r="I4695" t="inlineStr">
        <is>
          <t>curated</t>
        </is>
      </c>
      <c r="J4695">
        <v>0.75</v>
      </c>
      <c r="K4695"/>
    </row>
    <row r="4696">
      <c r="A4696" t="inlineStr">
        <is>
          <t>POL_PEG_10000</t>
        </is>
      </c>
      <c r="B4696" t="inlineStr">
        <is>
          <t>solubility_in_water</t>
        </is>
      </c>
      <c r="C4696" t="inlineStr">
        <is>
          <t>high</t>
        </is>
      </c>
      <c r="D4696"/>
      <c r="E4696"/>
      <c r="F4696"/>
      <c r="G4696"/>
      <c r="H4696" t="inlineStr">
        <is>
          <t>S007_EXCIPIENTS_HANDBOOK</t>
        </is>
      </c>
      <c r="I4696" t="inlineStr">
        <is>
          <t>handbook</t>
        </is>
      </c>
      <c r="J4696">
        <v>0.55</v>
      </c>
      <c r="K4696"/>
    </row>
    <row r="4697">
      <c r="A4697" t="inlineStr">
        <is>
          <t>POL_PEG_10000</t>
        </is>
      </c>
      <c r="B4697" t="inlineStr">
        <is>
          <t>solubility_in_ethanol</t>
        </is>
      </c>
      <c r="C4697" t="inlineStr">
        <is>
          <t>soluble</t>
        </is>
      </c>
      <c r="D4697"/>
      <c r="E4697"/>
      <c r="F4697"/>
      <c r="G4697"/>
      <c r="H4697" t="inlineStr">
        <is>
          <t>S007_EXCIPIENTS_HANDBOOK</t>
        </is>
      </c>
      <c r="I4697" t="inlineStr">
        <is>
          <t>handbook</t>
        </is>
      </c>
      <c r="J4697">
        <v>0.55</v>
      </c>
      <c r="K4697"/>
    </row>
    <row r="4698">
      <c r="A4698" t="inlineStr">
        <is>
          <t>POL_PEG_10000</t>
        </is>
      </c>
      <c r="B4698" t="inlineStr">
        <is>
          <t>solubility_in_acetone</t>
        </is>
      </c>
      <c r="C4698" t="inlineStr">
        <is>
          <t>poor</t>
        </is>
      </c>
      <c r="D4698"/>
      <c r="E4698"/>
      <c r="F4698"/>
      <c r="G4698"/>
      <c r="H4698" t="inlineStr">
        <is>
          <t>S007_EXCIPIENTS_HANDBOOK</t>
        </is>
      </c>
      <c r="I4698" t="inlineStr">
        <is>
          <t>handbook</t>
        </is>
      </c>
      <c r="J4698">
        <v>0.55</v>
      </c>
      <c r="K4698"/>
    </row>
    <row r="4699">
      <c r="A4699" t="inlineStr">
        <is>
          <t>POL_PEG_10000</t>
        </is>
      </c>
      <c r="B4699" t="inlineStr">
        <is>
          <t>solubility_in_dcm</t>
        </is>
      </c>
      <c r="C4699" t="inlineStr">
        <is>
          <t>poor</t>
        </is>
      </c>
      <c r="D4699"/>
      <c r="E4699"/>
      <c r="F4699"/>
      <c r="G4699"/>
      <c r="H4699" t="inlineStr">
        <is>
          <t>S007_EXCIPIENTS_HANDBOOK</t>
        </is>
      </c>
      <c r="I4699" t="inlineStr">
        <is>
          <t>handbook</t>
        </is>
      </c>
      <c r="J4699">
        <v>0.55</v>
      </c>
      <c r="K4699"/>
    </row>
    <row r="4700">
      <c r="A4700" t="inlineStr">
        <is>
          <t>POL_PEG_10000</t>
        </is>
      </c>
      <c r="B4700" t="inlineStr">
        <is>
          <t>biodegradability</t>
        </is>
      </c>
      <c r="C4700" t="inlineStr">
        <is>
          <t>limited</t>
        </is>
      </c>
      <c r="D4700"/>
      <c r="E4700"/>
      <c r="F4700"/>
      <c r="G4700"/>
      <c r="H4700" t="inlineStr">
        <is>
          <t>S014_AULTON</t>
        </is>
      </c>
      <c r="I4700" t="inlineStr">
        <is>
          <t>curated</t>
        </is>
      </c>
      <c r="J4700">
        <v>0.65</v>
      </c>
      <c r="K4700"/>
    </row>
    <row r="4701">
      <c r="A4701" t="inlineStr">
        <is>
          <t>POL_PEG_10000</t>
        </is>
      </c>
      <c r="B4701" t="inlineStr">
        <is>
          <t>mucoadhesive_flag</t>
        </is>
      </c>
      <c r="C4701" t="inlineStr">
        <is>
          <t>no</t>
        </is>
      </c>
      <c r="D4701"/>
      <c r="E4701"/>
      <c r="F4701"/>
      <c r="G4701"/>
      <c r="H4701" t="inlineStr">
        <is>
          <t>S014_AULTON</t>
        </is>
      </c>
      <c r="I4701" t="inlineStr">
        <is>
          <t>curated</t>
        </is>
      </c>
      <c r="J4701">
        <v>0.65</v>
      </c>
      <c r="K4701"/>
    </row>
    <row r="4702">
      <c r="A4702" t="inlineStr">
        <is>
          <t>POL_PEG_10000</t>
        </is>
      </c>
      <c r="B4702" t="inlineStr">
        <is>
          <t>coating_role</t>
        </is>
      </c>
      <c r="C4702" t="inlineStr">
        <is>
          <t>plasticizer</t>
        </is>
      </c>
      <c r="D4702"/>
      <c r="E4702"/>
      <c r="F4702"/>
      <c r="G4702"/>
      <c r="H4702" t="inlineStr">
        <is>
          <t>S014_AULTON</t>
        </is>
      </c>
      <c r="I4702" t="inlineStr">
        <is>
          <t>curated</t>
        </is>
      </c>
      <c r="J4702">
        <v>0.6</v>
      </c>
      <c r="K4702"/>
    </row>
    <row r="4703">
      <c r="A4703" t="inlineStr">
        <is>
          <t>POL_PEG_10000</t>
        </is>
      </c>
      <c r="B4703" t="inlineStr">
        <is>
          <t>stabilizer_role</t>
        </is>
      </c>
      <c r="C4703" t="inlineStr">
        <is>
          <t>yes</t>
        </is>
      </c>
      <c r="D4703"/>
      <c r="E4703"/>
      <c r="F4703"/>
      <c r="G4703"/>
      <c r="H4703" t="inlineStr">
        <is>
          <t>S014_AULTON</t>
        </is>
      </c>
      <c r="I4703" t="inlineStr">
        <is>
          <t>curated</t>
        </is>
      </c>
      <c r="J4703">
        <v>0.6</v>
      </c>
      <c r="K4703"/>
    </row>
    <row r="4704">
      <c r="A4704" t="inlineStr">
        <is>
          <t>POL_PEG_10000</t>
        </is>
      </c>
      <c r="B4704" t="inlineStr">
        <is>
          <t>route_suitability</t>
        </is>
      </c>
      <c r="C4704" t="inlineStr">
        <is>
          <t>polymeric/hybrid/coating/stabilizer systems; grade and route dependent</t>
        </is>
      </c>
      <c r="D4704"/>
      <c r="E4704"/>
      <c r="F4704"/>
      <c r="G4704"/>
      <c r="H4704" t="inlineStr">
        <is>
          <t>S008_FDA_IID</t>
        </is>
      </c>
      <c r="I4704" t="inlineStr">
        <is>
          <t>curated</t>
        </is>
      </c>
      <c r="J4704">
        <v>0.55</v>
      </c>
      <c r="K4704"/>
    </row>
    <row r="4705">
      <c r="A4705" t="inlineStr">
        <is>
          <t>POL_PEG_10000</t>
        </is>
      </c>
      <c r="B4705" t="inlineStr">
        <is>
          <t>toxicity_notes</t>
        </is>
      </c>
      <c r="C4705" t="inlineStr">
        <is>
          <t>polymer grade, residual monomers/solvents, endotoxin and molecular weight distribution must be controlled</t>
        </is>
      </c>
      <c r="D4705"/>
      <c r="E4705"/>
      <c r="F4705"/>
      <c r="G4705"/>
      <c r="H4705" t="inlineStr">
        <is>
          <t>S007_EXCIPIENTS_HANDBOOK</t>
        </is>
      </c>
      <c r="I4705" t="inlineStr">
        <is>
          <t>curated</t>
        </is>
      </c>
      <c r="J4705">
        <v>0.65</v>
      </c>
      <c r="K4705"/>
    </row>
    <row r="4706">
      <c r="A4706" t="inlineStr">
        <is>
          <t>POL_PEG_10000</t>
        </is>
      </c>
      <c r="B4706" t="inlineStr">
        <is>
          <t>Hansen_delta_D</t>
        </is>
      </c>
      <c r="C4706">
        <v>18.0</v>
      </c>
      <c r="D4706" t="inlineStr">
        <is>
          <t>MPa^0.5</t>
        </is>
      </c>
      <c r="E4706"/>
      <c r="F4706"/>
      <c r="G4706" t="inlineStr">
        <is>
          <t>heuristic group-contribution/nearest-neighbour</t>
        </is>
      </c>
      <c r="H4706" t="inlineStr">
        <is>
          <t>S013_EST_HSP_HEURISTIC</t>
        </is>
      </c>
      <c r="I4706" t="inlineStr">
        <is>
          <t>estimated</t>
        </is>
      </c>
      <c r="J4706">
        <v>0.35</v>
      </c>
      <c r="K4706" t="inlineStr">
        <is>
          <t>Provisional HSP for screening; replace with experimental/literature value before model lock.</t>
        </is>
      </c>
    </row>
    <row r="4707">
      <c r="A4707" t="inlineStr">
        <is>
          <t>POL_PEG_10000</t>
        </is>
      </c>
      <c r="B4707" t="inlineStr">
        <is>
          <t>Hansen_delta_P</t>
        </is>
      </c>
      <c r="C4707">
        <v>8.0</v>
      </c>
      <c r="D4707" t="inlineStr">
        <is>
          <t>MPa^0.5</t>
        </is>
      </c>
      <c r="E4707"/>
      <c r="F4707"/>
      <c r="G4707" t="inlineStr">
        <is>
          <t>heuristic group-contribution/nearest-neighbour</t>
        </is>
      </c>
      <c r="H4707" t="inlineStr">
        <is>
          <t>S013_EST_HSP_HEURISTIC</t>
        </is>
      </c>
      <c r="I4707" t="inlineStr">
        <is>
          <t>estimated</t>
        </is>
      </c>
      <c r="J4707">
        <v>0.35</v>
      </c>
      <c r="K4707" t="inlineStr">
        <is>
          <t>Provisional HSP for screening; replace with experimental/literature value before model lock.</t>
        </is>
      </c>
    </row>
    <row r="4708">
      <c r="A4708" t="inlineStr">
        <is>
          <t>POL_PEG_10000</t>
        </is>
      </c>
      <c r="B4708" t="inlineStr">
        <is>
          <t>Hansen_delta_H</t>
        </is>
      </c>
      <c r="C4708">
        <v>10.0</v>
      </c>
      <c r="D4708" t="inlineStr">
        <is>
          <t>MPa^0.5</t>
        </is>
      </c>
      <c r="E4708"/>
      <c r="F4708"/>
      <c r="G4708" t="inlineStr">
        <is>
          <t>heuristic group-contribution/nearest-neighbour</t>
        </is>
      </c>
      <c r="H4708" t="inlineStr">
        <is>
          <t>S013_EST_HSP_HEURISTIC</t>
        </is>
      </c>
      <c r="I4708" t="inlineStr">
        <is>
          <t>estimated</t>
        </is>
      </c>
      <c r="J4708">
        <v>0.35</v>
      </c>
      <c r="K4708" t="inlineStr">
        <is>
          <t>Provisional HSP for screening; replace with experimental/literature value before model lock.</t>
        </is>
      </c>
    </row>
    <row r="4709">
      <c r="A4709" t="inlineStr">
        <is>
          <t>POL_PEG_10000</t>
        </is>
      </c>
      <c r="B4709" t="inlineStr">
        <is>
          <t>Hildebrand_delta_T</t>
        </is>
      </c>
      <c r="C4709">
        <v>22.09</v>
      </c>
      <c r="D4709" t="inlineStr">
        <is>
          <t>MPa^0.5</t>
        </is>
      </c>
      <c r="E4709"/>
      <c r="F4709"/>
      <c r="G4709" t="inlineStr">
        <is>
          <t>sqrt(deltaD^2+deltaP^2+deltaH^2)</t>
        </is>
      </c>
      <c r="H4709" t="inlineStr">
        <is>
          <t>S012_CALCULATED</t>
        </is>
      </c>
      <c r="I4709" t="inlineStr">
        <is>
          <t>calculated</t>
        </is>
      </c>
      <c r="J4709">
        <v>0.39999999999999997</v>
      </c>
      <c r="K4709" t="inlineStr">
        <is>
          <t>Derived from stored Hansen components.</t>
        </is>
      </c>
    </row>
    <row r="4710">
      <c r="A4710" t="inlineStr">
        <is>
          <t>POL_PEG_10000</t>
        </is>
      </c>
      <c r="B4710" t="inlineStr">
        <is>
          <t>HSP_radius_R0</t>
        </is>
      </c>
      <c r="C4710">
        <v>9.0</v>
      </c>
      <c r="D4710" t="inlineStr">
        <is>
          <t>MPa^0.5</t>
        </is>
      </c>
      <c r="E4710"/>
      <c r="F4710"/>
      <c r="G4710" t="inlineStr">
        <is>
          <t>literature/heuristic solubility sphere</t>
        </is>
      </c>
      <c r="H4710" t="inlineStr">
        <is>
          <t>S013_EST_HSP_HEURISTIC</t>
        </is>
      </c>
      <c r="I4710" t="inlineStr">
        <is>
          <t>estimated</t>
        </is>
      </c>
      <c r="J4710">
        <v>0.35</v>
      </c>
      <c r="K4710" t="inlineStr">
        <is>
          <t>Screening radius only unless experimentally determined.</t>
        </is>
      </c>
    </row>
    <row r="4711">
      <c r="A4711" t="inlineStr">
        <is>
          <t>POL_PEG_10000</t>
        </is>
      </c>
      <c r="B4711" t="inlineStr">
        <is>
          <t>repeat_unit_molar_volume</t>
        </is>
      </c>
      <c r="C4711">
        <v>36.67</v>
      </c>
      <c r="D4711" t="inlineStr">
        <is>
          <t>cm3/mol</t>
        </is>
      </c>
      <c r="E4711"/>
      <c r="F4711"/>
      <c r="G4711" t="inlineStr">
        <is>
          <t>repeat-unit MW / assumed density</t>
        </is>
      </c>
      <c r="H4711" t="inlineStr">
        <is>
          <t>S012_CALCULATED</t>
        </is>
      </c>
      <c r="I4711" t="inlineStr">
        <is>
          <t>estimated</t>
        </is>
      </c>
      <c r="J4711">
        <v>0.35</v>
      </c>
      <c r="K4711"/>
    </row>
    <row r="4712">
      <c r="A4712" t="inlineStr">
        <is>
          <t>POL_PVA</t>
        </is>
      </c>
      <c r="B4712" t="inlineStr">
        <is>
          <t>repeat_unit_mw_g_mol</t>
        </is>
      </c>
      <c r="C4712">
        <v>44</v>
      </c>
      <c r="D4712" t="inlineStr">
        <is>
          <t>g/mol</t>
        </is>
      </c>
      <c r="E4712"/>
      <c r="F4712"/>
      <c r="G4712"/>
      <c r="H4712" t="inlineStr">
        <is>
          <t>S007_EXCIPIENTS_HANDBOOK</t>
        </is>
      </c>
      <c r="I4712" t="inlineStr">
        <is>
          <t>handbook</t>
        </is>
      </c>
      <c r="J4712">
        <v>0.65</v>
      </c>
      <c r="K4712"/>
    </row>
    <row r="4713">
      <c r="A4713" t="inlineStr">
        <is>
          <t>POL_PVA</t>
        </is>
      </c>
      <c r="B4713" t="inlineStr">
        <is>
          <t>mw_range</t>
        </is>
      </c>
      <c r="C4713" t="inlineStr">
        <is>
          <t>13,000-186,000</t>
        </is>
      </c>
      <c r="D4713" t="inlineStr">
        <is>
          <t>g/mol</t>
        </is>
      </c>
      <c r="E4713"/>
      <c r="F4713"/>
      <c r="G4713" t="inlineStr">
        <is>
          <t>grade-dependent</t>
        </is>
      </c>
      <c r="H4713" t="inlineStr">
        <is>
          <t>S007_EXCIPIENTS_HANDBOOK</t>
        </is>
      </c>
      <c r="I4713" t="inlineStr">
        <is>
          <t>supplier-reported</t>
        </is>
      </c>
      <c r="J4713">
        <v>0.45</v>
      </c>
      <c r="K4713"/>
    </row>
    <row r="4714">
      <c r="A4714" t="inlineStr">
        <is>
          <t>POL_PVA</t>
        </is>
      </c>
      <c r="B4714" t="inlineStr">
        <is>
          <t>Tg_C</t>
        </is>
      </c>
      <c r="C4714">
        <v>85</v>
      </c>
      <c r="D4714" t="inlineStr">
        <is>
          <t>°C</t>
        </is>
      </c>
      <c r="E4714"/>
      <c r="F4714"/>
      <c r="G4714" t="inlineStr">
        <is>
          <t>grade/substitution dependent</t>
        </is>
      </c>
      <c r="H4714" t="inlineStr">
        <is>
          <t>S007_EXCIPIENTS_HANDBOOK</t>
        </is>
      </c>
      <c r="I4714" t="inlineStr">
        <is>
          <t>handbook</t>
        </is>
      </c>
      <c r="J4714">
        <v>0.48</v>
      </c>
      <c r="K4714"/>
    </row>
    <row r="4715">
      <c r="A4715" t="inlineStr">
        <is>
          <t>POL_PVA</t>
        </is>
      </c>
      <c r="B4715" t="inlineStr">
        <is>
          <t>Tm_C</t>
        </is>
      </c>
      <c r="C4715">
        <v>230</v>
      </c>
      <c r="D4715" t="inlineStr">
        <is>
          <t>°C</t>
        </is>
      </c>
      <c r="E4715"/>
      <c r="F4715"/>
      <c r="G4715" t="inlineStr">
        <is>
          <t>grade/substitution dependent</t>
        </is>
      </c>
      <c r="H4715" t="inlineStr">
        <is>
          <t>S007_EXCIPIENTS_HANDBOOK</t>
        </is>
      </c>
      <c r="I4715" t="inlineStr">
        <is>
          <t>handbook</t>
        </is>
      </c>
      <c r="J4715">
        <v>0.48</v>
      </c>
      <c r="K4715"/>
    </row>
    <row r="4716">
      <c r="A4716" t="inlineStr">
        <is>
          <t>POL_PVA</t>
        </is>
      </c>
      <c r="B4716" t="inlineStr">
        <is>
          <t>charge_type</t>
        </is>
      </c>
      <c r="C4716" t="inlineStr">
        <is>
          <t>neutral</t>
        </is>
      </c>
      <c r="D4716"/>
      <c r="E4716"/>
      <c r="F4716"/>
      <c r="G4716"/>
      <c r="H4716" t="inlineStr">
        <is>
          <t>S007_EXCIPIENTS_HANDBOOK</t>
        </is>
      </c>
      <c r="I4716" t="inlineStr">
        <is>
          <t>curated</t>
        </is>
      </c>
      <c r="J4716">
        <v>0.75</v>
      </c>
      <c r="K4716"/>
    </row>
    <row r="4717">
      <c r="A4717" t="inlineStr">
        <is>
          <t>POL_PVA</t>
        </is>
      </c>
      <c r="B4717" t="inlineStr">
        <is>
          <t>formal_charge</t>
        </is>
      </c>
      <c r="C4717">
        <v>0</v>
      </c>
      <c r="D4717" t="inlineStr">
        <is>
          <t>e</t>
        </is>
      </c>
      <c r="E4717"/>
      <c r="F4717"/>
      <c r="G4717"/>
      <c r="H4717" t="inlineStr">
        <is>
          <t>S007_EXCIPIENTS_HANDBOOK</t>
        </is>
      </c>
      <c r="I4717" t="inlineStr">
        <is>
          <t>curated</t>
        </is>
      </c>
      <c r="J4717">
        <v>0.75</v>
      </c>
      <c r="K4717"/>
    </row>
    <row r="4718">
      <c r="A4718" t="inlineStr">
        <is>
          <t>POL_PVA</t>
        </is>
      </c>
      <c r="B4718" t="inlineStr">
        <is>
          <t>solubility_in_water</t>
        </is>
      </c>
      <c r="C4718" t="inlineStr">
        <is>
          <t>high</t>
        </is>
      </c>
      <c r="D4718"/>
      <c r="E4718"/>
      <c r="F4718"/>
      <c r="G4718"/>
      <c r="H4718" t="inlineStr">
        <is>
          <t>S007_EXCIPIENTS_HANDBOOK</t>
        </is>
      </c>
      <c r="I4718" t="inlineStr">
        <is>
          <t>handbook</t>
        </is>
      </c>
      <c r="J4718">
        <v>0.55</v>
      </c>
      <c r="K4718"/>
    </row>
    <row r="4719">
      <c r="A4719" t="inlineStr">
        <is>
          <t>POL_PVA</t>
        </is>
      </c>
      <c r="B4719" t="inlineStr">
        <is>
          <t>solubility_in_ethanol</t>
        </is>
      </c>
      <c r="C4719" t="inlineStr">
        <is>
          <t>poor</t>
        </is>
      </c>
      <c r="D4719"/>
      <c r="E4719"/>
      <c r="F4719"/>
      <c r="G4719"/>
      <c r="H4719" t="inlineStr">
        <is>
          <t>S007_EXCIPIENTS_HANDBOOK</t>
        </is>
      </c>
      <c r="I4719" t="inlineStr">
        <is>
          <t>handbook</t>
        </is>
      </c>
      <c r="J4719">
        <v>0.55</v>
      </c>
      <c r="K4719"/>
    </row>
    <row r="4720">
      <c r="A4720" t="inlineStr">
        <is>
          <t>POL_PVA</t>
        </is>
      </c>
      <c r="B4720" t="inlineStr">
        <is>
          <t>solubility_in_acetone</t>
        </is>
      </c>
      <c r="C4720" t="inlineStr">
        <is>
          <t>poor</t>
        </is>
      </c>
      <c r="D4720"/>
      <c r="E4720"/>
      <c r="F4720"/>
      <c r="G4720"/>
      <c r="H4720" t="inlineStr">
        <is>
          <t>S007_EXCIPIENTS_HANDBOOK</t>
        </is>
      </c>
      <c r="I4720" t="inlineStr">
        <is>
          <t>handbook</t>
        </is>
      </c>
      <c r="J4720">
        <v>0.55</v>
      </c>
      <c r="K4720"/>
    </row>
    <row r="4721">
      <c r="A4721" t="inlineStr">
        <is>
          <t>POL_PVA</t>
        </is>
      </c>
      <c r="B4721" t="inlineStr">
        <is>
          <t>solubility_in_dcm</t>
        </is>
      </c>
      <c r="C4721" t="inlineStr">
        <is>
          <t>poor</t>
        </is>
      </c>
      <c r="D4721"/>
      <c r="E4721"/>
      <c r="F4721"/>
      <c r="G4721"/>
      <c r="H4721" t="inlineStr">
        <is>
          <t>S007_EXCIPIENTS_HANDBOOK</t>
        </is>
      </c>
      <c r="I4721" t="inlineStr">
        <is>
          <t>handbook</t>
        </is>
      </c>
      <c r="J4721">
        <v>0.55</v>
      </c>
      <c r="K4721"/>
    </row>
    <row r="4722">
      <c r="A4722" t="inlineStr">
        <is>
          <t>POL_PVA</t>
        </is>
      </c>
      <c r="B4722" t="inlineStr">
        <is>
          <t>biodegradability</t>
        </is>
      </c>
      <c r="C4722" t="inlineStr">
        <is>
          <t>limited</t>
        </is>
      </c>
      <c r="D4722"/>
      <c r="E4722"/>
      <c r="F4722"/>
      <c r="G4722"/>
      <c r="H4722" t="inlineStr">
        <is>
          <t>S014_AULTON</t>
        </is>
      </c>
      <c r="I4722" t="inlineStr">
        <is>
          <t>curated</t>
        </is>
      </c>
      <c r="J4722">
        <v>0.65</v>
      </c>
      <c r="K4722"/>
    </row>
    <row r="4723">
      <c r="A4723" t="inlineStr">
        <is>
          <t>POL_PVA</t>
        </is>
      </c>
      <c r="B4723" t="inlineStr">
        <is>
          <t>mucoadhesive_flag</t>
        </is>
      </c>
      <c r="C4723" t="inlineStr">
        <is>
          <t>yes/conditional</t>
        </is>
      </c>
      <c r="D4723"/>
      <c r="E4723"/>
      <c r="F4723"/>
      <c r="G4723"/>
      <c r="H4723" t="inlineStr">
        <is>
          <t>S014_AULTON</t>
        </is>
      </c>
      <c r="I4723" t="inlineStr">
        <is>
          <t>curated</t>
        </is>
      </c>
      <c r="J4723">
        <v>0.65</v>
      </c>
      <c r="K4723"/>
    </row>
    <row r="4724">
      <c r="A4724" t="inlineStr">
        <is>
          <t>POL_PVA</t>
        </is>
      </c>
      <c r="B4724" t="inlineStr">
        <is>
          <t>coating_role</t>
        </is>
      </c>
      <c r="C4724" t="inlineStr">
        <is>
          <t>film former</t>
        </is>
      </c>
      <c r="D4724"/>
      <c r="E4724"/>
      <c r="F4724"/>
      <c r="G4724"/>
      <c r="H4724" t="inlineStr">
        <is>
          <t>S014_AULTON</t>
        </is>
      </c>
      <c r="I4724" t="inlineStr">
        <is>
          <t>curated</t>
        </is>
      </c>
      <c r="J4724">
        <v>0.6</v>
      </c>
      <c r="K4724"/>
    </row>
    <row r="4725">
      <c r="A4725" t="inlineStr">
        <is>
          <t>POL_PVA</t>
        </is>
      </c>
      <c r="B4725" t="inlineStr">
        <is>
          <t>stabilizer_role</t>
        </is>
      </c>
      <c r="C4725" t="inlineStr">
        <is>
          <t>yes</t>
        </is>
      </c>
      <c r="D4725"/>
      <c r="E4725"/>
      <c r="F4725"/>
      <c r="G4725"/>
      <c r="H4725" t="inlineStr">
        <is>
          <t>S014_AULTON</t>
        </is>
      </c>
      <c r="I4725" t="inlineStr">
        <is>
          <t>curated</t>
        </is>
      </c>
      <c r="J4725">
        <v>0.6</v>
      </c>
      <c r="K4725"/>
    </row>
    <row r="4726">
      <c r="A4726" t="inlineStr">
        <is>
          <t>POL_PVA</t>
        </is>
      </c>
      <c r="B4726" t="inlineStr">
        <is>
          <t>route_suitability</t>
        </is>
      </c>
      <c r="C4726" t="inlineStr">
        <is>
          <t>polymeric/hybrid/coating/stabilizer systems; grade and route dependent</t>
        </is>
      </c>
      <c r="D4726"/>
      <c r="E4726"/>
      <c r="F4726"/>
      <c r="G4726"/>
      <c r="H4726" t="inlineStr">
        <is>
          <t>S008_FDA_IID</t>
        </is>
      </c>
      <c r="I4726" t="inlineStr">
        <is>
          <t>curated</t>
        </is>
      </c>
      <c r="J4726">
        <v>0.55</v>
      </c>
      <c r="K4726"/>
    </row>
    <row r="4727">
      <c r="A4727" t="inlineStr">
        <is>
          <t>POL_PVA</t>
        </is>
      </c>
      <c r="B4727" t="inlineStr">
        <is>
          <t>toxicity_notes</t>
        </is>
      </c>
      <c r="C4727" t="inlineStr">
        <is>
          <t>polymer grade, residual monomers/solvents, endotoxin and molecular weight distribution must be controlled</t>
        </is>
      </c>
      <c r="D4727"/>
      <c r="E4727"/>
      <c r="F4727"/>
      <c r="G4727"/>
      <c r="H4727" t="inlineStr">
        <is>
          <t>S007_EXCIPIENTS_HANDBOOK</t>
        </is>
      </c>
      <c r="I4727" t="inlineStr">
        <is>
          <t>curated</t>
        </is>
      </c>
      <c r="J4727">
        <v>0.65</v>
      </c>
      <c r="K4727"/>
    </row>
    <row r="4728">
      <c r="A4728" t="inlineStr">
        <is>
          <t>POL_PVA</t>
        </is>
      </c>
      <c r="B4728" t="inlineStr">
        <is>
          <t>Hansen_delta_D</t>
        </is>
      </c>
      <c r="C4728">
        <v>18.0</v>
      </c>
      <c r="D4728" t="inlineStr">
        <is>
          <t>MPa^0.5</t>
        </is>
      </c>
      <c r="E4728"/>
      <c r="F4728"/>
      <c r="G4728" t="inlineStr">
        <is>
          <t>heuristic group-contribution/nearest-neighbour</t>
        </is>
      </c>
      <c r="H4728" t="inlineStr">
        <is>
          <t>S013_EST_HSP_HEURISTIC</t>
        </is>
      </c>
      <c r="I4728" t="inlineStr">
        <is>
          <t>estimated</t>
        </is>
      </c>
      <c r="J4728">
        <v>0.35</v>
      </c>
      <c r="K4728" t="inlineStr">
        <is>
          <t>Provisional HSP for screening; replace with experimental/literature value before model lock.</t>
        </is>
      </c>
    </row>
    <row r="4729">
      <c r="A4729" t="inlineStr">
        <is>
          <t>POL_PVA</t>
        </is>
      </c>
      <c r="B4729" t="inlineStr">
        <is>
          <t>Hansen_delta_P</t>
        </is>
      </c>
      <c r="C4729">
        <v>8.0</v>
      </c>
      <c r="D4729" t="inlineStr">
        <is>
          <t>MPa^0.5</t>
        </is>
      </c>
      <c r="E4729"/>
      <c r="F4729"/>
      <c r="G4729" t="inlineStr">
        <is>
          <t>heuristic group-contribution/nearest-neighbour</t>
        </is>
      </c>
      <c r="H4729" t="inlineStr">
        <is>
          <t>S013_EST_HSP_HEURISTIC</t>
        </is>
      </c>
      <c r="I4729" t="inlineStr">
        <is>
          <t>estimated</t>
        </is>
      </c>
      <c r="J4729">
        <v>0.35</v>
      </c>
      <c r="K4729" t="inlineStr">
        <is>
          <t>Provisional HSP for screening; replace with experimental/literature value before model lock.</t>
        </is>
      </c>
    </row>
    <row r="4730">
      <c r="A4730" t="inlineStr">
        <is>
          <t>POL_PVA</t>
        </is>
      </c>
      <c r="B4730" t="inlineStr">
        <is>
          <t>Hansen_delta_H</t>
        </is>
      </c>
      <c r="C4730">
        <v>10.0</v>
      </c>
      <c r="D4730" t="inlineStr">
        <is>
          <t>MPa^0.5</t>
        </is>
      </c>
      <c r="E4730"/>
      <c r="F4730"/>
      <c r="G4730" t="inlineStr">
        <is>
          <t>heuristic group-contribution/nearest-neighbour</t>
        </is>
      </c>
      <c r="H4730" t="inlineStr">
        <is>
          <t>S013_EST_HSP_HEURISTIC</t>
        </is>
      </c>
      <c r="I4730" t="inlineStr">
        <is>
          <t>estimated</t>
        </is>
      </c>
      <c r="J4730">
        <v>0.35</v>
      </c>
      <c r="K4730" t="inlineStr">
        <is>
          <t>Provisional HSP for screening; replace with experimental/literature value before model lock.</t>
        </is>
      </c>
    </row>
    <row r="4731">
      <c r="A4731" t="inlineStr">
        <is>
          <t>POL_PVA</t>
        </is>
      </c>
      <c r="B4731" t="inlineStr">
        <is>
          <t>Hildebrand_delta_T</t>
        </is>
      </c>
      <c r="C4731">
        <v>22.09</v>
      </c>
      <c r="D4731" t="inlineStr">
        <is>
          <t>MPa^0.5</t>
        </is>
      </c>
      <c r="E4731"/>
      <c r="F4731"/>
      <c r="G4731" t="inlineStr">
        <is>
          <t>sqrt(deltaD^2+deltaP^2+deltaH^2)</t>
        </is>
      </c>
      <c r="H4731" t="inlineStr">
        <is>
          <t>S012_CALCULATED</t>
        </is>
      </c>
      <c r="I4731" t="inlineStr">
        <is>
          <t>calculated</t>
        </is>
      </c>
      <c r="J4731">
        <v>0.39999999999999997</v>
      </c>
      <c r="K4731" t="inlineStr">
        <is>
          <t>Derived from stored Hansen components.</t>
        </is>
      </c>
    </row>
    <row r="4732">
      <c r="A4732" t="inlineStr">
        <is>
          <t>POL_PVA</t>
        </is>
      </c>
      <c r="B4732" t="inlineStr">
        <is>
          <t>HSP_radius_R0</t>
        </is>
      </c>
      <c r="C4732">
        <v>9.0</v>
      </c>
      <c r="D4732" t="inlineStr">
        <is>
          <t>MPa^0.5</t>
        </is>
      </c>
      <c r="E4732"/>
      <c r="F4732"/>
      <c r="G4732" t="inlineStr">
        <is>
          <t>literature/heuristic solubility sphere</t>
        </is>
      </c>
      <c r="H4732" t="inlineStr">
        <is>
          <t>S013_EST_HSP_HEURISTIC</t>
        </is>
      </c>
      <c r="I4732" t="inlineStr">
        <is>
          <t>estimated</t>
        </is>
      </c>
      <c r="J4732">
        <v>0.35</v>
      </c>
      <c r="K4732" t="inlineStr">
        <is>
          <t>Screening radius only unless experimentally determined.</t>
        </is>
      </c>
    </row>
    <row r="4733">
      <c r="A4733" t="inlineStr">
        <is>
          <t>POL_PVA</t>
        </is>
      </c>
      <c r="B4733" t="inlineStr">
        <is>
          <t>repeat_unit_molar_volume</t>
        </is>
      </c>
      <c r="C4733">
        <v>36.67</v>
      </c>
      <c r="D4733" t="inlineStr">
        <is>
          <t>cm3/mol</t>
        </is>
      </c>
      <c r="E4733"/>
      <c r="F4733"/>
      <c r="G4733" t="inlineStr">
        <is>
          <t>repeat-unit MW / assumed density</t>
        </is>
      </c>
      <c r="H4733" t="inlineStr">
        <is>
          <t>S012_CALCULATED</t>
        </is>
      </c>
      <c r="I4733" t="inlineStr">
        <is>
          <t>estimated</t>
        </is>
      </c>
      <c r="J4733">
        <v>0.35</v>
      </c>
      <c r="K4733"/>
    </row>
    <row r="4734">
      <c r="A4734" t="inlineStr">
        <is>
          <t>POL_PVP_K30</t>
        </is>
      </c>
      <c r="B4734" t="inlineStr">
        <is>
          <t>repeat_unit_mw_g_mol</t>
        </is>
      </c>
      <c r="C4734">
        <v>111</v>
      </c>
      <c r="D4734" t="inlineStr">
        <is>
          <t>g/mol</t>
        </is>
      </c>
      <c r="E4734"/>
      <c r="F4734"/>
      <c r="G4734"/>
      <c r="H4734" t="inlineStr">
        <is>
          <t>S007_EXCIPIENTS_HANDBOOK</t>
        </is>
      </c>
      <c r="I4734" t="inlineStr">
        <is>
          <t>handbook</t>
        </is>
      </c>
      <c r="J4734">
        <v>0.65</v>
      </c>
      <c r="K4734"/>
    </row>
    <row r="4735">
      <c r="A4735" t="inlineStr">
        <is>
          <t>POL_PVP_K30</t>
        </is>
      </c>
      <c r="B4735" t="inlineStr">
        <is>
          <t>average_mw_g_mol</t>
        </is>
      </c>
      <c r="C4735">
        <v>40000</v>
      </c>
      <c r="D4735" t="inlineStr">
        <is>
          <t>g/mol</t>
        </is>
      </c>
      <c r="E4735"/>
      <c r="F4735"/>
      <c r="G4735" t="inlineStr">
        <is>
          <t>grade-dependent</t>
        </is>
      </c>
      <c r="H4735" t="inlineStr">
        <is>
          <t>S007_EXCIPIENTS_HANDBOOK</t>
        </is>
      </c>
      <c r="I4735" t="inlineStr">
        <is>
          <t>supplier-reported</t>
        </is>
      </c>
      <c r="J4735">
        <v>0.45</v>
      </c>
      <c r="K4735"/>
    </row>
    <row r="4736">
      <c r="A4736" t="inlineStr">
        <is>
          <t>POL_PVP_K30</t>
        </is>
      </c>
      <c r="B4736" t="inlineStr">
        <is>
          <t>Tg_C</t>
        </is>
      </c>
      <c r="C4736">
        <v>150</v>
      </c>
      <c r="D4736" t="inlineStr">
        <is>
          <t>°C</t>
        </is>
      </c>
      <c r="E4736"/>
      <c r="F4736"/>
      <c r="G4736" t="inlineStr">
        <is>
          <t>grade/substitution dependent</t>
        </is>
      </c>
      <c r="H4736" t="inlineStr">
        <is>
          <t>S007_EXCIPIENTS_HANDBOOK</t>
        </is>
      </c>
      <c r="I4736" t="inlineStr">
        <is>
          <t>handbook</t>
        </is>
      </c>
      <c r="J4736">
        <v>0.48</v>
      </c>
      <c r="K4736"/>
    </row>
    <row r="4737">
      <c r="A4737" t="inlineStr">
        <is>
          <t>POL_PVP_K30</t>
        </is>
      </c>
      <c r="B4737" t="inlineStr">
        <is>
          <t>charge_type</t>
        </is>
      </c>
      <c r="C4737" t="inlineStr">
        <is>
          <t>neutral</t>
        </is>
      </c>
      <c r="D4737"/>
      <c r="E4737"/>
      <c r="F4737"/>
      <c r="G4737"/>
      <c r="H4737" t="inlineStr">
        <is>
          <t>S007_EXCIPIENTS_HANDBOOK</t>
        </is>
      </c>
      <c r="I4737" t="inlineStr">
        <is>
          <t>curated</t>
        </is>
      </c>
      <c r="J4737">
        <v>0.75</v>
      </c>
      <c r="K4737"/>
    </row>
    <row r="4738">
      <c r="A4738" t="inlineStr">
        <is>
          <t>POL_PVP_K30</t>
        </is>
      </c>
      <c r="B4738" t="inlineStr">
        <is>
          <t>formal_charge</t>
        </is>
      </c>
      <c r="C4738">
        <v>0</v>
      </c>
      <c r="D4738" t="inlineStr">
        <is>
          <t>e</t>
        </is>
      </c>
      <c r="E4738"/>
      <c r="F4738"/>
      <c r="G4738"/>
      <c r="H4738" t="inlineStr">
        <is>
          <t>S007_EXCIPIENTS_HANDBOOK</t>
        </is>
      </c>
      <c r="I4738" t="inlineStr">
        <is>
          <t>curated</t>
        </is>
      </c>
      <c r="J4738">
        <v>0.75</v>
      </c>
      <c r="K4738"/>
    </row>
    <row r="4739">
      <c r="A4739" t="inlineStr">
        <is>
          <t>POL_PVP_K30</t>
        </is>
      </c>
      <c r="B4739" t="inlineStr">
        <is>
          <t>solubility_in_water</t>
        </is>
      </c>
      <c r="C4739" t="inlineStr">
        <is>
          <t>high</t>
        </is>
      </c>
      <c r="D4739"/>
      <c r="E4739"/>
      <c r="F4739"/>
      <c r="G4739"/>
      <c r="H4739" t="inlineStr">
        <is>
          <t>S007_EXCIPIENTS_HANDBOOK</t>
        </is>
      </c>
      <c r="I4739" t="inlineStr">
        <is>
          <t>handbook</t>
        </is>
      </c>
      <c r="J4739">
        <v>0.55</v>
      </c>
      <c r="K4739"/>
    </row>
    <row r="4740">
      <c r="A4740" t="inlineStr">
        <is>
          <t>POL_PVP_K30</t>
        </is>
      </c>
      <c r="B4740" t="inlineStr">
        <is>
          <t>solubility_in_ethanol</t>
        </is>
      </c>
      <c r="C4740" t="inlineStr">
        <is>
          <t>soluble</t>
        </is>
      </c>
      <c r="D4740"/>
      <c r="E4740"/>
      <c r="F4740"/>
      <c r="G4740"/>
      <c r="H4740" t="inlineStr">
        <is>
          <t>S007_EXCIPIENTS_HANDBOOK</t>
        </is>
      </c>
      <c r="I4740" t="inlineStr">
        <is>
          <t>handbook</t>
        </is>
      </c>
      <c r="J4740">
        <v>0.55</v>
      </c>
      <c r="K4740"/>
    </row>
    <row r="4741">
      <c r="A4741" t="inlineStr">
        <is>
          <t>POL_PVP_K30</t>
        </is>
      </c>
      <c r="B4741" t="inlineStr">
        <is>
          <t>solubility_in_acetone</t>
        </is>
      </c>
      <c r="C4741" t="inlineStr">
        <is>
          <t>soluble</t>
        </is>
      </c>
      <c r="D4741"/>
      <c r="E4741"/>
      <c r="F4741"/>
      <c r="G4741"/>
      <c r="H4741" t="inlineStr">
        <is>
          <t>S007_EXCIPIENTS_HANDBOOK</t>
        </is>
      </c>
      <c r="I4741" t="inlineStr">
        <is>
          <t>handbook</t>
        </is>
      </c>
      <c r="J4741">
        <v>0.55</v>
      </c>
      <c r="K4741"/>
    </row>
    <row r="4742">
      <c r="A4742" t="inlineStr">
        <is>
          <t>POL_PVP_K30</t>
        </is>
      </c>
      <c r="B4742" t="inlineStr">
        <is>
          <t>solubility_in_dcm</t>
        </is>
      </c>
      <c r="C4742" t="inlineStr">
        <is>
          <t>poor</t>
        </is>
      </c>
      <c r="D4742"/>
      <c r="E4742"/>
      <c r="F4742"/>
      <c r="G4742"/>
      <c r="H4742" t="inlineStr">
        <is>
          <t>S007_EXCIPIENTS_HANDBOOK</t>
        </is>
      </c>
      <c r="I4742" t="inlineStr">
        <is>
          <t>handbook</t>
        </is>
      </c>
      <c r="J4742">
        <v>0.55</v>
      </c>
      <c r="K4742"/>
    </row>
    <row r="4743">
      <c r="A4743" t="inlineStr">
        <is>
          <t>POL_PVP_K30</t>
        </is>
      </c>
      <c r="B4743" t="inlineStr">
        <is>
          <t>biodegradability</t>
        </is>
      </c>
      <c r="C4743" t="inlineStr">
        <is>
          <t>no</t>
        </is>
      </c>
      <c r="D4743"/>
      <c r="E4743"/>
      <c r="F4743"/>
      <c r="G4743"/>
      <c r="H4743" t="inlineStr">
        <is>
          <t>S014_AULTON</t>
        </is>
      </c>
      <c r="I4743" t="inlineStr">
        <is>
          <t>curated</t>
        </is>
      </c>
      <c r="J4743">
        <v>0.65</v>
      </c>
      <c r="K4743"/>
    </row>
    <row r="4744">
      <c r="A4744" t="inlineStr">
        <is>
          <t>POL_PVP_K30</t>
        </is>
      </c>
      <c r="B4744" t="inlineStr">
        <is>
          <t>mucoadhesive_flag</t>
        </is>
      </c>
      <c r="C4744" t="inlineStr">
        <is>
          <t>conditional</t>
        </is>
      </c>
      <c r="D4744"/>
      <c r="E4744"/>
      <c r="F4744"/>
      <c r="G4744"/>
      <c r="H4744" t="inlineStr">
        <is>
          <t>S014_AULTON</t>
        </is>
      </c>
      <c r="I4744" t="inlineStr">
        <is>
          <t>curated</t>
        </is>
      </c>
      <c r="J4744">
        <v>0.65</v>
      </c>
      <c r="K4744"/>
    </row>
    <row r="4745">
      <c r="A4745" t="inlineStr">
        <is>
          <t>POL_PVP_K30</t>
        </is>
      </c>
      <c r="B4745" t="inlineStr">
        <is>
          <t>coating_role</t>
        </is>
      </c>
      <c r="C4745" t="inlineStr">
        <is>
          <t>binder/coating</t>
        </is>
      </c>
      <c r="D4745"/>
      <c r="E4745"/>
      <c r="F4745"/>
      <c r="G4745"/>
      <c r="H4745" t="inlineStr">
        <is>
          <t>S014_AULTON</t>
        </is>
      </c>
      <c r="I4745" t="inlineStr">
        <is>
          <t>curated</t>
        </is>
      </c>
      <c r="J4745">
        <v>0.6</v>
      </c>
      <c r="K4745"/>
    </row>
    <row r="4746">
      <c r="A4746" t="inlineStr">
        <is>
          <t>POL_PVP_K30</t>
        </is>
      </c>
      <c r="B4746" t="inlineStr">
        <is>
          <t>stabilizer_role</t>
        </is>
      </c>
      <c r="C4746" t="inlineStr">
        <is>
          <t>yes</t>
        </is>
      </c>
      <c r="D4746"/>
      <c r="E4746"/>
      <c r="F4746"/>
      <c r="G4746"/>
      <c r="H4746" t="inlineStr">
        <is>
          <t>S014_AULTON</t>
        </is>
      </c>
      <c r="I4746" t="inlineStr">
        <is>
          <t>curated</t>
        </is>
      </c>
      <c r="J4746">
        <v>0.6</v>
      </c>
      <c r="K4746"/>
    </row>
    <row r="4747">
      <c r="A4747" t="inlineStr">
        <is>
          <t>POL_PVP_K30</t>
        </is>
      </c>
      <c r="B4747" t="inlineStr">
        <is>
          <t>route_suitability</t>
        </is>
      </c>
      <c r="C4747" t="inlineStr">
        <is>
          <t>polymeric/hybrid/coating/stabilizer systems; grade and route dependent</t>
        </is>
      </c>
      <c r="D4747"/>
      <c r="E4747"/>
      <c r="F4747"/>
      <c r="G4747"/>
      <c r="H4747" t="inlineStr">
        <is>
          <t>S008_FDA_IID</t>
        </is>
      </c>
      <c r="I4747" t="inlineStr">
        <is>
          <t>curated</t>
        </is>
      </c>
      <c r="J4747">
        <v>0.55</v>
      </c>
      <c r="K4747"/>
    </row>
    <row r="4748">
      <c r="A4748" t="inlineStr">
        <is>
          <t>POL_PVP_K30</t>
        </is>
      </c>
      <c r="B4748" t="inlineStr">
        <is>
          <t>toxicity_notes</t>
        </is>
      </c>
      <c r="C4748" t="inlineStr">
        <is>
          <t>polymer grade, residual monomers/solvents, endotoxin and molecular weight distribution must be controlled</t>
        </is>
      </c>
      <c r="D4748"/>
      <c r="E4748"/>
      <c r="F4748"/>
      <c r="G4748"/>
      <c r="H4748" t="inlineStr">
        <is>
          <t>S007_EXCIPIENTS_HANDBOOK</t>
        </is>
      </c>
      <c r="I4748" t="inlineStr">
        <is>
          <t>curated</t>
        </is>
      </c>
      <c r="J4748">
        <v>0.65</v>
      </c>
      <c r="K4748"/>
    </row>
    <row r="4749">
      <c r="A4749" t="inlineStr">
        <is>
          <t>POL_PVP_K30</t>
        </is>
      </c>
      <c r="B4749" t="inlineStr">
        <is>
          <t>Hansen_delta_D</t>
        </is>
      </c>
      <c r="C4749">
        <v>18.0</v>
      </c>
      <c r="D4749" t="inlineStr">
        <is>
          <t>MPa^0.5</t>
        </is>
      </c>
      <c r="E4749"/>
      <c r="F4749"/>
      <c r="G4749" t="inlineStr">
        <is>
          <t>heuristic group-contribution/nearest-neighbour</t>
        </is>
      </c>
      <c r="H4749" t="inlineStr">
        <is>
          <t>S013_EST_HSP_HEURISTIC</t>
        </is>
      </c>
      <c r="I4749" t="inlineStr">
        <is>
          <t>estimated</t>
        </is>
      </c>
      <c r="J4749">
        <v>0.35</v>
      </c>
      <c r="K4749" t="inlineStr">
        <is>
          <t>Provisional HSP for screening; replace with experimental/literature value before model lock.</t>
        </is>
      </c>
    </row>
    <row r="4750">
      <c r="A4750" t="inlineStr">
        <is>
          <t>POL_PVP_K30</t>
        </is>
      </c>
      <c r="B4750" t="inlineStr">
        <is>
          <t>Hansen_delta_P</t>
        </is>
      </c>
      <c r="C4750">
        <v>8.0</v>
      </c>
      <c r="D4750" t="inlineStr">
        <is>
          <t>MPa^0.5</t>
        </is>
      </c>
      <c r="E4750"/>
      <c r="F4750"/>
      <c r="G4750" t="inlineStr">
        <is>
          <t>heuristic group-contribution/nearest-neighbour</t>
        </is>
      </c>
      <c r="H4750" t="inlineStr">
        <is>
          <t>S013_EST_HSP_HEURISTIC</t>
        </is>
      </c>
      <c r="I4750" t="inlineStr">
        <is>
          <t>estimated</t>
        </is>
      </c>
      <c r="J4750">
        <v>0.35</v>
      </c>
      <c r="K4750" t="inlineStr">
        <is>
          <t>Provisional HSP for screening; replace with experimental/literature value before model lock.</t>
        </is>
      </c>
    </row>
    <row r="4751">
      <c r="A4751" t="inlineStr">
        <is>
          <t>POL_PVP_K30</t>
        </is>
      </c>
      <c r="B4751" t="inlineStr">
        <is>
          <t>Hansen_delta_H</t>
        </is>
      </c>
      <c r="C4751">
        <v>10.0</v>
      </c>
      <c r="D4751" t="inlineStr">
        <is>
          <t>MPa^0.5</t>
        </is>
      </c>
      <c r="E4751"/>
      <c r="F4751"/>
      <c r="G4751" t="inlineStr">
        <is>
          <t>heuristic group-contribution/nearest-neighbour</t>
        </is>
      </c>
      <c r="H4751" t="inlineStr">
        <is>
          <t>S013_EST_HSP_HEURISTIC</t>
        </is>
      </c>
      <c r="I4751" t="inlineStr">
        <is>
          <t>estimated</t>
        </is>
      </c>
      <c r="J4751">
        <v>0.35</v>
      </c>
      <c r="K4751" t="inlineStr">
        <is>
          <t>Provisional HSP for screening; replace with experimental/literature value before model lock.</t>
        </is>
      </c>
    </row>
    <row r="4752">
      <c r="A4752" t="inlineStr">
        <is>
          <t>POL_PVP_K30</t>
        </is>
      </c>
      <c r="B4752" t="inlineStr">
        <is>
          <t>Hildebrand_delta_T</t>
        </is>
      </c>
      <c r="C4752">
        <v>22.09</v>
      </c>
      <c r="D4752" t="inlineStr">
        <is>
          <t>MPa^0.5</t>
        </is>
      </c>
      <c r="E4752"/>
      <c r="F4752"/>
      <c r="G4752" t="inlineStr">
        <is>
          <t>sqrt(deltaD^2+deltaP^2+deltaH^2)</t>
        </is>
      </c>
      <c r="H4752" t="inlineStr">
        <is>
          <t>S012_CALCULATED</t>
        </is>
      </c>
      <c r="I4752" t="inlineStr">
        <is>
          <t>calculated</t>
        </is>
      </c>
      <c r="J4752">
        <v>0.39999999999999997</v>
      </c>
      <c r="K4752" t="inlineStr">
        <is>
          <t>Derived from stored Hansen components.</t>
        </is>
      </c>
    </row>
    <row r="4753">
      <c r="A4753" t="inlineStr">
        <is>
          <t>POL_PVP_K30</t>
        </is>
      </c>
      <c r="B4753" t="inlineStr">
        <is>
          <t>HSP_radius_R0</t>
        </is>
      </c>
      <c r="C4753">
        <v>9.0</v>
      </c>
      <c r="D4753" t="inlineStr">
        <is>
          <t>MPa^0.5</t>
        </is>
      </c>
      <c r="E4753"/>
      <c r="F4753"/>
      <c r="G4753" t="inlineStr">
        <is>
          <t>literature/heuristic solubility sphere</t>
        </is>
      </c>
      <c r="H4753" t="inlineStr">
        <is>
          <t>S013_EST_HSP_HEURISTIC</t>
        </is>
      </c>
      <c r="I4753" t="inlineStr">
        <is>
          <t>estimated</t>
        </is>
      </c>
      <c r="J4753">
        <v>0.35</v>
      </c>
      <c r="K4753" t="inlineStr">
        <is>
          <t>Screening radius only unless experimentally determined.</t>
        </is>
      </c>
    </row>
    <row r="4754">
      <c r="A4754" t="inlineStr">
        <is>
          <t>POL_PVP_K30</t>
        </is>
      </c>
      <c r="B4754" t="inlineStr">
        <is>
          <t>repeat_unit_molar_volume</t>
        </is>
      </c>
      <c r="C4754">
        <v>92.5</v>
      </c>
      <c r="D4754" t="inlineStr">
        <is>
          <t>cm3/mol</t>
        </is>
      </c>
      <c r="E4754"/>
      <c r="F4754"/>
      <c r="G4754" t="inlineStr">
        <is>
          <t>repeat-unit MW / assumed density</t>
        </is>
      </c>
      <c r="H4754" t="inlineStr">
        <is>
          <t>S012_CALCULATED</t>
        </is>
      </c>
      <c r="I4754" t="inlineStr">
        <is>
          <t>estimated</t>
        </is>
      </c>
      <c r="J4754">
        <v>0.35</v>
      </c>
      <c r="K4754"/>
    </row>
    <row r="4755">
      <c r="A4755" t="inlineStr">
        <is>
          <t>POL_PVP_K90</t>
        </is>
      </c>
      <c r="B4755" t="inlineStr">
        <is>
          <t>repeat_unit_mw_g_mol</t>
        </is>
      </c>
      <c r="C4755">
        <v>111</v>
      </c>
      <c r="D4755" t="inlineStr">
        <is>
          <t>g/mol</t>
        </is>
      </c>
      <c r="E4755"/>
      <c r="F4755"/>
      <c r="G4755"/>
      <c r="H4755" t="inlineStr">
        <is>
          <t>S007_EXCIPIENTS_HANDBOOK</t>
        </is>
      </c>
      <c r="I4755" t="inlineStr">
        <is>
          <t>handbook</t>
        </is>
      </c>
      <c r="J4755">
        <v>0.65</v>
      </c>
      <c r="K4755"/>
    </row>
    <row r="4756">
      <c r="A4756" t="inlineStr">
        <is>
          <t>POL_PVP_K90</t>
        </is>
      </c>
      <c r="B4756" t="inlineStr">
        <is>
          <t>average_mw_g_mol</t>
        </is>
      </c>
      <c r="C4756">
        <v>1000000</v>
      </c>
      <c r="D4756" t="inlineStr">
        <is>
          <t>g/mol</t>
        </is>
      </c>
      <c r="E4756"/>
      <c r="F4756"/>
      <c r="G4756" t="inlineStr">
        <is>
          <t>grade-dependent</t>
        </is>
      </c>
      <c r="H4756" t="inlineStr">
        <is>
          <t>S007_EXCIPIENTS_HANDBOOK</t>
        </is>
      </c>
      <c r="I4756" t="inlineStr">
        <is>
          <t>supplier-reported</t>
        </is>
      </c>
      <c r="J4756">
        <v>0.45</v>
      </c>
      <c r="K4756"/>
    </row>
    <row r="4757">
      <c r="A4757" t="inlineStr">
        <is>
          <t>POL_PVP_K90</t>
        </is>
      </c>
      <c r="B4757" t="inlineStr">
        <is>
          <t>Tg_C</t>
        </is>
      </c>
      <c r="C4757">
        <v>150</v>
      </c>
      <c r="D4757" t="inlineStr">
        <is>
          <t>°C</t>
        </is>
      </c>
      <c r="E4757"/>
      <c r="F4757"/>
      <c r="G4757" t="inlineStr">
        <is>
          <t>grade/substitution dependent</t>
        </is>
      </c>
      <c r="H4757" t="inlineStr">
        <is>
          <t>S007_EXCIPIENTS_HANDBOOK</t>
        </is>
      </c>
      <c r="I4757" t="inlineStr">
        <is>
          <t>handbook</t>
        </is>
      </c>
      <c r="J4757">
        <v>0.48</v>
      </c>
      <c r="K4757"/>
    </row>
    <row r="4758">
      <c r="A4758" t="inlineStr">
        <is>
          <t>POL_PVP_K90</t>
        </is>
      </c>
      <c r="B4758" t="inlineStr">
        <is>
          <t>charge_type</t>
        </is>
      </c>
      <c r="C4758" t="inlineStr">
        <is>
          <t>neutral</t>
        </is>
      </c>
      <c r="D4758"/>
      <c r="E4758"/>
      <c r="F4758"/>
      <c r="G4758"/>
      <c r="H4758" t="inlineStr">
        <is>
          <t>S007_EXCIPIENTS_HANDBOOK</t>
        </is>
      </c>
      <c r="I4758" t="inlineStr">
        <is>
          <t>curated</t>
        </is>
      </c>
      <c r="J4758">
        <v>0.75</v>
      </c>
      <c r="K4758"/>
    </row>
    <row r="4759">
      <c r="A4759" t="inlineStr">
        <is>
          <t>POL_PVP_K90</t>
        </is>
      </c>
      <c r="B4759" t="inlineStr">
        <is>
          <t>formal_charge</t>
        </is>
      </c>
      <c r="C4759">
        <v>0</v>
      </c>
      <c r="D4759" t="inlineStr">
        <is>
          <t>e</t>
        </is>
      </c>
      <c r="E4759"/>
      <c r="F4759"/>
      <c r="G4759"/>
      <c r="H4759" t="inlineStr">
        <is>
          <t>S007_EXCIPIENTS_HANDBOOK</t>
        </is>
      </c>
      <c r="I4759" t="inlineStr">
        <is>
          <t>curated</t>
        </is>
      </c>
      <c r="J4759">
        <v>0.75</v>
      </c>
      <c r="K4759"/>
    </row>
    <row r="4760">
      <c r="A4760" t="inlineStr">
        <is>
          <t>POL_PVP_K90</t>
        </is>
      </c>
      <c r="B4760" t="inlineStr">
        <is>
          <t>solubility_in_water</t>
        </is>
      </c>
      <c r="C4760" t="inlineStr">
        <is>
          <t>high</t>
        </is>
      </c>
      <c r="D4760"/>
      <c r="E4760"/>
      <c r="F4760"/>
      <c r="G4760"/>
      <c r="H4760" t="inlineStr">
        <is>
          <t>S007_EXCIPIENTS_HANDBOOK</t>
        </is>
      </c>
      <c r="I4760" t="inlineStr">
        <is>
          <t>handbook</t>
        </is>
      </c>
      <c r="J4760">
        <v>0.55</v>
      </c>
      <c r="K4760"/>
    </row>
    <row r="4761">
      <c r="A4761" t="inlineStr">
        <is>
          <t>POL_PVP_K90</t>
        </is>
      </c>
      <c r="B4761" t="inlineStr">
        <is>
          <t>solubility_in_ethanol</t>
        </is>
      </c>
      <c r="C4761" t="inlineStr">
        <is>
          <t>soluble</t>
        </is>
      </c>
      <c r="D4761"/>
      <c r="E4761"/>
      <c r="F4761"/>
      <c r="G4761"/>
      <c r="H4761" t="inlineStr">
        <is>
          <t>S007_EXCIPIENTS_HANDBOOK</t>
        </is>
      </c>
      <c r="I4761" t="inlineStr">
        <is>
          <t>handbook</t>
        </is>
      </c>
      <c r="J4761">
        <v>0.55</v>
      </c>
      <c r="K4761"/>
    </row>
    <row r="4762">
      <c r="A4762" t="inlineStr">
        <is>
          <t>POL_PVP_K90</t>
        </is>
      </c>
      <c r="B4762" t="inlineStr">
        <is>
          <t>solubility_in_acetone</t>
        </is>
      </c>
      <c r="C4762" t="inlineStr">
        <is>
          <t>soluble</t>
        </is>
      </c>
      <c r="D4762"/>
      <c r="E4762"/>
      <c r="F4762"/>
      <c r="G4762"/>
      <c r="H4762" t="inlineStr">
        <is>
          <t>S007_EXCIPIENTS_HANDBOOK</t>
        </is>
      </c>
      <c r="I4762" t="inlineStr">
        <is>
          <t>handbook</t>
        </is>
      </c>
      <c r="J4762">
        <v>0.55</v>
      </c>
      <c r="K4762"/>
    </row>
    <row r="4763">
      <c r="A4763" t="inlineStr">
        <is>
          <t>POL_PVP_K90</t>
        </is>
      </c>
      <c r="B4763" t="inlineStr">
        <is>
          <t>solubility_in_dcm</t>
        </is>
      </c>
      <c r="C4763" t="inlineStr">
        <is>
          <t>poor</t>
        </is>
      </c>
      <c r="D4763"/>
      <c r="E4763"/>
      <c r="F4763"/>
      <c r="G4763"/>
      <c r="H4763" t="inlineStr">
        <is>
          <t>S007_EXCIPIENTS_HANDBOOK</t>
        </is>
      </c>
      <c r="I4763" t="inlineStr">
        <is>
          <t>handbook</t>
        </is>
      </c>
      <c r="J4763">
        <v>0.55</v>
      </c>
      <c r="K4763"/>
    </row>
    <row r="4764">
      <c r="A4764" t="inlineStr">
        <is>
          <t>POL_PVP_K90</t>
        </is>
      </c>
      <c r="B4764" t="inlineStr">
        <is>
          <t>biodegradability</t>
        </is>
      </c>
      <c r="C4764" t="inlineStr">
        <is>
          <t>no</t>
        </is>
      </c>
      <c r="D4764"/>
      <c r="E4764"/>
      <c r="F4764"/>
      <c r="G4764"/>
      <c r="H4764" t="inlineStr">
        <is>
          <t>S014_AULTON</t>
        </is>
      </c>
      <c r="I4764" t="inlineStr">
        <is>
          <t>curated</t>
        </is>
      </c>
      <c r="J4764">
        <v>0.65</v>
      </c>
      <c r="K4764"/>
    </row>
    <row r="4765">
      <c r="A4765" t="inlineStr">
        <is>
          <t>POL_PVP_K90</t>
        </is>
      </c>
      <c r="B4765" t="inlineStr">
        <is>
          <t>mucoadhesive_flag</t>
        </is>
      </c>
      <c r="C4765" t="inlineStr">
        <is>
          <t>conditional</t>
        </is>
      </c>
      <c r="D4765"/>
      <c r="E4765"/>
      <c r="F4765"/>
      <c r="G4765"/>
      <c r="H4765" t="inlineStr">
        <is>
          <t>S014_AULTON</t>
        </is>
      </c>
      <c r="I4765" t="inlineStr">
        <is>
          <t>curated</t>
        </is>
      </c>
      <c r="J4765">
        <v>0.65</v>
      </c>
      <c r="K4765"/>
    </row>
    <row r="4766">
      <c r="A4766" t="inlineStr">
        <is>
          <t>POL_PVP_K90</t>
        </is>
      </c>
      <c r="B4766" t="inlineStr">
        <is>
          <t>coating_role</t>
        </is>
      </c>
      <c r="C4766" t="inlineStr">
        <is>
          <t>binder/coating</t>
        </is>
      </c>
      <c r="D4766"/>
      <c r="E4766"/>
      <c r="F4766"/>
      <c r="G4766"/>
      <c r="H4766" t="inlineStr">
        <is>
          <t>S014_AULTON</t>
        </is>
      </c>
      <c r="I4766" t="inlineStr">
        <is>
          <t>curated</t>
        </is>
      </c>
      <c r="J4766">
        <v>0.6</v>
      </c>
      <c r="K4766"/>
    </row>
    <row r="4767">
      <c r="A4767" t="inlineStr">
        <is>
          <t>POL_PVP_K90</t>
        </is>
      </c>
      <c r="B4767" t="inlineStr">
        <is>
          <t>stabilizer_role</t>
        </is>
      </c>
      <c r="C4767" t="inlineStr">
        <is>
          <t>yes</t>
        </is>
      </c>
      <c r="D4767"/>
      <c r="E4767"/>
      <c r="F4767"/>
      <c r="G4767"/>
      <c r="H4767" t="inlineStr">
        <is>
          <t>S014_AULTON</t>
        </is>
      </c>
      <c r="I4767" t="inlineStr">
        <is>
          <t>curated</t>
        </is>
      </c>
      <c r="J4767">
        <v>0.6</v>
      </c>
      <c r="K4767"/>
    </row>
    <row r="4768">
      <c r="A4768" t="inlineStr">
        <is>
          <t>POL_PVP_K90</t>
        </is>
      </c>
      <c r="B4768" t="inlineStr">
        <is>
          <t>route_suitability</t>
        </is>
      </c>
      <c r="C4768" t="inlineStr">
        <is>
          <t>polymeric/hybrid/coating/stabilizer systems; grade and route dependent</t>
        </is>
      </c>
      <c r="D4768"/>
      <c r="E4768"/>
      <c r="F4768"/>
      <c r="G4768"/>
      <c r="H4768" t="inlineStr">
        <is>
          <t>S008_FDA_IID</t>
        </is>
      </c>
      <c r="I4768" t="inlineStr">
        <is>
          <t>curated</t>
        </is>
      </c>
      <c r="J4768">
        <v>0.55</v>
      </c>
      <c r="K4768"/>
    </row>
    <row r="4769">
      <c r="A4769" t="inlineStr">
        <is>
          <t>POL_PVP_K90</t>
        </is>
      </c>
      <c r="B4769" t="inlineStr">
        <is>
          <t>toxicity_notes</t>
        </is>
      </c>
      <c r="C4769" t="inlineStr">
        <is>
          <t>polymer grade, residual monomers/solvents, endotoxin and molecular weight distribution must be controlled</t>
        </is>
      </c>
      <c r="D4769"/>
      <c r="E4769"/>
      <c r="F4769"/>
      <c r="G4769"/>
      <c r="H4769" t="inlineStr">
        <is>
          <t>S007_EXCIPIENTS_HANDBOOK</t>
        </is>
      </c>
      <c r="I4769" t="inlineStr">
        <is>
          <t>curated</t>
        </is>
      </c>
      <c r="J4769">
        <v>0.65</v>
      </c>
      <c r="K4769"/>
    </row>
    <row r="4770">
      <c r="A4770" t="inlineStr">
        <is>
          <t>POL_PVP_K90</t>
        </is>
      </c>
      <c r="B4770" t="inlineStr">
        <is>
          <t>Hansen_delta_D</t>
        </is>
      </c>
      <c r="C4770">
        <v>18.0</v>
      </c>
      <c r="D4770" t="inlineStr">
        <is>
          <t>MPa^0.5</t>
        </is>
      </c>
      <c r="E4770"/>
      <c r="F4770"/>
      <c r="G4770" t="inlineStr">
        <is>
          <t>heuristic group-contribution/nearest-neighbour</t>
        </is>
      </c>
      <c r="H4770" t="inlineStr">
        <is>
          <t>S013_EST_HSP_HEURISTIC</t>
        </is>
      </c>
      <c r="I4770" t="inlineStr">
        <is>
          <t>estimated</t>
        </is>
      </c>
      <c r="J4770">
        <v>0.35</v>
      </c>
      <c r="K4770" t="inlineStr">
        <is>
          <t>Provisional HSP for screening; replace with experimental/literature value before model lock.</t>
        </is>
      </c>
    </row>
    <row r="4771">
      <c r="A4771" t="inlineStr">
        <is>
          <t>POL_PVP_K90</t>
        </is>
      </c>
      <c r="B4771" t="inlineStr">
        <is>
          <t>Hansen_delta_P</t>
        </is>
      </c>
      <c r="C4771">
        <v>8.0</v>
      </c>
      <c r="D4771" t="inlineStr">
        <is>
          <t>MPa^0.5</t>
        </is>
      </c>
      <c r="E4771"/>
      <c r="F4771"/>
      <c r="G4771" t="inlineStr">
        <is>
          <t>heuristic group-contribution/nearest-neighbour</t>
        </is>
      </c>
      <c r="H4771" t="inlineStr">
        <is>
          <t>S013_EST_HSP_HEURISTIC</t>
        </is>
      </c>
      <c r="I4771" t="inlineStr">
        <is>
          <t>estimated</t>
        </is>
      </c>
      <c r="J4771">
        <v>0.35</v>
      </c>
      <c r="K4771" t="inlineStr">
        <is>
          <t>Provisional HSP for screening; replace with experimental/literature value before model lock.</t>
        </is>
      </c>
    </row>
    <row r="4772">
      <c r="A4772" t="inlineStr">
        <is>
          <t>POL_PVP_K90</t>
        </is>
      </c>
      <c r="B4772" t="inlineStr">
        <is>
          <t>Hansen_delta_H</t>
        </is>
      </c>
      <c r="C4772">
        <v>10.0</v>
      </c>
      <c r="D4772" t="inlineStr">
        <is>
          <t>MPa^0.5</t>
        </is>
      </c>
      <c r="E4772"/>
      <c r="F4772"/>
      <c r="G4772" t="inlineStr">
        <is>
          <t>heuristic group-contribution/nearest-neighbour</t>
        </is>
      </c>
      <c r="H4772" t="inlineStr">
        <is>
          <t>S013_EST_HSP_HEURISTIC</t>
        </is>
      </c>
      <c r="I4772" t="inlineStr">
        <is>
          <t>estimated</t>
        </is>
      </c>
      <c r="J4772">
        <v>0.35</v>
      </c>
      <c r="K4772" t="inlineStr">
        <is>
          <t>Provisional HSP for screening; replace with experimental/literature value before model lock.</t>
        </is>
      </c>
    </row>
    <row r="4773">
      <c r="A4773" t="inlineStr">
        <is>
          <t>POL_PVP_K90</t>
        </is>
      </c>
      <c r="B4773" t="inlineStr">
        <is>
          <t>Hildebrand_delta_T</t>
        </is>
      </c>
      <c r="C4773">
        <v>22.09</v>
      </c>
      <c r="D4773" t="inlineStr">
        <is>
          <t>MPa^0.5</t>
        </is>
      </c>
      <c r="E4773"/>
      <c r="F4773"/>
      <c r="G4773" t="inlineStr">
        <is>
          <t>sqrt(deltaD^2+deltaP^2+deltaH^2)</t>
        </is>
      </c>
      <c r="H4773" t="inlineStr">
        <is>
          <t>S012_CALCULATED</t>
        </is>
      </c>
      <c r="I4773" t="inlineStr">
        <is>
          <t>calculated</t>
        </is>
      </c>
      <c r="J4773">
        <v>0.39999999999999997</v>
      </c>
      <c r="K4773" t="inlineStr">
        <is>
          <t>Derived from stored Hansen components.</t>
        </is>
      </c>
    </row>
    <row r="4774">
      <c r="A4774" t="inlineStr">
        <is>
          <t>POL_PVP_K90</t>
        </is>
      </c>
      <c r="B4774" t="inlineStr">
        <is>
          <t>HSP_radius_R0</t>
        </is>
      </c>
      <c r="C4774">
        <v>9.0</v>
      </c>
      <c r="D4774" t="inlineStr">
        <is>
          <t>MPa^0.5</t>
        </is>
      </c>
      <c r="E4774"/>
      <c r="F4774"/>
      <c r="G4774" t="inlineStr">
        <is>
          <t>literature/heuristic solubility sphere</t>
        </is>
      </c>
      <c r="H4774" t="inlineStr">
        <is>
          <t>S013_EST_HSP_HEURISTIC</t>
        </is>
      </c>
      <c r="I4774" t="inlineStr">
        <is>
          <t>estimated</t>
        </is>
      </c>
      <c r="J4774">
        <v>0.35</v>
      </c>
      <c r="K4774" t="inlineStr">
        <is>
          <t>Screening radius only unless experimentally determined.</t>
        </is>
      </c>
    </row>
    <row r="4775">
      <c r="A4775" t="inlineStr">
        <is>
          <t>POL_PVP_K90</t>
        </is>
      </c>
      <c r="B4775" t="inlineStr">
        <is>
          <t>repeat_unit_molar_volume</t>
        </is>
      </c>
      <c r="C4775">
        <v>92.5</v>
      </c>
      <c r="D4775" t="inlineStr">
        <is>
          <t>cm3/mol</t>
        </is>
      </c>
      <c r="E4775"/>
      <c r="F4775"/>
      <c r="G4775" t="inlineStr">
        <is>
          <t>repeat-unit MW / assumed density</t>
        </is>
      </c>
      <c r="H4775" t="inlineStr">
        <is>
          <t>S012_CALCULATED</t>
        </is>
      </c>
      <c r="I4775" t="inlineStr">
        <is>
          <t>estimated</t>
        </is>
      </c>
      <c r="J4775">
        <v>0.35</v>
      </c>
      <c r="K4775"/>
    </row>
    <row r="4776">
      <c r="A4776" t="inlineStr">
        <is>
          <t>POL_HPMC</t>
        </is>
      </c>
      <c r="B4776" t="inlineStr">
        <is>
          <t>average_mw_g_mol</t>
        </is>
      </c>
      <c r="C4776">
        <v>86000</v>
      </c>
      <c r="D4776" t="inlineStr">
        <is>
          <t>g/mol</t>
        </is>
      </c>
      <c r="E4776"/>
      <c r="F4776"/>
      <c r="G4776" t="inlineStr">
        <is>
          <t>grade-dependent</t>
        </is>
      </c>
      <c r="H4776" t="inlineStr">
        <is>
          <t>S007_EXCIPIENTS_HANDBOOK</t>
        </is>
      </c>
      <c r="I4776" t="inlineStr">
        <is>
          <t>supplier-reported</t>
        </is>
      </c>
      <c r="J4776">
        <v>0.45</v>
      </c>
      <c r="K4776"/>
    </row>
    <row r="4777">
      <c r="A4777" t="inlineStr">
        <is>
          <t>POL_HPMC</t>
        </is>
      </c>
      <c r="B4777" t="inlineStr">
        <is>
          <t>Tg_C</t>
        </is>
      </c>
      <c r="C4777">
        <v>170</v>
      </c>
      <c r="D4777" t="inlineStr">
        <is>
          <t>°C</t>
        </is>
      </c>
      <c r="E4777"/>
      <c r="F4777"/>
      <c r="G4777" t="inlineStr">
        <is>
          <t>grade/substitution dependent</t>
        </is>
      </c>
      <c r="H4777" t="inlineStr">
        <is>
          <t>S007_EXCIPIENTS_HANDBOOK</t>
        </is>
      </c>
      <c r="I4777" t="inlineStr">
        <is>
          <t>handbook</t>
        </is>
      </c>
      <c r="J4777">
        <v>0.48</v>
      </c>
      <c r="K4777"/>
    </row>
    <row r="4778">
      <c r="A4778" t="inlineStr">
        <is>
          <t>POL_HPMC</t>
        </is>
      </c>
      <c r="B4778" t="inlineStr">
        <is>
          <t>charge_type</t>
        </is>
      </c>
      <c r="C4778" t="inlineStr">
        <is>
          <t>neutral</t>
        </is>
      </c>
      <c r="D4778"/>
      <c r="E4778"/>
      <c r="F4778"/>
      <c r="G4778"/>
      <c r="H4778" t="inlineStr">
        <is>
          <t>S007_EXCIPIENTS_HANDBOOK</t>
        </is>
      </c>
      <c r="I4778" t="inlineStr">
        <is>
          <t>curated</t>
        </is>
      </c>
      <c r="J4778">
        <v>0.75</v>
      </c>
      <c r="K4778"/>
    </row>
    <row r="4779">
      <c r="A4779" t="inlineStr">
        <is>
          <t>POL_HPMC</t>
        </is>
      </c>
      <c r="B4779" t="inlineStr">
        <is>
          <t>formal_charge</t>
        </is>
      </c>
      <c r="C4779">
        <v>0</v>
      </c>
      <c r="D4779" t="inlineStr">
        <is>
          <t>e</t>
        </is>
      </c>
      <c r="E4779"/>
      <c r="F4779"/>
      <c r="G4779"/>
      <c r="H4779" t="inlineStr">
        <is>
          <t>S007_EXCIPIENTS_HANDBOOK</t>
        </is>
      </c>
      <c r="I4779" t="inlineStr">
        <is>
          <t>curated</t>
        </is>
      </c>
      <c r="J4779">
        <v>0.75</v>
      </c>
      <c r="K4779"/>
    </row>
    <row r="4780">
      <c r="A4780" t="inlineStr">
        <is>
          <t>POL_HPMC</t>
        </is>
      </c>
      <c r="B4780" t="inlineStr">
        <is>
          <t>solubility_in_water</t>
        </is>
      </c>
      <c r="C4780" t="inlineStr">
        <is>
          <t>swells/soluble</t>
        </is>
      </c>
      <c r="D4780"/>
      <c r="E4780"/>
      <c r="F4780"/>
      <c r="G4780"/>
      <c r="H4780" t="inlineStr">
        <is>
          <t>S007_EXCIPIENTS_HANDBOOK</t>
        </is>
      </c>
      <c r="I4780" t="inlineStr">
        <is>
          <t>handbook</t>
        </is>
      </c>
      <c r="J4780">
        <v>0.55</v>
      </c>
      <c r="K4780"/>
    </row>
    <row r="4781">
      <c r="A4781" t="inlineStr">
        <is>
          <t>POL_HPMC</t>
        </is>
      </c>
      <c r="B4781" t="inlineStr">
        <is>
          <t>solubility_in_ethanol</t>
        </is>
      </c>
      <c r="C4781" t="inlineStr">
        <is>
          <t>poor</t>
        </is>
      </c>
      <c r="D4781"/>
      <c r="E4781"/>
      <c r="F4781"/>
      <c r="G4781"/>
      <c r="H4781" t="inlineStr">
        <is>
          <t>S007_EXCIPIENTS_HANDBOOK</t>
        </is>
      </c>
      <c r="I4781" t="inlineStr">
        <is>
          <t>handbook</t>
        </is>
      </c>
      <c r="J4781">
        <v>0.55</v>
      </c>
      <c r="K4781"/>
    </row>
    <row r="4782">
      <c r="A4782" t="inlineStr">
        <is>
          <t>POL_HPMC</t>
        </is>
      </c>
      <c r="B4782" t="inlineStr">
        <is>
          <t>solubility_in_acetone</t>
        </is>
      </c>
      <c r="C4782" t="inlineStr">
        <is>
          <t>poor</t>
        </is>
      </c>
      <c r="D4782"/>
      <c r="E4782"/>
      <c r="F4782"/>
      <c r="G4782"/>
      <c r="H4782" t="inlineStr">
        <is>
          <t>S007_EXCIPIENTS_HANDBOOK</t>
        </is>
      </c>
      <c r="I4782" t="inlineStr">
        <is>
          <t>handbook</t>
        </is>
      </c>
      <c r="J4782">
        <v>0.55</v>
      </c>
      <c r="K4782"/>
    </row>
    <row r="4783">
      <c r="A4783" t="inlineStr">
        <is>
          <t>POL_HPMC</t>
        </is>
      </c>
      <c r="B4783" t="inlineStr">
        <is>
          <t>solubility_in_dcm</t>
        </is>
      </c>
      <c r="C4783" t="inlineStr">
        <is>
          <t>poor</t>
        </is>
      </c>
      <c r="D4783"/>
      <c r="E4783"/>
      <c r="F4783"/>
      <c r="G4783"/>
      <c r="H4783" t="inlineStr">
        <is>
          <t>S007_EXCIPIENTS_HANDBOOK</t>
        </is>
      </c>
      <c r="I4783" t="inlineStr">
        <is>
          <t>handbook</t>
        </is>
      </c>
      <c r="J4783">
        <v>0.55</v>
      </c>
      <c r="K4783"/>
    </row>
    <row r="4784">
      <c r="A4784" t="inlineStr">
        <is>
          <t>POL_HPMC</t>
        </is>
      </c>
      <c r="B4784" t="inlineStr">
        <is>
          <t>biodegradability</t>
        </is>
      </c>
      <c r="C4784" t="inlineStr">
        <is>
          <t>no</t>
        </is>
      </c>
      <c r="D4784"/>
      <c r="E4784"/>
      <c r="F4784"/>
      <c r="G4784"/>
      <c r="H4784" t="inlineStr">
        <is>
          <t>S014_AULTON</t>
        </is>
      </c>
      <c r="I4784" t="inlineStr">
        <is>
          <t>curated</t>
        </is>
      </c>
      <c r="J4784">
        <v>0.65</v>
      </c>
      <c r="K4784"/>
    </row>
    <row r="4785">
      <c r="A4785" t="inlineStr">
        <is>
          <t>POL_HPMC</t>
        </is>
      </c>
      <c r="B4785" t="inlineStr">
        <is>
          <t>mucoadhesive_flag</t>
        </is>
      </c>
      <c r="C4785" t="inlineStr">
        <is>
          <t>yes</t>
        </is>
      </c>
      <c r="D4785"/>
      <c r="E4785"/>
      <c r="F4785"/>
      <c r="G4785"/>
      <c r="H4785" t="inlineStr">
        <is>
          <t>S014_AULTON</t>
        </is>
      </c>
      <c r="I4785" t="inlineStr">
        <is>
          <t>curated</t>
        </is>
      </c>
      <c r="J4785">
        <v>0.65</v>
      </c>
      <c r="K4785"/>
    </row>
    <row r="4786">
      <c r="A4786" t="inlineStr">
        <is>
          <t>POL_HPMC</t>
        </is>
      </c>
      <c r="B4786" t="inlineStr">
        <is>
          <t>coating_role</t>
        </is>
      </c>
      <c r="C4786" t="inlineStr">
        <is>
          <t>coating/matrix</t>
        </is>
      </c>
      <c r="D4786"/>
      <c r="E4786"/>
      <c r="F4786"/>
      <c r="G4786"/>
      <c r="H4786" t="inlineStr">
        <is>
          <t>S014_AULTON</t>
        </is>
      </c>
      <c r="I4786" t="inlineStr">
        <is>
          <t>curated</t>
        </is>
      </c>
      <c r="J4786">
        <v>0.6</v>
      </c>
      <c r="K4786"/>
    </row>
    <row r="4787">
      <c r="A4787" t="inlineStr">
        <is>
          <t>POL_HPMC</t>
        </is>
      </c>
      <c r="B4787" t="inlineStr">
        <is>
          <t>stabilizer_role</t>
        </is>
      </c>
      <c r="C4787" t="inlineStr">
        <is>
          <t>yes</t>
        </is>
      </c>
      <c r="D4787"/>
      <c r="E4787"/>
      <c r="F4787"/>
      <c r="G4787"/>
      <c r="H4787" t="inlineStr">
        <is>
          <t>S014_AULTON</t>
        </is>
      </c>
      <c r="I4787" t="inlineStr">
        <is>
          <t>curated</t>
        </is>
      </c>
      <c r="J4787">
        <v>0.6</v>
      </c>
      <c r="K4787"/>
    </row>
    <row r="4788">
      <c r="A4788" t="inlineStr">
        <is>
          <t>POL_HPMC</t>
        </is>
      </c>
      <c r="B4788" t="inlineStr">
        <is>
          <t>route_suitability</t>
        </is>
      </c>
      <c r="C4788" t="inlineStr">
        <is>
          <t>polymeric/hybrid/coating/stabilizer systems; grade and route dependent</t>
        </is>
      </c>
      <c r="D4788"/>
      <c r="E4788"/>
      <c r="F4788"/>
      <c r="G4788"/>
      <c r="H4788" t="inlineStr">
        <is>
          <t>S008_FDA_IID</t>
        </is>
      </c>
      <c r="I4788" t="inlineStr">
        <is>
          <t>curated</t>
        </is>
      </c>
      <c r="J4788">
        <v>0.55</v>
      </c>
      <c r="K4788"/>
    </row>
    <row r="4789">
      <c r="A4789" t="inlineStr">
        <is>
          <t>POL_HPMC</t>
        </is>
      </c>
      <c r="B4789" t="inlineStr">
        <is>
          <t>toxicity_notes</t>
        </is>
      </c>
      <c r="C4789" t="inlineStr">
        <is>
          <t>polymer grade, residual monomers/solvents, endotoxin and molecular weight distribution must be controlled</t>
        </is>
      </c>
      <c r="D4789"/>
      <c r="E4789"/>
      <c r="F4789"/>
      <c r="G4789"/>
      <c r="H4789" t="inlineStr">
        <is>
          <t>S007_EXCIPIENTS_HANDBOOK</t>
        </is>
      </c>
      <c r="I4789" t="inlineStr">
        <is>
          <t>curated</t>
        </is>
      </c>
      <c r="J4789">
        <v>0.65</v>
      </c>
      <c r="K4789"/>
    </row>
    <row r="4790">
      <c r="A4790" t="inlineStr">
        <is>
          <t>POL_HPMC</t>
        </is>
      </c>
      <c r="B4790" t="inlineStr">
        <is>
          <t>Hansen_delta_D</t>
        </is>
      </c>
      <c r="C4790">
        <v>18.0</v>
      </c>
      <c r="D4790" t="inlineStr">
        <is>
          <t>MPa^0.5</t>
        </is>
      </c>
      <c r="E4790"/>
      <c r="F4790"/>
      <c r="G4790" t="inlineStr">
        <is>
          <t>heuristic group-contribution/nearest-neighbour</t>
        </is>
      </c>
      <c r="H4790" t="inlineStr">
        <is>
          <t>S013_EST_HSP_HEURISTIC</t>
        </is>
      </c>
      <c r="I4790" t="inlineStr">
        <is>
          <t>estimated</t>
        </is>
      </c>
      <c r="J4790">
        <v>0.35</v>
      </c>
      <c r="K4790" t="inlineStr">
        <is>
          <t>Provisional HSP for screening; replace with experimental/literature value before model lock.</t>
        </is>
      </c>
    </row>
    <row r="4791">
      <c r="A4791" t="inlineStr">
        <is>
          <t>POL_HPMC</t>
        </is>
      </c>
      <c r="B4791" t="inlineStr">
        <is>
          <t>Hansen_delta_P</t>
        </is>
      </c>
      <c r="C4791">
        <v>8.0</v>
      </c>
      <c r="D4791" t="inlineStr">
        <is>
          <t>MPa^0.5</t>
        </is>
      </c>
      <c r="E4791"/>
      <c r="F4791"/>
      <c r="G4791" t="inlineStr">
        <is>
          <t>heuristic group-contribution/nearest-neighbour</t>
        </is>
      </c>
      <c r="H4791" t="inlineStr">
        <is>
          <t>S013_EST_HSP_HEURISTIC</t>
        </is>
      </c>
      <c r="I4791" t="inlineStr">
        <is>
          <t>estimated</t>
        </is>
      </c>
      <c r="J4791">
        <v>0.35</v>
      </c>
      <c r="K4791" t="inlineStr">
        <is>
          <t>Provisional HSP for screening; replace with experimental/literature value before model lock.</t>
        </is>
      </c>
    </row>
    <row r="4792">
      <c r="A4792" t="inlineStr">
        <is>
          <t>POL_HPMC</t>
        </is>
      </c>
      <c r="B4792" t="inlineStr">
        <is>
          <t>Hansen_delta_H</t>
        </is>
      </c>
      <c r="C4792">
        <v>10.0</v>
      </c>
      <c r="D4792" t="inlineStr">
        <is>
          <t>MPa^0.5</t>
        </is>
      </c>
      <c r="E4792"/>
      <c r="F4792"/>
      <c r="G4792" t="inlineStr">
        <is>
          <t>heuristic group-contribution/nearest-neighbour</t>
        </is>
      </c>
      <c r="H4792" t="inlineStr">
        <is>
          <t>S013_EST_HSP_HEURISTIC</t>
        </is>
      </c>
      <c r="I4792" t="inlineStr">
        <is>
          <t>estimated</t>
        </is>
      </c>
      <c r="J4792">
        <v>0.35</v>
      </c>
      <c r="K4792" t="inlineStr">
        <is>
          <t>Provisional HSP for screening; replace with experimental/literature value before model lock.</t>
        </is>
      </c>
    </row>
    <row r="4793">
      <c r="A4793" t="inlineStr">
        <is>
          <t>POL_HPMC</t>
        </is>
      </c>
      <c r="B4793" t="inlineStr">
        <is>
          <t>Hildebrand_delta_T</t>
        </is>
      </c>
      <c r="C4793">
        <v>22.09</v>
      </c>
      <c r="D4793" t="inlineStr">
        <is>
          <t>MPa^0.5</t>
        </is>
      </c>
      <c r="E4793"/>
      <c r="F4793"/>
      <c r="G4793" t="inlineStr">
        <is>
          <t>sqrt(deltaD^2+deltaP^2+deltaH^2)</t>
        </is>
      </c>
      <c r="H4793" t="inlineStr">
        <is>
          <t>S012_CALCULATED</t>
        </is>
      </c>
      <c r="I4793" t="inlineStr">
        <is>
          <t>calculated</t>
        </is>
      </c>
      <c r="J4793">
        <v>0.39999999999999997</v>
      </c>
      <c r="K4793" t="inlineStr">
        <is>
          <t>Derived from stored Hansen components.</t>
        </is>
      </c>
    </row>
    <row r="4794">
      <c r="A4794" t="inlineStr">
        <is>
          <t>POL_HPMC</t>
        </is>
      </c>
      <c r="B4794" t="inlineStr">
        <is>
          <t>HSP_radius_R0</t>
        </is>
      </c>
      <c r="C4794">
        <v>9.0</v>
      </c>
      <c r="D4794" t="inlineStr">
        <is>
          <t>MPa^0.5</t>
        </is>
      </c>
      <c r="E4794"/>
      <c r="F4794"/>
      <c r="G4794" t="inlineStr">
        <is>
          <t>literature/heuristic solubility sphere</t>
        </is>
      </c>
      <c r="H4794" t="inlineStr">
        <is>
          <t>S013_EST_HSP_HEURISTIC</t>
        </is>
      </c>
      <c r="I4794" t="inlineStr">
        <is>
          <t>estimated</t>
        </is>
      </c>
      <c r="J4794">
        <v>0.35</v>
      </c>
      <c r="K4794" t="inlineStr">
        <is>
          <t>Screening radius only unless experimentally determined.</t>
        </is>
      </c>
    </row>
    <row r="4795">
      <c r="A4795" t="inlineStr">
        <is>
          <t>POL_HPC</t>
        </is>
      </c>
      <c r="B4795" t="inlineStr">
        <is>
          <t>average_mw_g_mol</t>
        </is>
      </c>
      <c r="C4795">
        <v>100000</v>
      </c>
      <c r="D4795" t="inlineStr">
        <is>
          <t>g/mol</t>
        </is>
      </c>
      <c r="E4795"/>
      <c r="F4795"/>
      <c r="G4795" t="inlineStr">
        <is>
          <t>grade-dependent</t>
        </is>
      </c>
      <c r="H4795" t="inlineStr">
        <is>
          <t>S007_EXCIPIENTS_HANDBOOK</t>
        </is>
      </c>
      <c r="I4795" t="inlineStr">
        <is>
          <t>supplier-reported</t>
        </is>
      </c>
      <c r="J4795">
        <v>0.45</v>
      </c>
      <c r="K4795"/>
    </row>
    <row r="4796">
      <c r="A4796" t="inlineStr">
        <is>
          <t>POL_HPC</t>
        </is>
      </c>
      <c r="B4796" t="inlineStr">
        <is>
          <t>Tg_C</t>
        </is>
      </c>
      <c r="C4796">
        <v>100</v>
      </c>
      <c r="D4796" t="inlineStr">
        <is>
          <t>°C</t>
        </is>
      </c>
      <c r="E4796"/>
      <c r="F4796"/>
      <c r="G4796" t="inlineStr">
        <is>
          <t>grade/substitution dependent</t>
        </is>
      </c>
      <c r="H4796" t="inlineStr">
        <is>
          <t>S007_EXCIPIENTS_HANDBOOK</t>
        </is>
      </c>
      <c r="I4796" t="inlineStr">
        <is>
          <t>handbook</t>
        </is>
      </c>
      <c r="J4796">
        <v>0.48</v>
      </c>
      <c r="K4796"/>
    </row>
    <row r="4797">
      <c r="A4797" t="inlineStr">
        <is>
          <t>POL_HPC</t>
        </is>
      </c>
      <c r="B4797" t="inlineStr">
        <is>
          <t>charge_type</t>
        </is>
      </c>
      <c r="C4797" t="inlineStr">
        <is>
          <t>neutral</t>
        </is>
      </c>
      <c r="D4797"/>
      <c r="E4797"/>
      <c r="F4797"/>
      <c r="G4797"/>
      <c r="H4797" t="inlineStr">
        <is>
          <t>S007_EXCIPIENTS_HANDBOOK</t>
        </is>
      </c>
      <c r="I4797" t="inlineStr">
        <is>
          <t>curated</t>
        </is>
      </c>
      <c r="J4797">
        <v>0.75</v>
      </c>
      <c r="K4797"/>
    </row>
    <row r="4798">
      <c r="A4798" t="inlineStr">
        <is>
          <t>POL_HPC</t>
        </is>
      </c>
      <c r="B4798" t="inlineStr">
        <is>
          <t>formal_charge</t>
        </is>
      </c>
      <c r="C4798">
        <v>0</v>
      </c>
      <c r="D4798" t="inlineStr">
        <is>
          <t>e</t>
        </is>
      </c>
      <c r="E4798"/>
      <c r="F4798"/>
      <c r="G4798"/>
      <c r="H4798" t="inlineStr">
        <is>
          <t>S007_EXCIPIENTS_HANDBOOK</t>
        </is>
      </c>
      <c r="I4798" t="inlineStr">
        <is>
          <t>curated</t>
        </is>
      </c>
      <c r="J4798">
        <v>0.75</v>
      </c>
      <c r="K4798"/>
    </row>
    <row r="4799">
      <c r="A4799" t="inlineStr">
        <is>
          <t>POL_HPC</t>
        </is>
      </c>
      <c r="B4799" t="inlineStr">
        <is>
          <t>solubility_in_water</t>
        </is>
      </c>
      <c r="C4799" t="inlineStr">
        <is>
          <t>soluble</t>
        </is>
      </c>
      <c r="D4799"/>
      <c r="E4799"/>
      <c r="F4799"/>
      <c r="G4799"/>
      <c r="H4799" t="inlineStr">
        <is>
          <t>S007_EXCIPIENTS_HANDBOOK</t>
        </is>
      </c>
      <c r="I4799" t="inlineStr">
        <is>
          <t>handbook</t>
        </is>
      </c>
      <c r="J4799">
        <v>0.55</v>
      </c>
      <c r="K4799"/>
    </row>
    <row r="4800">
      <c r="A4800" t="inlineStr">
        <is>
          <t>POL_HPC</t>
        </is>
      </c>
      <c r="B4800" t="inlineStr">
        <is>
          <t>solubility_in_ethanol</t>
        </is>
      </c>
      <c r="C4800" t="inlineStr">
        <is>
          <t>soluble</t>
        </is>
      </c>
      <c r="D4800"/>
      <c r="E4800"/>
      <c r="F4800"/>
      <c r="G4800"/>
      <c r="H4800" t="inlineStr">
        <is>
          <t>S007_EXCIPIENTS_HANDBOOK</t>
        </is>
      </c>
      <c r="I4800" t="inlineStr">
        <is>
          <t>handbook</t>
        </is>
      </c>
      <c r="J4800">
        <v>0.55</v>
      </c>
      <c r="K4800"/>
    </row>
    <row r="4801">
      <c r="A4801" t="inlineStr">
        <is>
          <t>POL_HPC</t>
        </is>
      </c>
      <c r="B4801" t="inlineStr">
        <is>
          <t>solubility_in_acetone</t>
        </is>
      </c>
      <c r="C4801" t="inlineStr">
        <is>
          <t>poor</t>
        </is>
      </c>
      <c r="D4801"/>
      <c r="E4801"/>
      <c r="F4801"/>
      <c r="G4801"/>
      <c r="H4801" t="inlineStr">
        <is>
          <t>S007_EXCIPIENTS_HANDBOOK</t>
        </is>
      </c>
      <c r="I4801" t="inlineStr">
        <is>
          <t>handbook</t>
        </is>
      </c>
      <c r="J4801">
        <v>0.55</v>
      </c>
      <c r="K4801"/>
    </row>
    <row r="4802">
      <c r="A4802" t="inlineStr">
        <is>
          <t>POL_HPC</t>
        </is>
      </c>
      <c r="B4802" t="inlineStr">
        <is>
          <t>solubility_in_dcm</t>
        </is>
      </c>
      <c r="C4802" t="inlineStr">
        <is>
          <t>poor</t>
        </is>
      </c>
      <c r="D4802"/>
      <c r="E4802"/>
      <c r="F4802"/>
      <c r="G4802"/>
      <c r="H4802" t="inlineStr">
        <is>
          <t>S007_EXCIPIENTS_HANDBOOK</t>
        </is>
      </c>
      <c r="I4802" t="inlineStr">
        <is>
          <t>handbook</t>
        </is>
      </c>
      <c r="J4802">
        <v>0.55</v>
      </c>
      <c r="K4802"/>
    </row>
    <row r="4803">
      <c r="A4803" t="inlineStr">
        <is>
          <t>POL_HPC</t>
        </is>
      </c>
      <c r="B4803" t="inlineStr">
        <is>
          <t>biodegradability</t>
        </is>
      </c>
      <c r="C4803" t="inlineStr">
        <is>
          <t>no</t>
        </is>
      </c>
      <c r="D4803"/>
      <c r="E4803"/>
      <c r="F4803"/>
      <c r="G4803"/>
      <c r="H4803" t="inlineStr">
        <is>
          <t>S014_AULTON</t>
        </is>
      </c>
      <c r="I4803" t="inlineStr">
        <is>
          <t>curated</t>
        </is>
      </c>
      <c r="J4803">
        <v>0.65</v>
      </c>
      <c r="K4803"/>
    </row>
    <row r="4804">
      <c r="A4804" t="inlineStr">
        <is>
          <t>POL_HPC</t>
        </is>
      </c>
      <c r="B4804" t="inlineStr">
        <is>
          <t>mucoadhesive_flag</t>
        </is>
      </c>
      <c r="C4804" t="inlineStr">
        <is>
          <t>yes</t>
        </is>
      </c>
      <c r="D4804"/>
      <c r="E4804"/>
      <c r="F4804"/>
      <c r="G4804"/>
      <c r="H4804" t="inlineStr">
        <is>
          <t>S014_AULTON</t>
        </is>
      </c>
      <c r="I4804" t="inlineStr">
        <is>
          <t>curated</t>
        </is>
      </c>
      <c r="J4804">
        <v>0.65</v>
      </c>
      <c r="K4804"/>
    </row>
    <row r="4805">
      <c r="A4805" t="inlineStr">
        <is>
          <t>POL_HPC</t>
        </is>
      </c>
      <c r="B4805" t="inlineStr">
        <is>
          <t>coating_role</t>
        </is>
      </c>
      <c r="C4805" t="inlineStr">
        <is>
          <t>coating/matrix</t>
        </is>
      </c>
      <c r="D4805"/>
      <c r="E4805"/>
      <c r="F4805"/>
      <c r="G4805"/>
      <c r="H4805" t="inlineStr">
        <is>
          <t>S014_AULTON</t>
        </is>
      </c>
      <c r="I4805" t="inlineStr">
        <is>
          <t>curated</t>
        </is>
      </c>
      <c r="J4805">
        <v>0.6</v>
      </c>
      <c r="K4805"/>
    </row>
    <row r="4806">
      <c r="A4806" t="inlineStr">
        <is>
          <t>POL_HPC</t>
        </is>
      </c>
      <c r="B4806" t="inlineStr">
        <is>
          <t>stabilizer_role</t>
        </is>
      </c>
      <c r="C4806" t="inlineStr">
        <is>
          <t>yes</t>
        </is>
      </c>
      <c r="D4806"/>
      <c r="E4806"/>
      <c r="F4806"/>
      <c r="G4806"/>
      <c r="H4806" t="inlineStr">
        <is>
          <t>S014_AULTON</t>
        </is>
      </c>
      <c r="I4806" t="inlineStr">
        <is>
          <t>curated</t>
        </is>
      </c>
      <c r="J4806">
        <v>0.6</v>
      </c>
      <c r="K4806"/>
    </row>
    <row r="4807">
      <c r="A4807" t="inlineStr">
        <is>
          <t>POL_HPC</t>
        </is>
      </c>
      <c r="B4807" t="inlineStr">
        <is>
          <t>route_suitability</t>
        </is>
      </c>
      <c r="C4807" t="inlineStr">
        <is>
          <t>polymeric/hybrid/coating/stabilizer systems; grade and route dependent</t>
        </is>
      </c>
      <c r="D4807"/>
      <c r="E4807"/>
      <c r="F4807"/>
      <c r="G4807"/>
      <c r="H4807" t="inlineStr">
        <is>
          <t>S008_FDA_IID</t>
        </is>
      </c>
      <c r="I4807" t="inlineStr">
        <is>
          <t>curated</t>
        </is>
      </c>
      <c r="J4807">
        <v>0.55</v>
      </c>
      <c r="K4807"/>
    </row>
    <row r="4808">
      <c r="A4808" t="inlineStr">
        <is>
          <t>POL_HPC</t>
        </is>
      </c>
      <c r="B4808" t="inlineStr">
        <is>
          <t>toxicity_notes</t>
        </is>
      </c>
      <c r="C4808" t="inlineStr">
        <is>
          <t>polymer grade, residual monomers/solvents, endotoxin and molecular weight distribution must be controlled</t>
        </is>
      </c>
      <c r="D4808"/>
      <c r="E4808"/>
      <c r="F4808"/>
      <c r="G4808"/>
      <c r="H4808" t="inlineStr">
        <is>
          <t>S007_EXCIPIENTS_HANDBOOK</t>
        </is>
      </c>
      <c r="I4808" t="inlineStr">
        <is>
          <t>curated</t>
        </is>
      </c>
      <c r="J4808">
        <v>0.65</v>
      </c>
      <c r="K4808"/>
    </row>
    <row r="4809">
      <c r="A4809" t="inlineStr">
        <is>
          <t>POL_HPC</t>
        </is>
      </c>
      <c r="B4809" t="inlineStr">
        <is>
          <t>Hansen_delta_D</t>
        </is>
      </c>
      <c r="C4809">
        <v>18.0</v>
      </c>
      <c r="D4809" t="inlineStr">
        <is>
          <t>MPa^0.5</t>
        </is>
      </c>
      <c r="E4809"/>
      <c r="F4809"/>
      <c r="G4809" t="inlineStr">
        <is>
          <t>heuristic group-contribution/nearest-neighbour</t>
        </is>
      </c>
      <c r="H4809" t="inlineStr">
        <is>
          <t>S013_EST_HSP_HEURISTIC</t>
        </is>
      </c>
      <c r="I4809" t="inlineStr">
        <is>
          <t>estimated</t>
        </is>
      </c>
      <c r="J4809">
        <v>0.35</v>
      </c>
      <c r="K4809" t="inlineStr">
        <is>
          <t>Provisional HSP for screening; replace with experimental/literature value before model lock.</t>
        </is>
      </c>
    </row>
    <row r="4810">
      <c r="A4810" t="inlineStr">
        <is>
          <t>POL_HPC</t>
        </is>
      </c>
      <c r="B4810" t="inlineStr">
        <is>
          <t>Hansen_delta_P</t>
        </is>
      </c>
      <c r="C4810">
        <v>8.0</v>
      </c>
      <c r="D4810" t="inlineStr">
        <is>
          <t>MPa^0.5</t>
        </is>
      </c>
      <c r="E4810"/>
      <c r="F4810"/>
      <c r="G4810" t="inlineStr">
        <is>
          <t>heuristic group-contribution/nearest-neighbour</t>
        </is>
      </c>
      <c r="H4810" t="inlineStr">
        <is>
          <t>S013_EST_HSP_HEURISTIC</t>
        </is>
      </c>
      <c r="I4810" t="inlineStr">
        <is>
          <t>estimated</t>
        </is>
      </c>
      <c r="J4810">
        <v>0.35</v>
      </c>
      <c r="K4810" t="inlineStr">
        <is>
          <t>Provisional HSP for screening; replace with experimental/literature value before model lock.</t>
        </is>
      </c>
    </row>
    <row r="4811">
      <c r="A4811" t="inlineStr">
        <is>
          <t>POL_HPC</t>
        </is>
      </c>
      <c r="B4811" t="inlineStr">
        <is>
          <t>Hansen_delta_H</t>
        </is>
      </c>
      <c r="C4811">
        <v>10.0</v>
      </c>
      <c r="D4811" t="inlineStr">
        <is>
          <t>MPa^0.5</t>
        </is>
      </c>
      <c r="E4811"/>
      <c r="F4811"/>
      <c r="G4811" t="inlineStr">
        <is>
          <t>heuristic group-contribution/nearest-neighbour</t>
        </is>
      </c>
      <c r="H4811" t="inlineStr">
        <is>
          <t>S013_EST_HSP_HEURISTIC</t>
        </is>
      </c>
      <c r="I4811" t="inlineStr">
        <is>
          <t>estimated</t>
        </is>
      </c>
      <c r="J4811">
        <v>0.35</v>
      </c>
      <c r="K4811" t="inlineStr">
        <is>
          <t>Provisional HSP for screening; replace with experimental/literature value before model lock.</t>
        </is>
      </c>
    </row>
    <row r="4812">
      <c r="A4812" t="inlineStr">
        <is>
          <t>POL_HPC</t>
        </is>
      </c>
      <c r="B4812" t="inlineStr">
        <is>
          <t>Hildebrand_delta_T</t>
        </is>
      </c>
      <c r="C4812">
        <v>22.09</v>
      </c>
      <c r="D4812" t="inlineStr">
        <is>
          <t>MPa^0.5</t>
        </is>
      </c>
      <c r="E4812"/>
      <c r="F4812"/>
      <c r="G4812" t="inlineStr">
        <is>
          <t>sqrt(deltaD^2+deltaP^2+deltaH^2)</t>
        </is>
      </c>
      <c r="H4812" t="inlineStr">
        <is>
          <t>S012_CALCULATED</t>
        </is>
      </c>
      <c r="I4812" t="inlineStr">
        <is>
          <t>calculated</t>
        </is>
      </c>
      <c r="J4812">
        <v>0.39999999999999997</v>
      </c>
      <c r="K4812" t="inlineStr">
        <is>
          <t>Derived from stored Hansen components.</t>
        </is>
      </c>
    </row>
    <row r="4813">
      <c r="A4813" t="inlineStr">
        <is>
          <t>POL_HPC</t>
        </is>
      </c>
      <c r="B4813" t="inlineStr">
        <is>
          <t>HSP_radius_R0</t>
        </is>
      </c>
      <c r="C4813">
        <v>9.0</v>
      </c>
      <c r="D4813" t="inlineStr">
        <is>
          <t>MPa^0.5</t>
        </is>
      </c>
      <c r="E4813"/>
      <c r="F4813"/>
      <c r="G4813" t="inlineStr">
        <is>
          <t>literature/heuristic solubility sphere</t>
        </is>
      </c>
      <c r="H4813" t="inlineStr">
        <is>
          <t>S013_EST_HSP_HEURISTIC</t>
        </is>
      </c>
      <c r="I4813" t="inlineStr">
        <is>
          <t>estimated</t>
        </is>
      </c>
      <c r="J4813">
        <v>0.35</v>
      </c>
      <c r="K4813" t="inlineStr">
        <is>
          <t>Screening radius only unless experimentally determined.</t>
        </is>
      </c>
    </row>
    <row r="4814">
      <c r="A4814" t="inlineStr">
        <is>
          <t>POL_CMC</t>
        </is>
      </c>
      <c r="B4814" t="inlineStr">
        <is>
          <t>average_mw_g_mol</t>
        </is>
      </c>
      <c r="C4814">
        <v>90000</v>
      </c>
      <c r="D4814" t="inlineStr">
        <is>
          <t>g/mol</t>
        </is>
      </c>
      <c r="E4814"/>
      <c r="F4814"/>
      <c r="G4814" t="inlineStr">
        <is>
          <t>grade-dependent</t>
        </is>
      </c>
      <c r="H4814" t="inlineStr">
        <is>
          <t>S007_EXCIPIENTS_HANDBOOK</t>
        </is>
      </c>
      <c r="I4814" t="inlineStr">
        <is>
          <t>supplier-reported</t>
        </is>
      </c>
      <c r="J4814">
        <v>0.45</v>
      </c>
      <c r="K4814"/>
    </row>
    <row r="4815">
      <c r="A4815" t="inlineStr">
        <is>
          <t>POL_CMC</t>
        </is>
      </c>
      <c r="B4815" t="inlineStr">
        <is>
          <t>pKa</t>
        </is>
      </c>
      <c r="C4815" t="inlineStr">
        <is>
          <t>anionic</t>
        </is>
      </c>
      <c r="D4815"/>
      <c r="E4815"/>
      <c r="F4815"/>
      <c r="G4815" t="inlineStr">
        <is>
          <t>grade/substitution dependent</t>
        </is>
      </c>
      <c r="H4815" t="inlineStr">
        <is>
          <t>S007_EXCIPIENTS_HANDBOOK</t>
        </is>
      </c>
      <c r="I4815" t="inlineStr">
        <is>
          <t>literature</t>
        </is>
      </c>
      <c r="J4815">
        <v>0.48</v>
      </c>
      <c r="K4815"/>
    </row>
    <row r="4816">
      <c r="A4816" t="inlineStr">
        <is>
          <t>POL_CMC</t>
        </is>
      </c>
      <c r="B4816" t="inlineStr">
        <is>
          <t>charge_density</t>
        </is>
      </c>
      <c r="C4816" t="inlineStr">
        <is>
          <t>swells</t>
        </is>
      </c>
      <c r="D4816"/>
      <c r="E4816"/>
      <c r="F4816"/>
      <c r="G4816" t="inlineStr">
        <is>
          <t>grade/substitution dependent</t>
        </is>
      </c>
      <c r="H4816" t="inlineStr">
        <is>
          <t>S007_EXCIPIENTS_HANDBOOK</t>
        </is>
      </c>
      <c r="I4816" t="inlineStr">
        <is>
          <t>literature</t>
        </is>
      </c>
      <c r="J4816">
        <v>0.48</v>
      </c>
      <c r="K4816"/>
    </row>
    <row r="4817">
      <c r="A4817" t="inlineStr">
        <is>
          <t>POL_CMC</t>
        </is>
      </c>
      <c r="B4817" t="inlineStr">
        <is>
          <t>charge_type</t>
        </is>
      </c>
      <c r="C4817">
        <v>-1</v>
      </c>
      <c r="D4817"/>
      <c r="E4817"/>
      <c r="F4817"/>
      <c r="G4817"/>
      <c r="H4817" t="inlineStr">
        <is>
          <t>S007_EXCIPIENTS_HANDBOOK</t>
        </is>
      </c>
      <c r="I4817" t="inlineStr">
        <is>
          <t>curated</t>
        </is>
      </c>
      <c r="J4817">
        <v>0.75</v>
      </c>
      <c r="K4817"/>
    </row>
    <row r="4818">
      <c r="A4818" t="inlineStr">
        <is>
          <t>POL_CMC</t>
        </is>
      </c>
      <c r="B4818" t="inlineStr">
        <is>
          <t>solubility_in_water</t>
        </is>
      </c>
      <c r="C4818" t="inlineStr">
        <is>
          <t>poor</t>
        </is>
      </c>
      <c r="D4818"/>
      <c r="E4818"/>
      <c r="F4818"/>
      <c r="G4818"/>
      <c r="H4818" t="inlineStr">
        <is>
          <t>S007_EXCIPIENTS_HANDBOOK</t>
        </is>
      </c>
      <c r="I4818" t="inlineStr">
        <is>
          <t>handbook</t>
        </is>
      </c>
      <c r="J4818">
        <v>0.55</v>
      </c>
      <c r="K4818"/>
    </row>
    <row r="4819">
      <c r="A4819" t="inlineStr">
        <is>
          <t>POL_CMC</t>
        </is>
      </c>
      <c r="B4819" t="inlineStr">
        <is>
          <t>solubility_in_ethanol</t>
        </is>
      </c>
      <c r="C4819" t="inlineStr">
        <is>
          <t>poor</t>
        </is>
      </c>
      <c r="D4819"/>
      <c r="E4819"/>
      <c r="F4819"/>
      <c r="G4819"/>
      <c r="H4819" t="inlineStr">
        <is>
          <t>S007_EXCIPIENTS_HANDBOOK</t>
        </is>
      </c>
      <c r="I4819" t="inlineStr">
        <is>
          <t>handbook</t>
        </is>
      </c>
      <c r="J4819">
        <v>0.55</v>
      </c>
      <c r="K4819"/>
    </row>
    <row r="4820">
      <c r="A4820" t="inlineStr">
        <is>
          <t>POL_CMC</t>
        </is>
      </c>
      <c r="B4820" t="inlineStr">
        <is>
          <t>solubility_in_acetone</t>
        </is>
      </c>
      <c r="C4820" t="inlineStr">
        <is>
          <t>poor</t>
        </is>
      </c>
      <c r="D4820"/>
      <c r="E4820"/>
      <c r="F4820"/>
      <c r="G4820"/>
      <c r="H4820" t="inlineStr">
        <is>
          <t>S007_EXCIPIENTS_HANDBOOK</t>
        </is>
      </c>
      <c r="I4820" t="inlineStr">
        <is>
          <t>handbook</t>
        </is>
      </c>
      <c r="J4820">
        <v>0.55</v>
      </c>
      <c r="K4820"/>
    </row>
    <row r="4821">
      <c r="A4821" t="inlineStr">
        <is>
          <t>POL_CMC</t>
        </is>
      </c>
      <c r="B4821" t="inlineStr">
        <is>
          <t>solubility_in_dcm</t>
        </is>
      </c>
      <c r="C4821" t="inlineStr">
        <is>
          <t>no</t>
        </is>
      </c>
      <c r="D4821"/>
      <c r="E4821"/>
      <c r="F4821"/>
      <c r="G4821"/>
      <c r="H4821" t="inlineStr">
        <is>
          <t>S007_EXCIPIENTS_HANDBOOK</t>
        </is>
      </c>
      <c r="I4821" t="inlineStr">
        <is>
          <t>handbook</t>
        </is>
      </c>
      <c r="J4821">
        <v>0.55</v>
      </c>
      <c r="K4821"/>
    </row>
    <row r="4822">
      <c r="A4822" t="inlineStr">
        <is>
          <t>POL_CMC</t>
        </is>
      </c>
      <c r="B4822" t="inlineStr">
        <is>
          <t>biodegradability</t>
        </is>
      </c>
      <c r="C4822" t="inlineStr">
        <is>
          <t>yes</t>
        </is>
      </c>
      <c r="D4822"/>
      <c r="E4822"/>
      <c r="F4822"/>
      <c r="G4822"/>
      <c r="H4822" t="inlineStr">
        <is>
          <t>S014_AULTON</t>
        </is>
      </c>
      <c r="I4822" t="inlineStr">
        <is>
          <t>curated</t>
        </is>
      </c>
      <c r="J4822">
        <v>0.65</v>
      </c>
      <c r="K4822"/>
    </row>
    <row r="4823">
      <c r="A4823" t="inlineStr">
        <is>
          <t>POL_CMC</t>
        </is>
      </c>
      <c r="B4823" t="inlineStr">
        <is>
          <t>mucoadhesive_flag</t>
        </is>
      </c>
      <c r="C4823" t="inlineStr">
        <is>
          <t>matrix</t>
        </is>
      </c>
      <c r="D4823"/>
      <c r="E4823"/>
      <c r="F4823"/>
      <c r="G4823"/>
      <c r="H4823" t="inlineStr">
        <is>
          <t>S014_AULTON</t>
        </is>
      </c>
      <c r="I4823" t="inlineStr">
        <is>
          <t>curated</t>
        </is>
      </c>
      <c r="J4823">
        <v>0.65</v>
      </c>
      <c r="K4823"/>
    </row>
    <row r="4824">
      <c r="A4824" t="inlineStr">
        <is>
          <t>POL_CMC</t>
        </is>
      </c>
      <c r="B4824" t="inlineStr">
        <is>
          <t>coating_role</t>
        </is>
      </c>
      <c r="C4824" t="inlineStr">
        <is>
          <t>yes</t>
        </is>
      </c>
      <c r="D4824"/>
      <c r="E4824"/>
      <c r="F4824"/>
      <c r="G4824"/>
      <c r="H4824" t="inlineStr">
        <is>
          <t>S014_AULTON</t>
        </is>
      </c>
      <c r="I4824" t="inlineStr">
        <is>
          <t>curated</t>
        </is>
      </c>
      <c r="J4824">
        <v>0.6</v>
      </c>
      <c r="K4824"/>
    </row>
    <row r="4825">
      <c r="A4825" t="inlineStr">
        <is>
          <t>POL_CMC</t>
        </is>
      </c>
      <c r="B4825" t="inlineStr">
        <is>
          <t>route_suitability</t>
        </is>
      </c>
      <c r="C4825" t="inlineStr">
        <is>
          <t>polymeric/hybrid/coating/stabilizer systems; grade and route dependent</t>
        </is>
      </c>
      <c r="D4825"/>
      <c r="E4825"/>
      <c r="F4825"/>
      <c r="G4825"/>
      <c r="H4825" t="inlineStr">
        <is>
          <t>S008_FDA_IID</t>
        </is>
      </c>
      <c r="I4825" t="inlineStr">
        <is>
          <t>curated</t>
        </is>
      </c>
      <c r="J4825">
        <v>0.55</v>
      </c>
      <c r="K4825"/>
    </row>
    <row r="4826">
      <c r="A4826" t="inlineStr">
        <is>
          <t>POL_CMC</t>
        </is>
      </c>
      <c r="B4826" t="inlineStr">
        <is>
          <t>toxicity_notes</t>
        </is>
      </c>
      <c r="C4826" t="inlineStr">
        <is>
          <t>polymer grade, residual monomers/solvents, endotoxin and molecular weight distribution must be controlled</t>
        </is>
      </c>
      <c r="D4826"/>
      <c r="E4826"/>
      <c r="F4826"/>
      <c r="G4826"/>
      <c r="H4826" t="inlineStr">
        <is>
          <t>S007_EXCIPIENTS_HANDBOOK</t>
        </is>
      </c>
      <c r="I4826" t="inlineStr">
        <is>
          <t>curated</t>
        </is>
      </c>
      <c r="J4826">
        <v>0.65</v>
      </c>
      <c r="K4826"/>
    </row>
    <row r="4827">
      <c r="A4827" t="inlineStr">
        <is>
          <t>POL_CMC</t>
        </is>
      </c>
      <c r="B4827" t="inlineStr">
        <is>
          <t>Hansen_delta_D</t>
        </is>
      </c>
      <c r="C4827">
        <v>18.0</v>
      </c>
      <c r="D4827" t="inlineStr">
        <is>
          <t>MPa^0.5</t>
        </is>
      </c>
      <c r="E4827"/>
      <c r="F4827"/>
      <c r="G4827" t="inlineStr">
        <is>
          <t>heuristic group-contribution/nearest-neighbour</t>
        </is>
      </c>
      <c r="H4827" t="inlineStr">
        <is>
          <t>S013_EST_HSP_HEURISTIC</t>
        </is>
      </c>
      <c r="I4827" t="inlineStr">
        <is>
          <t>estimated</t>
        </is>
      </c>
      <c r="J4827">
        <v>0.35</v>
      </c>
      <c r="K4827" t="inlineStr">
        <is>
          <t>Provisional HSP for screening; replace with experimental/literature value before model lock.</t>
        </is>
      </c>
    </row>
    <row r="4828">
      <c r="A4828" t="inlineStr">
        <is>
          <t>POL_CMC</t>
        </is>
      </c>
      <c r="B4828" t="inlineStr">
        <is>
          <t>Hansen_delta_P</t>
        </is>
      </c>
      <c r="C4828">
        <v>8.0</v>
      </c>
      <c r="D4828" t="inlineStr">
        <is>
          <t>MPa^0.5</t>
        </is>
      </c>
      <c r="E4828"/>
      <c r="F4828"/>
      <c r="G4828" t="inlineStr">
        <is>
          <t>heuristic group-contribution/nearest-neighbour</t>
        </is>
      </c>
      <c r="H4828" t="inlineStr">
        <is>
          <t>S013_EST_HSP_HEURISTIC</t>
        </is>
      </c>
      <c r="I4828" t="inlineStr">
        <is>
          <t>estimated</t>
        </is>
      </c>
      <c r="J4828">
        <v>0.35</v>
      </c>
      <c r="K4828" t="inlineStr">
        <is>
          <t>Provisional HSP for screening; replace with experimental/literature value before model lock.</t>
        </is>
      </c>
    </row>
    <row r="4829">
      <c r="A4829" t="inlineStr">
        <is>
          <t>POL_CMC</t>
        </is>
      </c>
      <c r="B4829" t="inlineStr">
        <is>
          <t>Hansen_delta_H</t>
        </is>
      </c>
      <c r="C4829">
        <v>10.0</v>
      </c>
      <c r="D4829" t="inlineStr">
        <is>
          <t>MPa^0.5</t>
        </is>
      </c>
      <c r="E4829"/>
      <c r="F4829"/>
      <c r="G4829" t="inlineStr">
        <is>
          <t>heuristic group-contribution/nearest-neighbour</t>
        </is>
      </c>
      <c r="H4829" t="inlineStr">
        <is>
          <t>S013_EST_HSP_HEURISTIC</t>
        </is>
      </c>
      <c r="I4829" t="inlineStr">
        <is>
          <t>estimated</t>
        </is>
      </c>
      <c r="J4829">
        <v>0.35</v>
      </c>
      <c r="K4829" t="inlineStr">
        <is>
          <t>Provisional HSP for screening; replace with experimental/literature value before model lock.</t>
        </is>
      </c>
    </row>
    <row r="4830">
      <c r="A4830" t="inlineStr">
        <is>
          <t>POL_CMC</t>
        </is>
      </c>
      <c r="B4830" t="inlineStr">
        <is>
          <t>Hildebrand_delta_T</t>
        </is>
      </c>
      <c r="C4830">
        <v>22.09</v>
      </c>
      <c r="D4830" t="inlineStr">
        <is>
          <t>MPa^0.5</t>
        </is>
      </c>
      <c r="E4830"/>
      <c r="F4830"/>
      <c r="G4830" t="inlineStr">
        <is>
          <t>sqrt(deltaD^2+deltaP^2+deltaH^2)</t>
        </is>
      </c>
      <c r="H4830" t="inlineStr">
        <is>
          <t>S012_CALCULATED</t>
        </is>
      </c>
      <c r="I4830" t="inlineStr">
        <is>
          <t>calculated</t>
        </is>
      </c>
      <c r="J4830">
        <v>0.39999999999999997</v>
      </c>
      <c r="K4830" t="inlineStr">
        <is>
          <t>Derived from stored Hansen components.</t>
        </is>
      </c>
    </row>
    <row r="4831">
      <c r="A4831" t="inlineStr">
        <is>
          <t>POL_CMC</t>
        </is>
      </c>
      <c r="B4831" t="inlineStr">
        <is>
          <t>HSP_radius_R0</t>
        </is>
      </c>
      <c r="C4831">
        <v>9.0</v>
      </c>
      <c r="D4831" t="inlineStr">
        <is>
          <t>MPa^0.5</t>
        </is>
      </c>
      <c r="E4831"/>
      <c r="F4831"/>
      <c r="G4831" t="inlineStr">
        <is>
          <t>literature/heuristic solubility sphere</t>
        </is>
      </c>
      <c r="H4831" t="inlineStr">
        <is>
          <t>S013_EST_HSP_HEURISTIC</t>
        </is>
      </c>
      <c r="I4831" t="inlineStr">
        <is>
          <t>estimated</t>
        </is>
      </c>
      <c r="J4831">
        <v>0.35</v>
      </c>
      <c r="K4831" t="inlineStr">
        <is>
          <t>Screening radius only unless experimentally determined.</t>
        </is>
      </c>
    </row>
    <row r="4832">
      <c r="A4832" t="inlineStr">
        <is>
          <t>POL_SODIUM_CMC</t>
        </is>
      </c>
      <c r="B4832" t="inlineStr">
        <is>
          <t>average_mw_g_mol</t>
        </is>
      </c>
      <c r="C4832">
        <v>90000</v>
      </c>
      <c r="D4832" t="inlineStr">
        <is>
          <t>g/mol</t>
        </is>
      </c>
      <c r="E4832"/>
      <c r="F4832"/>
      <c r="G4832" t="inlineStr">
        <is>
          <t>grade-dependent</t>
        </is>
      </c>
      <c r="H4832" t="inlineStr">
        <is>
          <t>S007_EXCIPIENTS_HANDBOOK</t>
        </is>
      </c>
      <c r="I4832" t="inlineStr">
        <is>
          <t>supplier-reported</t>
        </is>
      </c>
      <c r="J4832">
        <v>0.45</v>
      </c>
      <c r="K4832"/>
    </row>
    <row r="4833">
      <c r="A4833" t="inlineStr">
        <is>
          <t>POL_SODIUM_CMC</t>
        </is>
      </c>
      <c r="B4833" t="inlineStr">
        <is>
          <t>pKa</t>
        </is>
      </c>
      <c r="C4833" t="inlineStr">
        <is>
          <t>anionic</t>
        </is>
      </c>
      <c r="D4833"/>
      <c r="E4833"/>
      <c r="F4833"/>
      <c r="G4833" t="inlineStr">
        <is>
          <t>grade/substitution dependent</t>
        </is>
      </c>
      <c r="H4833" t="inlineStr">
        <is>
          <t>S007_EXCIPIENTS_HANDBOOK</t>
        </is>
      </c>
      <c r="I4833" t="inlineStr">
        <is>
          <t>literature</t>
        </is>
      </c>
      <c r="J4833">
        <v>0.48</v>
      </c>
      <c r="K4833"/>
    </row>
    <row r="4834">
      <c r="A4834" t="inlineStr">
        <is>
          <t>POL_SODIUM_CMC</t>
        </is>
      </c>
      <c r="B4834" t="inlineStr">
        <is>
          <t>charge_density</t>
        </is>
      </c>
      <c r="C4834" t="inlineStr">
        <is>
          <t>high/swells</t>
        </is>
      </c>
      <c r="D4834"/>
      <c r="E4834"/>
      <c r="F4834"/>
      <c r="G4834" t="inlineStr">
        <is>
          <t>grade/substitution dependent</t>
        </is>
      </c>
      <c r="H4834" t="inlineStr">
        <is>
          <t>S007_EXCIPIENTS_HANDBOOK</t>
        </is>
      </c>
      <c r="I4834" t="inlineStr">
        <is>
          <t>literature</t>
        </is>
      </c>
      <c r="J4834">
        <v>0.48</v>
      </c>
      <c r="K4834"/>
    </row>
    <row r="4835">
      <c r="A4835" t="inlineStr">
        <is>
          <t>POL_SODIUM_CMC</t>
        </is>
      </c>
      <c r="B4835" t="inlineStr">
        <is>
          <t>charge_type</t>
        </is>
      </c>
      <c r="C4835">
        <v>-1</v>
      </c>
      <c r="D4835"/>
      <c r="E4835"/>
      <c r="F4835"/>
      <c r="G4835"/>
      <c r="H4835" t="inlineStr">
        <is>
          <t>S007_EXCIPIENTS_HANDBOOK</t>
        </is>
      </c>
      <c r="I4835" t="inlineStr">
        <is>
          <t>curated</t>
        </is>
      </c>
      <c r="J4835">
        <v>0.75</v>
      </c>
      <c r="K4835"/>
    </row>
    <row r="4836">
      <c r="A4836" t="inlineStr">
        <is>
          <t>POL_SODIUM_CMC</t>
        </is>
      </c>
      <c r="B4836" t="inlineStr">
        <is>
          <t>solubility_in_water</t>
        </is>
      </c>
      <c r="C4836" t="inlineStr">
        <is>
          <t>poor</t>
        </is>
      </c>
      <c r="D4836"/>
      <c r="E4836"/>
      <c r="F4836"/>
      <c r="G4836"/>
      <c r="H4836" t="inlineStr">
        <is>
          <t>S007_EXCIPIENTS_HANDBOOK</t>
        </is>
      </c>
      <c r="I4836" t="inlineStr">
        <is>
          <t>handbook</t>
        </is>
      </c>
      <c r="J4836">
        <v>0.55</v>
      </c>
      <c r="K4836"/>
    </row>
    <row r="4837">
      <c r="A4837" t="inlineStr">
        <is>
          <t>POL_SODIUM_CMC</t>
        </is>
      </c>
      <c r="B4837" t="inlineStr">
        <is>
          <t>solubility_in_ethanol</t>
        </is>
      </c>
      <c r="C4837" t="inlineStr">
        <is>
          <t>poor</t>
        </is>
      </c>
      <c r="D4837"/>
      <c r="E4837"/>
      <c r="F4837"/>
      <c r="G4837"/>
      <c r="H4837" t="inlineStr">
        <is>
          <t>S007_EXCIPIENTS_HANDBOOK</t>
        </is>
      </c>
      <c r="I4837" t="inlineStr">
        <is>
          <t>handbook</t>
        </is>
      </c>
      <c r="J4837">
        <v>0.55</v>
      </c>
      <c r="K4837"/>
    </row>
    <row r="4838">
      <c r="A4838" t="inlineStr">
        <is>
          <t>POL_SODIUM_CMC</t>
        </is>
      </c>
      <c r="B4838" t="inlineStr">
        <is>
          <t>solubility_in_acetone</t>
        </is>
      </c>
      <c r="C4838" t="inlineStr">
        <is>
          <t>poor</t>
        </is>
      </c>
      <c r="D4838"/>
      <c r="E4838"/>
      <c r="F4838"/>
      <c r="G4838"/>
      <c r="H4838" t="inlineStr">
        <is>
          <t>S007_EXCIPIENTS_HANDBOOK</t>
        </is>
      </c>
      <c r="I4838" t="inlineStr">
        <is>
          <t>handbook</t>
        </is>
      </c>
      <c r="J4838">
        <v>0.55</v>
      </c>
      <c r="K4838"/>
    </row>
    <row r="4839">
      <c r="A4839" t="inlineStr">
        <is>
          <t>POL_SODIUM_CMC</t>
        </is>
      </c>
      <c r="B4839" t="inlineStr">
        <is>
          <t>solubility_in_dcm</t>
        </is>
      </c>
      <c r="C4839" t="inlineStr">
        <is>
          <t>no</t>
        </is>
      </c>
      <c r="D4839"/>
      <c r="E4839"/>
      <c r="F4839"/>
      <c r="G4839"/>
      <c r="H4839" t="inlineStr">
        <is>
          <t>S007_EXCIPIENTS_HANDBOOK</t>
        </is>
      </c>
      <c r="I4839" t="inlineStr">
        <is>
          <t>handbook</t>
        </is>
      </c>
      <c r="J4839">
        <v>0.55</v>
      </c>
      <c r="K4839"/>
    </row>
    <row r="4840">
      <c r="A4840" t="inlineStr">
        <is>
          <t>POL_SODIUM_CMC</t>
        </is>
      </c>
      <c r="B4840" t="inlineStr">
        <is>
          <t>biodegradability</t>
        </is>
      </c>
      <c r="C4840" t="inlineStr">
        <is>
          <t>yes</t>
        </is>
      </c>
      <c r="D4840"/>
      <c r="E4840"/>
      <c r="F4840"/>
      <c r="G4840"/>
      <c r="H4840" t="inlineStr">
        <is>
          <t>S014_AULTON</t>
        </is>
      </c>
      <c r="I4840" t="inlineStr">
        <is>
          <t>curated</t>
        </is>
      </c>
      <c r="J4840">
        <v>0.65</v>
      </c>
      <c r="K4840"/>
    </row>
    <row r="4841">
      <c r="A4841" t="inlineStr">
        <is>
          <t>POL_SODIUM_CMC</t>
        </is>
      </c>
      <c r="B4841" t="inlineStr">
        <is>
          <t>mucoadhesive_flag</t>
        </is>
      </c>
      <c r="C4841" t="inlineStr">
        <is>
          <t>matrix</t>
        </is>
      </c>
      <c r="D4841"/>
      <c r="E4841"/>
      <c r="F4841"/>
      <c r="G4841"/>
      <c r="H4841" t="inlineStr">
        <is>
          <t>S014_AULTON</t>
        </is>
      </c>
      <c r="I4841" t="inlineStr">
        <is>
          <t>curated</t>
        </is>
      </c>
      <c r="J4841">
        <v>0.65</v>
      </c>
      <c r="K4841"/>
    </row>
    <row r="4842">
      <c r="A4842" t="inlineStr">
        <is>
          <t>POL_SODIUM_CMC</t>
        </is>
      </c>
      <c r="B4842" t="inlineStr">
        <is>
          <t>coating_role</t>
        </is>
      </c>
      <c r="C4842" t="inlineStr">
        <is>
          <t>yes</t>
        </is>
      </c>
      <c r="D4842"/>
      <c r="E4842"/>
      <c r="F4842"/>
      <c r="G4842"/>
      <c r="H4842" t="inlineStr">
        <is>
          <t>S014_AULTON</t>
        </is>
      </c>
      <c r="I4842" t="inlineStr">
        <is>
          <t>curated</t>
        </is>
      </c>
      <c r="J4842">
        <v>0.6</v>
      </c>
      <c r="K4842"/>
    </row>
    <row r="4843">
      <c r="A4843" t="inlineStr">
        <is>
          <t>POL_SODIUM_CMC</t>
        </is>
      </c>
      <c r="B4843" t="inlineStr">
        <is>
          <t>route_suitability</t>
        </is>
      </c>
      <c r="C4843" t="inlineStr">
        <is>
          <t>polymeric/hybrid/coating/stabilizer systems; grade and route dependent</t>
        </is>
      </c>
      <c r="D4843"/>
      <c r="E4843"/>
      <c r="F4843"/>
      <c r="G4843"/>
      <c r="H4843" t="inlineStr">
        <is>
          <t>S008_FDA_IID</t>
        </is>
      </c>
      <c r="I4843" t="inlineStr">
        <is>
          <t>curated</t>
        </is>
      </c>
      <c r="J4843">
        <v>0.55</v>
      </c>
      <c r="K4843"/>
    </row>
    <row r="4844">
      <c r="A4844" t="inlineStr">
        <is>
          <t>POL_SODIUM_CMC</t>
        </is>
      </c>
      <c r="B4844" t="inlineStr">
        <is>
          <t>toxicity_notes</t>
        </is>
      </c>
      <c r="C4844" t="inlineStr">
        <is>
          <t>polymer grade, residual monomers/solvents, endotoxin and molecular weight distribution must be controlled</t>
        </is>
      </c>
      <c r="D4844"/>
      <c r="E4844"/>
      <c r="F4844"/>
      <c r="G4844"/>
      <c r="H4844" t="inlineStr">
        <is>
          <t>S007_EXCIPIENTS_HANDBOOK</t>
        </is>
      </c>
      <c r="I4844" t="inlineStr">
        <is>
          <t>curated</t>
        </is>
      </c>
      <c r="J4844">
        <v>0.65</v>
      </c>
      <c r="K4844"/>
    </row>
    <row r="4845">
      <c r="A4845" t="inlineStr">
        <is>
          <t>POL_SODIUM_CMC</t>
        </is>
      </c>
      <c r="B4845" t="inlineStr">
        <is>
          <t>Hansen_delta_D</t>
        </is>
      </c>
      <c r="C4845">
        <v>18.0</v>
      </c>
      <c r="D4845" t="inlineStr">
        <is>
          <t>MPa^0.5</t>
        </is>
      </c>
      <c r="E4845"/>
      <c r="F4845"/>
      <c r="G4845" t="inlineStr">
        <is>
          <t>heuristic group-contribution/nearest-neighbour</t>
        </is>
      </c>
      <c r="H4845" t="inlineStr">
        <is>
          <t>S013_EST_HSP_HEURISTIC</t>
        </is>
      </c>
      <c r="I4845" t="inlineStr">
        <is>
          <t>estimated</t>
        </is>
      </c>
      <c r="J4845">
        <v>0.35</v>
      </c>
      <c r="K4845" t="inlineStr">
        <is>
          <t>Provisional HSP for screening; replace with experimental/literature value before model lock.</t>
        </is>
      </c>
    </row>
    <row r="4846">
      <c r="A4846" t="inlineStr">
        <is>
          <t>POL_SODIUM_CMC</t>
        </is>
      </c>
      <c r="B4846" t="inlineStr">
        <is>
          <t>Hansen_delta_P</t>
        </is>
      </c>
      <c r="C4846">
        <v>8.0</v>
      </c>
      <c r="D4846" t="inlineStr">
        <is>
          <t>MPa^0.5</t>
        </is>
      </c>
      <c r="E4846"/>
      <c r="F4846"/>
      <c r="G4846" t="inlineStr">
        <is>
          <t>heuristic group-contribution/nearest-neighbour</t>
        </is>
      </c>
      <c r="H4846" t="inlineStr">
        <is>
          <t>S013_EST_HSP_HEURISTIC</t>
        </is>
      </c>
      <c r="I4846" t="inlineStr">
        <is>
          <t>estimated</t>
        </is>
      </c>
      <c r="J4846">
        <v>0.35</v>
      </c>
      <c r="K4846" t="inlineStr">
        <is>
          <t>Provisional HSP for screening; replace with experimental/literature value before model lock.</t>
        </is>
      </c>
    </row>
    <row r="4847">
      <c r="A4847" t="inlineStr">
        <is>
          <t>POL_SODIUM_CMC</t>
        </is>
      </c>
      <c r="B4847" t="inlineStr">
        <is>
          <t>Hansen_delta_H</t>
        </is>
      </c>
      <c r="C4847">
        <v>10.0</v>
      </c>
      <c r="D4847" t="inlineStr">
        <is>
          <t>MPa^0.5</t>
        </is>
      </c>
      <c r="E4847"/>
      <c r="F4847"/>
      <c r="G4847" t="inlineStr">
        <is>
          <t>heuristic group-contribution/nearest-neighbour</t>
        </is>
      </c>
      <c r="H4847" t="inlineStr">
        <is>
          <t>S013_EST_HSP_HEURISTIC</t>
        </is>
      </c>
      <c r="I4847" t="inlineStr">
        <is>
          <t>estimated</t>
        </is>
      </c>
      <c r="J4847">
        <v>0.35</v>
      </c>
      <c r="K4847" t="inlineStr">
        <is>
          <t>Provisional HSP for screening; replace with experimental/literature value before model lock.</t>
        </is>
      </c>
    </row>
    <row r="4848">
      <c r="A4848" t="inlineStr">
        <is>
          <t>POL_SODIUM_CMC</t>
        </is>
      </c>
      <c r="B4848" t="inlineStr">
        <is>
          <t>Hildebrand_delta_T</t>
        </is>
      </c>
      <c r="C4848">
        <v>22.09</v>
      </c>
      <c r="D4848" t="inlineStr">
        <is>
          <t>MPa^0.5</t>
        </is>
      </c>
      <c r="E4848"/>
      <c r="F4848"/>
      <c r="G4848" t="inlineStr">
        <is>
          <t>sqrt(deltaD^2+deltaP^2+deltaH^2)</t>
        </is>
      </c>
      <c r="H4848" t="inlineStr">
        <is>
          <t>S012_CALCULATED</t>
        </is>
      </c>
      <c r="I4848" t="inlineStr">
        <is>
          <t>calculated</t>
        </is>
      </c>
      <c r="J4848">
        <v>0.39999999999999997</v>
      </c>
      <c r="K4848" t="inlineStr">
        <is>
          <t>Derived from stored Hansen components.</t>
        </is>
      </c>
    </row>
    <row r="4849">
      <c r="A4849" t="inlineStr">
        <is>
          <t>POL_SODIUM_CMC</t>
        </is>
      </c>
      <c r="B4849" t="inlineStr">
        <is>
          <t>HSP_radius_R0</t>
        </is>
      </c>
      <c r="C4849">
        <v>9.0</v>
      </c>
      <c r="D4849" t="inlineStr">
        <is>
          <t>MPa^0.5</t>
        </is>
      </c>
      <c r="E4849"/>
      <c r="F4849"/>
      <c r="G4849" t="inlineStr">
        <is>
          <t>literature/heuristic solubility sphere</t>
        </is>
      </c>
      <c r="H4849" t="inlineStr">
        <is>
          <t>S013_EST_HSP_HEURISTIC</t>
        </is>
      </c>
      <c r="I4849" t="inlineStr">
        <is>
          <t>estimated</t>
        </is>
      </c>
      <c r="J4849">
        <v>0.35</v>
      </c>
      <c r="K4849" t="inlineStr">
        <is>
          <t>Screening radius only unless experimentally determined.</t>
        </is>
      </c>
    </row>
    <row r="4850">
      <c r="A4850" t="inlineStr">
        <is>
          <t>POL_CHITOSAN_LOW_MW</t>
        </is>
      </c>
      <c r="B4850" t="inlineStr">
        <is>
          <t>average_mw_g_mol</t>
        </is>
      </c>
      <c r="C4850">
        <v>50000</v>
      </c>
      <c r="D4850" t="inlineStr">
        <is>
          <t>g/mol</t>
        </is>
      </c>
      <c r="E4850"/>
      <c r="F4850"/>
      <c r="G4850" t="inlineStr">
        <is>
          <t>grade-dependent</t>
        </is>
      </c>
      <c r="H4850" t="inlineStr">
        <is>
          <t>S007_EXCIPIENTS_HANDBOOK</t>
        </is>
      </c>
      <c r="I4850" t="inlineStr">
        <is>
          <t>supplier-reported</t>
        </is>
      </c>
      <c r="J4850">
        <v>0.45</v>
      </c>
      <c r="K4850"/>
    </row>
    <row r="4851">
      <c r="A4851" t="inlineStr">
        <is>
          <t>POL_CHITOSAN_LOW_MW</t>
        </is>
      </c>
      <c r="B4851" t="inlineStr">
        <is>
          <t>Tm_C</t>
        </is>
      </c>
      <c r="C4851">
        <v>220</v>
      </c>
      <c r="D4851" t="inlineStr">
        <is>
          <t>°C</t>
        </is>
      </c>
      <c r="E4851"/>
      <c r="F4851"/>
      <c r="G4851" t="inlineStr">
        <is>
          <t>grade/substitution dependent</t>
        </is>
      </c>
      <c r="H4851" t="inlineStr">
        <is>
          <t>S007_EXCIPIENTS_HANDBOOK</t>
        </is>
      </c>
      <c r="I4851" t="inlineStr">
        <is>
          <t>handbook</t>
        </is>
      </c>
      <c r="J4851">
        <v>0.48</v>
      </c>
      <c r="K4851"/>
    </row>
    <row r="4852">
      <c r="A4852" t="inlineStr">
        <is>
          <t>POL_CHITOSAN_LOW_MW</t>
        </is>
      </c>
      <c r="B4852" t="inlineStr">
        <is>
          <t>pKa</t>
        </is>
      </c>
      <c r="C4852">
        <v>6.5</v>
      </c>
      <c r="D4852"/>
      <c r="E4852"/>
      <c r="F4852"/>
      <c r="G4852" t="inlineStr">
        <is>
          <t>grade/substitution dependent</t>
        </is>
      </c>
      <c r="H4852" t="inlineStr">
        <is>
          <t>S007_EXCIPIENTS_HANDBOOK</t>
        </is>
      </c>
      <c r="I4852" t="inlineStr">
        <is>
          <t>literature</t>
        </is>
      </c>
      <c r="J4852">
        <v>0.48</v>
      </c>
      <c r="K4852"/>
    </row>
    <row r="4853">
      <c r="A4853" t="inlineStr">
        <is>
          <t>POL_CHITOSAN_LOW_MW</t>
        </is>
      </c>
      <c r="B4853" t="inlineStr">
        <is>
          <t>charge_density</t>
        </is>
      </c>
      <c r="C4853" t="inlineStr">
        <is>
          <t>degree of deacetylation dependent</t>
        </is>
      </c>
      <c r="D4853"/>
      <c r="E4853"/>
      <c r="F4853"/>
      <c r="G4853" t="inlineStr">
        <is>
          <t>grade/substitution dependent</t>
        </is>
      </c>
      <c r="H4853" t="inlineStr">
        <is>
          <t>S007_EXCIPIENTS_HANDBOOK</t>
        </is>
      </c>
      <c r="I4853" t="inlineStr">
        <is>
          <t>literature</t>
        </is>
      </c>
      <c r="J4853">
        <v>0.48</v>
      </c>
      <c r="K4853"/>
    </row>
    <row r="4854">
      <c r="A4854" t="inlineStr">
        <is>
          <t>POL_CHITOSAN_LOW_MW</t>
        </is>
      </c>
      <c r="B4854" t="inlineStr">
        <is>
          <t>charge_type</t>
        </is>
      </c>
      <c r="C4854" t="inlineStr">
        <is>
          <t>cationic</t>
        </is>
      </c>
      <c r="D4854"/>
      <c r="E4854"/>
      <c r="F4854"/>
      <c r="G4854"/>
      <c r="H4854" t="inlineStr">
        <is>
          <t>S007_EXCIPIENTS_HANDBOOK</t>
        </is>
      </c>
      <c r="I4854" t="inlineStr">
        <is>
          <t>curated</t>
        </is>
      </c>
      <c r="J4854">
        <v>0.75</v>
      </c>
      <c r="K4854"/>
    </row>
    <row r="4855">
      <c r="A4855" t="inlineStr">
        <is>
          <t>POL_CHITOSAN_LOW_MW</t>
        </is>
      </c>
      <c r="B4855" t="inlineStr">
        <is>
          <t>formal_charge</t>
        </is>
      </c>
      <c r="C4855">
        <v>1</v>
      </c>
      <c r="D4855" t="inlineStr">
        <is>
          <t>e</t>
        </is>
      </c>
      <c r="E4855"/>
      <c r="F4855"/>
      <c r="G4855"/>
      <c r="H4855" t="inlineStr">
        <is>
          <t>S007_EXCIPIENTS_HANDBOOK</t>
        </is>
      </c>
      <c r="I4855" t="inlineStr">
        <is>
          <t>curated</t>
        </is>
      </c>
      <c r="J4855">
        <v>0.75</v>
      </c>
      <c r="K4855"/>
    </row>
    <row r="4856">
      <c r="A4856" t="inlineStr">
        <is>
          <t>POL_CHITOSAN_LOW_MW</t>
        </is>
      </c>
      <c r="B4856" t="inlineStr">
        <is>
          <t>solubility_in_water</t>
        </is>
      </c>
      <c r="C4856" t="inlineStr">
        <is>
          <t>acid-soluble</t>
        </is>
      </c>
      <c r="D4856"/>
      <c r="E4856"/>
      <c r="F4856"/>
      <c r="G4856"/>
      <c r="H4856" t="inlineStr">
        <is>
          <t>S007_EXCIPIENTS_HANDBOOK</t>
        </is>
      </c>
      <c r="I4856" t="inlineStr">
        <is>
          <t>handbook</t>
        </is>
      </c>
      <c r="J4856">
        <v>0.55</v>
      </c>
      <c r="K4856"/>
    </row>
    <row r="4857">
      <c r="A4857" t="inlineStr">
        <is>
          <t>POL_CHITOSAN_LOW_MW</t>
        </is>
      </c>
      <c r="B4857" t="inlineStr">
        <is>
          <t>solubility_in_ethanol</t>
        </is>
      </c>
      <c r="C4857" t="inlineStr">
        <is>
          <t>poor</t>
        </is>
      </c>
      <c r="D4857"/>
      <c r="E4857"/>
      <c r="F4857"/>
      <c r="G4857"/>
      <c r="H4857" t="inlineStr">
        <is>
          <t>S007_EXCIPIENTS_HANDBOOK</t>
        </is>
      </c>
      <c r="I4857" t="inlineStr">
        <is>
          <t>handbook</t>
        </is>
      </c>
      <c r="J4857">
        <v>0.55</v>
      </c>
      <c r="K4857"/>
    </row>
    <row r="4858">
      <c r="A4858" t="inlineStr">
        <is>
          <t>POL_CHITOSAN_LOW_MW</t>
        </is>
      </c>
      <c r="B4858" t="inlineStr">
        <is>
          <t>solubility_in_acetone</t>
        </is>
      </c>
      <c r="C4858" t="inlineStr">
        <is>
          <t>poor</t>
        </is>
      </c>
      <c r="D4858"/>
      <c r="E4858"/>
      <c r="F4858"/>
      <c r="G4858"/>
      <c r="H4858" t="inlineStr">
        <is>
          <t>S007_EXCIPIENTS_HANDBOOK</t>
        </is>
      </c>
      <c r="I4858" t="inlineStr">
        <is>
          <t>handbook</t>
        </is>
      </c>
      <c r="J4858">
        <v>0.55</v>
      </c>
      <c r="K4858"/>
    </row>
    <row r="4859">
      <c r="A4859" t="inlineStr">
        <is>
          <t>POL_CHITOSAN_LOW_MW</t>
        </is>
      </c>
      <c r="B4859" t="inlineStr">
        <is>
          <t>solubility_in_dcm</t>
        </is>
      </c>
      <c r="C4859" t="inlineStr">
        <is>
          <t>poor</t>
        </is>
      </c>
      <c r="D4859"/>
      <c r="E4859"/>
      <c r="F4859"/>
      <c r="G4859"/>
      <c r="H4859" t="inlineStr">
        <is>
          <t>S007_EXCIPIENTS_HANDBOOK</t>
        </is>
      </c>
      <c r="I4859" t="inlineStr">
        <is>
          <t>handbook</t>
        </is>
      </c>
      <c r="J4859">
        <v>0.55</v>
      </c>
      <c r="K4859"/>
    </row>
    <row r="4860">
      <c r="A4860" t="inlineStr">
        <is>
          <t>POL_CHITOSAN_LOW_MW</t>
        </is>
      </c>
      <c r="B4860" t="inlineStr">
        <is>
          <t>biodegradability</t>
        </is>
      </c>
      <c r="C4860" t="inlineStr">
        <is>
          <t>yes/enzymatic</t>
        </is>
      </c>
      <c r="D4860"/>
      <c r="E4860"/>
      <c r="F4860"/>
      <c r="G4860"/>
      <c r="H4860" t="inlineStr">
        <is>
          <t>S014_AULTON</t>
        </is>
      </c>
      <c r="I4860" t="inlineStr">
        <is>
          <t>curated</t>
        </is>
      </c>
      <c r="J4860">
        <v>0.65</v>
      </c>
      <c r="K4860"/>
    </row>
    <row r="4861">
      <c r="A4861" t="inlineStr">
        <is>
          <t>POL_CHITOSAN_LOW_MW</t>
        </is>
      </c>
      <c r="B4861" t="inlineStr">
        <is>
          <t>mucoadhesive_flag</t>
        </is>
      </c>
      <c r="C4861" t="inlineStr">
        <is>
          <t>yes</t>
        </is>
      </c>
      <c r="D4861"/>
      <c r="E4861"/>
      <c r="F4861"/>
      <c r="G4861"/>
      <c r="H4861" t="inlineStr">
        <is>
          <t>S014_AULTON</t>
        </is>
      </c>
      <c r="I4861" t="inlineStr">
        <is>
          <t>curated</t>
        </is>
      </c>
      <c r="J4861">
        <v>0.65</v>
      </c>
      <c r="K4861"/>
    </row>
    <row r="4862">
      <c r="A4862" t="inlineStr">
        <is>
          <t>POL_CHITOSAN_LOW_MW</t>
        </is>
      </c>
      <c r="B4862" t="inlineStr">
        <is>
          <t>coating_role</t>
        </is>
      </c>
      <c r="C4862" t="inlineStr">
        <is>
          <t>coating</t>
        </is>
      </c>
      <c r="D4862"/>
      <c r="E4862"/>
      <c r="F4862"/>
      <c r="G4862"/>
      <c r="H4862" t="inlineStr">
        <is>
          <t>S014_AULTON</t>
        </is>
      </c>
      <c r="I4862" t="inlineStr">
        <is>
          <t>curated</t>
        </is>
      </c>
      <c r="J4862">
        <v>0.6</v>
      </c>
      <c r="K4862"/>
    </row>
    <row r="4863">
      <c r="A4863" t="inlineStr">
        <is>
          <t>POL_CHITOSAN_LOW_MW</t>
        </is>
      </c>
      <c r="B4863" t="inlineStr">
        <is>
          <t>stabilizer_role</t>
        </is>
      </c>
      <c r="C4863" t="inlineStr">
        <is>
          <t>yes</t>
        </is>
      </c>
      <c r="D4863"/>
      <c r="E4863"/>
      <c r="F4863"/>
      <c r="G4863"/>
      <c r="H4863" t="inlineStr">
        <is>
          <t>S014_AULTON</t>
        </is>
      </c>
      <c r="I4863" t="inlineStr">
        <is>
          <t>curated</t>
        </is>
      </c>
      <c r="J4863">
        <v>0.6</v>
      </c>
      <c r="K4863"/>
    </row>
    <row r="4864">
      <c r="A4864" t="inlineStr">
        <is>
          <t>POL_CHITOSAN_LOW_MW</t>
        </is>
      </c>
      <c r="B4864" t="inlineStr">
        <is>
          <t>route_suitability</t>
        </is>
      </c>
      <c r="C4864" t="inlineStr">
        <is>
          <t>polymeric/hybrid/coating/stabilizer systems; grade and route dependent</t>
        </is>
      </c>
      <c r="D4864"/>
      <c r="E4864"/>
      <c r="F4864"/>
      <c r="G4864"/>
      <c r="H4864" t="inlineStr">
        <is>
          <t>S008_FDA_IID</t>
        </is>
      </c>
      <c r="I4864" t="inlineStr">
        <is>
          <t>curated</t>
        </is>
      </c>
      <c r="J4864">
        <v>0.55</v>
      </c>
      <c r="K4864"/>
    </row>
    <row r="4865">
      <c r="A4865" t="inlineStr">
        <is>
          <t>POL_CHITOSAN_LOW_MW</t>
        </is>
      </c>
      <c r="B4865" t="inlineStr">
        <is>
          <t>toxicity_notes</t>
        </is>
      </c>
      <c r="C4865" t="inlineStr">
        <is>
          <t>polymer grade, residual monomers/solvents, endotoxin and molecular weight distribution must be controlled</t>
        </is>
      </c>
      <c r="D4865"/>
      <c r="E4865"/>
      <c r="F4865"/>
      <c r="G4865"/>
      <c r="H4865" t="inlineStr">
        <is>
          <t>S007_EXCIPIENTS_HANDBOOK</t>
        </is>
      </c>
      <c r="I4865" t="inlineStr">
        <is>
          <t>curated</t>
        </is>
      </c>
      <c r="J4865">
        <v>0.65</v>
      </c>
      <c r="K4865"/>
    </row>
    <row r="4866">
      <c r="A4866" t="inlineStr">
        <is>
          <t>POL_CHITOSAN_LOW_MW</t>
        </is>
      </c>
      <c r="B4866" t="inlineStr">
        <is>
          <t>Hansen_delta_D</t>
        </is>
      </c>
      <c r="C4866">
        <v>18.0</v>
      </c>
      <c r="D4866" t="inlineStr">
        <is>
          <t>MPa^0.5</t>
        </is>
      </c>
      <c r="E4866"/>
      <c r="F4866"/>
      <c r="G4866" t="inlineStr">
        <is>
          <t>heuristic group-contribution/nearest-neighbour</t>
        </is>
      </c>
      <c r="H4866" t="inlineStr">
        <is>
          <t>S013_EST_HSP_HEURISTIC</t>
        </is>
      </c>
      <c r="I4866" t="inlineStr">
        <is>
          <t>estimated</t>
        </is>
      </c>
      <c r="J4866">
        <v>0.35</v>
      </c>
      <c r="K4866" t="inlineStr">
        <is>
          <t>Provisional HSP for screening; replace with experimental/literature value before model lock.</t>
        </is>
      </c>
    </row>
    <row r="4867">
      <c r="A4867" t="inlineStr">
        <is>
          <t>POL_CHITOSAN_LOW_MW</t>
        </is>
      </c>
      <c r="B4867" t="inlineStr">
        <is>
          <t>Hansen_delta_P</t>
        </is>
      </c>
      <c r="C4867">
        <v>8.0</v>
      </c>
      <c r="D4867" t="inlineStr">
        <is>
          <t>MPa^0.5</t>
        </is>
      </c>
      <c r="E4867"/>
      <c r="F4867"/>
      <c r="G4867" t="inlineStr">
        <is>
          <t>heuristic group-contribution/nearest-neighbour</t>
        </is>
      </c>
      <c r="H4867" t="inlineStr">
        <is>
          <t>S013_EST_HSP_HEURISTIC</t>
        </is>
      </c>
      <c r="I4867" t="inlineStr">
        <is>
          <t>estimated</t>
        </is>
      </c>
      <c r="J4867">
        <v>0.35</v>
      </c>
      <c r="K4867" t="inlineStr">
        <is>
          <t>Provisional HSP for screening; replace with experimental/literature value before model lock.</t>
        </is>
      </c>
    </row>
    <row r="4868">
      <c r="A4868" t="inlineStr">
        <is>
          <t>POL_CHITOSAN_LOW_MW</t>
        </is>
      </c>
      <c r="B4868" t="inlineStr">
        <is>
          <t>Hansen_delta_H</t>
        </is>
      </c>
      <c r="C4868">
        <v>10.0</v>
      </c>
      <c r="D4868" t="inlineStr">
        <is>
          <t>MPa^0.5</t>
        </is>
      </c>
      <c r="E4868"/>
      <c r="F4868"/>
      <c r="G4868" t="inlineStr">
        <is>
          <t>heuristic group-contribution/nearest-neighbour</t>
        </is>
      </c>
      <c r="H4868" t="inlineStr">
        <is>
          <t>S013_EST_HSP_HEURISTIC</t>
        </is>
      </c>
      <c r="I4868" t="inlineStr">
        <is>
          <t>estimated</t>
        </is>
      </c>
      <c r="J4868">
        <v>0.35</v>
      </c>
      <c r="K4868" t="inlineStr">
        <is>
          <t>Provisional HSP for screening; replace with experimental/literature value before model lock.</t>
        </is>
      </c>
    </row>
    <row r="4869">
      <c r="A4869" t="inlineStr">
        <is>
          <t>POL_CHITOSAN_LOW_MW</t>
        </is>
      </c>
      <c r="B4869" t="inlineStr">
        <is>
          <t>Hildebrand_delta_T</t>
        </is>
      </c>
      <c r="C4869">
        <v>22.09</v>
      </c>
      <c r="D4869" t="inlineStr">
        <is>
          <t>MPa^0.5</t>
        </is>
      </c>
      <c r="E4869"/>
      <c r="F4869"/>
      <c r="G4869" t="inlineStr">
        <is>
          <t>sqrt(deltaD^2+deltaP^2+deltaH^2)</t>
        </is>
      </c>
      <c r="H4869" t="inlineStr">
        <is>
          <t>S012_CALCULATED</t>
        </is>
      </c>
      <c r="I4869" t="inlineStr">
        <is>
          <t>calculated</t>
        </is>
      </c>
      <c r="J4869">
        <v>0.39999999999999997</v>
      </c>
      <c r="K4869" t="inlineStr">
        <is>
          <t>Derived from stored Hansen components.</t>
        </is>
      </c>
    </row>
    <row r="4870">
      <c r="A4870" t="inlineStr">
        <is>
          <t>POL_CHITOSAN_LOW_MW</t>
        </is>
      </c>
      <c r="B4870" t="inlineStr">
        <is>
          <t>HSP_radius_R0</t>
        </is>
      </c>
      <c r="C4870">
        <v>9.0</v>
      </c>
      <c r="D4870" t="inlineStr">
        <is>
          <t>MPa^0.5</t>
        </is>
      </c>
      <c r="E4870"/>
      <c r="F4870"/>
      <c r="G4870" t="inlineStr">
        <is>
          <t>literature/heuristic solubility sphere</t>
        </is>
      </c>
      <c r="H4870" t="inlineStr">
        <is>
          <t>S013_EST_HSP_HEURISTIC</t>
        </is>
      </c>
      <c r="I4870" t="inlineStr">
        <is>
          <t>estimated</t>
        </is>
      </c>
      <c r="J4870">
        <v>0.35</v>
      </c>
      <c r="K4870" t="inlineStr">
        <is>
          <t>Screening radius only unless experimentally determined.</t>
        </is>
      </c>
    </row>
    <row r="4871">
      <c r="A4871" t="inlineStr">
        <is>
          <t>POL_CHITOSAN_MEDIUM_MW</t>
        </is>
      </c>
      <c r="B4871" t="inlineStr">
        <is>
          <t>average_mw_g_mol</t>
        </is>
      </c>
      <c r="C4871">
        <v>250000</v>
      </c>
      <c r="D4871" t="inlineStr">
        <is>
          <t>g/mol</t>
        </is>
      </c>
      <c r="E4871"/>
      <c r="F4871"/>
      <c r="G4871" t="inlineStr">
        <is>
          <t>grade-dependent</t>
        </is>
      </c>
      <c r="H4871" t="inlineStr">
        <is>
          <t>S007_EXCIPIENTS_HANDBOOK</t>
        </is>
      </c>
      <c r="I4871" t="inlineStr">
        <is>
          <t>supplier-reported</t>
        </is>
      </c>
      <c r="J4871">
        <v>0.45</v>
      </c>
      <c r="K4871"/>
    </row>
    <row r="4872">
      <c r="A4872" t="inlineStr">
        <is>
          <t>POL_CHITOSAN_MEDIUM_MW</t>
        </is>
      </c>
      <c r="B4872" t="inlineStr">
        <is>
          <t>Tm_C</t>
        </is>
      </c>
      <c r="C4872">
        <v>220</v>
      </c>
      <c r="D4872" t="inlineStr">
        <is>
          <t>°C</t>
        </is>
      </c>
      <c r="E4872"/>
      <c r="F4872"/>
      <c r="G4872" t="inlineStr">
        <is>
          <t>grade/substitution dependent</t>
        </is>
      </c>
      <c r="H4872" t="inlineStr">
        <is>
          <t>S007_EXCIPIENTS_HANDBOOK</t>
        </is>
      </c>
      <c r="I4872" t="inlineStr">
        <is>
          <t>handbook</t>
        </is>
      </c>
      <c r="J4872">
        <v>0.48</v>
      </c>
      <c r="K4872"/>
    </row>
    <row r="4873">
      <c r="A4873" t="inlineStr">
        <is>
          <t>POL_CHITOSAN_MEDIUM_MW</t>
        </is>
      </c>
      <c r="B4873" t="inlineStr">
        <is>
          <t>pKa</t>
        </is>
      </c>
      <c r="C4873">
        <v>6.5</v>
      </c>
      <c r="D4873"/>
      <c r="E4873"/>
      <c r="F4873"/>
      <c r="G4873" t="inlineStr">
        <is>
          <t>grade/substitution dependent</t>
        </is>
      </c>
      <c r="H4873" t="inlineStr">
        <is>
          <t>S007_EXCIPIENTS_HANDBOOK</t>
        </is>
      </c>
      <c r="I4873" t="inlineStr">
        <is>
          <t>literature</t>
        </is>
      </c>
      <c r="J4873">
        <v>0.48</v>
      </c>
      <c r="K4873"/>
    </row>
    <row r="4874">
      <c r="A4874" t="inlineStr">
        <is>
          <t>POL_CHITOSAN_MEDIUM_MW</t>
        </is>
      </c>
      <c r="B4874" t="inlineStr">
        <is>
          <t>charge_density</t>
        </is>
      </c>
      <c r="C4874" t="inlineStr">
        <is>
          <t>degree of deacetylation dependent</t>
        </is>
      </c>
      <c r="D4874"/>
      <c r="E4874"/>
      <c r="F4874"/>
      <c r="G4874" t="inlineStr">
        <is>
          <t>grade/substitution dependent</t>
        </is>
      </c>
      <c r="H4874" t="inlineStr">
        <is>
          <t>S007_EXCIPIENTS_HANDBOOK</t>
        </is>
      </c>
      <c r="I4874" t="inlineStr">
        <is>
          <t>literature</t>
        </is>
      </c>
      <c r="J4874">
        <v>0.48</v>
      </c>
      <c r="K4874"/>
    </row>
    <row r="4875">
      <c r="A4875" t="inlineStr">
        <is>
          <t>POL_CHITOSAN_MEDIUM_MW</t>
        </is>
      </c>
      <c r="B4875" t="inlineStr">
        <is>
          <t>charge_type</t>
        </is>
      </c>
      <c r="C4875" t="inlineStr">
        <is>
          <t>cationic</t>
        </is>
      </c>
      <c r="D4875"/>
      <c r="E4875"/>
      <c r="F4875"/>
      <c r="G4875"/>
      <c r="H4875" t="inlineStr">
        <is>
          <t>S007_EXCIPIENTS_HANDBOOK</t>
        </is>
      </c>
      <c r="I4875" t="inlineStr">
        <is>
          <t>curated</t>
        </is>
      </c>
      <c r="J4875">
        <v>0.75</v>
      </c>
      <c r="K4875"/>
    </row>
    <row r="4876">
      <c r="A4876" t="inlineStr">
        <is>
          <t>POL_CHITOSAN_MEDIUM_MW</t>
        </is>
      </c>
      <c r="B4876" t="inlineStr">
        <is>
          <t>formal_charge</t>
        </is>
      </c>
      <c r="C4876">
        <v>1</v>
      </c>
      <c r="D4876" t="inlineStr">
        <is>
          <t>e</t>
        </is>
      </c>
      <c r="E4876"/>
      <c r="F4876"/>
      <c r="G4876"/>
      <c r="H4876" t="inlineStr">
        <is>
          <t>S007_EXCIPIENTS_HANDBOOK</t>
        </is>
      </c>
      <c r="I4876" t="inlineStr">
        <is>
          <t>curated</t>
        </is>
      </c>
      <c r="J4876">
        <v>0.75</v>
      </c>
      <c r="K4876"/>
    </row>
    <row r="4877">
      <c r="A4877" t="inlineStr">
        <is>
          <t>POL_CHITOSAN_MEDIUM_MW</t>
        </is>
      </c>
      <c r="B4877" t="inlineStr">
        <is>
          <t>solubility_in_water</t>
        </is>
      </c>
      <c r="C4877" t="inlineStr">
        <is>
          <t>acid-soluble</t>
        </is>
      </c>
      <c r="D4877"/>
      <c r="E4877"/>
      <c r="F4877"/>
      <c r="G4877"/>
      <c r="H4877" t="inlineStr">
        <is>
          <t>S007_EXCIPIENTS_HANDBOOK</t>
        </is>
      </c>
      <c r="I4877" t="inlineStr">
        <is>
          <t>handbook</t>
        </is>
      </c>
      <c r="J4877">
        <v>0.55</v>
      </c>
      <c r="K4877"/>
    </row>
    <row r="4878">
      <c r="A4878" t="inlineStr">
        <is>
          <t>POL_CHITOSAN_MEDIUM_MW</t>
        </is>
      </c>
      <c r="B4878" t="inlineStr">
        <is>
          <t>solubility_in_ethanol</t>
        </is>
      </c>
      <c r="C4878" t="inlineStr">
        <is>
          <t>poor</t>
        </is>
      </c>
      <c r="D4878"/>
      <c r="E4878"/>
      <c r="F4878"/>
      <c r="G4878"/>
      <c r="H4878" t="inlineStr">
        <is>
          <t>S007_EXCIPIENTS_HANDBOOK</t>
        </is>
      </c>
      <c r="I4878" t="inlineStr">
        <is>
          <t>handbook</t>
        </is>
      </c>
      <c r="J4878">
        <v>0.55</v>
      </c>
      <c r="K4878"/>
    </row>
    <row r="4879">
      <c r="A4879" t="inlineStr">
        <is>
          <t>POL_CHITOSAN_MEDIUM_MW</t>
        </is>
      </c>
      <c r="B4879" t="inlineStr">
        <is>
          <t>solubility_in_acetone</t>
        </is>
      </c>
      <c r="C4879" t="inlineStr">
        <is>
          <t>poor</t>
        </is>
      </c>
      <c r="D4879"/>
      <c r="E4879"/>
      <c r="F4879"/>
      <c r="G4879"/>
      <c r="H4879" t="inlineStr">
        <is>
          <t>S007_EXCIPIENTS_HANDBOOK</t>
        </is>
      </c>
      <c r="I4879" t="inlineStr">
        <is>
          <t>handbook</t>
        </is>
      </c>
      <c r="J4879">
        <v>0.55</v>
      </c>
      <c r="K4879"/>
    </row>
    <row r="4880">
      <c r="A4880" t="inlineStr">
        <is>
          <t>POL_CHITOSAN_MEDIUM_MW</t>
        </is>
      </c>
      <c r="B4880" t="inlineStr">
        <is>
          <t>solubility_in_dcm</t>
        </is>
      </c>
      <c r="C4880" t="inlineStr">
        <is>
          <t>poor</t>
        </is>
      </c>
      <c r="D4880"/>
      <c r="E4880"/>
      <c r="F4880"/>
      <c r="G4880"/>
      <c r="H4880" t="inlineStr">
        <is>
          <t>S007_EXCIPIENTS_HANDBOOK</t>
        </is>
      </c>
      <c r="I4880" t="inlineStr">
        <is>
          <t>handbook</t>
        </is>
      </c>
      <c r="J4880">
        <v>0.55</v>
      </c>
      <c r="K4880"/>
    </row>
    <row r="4881">
      <c r="A4881" t="inlineStr">
        <is>
          <t>POL_CHITOSAN_MEDIUM_MW</t>
        </is>
      </c>
      <c r="B4881" t="inlineStr">
        <is>
          <t>biodegradability</t>
        </is>
      </c>
      <c r="C4881" t="inlineStr">
        <is>
          <t>yes/enzymatic</t>
        </is>
      </c>
      <c r="D4881"/>
      <c r="E4881"/>
      <c r="F4881"/>
      <c r="G4881"/>
      <c r="H4881" t="inlineStr">
        <is>
          <t>S014_AULTON</t>
        </is>
      </c>
      <c r="I4881" t="inlineStr">
        <is>
          <t>curated</t>
        </is>
      </c>
      <c r="J4881">
        <v>0.65</v>
      </c>
      <c r="K4881"/>
    </row>
    <row r="4882">
      <c r="A4882" t="inlineStr">
        <is>
          <t>POL_CHITOSAN_MEDIUM_MW</t>
        </is>
      </c>
      <c r="B4882" t="inlineStr">
        <is>
          <t>mucoadhesive_flag</t>
        </is>
      </c>
      <c r="C4882" t="inlineStr">
        <is>
          <t>yes</t>
        </is>
      </c>
      <c r="D4882"/>
      <c r="E4882"/>
      <c r="F4882"/>
      <c r="G4882"/>
      <c r="H4882" t="inlineStr">
        <is>
          <t>S014_AULTON</t>
        </is>
      </c>
      <c r="I4882" t="inlineStr">
        <is>
          <t>curated</t>
        </is>
      </c>
      <c r="J4882">
        <v>0.65</v>
      </c>
      <c r="K4882"/>
    </row>
    <row r="4883">
      <c r="A4883" t="inlineStr">
        <is>
          <t>POL_CHITOSAN_MEDIUM_MW</t>
        </is>
      </c>
      <c r="B4883" t="inlineStr">
        <is>
          <t>coating_role</t>
        </is>
      </c>
      <c r="C4883" t="inlineStr">
        <is>
          <t>coating</t>
        </is>
      </c>
      <c r="D4883"/>
      <c r="E4883"/>
      <c r="F4883"/>
      <c r="G4883"/>
      <c r="H4883" t="inlineStr">
        <is>
          <t>S014_AULTON</t>
        </is>
      </c>
      <c r="I4883" t="inlineStr">
        <is>
          <t>curated</t>
        </is>
      </c>
      <c r="J4883">
        <v>0.6</v>
      </c>
      <c r="K4883"/>
    </row>
    <row r="4884">
      <c r="A4884" t="inlineStr">
        <is>
          <t>POL_CHITOSAN_MEDIUM_MW</t>
        </is>
      </c>
      <c r="B4884" t="inlineStr">
        <is>
          <t>stabilizer_role</t>
        </is>
      </c>
      <c r="C4884" t="inlineStr">
        <is>
          <t>yes</t>
        </is>
      </c>
      <c r="D4884"/>
      <c r="E4884"/>
      <c r="F4884"/>
      <c r="G4884"/>
      <c r="H4884" t="inlineStr">
        <is>
          <t>S014_AULTON</t>
        </is>
      </c>
      <c r="I4884" t="inlineStr">
        <is>
          <t>curated</t>
        </is>
      </c>
      <c r="J4884">
        <v>0.6</v>
      </c>
      <c r="K4884"/>
    </row>
    <row r="4885">
      <c r="A4885" t="inlineStr">
        <is>
          <t>POL_CHITOSAN_MEDIUM_MW</t>
        </is>
      </c>
      <c r="B4885" t="inlineStr">
        <is>
          <t>route_suitability</t>
        </is>
      </c>
      <c r="C4885" t="inlineStr">
        <is>
          <t>polymeric/hybrid/coating/stabilizer systems; grade and route dependent</t>
        </is>
      </c>
      <c r="D4885"/>
      <c r="E4885"/>
      <c r="F4885"/>
      <c r="G4885"/>
      <c r="H4885" t="inlineStr">
        <is>
          <t>S008_FDA_IID</t>
        </is>
      </c>
      <c r="I4885" t="inlineStr">
        <is>
          <t>curated</t>
        </is>
      </c>
      <c r="J4885">
        <v>0.55</v>
      </c>
      <c r="K4885"/>
    </row>
    <row r="4886">
      <c r="A4886" t="inlineStr">
        <is>
          <t>POL_CHITOSAN_MEDIUM_MW</t>
        </is>
      </c>
      <c r="B4886" t="inlineStr">
        <is>
          <t>toxicity_notes</t>
        </is>
      </c>
      <c r="C4886" t="inlineStr">
        <is>
          <t>polymer grade, residual monomers/solvents, endotoxin and molecular weight distribution must be controlled</t>
        </is>
      </c>
      <c r="D4886"/>
      <c r="E4886"/>
      <c r="F4886"/>
      <c r="G4886"/>
      <c r="H4886" t="inlineStr">
        <is>
          <t>S007_EXCIPIENTS_HANDBOOK</t>
        </is>
      </c>
      <c r="I4886" t="inlineStr">
        <is>
          <t>curated</t>
        </is>
      </c>
      <c r="J4886">
        <v>0.65</v>
      </c>
      <c r="K4886"/>
    </row>
    <row r="4887">
      <c r="A4887" t="inlineStr">
        <is>
          <t>POL_CHITOSAN_MEDIUM_MW</t>
        </is>
      </c>
      <c r="B4887" t="inlineStr">
        <is>
          <t>Hansen_delta_D</t>
        </is>
      </c>
      <c r="C4887">
        <v>18.0</v>
      </c>
      <c r="D4887" t="inlineStr">
        <is>
          <t>MPa^0.5</t>
        </is>
      </c>
      <c r="E4887"/>
      <c r="F4887"/>
      <c r="G4887" t="inlineStr">
        <is>
          <t>heuristic group-contribution/nearest-neighbour</t>
        </is>
      </c>
      <c r="H4887" t="inlineStr">
        <is>
          <t>S013_EST_HSP_HEURISTIC</t>
        </is>
      </c>
      <c r="I4887" t="inlineStr">
        <is>
          <t>estimated</t>
        </is>
      </c>
      <c r="J4887">
        <v>0.35</v>
      </c>
      <c r="K4887" t="inlineStr">
        <is>
          <t>Provisional HSP for screening; replace with experimental/literature value before model lock.</t>
        </is>
      </c>
    </row>
    <row r="4888">
      <c r="A4888" t="inlineStr">
        <is>
          <t>POL_CHITOSAN_MEDIUM_MW</t>
        </is>
      </c>
      <c r="B4888" t="inlineStr">
        <is>
          <t>Hansen_delta_P</t>
        </is>
      </c>
      <c r="C4888">
        <v>8.0</v>
      </c>
      <c r="D4888" t="inlineStr">
        <is>
          <t>MPa^0.5</t>
        </is>
      </c>
      <c r="E4888"/>
      <c r="F4888"/>
      <c r="G4888" t="inlineStr">
        <is>
          <t>heuristic group-contribution/nearest-neighbour</t>
        </is>
      </c>
      <c r="H4888" t="inlineStr">
        <is>
          <t>S013_EST_HSP_HEURISTIC</t>
        </is>
      </c>
      <c r="I4888" t="inlineStr">
        <is>
          <t>estimated</t>
        </is>
      </c>
      <c r="J4888">
        <v>0.35</v>
      </c>
      <c r="K4888" t="inlineStr">
        <is>
          <t>Provisional HSP for screening; replace with experimental/literature value before model lock.</t>
        </is>
      </c>
    </row>
    <row r="4889">
      <c r="A4889" t="inlineStr">
        <is>
          <t>POL_CHITOSAN_MEDIUM_MW</t>
        </is>
      </c>
      <c r="B4889" t="inlineStr">
        <is>
          <t>Hansen_delta_H</t>
        </is>
      </c>
      <c r="C4889">
        <v>10.0</v>
      </c>
      <c r="D4889" t="inlineStr">
        <is>
          <t>MPa^0.5</t>
        </is>
      </c>
      <c r="E4889"/>
      <c r="F4889"/>
      <c r="G4889" t="inlineStr">
        <is>
          <t>heuristic group-contribution/nearest-neighbour</t>
        </is>
      </c>
      <c r="H4889" t="inlineStr">
        <is>
          <t>S013_EST_HSP_HEURISTIC</t>
        </is>
      </c>
      <c r="I4889" t="inlineStr">
        <is>
          <t>estimated</t>
        </is>
      </c>
      <c r="J4889">
        <v>0.35</v>
      </c>
      <c r="K4889" t="inlineStr">
        <is>
          <t>Provisional HSP for screening; replace with experimental/literature value before model lock.</t>
        </is>
      </c>
    </row>
    <row r="4890">
      <c r="A4890" t="inlineStr">
        <is>
          <t>POL_CHITOSAN_MEDIUM_MW</t>
        </is>
      </c>
      <c r="B4890" t="inlineStr">
        <is>
          <t>Hildebrand_delta_T</t>
        </is>
      </c>
      <c r="C4890">
        <v>22.09</v>
      </c>
      <c r="D4890" t="inlineStr">
        <is>
          <t>MPa^0.5</t>
        </is>
      </c>
      <c r="E4890"/>
      <c r="F4890"/>
      <c r="G4890" t="inlineStr">
        <is>
          <t>sqrt(deltaD^2+deltaP^2+deltaH^2)</t>
        </is>
      </c>
      <c r="H4890" t="inlineStr">
        <is>
          <t>S012_CALCULATED</t>
        </is>
      </c>
      <c r="I4890" t="inlineStr">
        <is>
          <t>calculated</t>
        </is>
      </c>
      <c r="J4890">
        <v>0.39999999999999997</v>
      </c>
      <c r="K4890" t="inlineStr">
        <is>
          <t>Derived from stored Hansen components.</t>
        </is>
      </c>
    </row>
    <row r="4891">
      <c r="A4891" t="inlineStr">
        <is>
          <t>POL_CHITOSAN_MEDIUM_MW</t>
        </is>
      </c>
      <c r="B4891" t="inlineStr">
        <is>
          <t>HSP_radius_R0</t>
        </is>
      </c>
      <c r="C4891">
        <v>9.0</v>
      </c>
      <c r="D4891" t="inlineStr">
        <is>
          <t>MPa^0.5</t>
        </is>
      </c>
      <c r="E4891"/>
      <c r="F4891"/>
      <c r="G4891" t="inlineStr">
        <is>
          <t>literature/heuristic solubility sphere</t>
        </is>
      </c>
      <c r="H4891" t="inlineStr">
        <is>
          <t>S013_EST_HSP_HEURISTIC</t>
        </is>
      </c>
      <c r="I4891" t="inlineStr">
        <is>
          <t>estimated</t>
        </is>
      </c>
      <c r="J4891">
        <v>0.35</v>
      </c>
      <c r="K4891" t="inlineStr">
        <is>
          <t>Screening radius only unless experimentally determined.</t>
        </is>
      </c>
    </row>
    <row r="4892">
      <c r="A4892" t="inlineStr">
        <is>
          <t>POL_CHITOSAN_HIGH_MW</t>
        </is>
      </c>
      <c r="B4892" t="inlineStr">
        <is>
          <t>average_mw_g_mol</t>
        </is>
      </c>
      <c r="C4892">
        <v>600000</v>
      </c>
      <c r="D4892" t="inlineStr">
        <is>
          <t>g/mol</t>
        </is>
      </c>
      <c r="E4892"/>
      <c r="F4892"/>
      <c r="G4892" t="inlineStr">
        <is>
          <t>grade-dependent</t>
        </is>
      </c>
      <c r="H4892" t="inlineStr">
        <is>
          <t>S007_EXCIPIENTS_HANDBOOK</t>
        </is>
      </c>
      <c r="I4892" t="inlineStr">
        <is>
          <t>supplier-reported</t>
        </is>
      </c>
      <c r="J4892">
        <v>0.45</v>
      </c>
      <c r="K4892"/>
    </row>
    <row r="4893">
      <c r="A4893" t="inlineStr">
        <is>
          <t>POL_CHITOSAN_HIGH_MW</t>
        </is>
      </c>
      <c r="B4893" t="inlineStr">
        <is>
          <t>Tm_C</t>
        </is>
      </c>
      <c r="C4893">
        <v>220</v>
      </c>
      <c r="D4893" t="inlineStr">
        <is>
          <t>°C</t>
        </is>
      </c>
      <c r="E4893"/>
      <c r="F4893"/>
      <c r="G4893" t="inlineStr">
        <is>
          <t>grade/substitution dependent</t>
        </is>
      </c>
      <c r="H4893" t="inlineStr">
        <is>
          <t>S007_EXCIPIENTS_HANDBOOK</t>
        </is>
      </c>
      <c r="I4893" t="inlineStr">
        <is>
          <t>handbook</t>
        </is>
      </c>
      <c r="J4893">
        <v>0.48</v>
      </c>
      <c r="K4893"/>
    </row>
    <row r="4894">
      <c r="A4894" t="inlineStr">
        <is>
          <t>POL_CHITOSAN_HIGH_MW</t>
        </is>
      </c>
      <c r="B4894" t="inlineStr">
        <is>
          <t>pKa</t>
        </is>
      </c>
      <c r="C4894">
        <v>6.5</v>
      </c>
      <c r="D4894"/>
      <c r="E4894"/>
      <c r="F4894"/>
      <c r="G4894" t="inlineStr">
        <is>
          <t>grade/substitution dependent</t>
        </is>
      </c>
      <c r="H4894" t="inlineStr">
        <is>
          <t>S007_EXCIPIENTS_HANDBOOK</t>
        </is>
      </c>
      <c r="I4894" t="inlineStr">
        <is>
          <t>literature</t>
        </is>
      </c>
      <c r="J4894">
        <v>0.48</v>
      </c>
      <c r="K4894"/>
    </row>
    <row r="4895">
      <c r="A4895" t="inlineStr">
        <is>
          <t>POL_CHITOSAN_HIGH_MW</t>
        </is>
      </c>
      <c r="B4895" t="inlineStr">
        <is>
          <t>charge_density</t>
        </is>
      </c>
      <c r="C4895" t="inlineStr">
        <is>
          <t>degree of deacetylation dependent</t>
        </is>
      </c>
      <c r="D4895"/>
      <c r="E4895"/>
      <c r="F4895"/>
      <c r="G4895" t="inlineStr">
        <is>
          <t>grade/substitution dependent</t>
        </is>
      </c>
      <c r="H4895" t="inlineStr">
        <is>
          <t>S007_EXCIPIENTS_HANDBOOK</t>
        </is>
      </c>
      <c r="I4895" t="inlineStr">
        <is>
          <t>literature</t>
        </is>
      </c>
      <c r="J4895">
        <v>0.48</v>
      </c>
      <c r="K4895"/>
    </row>
    <row r="4896">
      <c r="A4896" t="inlineStr">
        <is>
          <t>POL_CHITOSAN_HIGH_MW</t>
        </is>
      </c>
      <c r="B4896" t="inlineStr">
        <is>
          <t>charge_type</t>
        </is>
      </c>
      <c r="C4896" t="inlineStr">
        <is>
          <t>cationic</t>
        </is>
      </c>
      <c r="D4896"/>
      <c r="E4896"/>
      <c r="F4896"/>
      <c r="G4896"/>
      <c r="H4896" t="inlineStr">
        <is>
          <t>S007_EXCIPIENTS_HANDBOOK</t>
        </is>
      </c>
      <c r="I4896" t="inlineStr">
        <is>
          <t>curated</t>
        </is>
      </c>
      <c r="J4896">
        <v>0.75</v>
      </c>
      <c r="K4896"/>
    </row>
    <row r="4897">
      <c r="A4897" t="inlineStr">
        <is>
          <t>POL_CHITOSAN_HIGH_MW</t>
        </is>
      </c>
      <c r="B4897" t="inlineStr">
        <is>
          <t>formal_charge</t>
        </is>
      </c>
      <c r="C4897">
        <v>1</v>
      </c>
      <c r="D4897" t="inlineStr">
        <is>
          <t>e</t>
        </is>
      </c>
      <c r="E4897"/>
      <c r="F4897"/>
      <c r="G4897"/>
      <c r="H4897" t="inlineStr">
        <is>
          <t>S007_EXCIPIENTS_HANDBOOK</t>
        </is>
      </c>
      <c r="I4897" t="inlineStr">
        <is>
          <t>curated</t>
        </is>
      </c>
      <c r="J4897">
        <v>0.75</v>
      </c>
      <c r="K4897"/>
    </row>
    <row r="4898">
      <c r="A4898" t="inlineStr">
        <is>
          <t>POL_CHITOSAN_HIGH_MW</t>
        </is>
      </c>
      <c r="B4898" t="inlineStr">
        <is>
          <t>solubility_in_water</t>
        </is>
      </c>
      <c r="C4898" t="inlineStr">
        <is>
          <t>acid-soluble</t>
        </is>
      </c>
      <c r="D4898"/>
      <c r="E4898"/>
      <c r="F4898"/>
      <c r="G4898"/>
      <c r="H4898" t="inlineStr">
        <is>
          <t>S007_EXCIPIENTS_HANDBOOK</t>
        </is>
      </c>
      <c r="I4898" t="inlineStr">
        <is>
          <t>handbook</t>
        </is>
      </c>
      <c r="J4898">
        <v>0.55</v>
      </c>
      <c r="K4898"/>
    </row>
    <row r="4899">
      <c r="A4899" t="inlineStr">
        <is>
          <t>POL_CHITOSAN_HIGH_MW</t>
        </is>
      </c>
      <c r="B4899" t="inlineStr">
        <is>
          <t>solubility_in_ethanol</t>
        </is>
      </c>
      <c r="C4899" t="inlineStr">
        <is>
          <t>poor</t>
        </is>
      </c>
      <c r="D4899"/>
      <c r="E4899"/>
      <c r="F4899"/>
      <c r="G4899"/>
      <c r="H4899" t="inlineStr">
        <is>
          <t>S007_EXCIPIENTS_HANDBOOK</t>
        </is>
      </c>
      <c r="I4899" t="inlineStr">
        <is>
          <t>handbook</t>
        </is>
      </c>
      <c r="J4899">
        <v>0.55</v>
      </c>
      <c r="K4899"/>
    </row>
    <row r="4900">
      <c r="A4900" t="inlineStr">
        <is>
          <t>POL_CHITOSAN_HIGH_MW</t>
        </is>
      </c>
      <c r="B4900" t="inlineStr">
        <is>
          <t>solubility_in_acetone</t>
        </is>
      </c>
      <c r="C4900" t="inlineStr">
        <is>
          <t>poor</t>
        </is>
      </c>
      <c r="D4900"/>
      <c r="E4900"/>
      <c r="F4900"/>
      <c r="G4900"/>
      <c r="H4900" t="inlineStr">
        <is>
          <t>S007_EXCIPIENTS_HANDBOOK</t>
        </is>
      </c>
      <c r="I4900" t="inlineStr">
        <is>
          <t>handbook</t>
        </is>
      </c>
      <c r="J4900">
        <v>0.55</v>
      </c>
      <c r="K4900"/>
    </row>
    <row r="4901">
      <c r="A4901" t="inlineStr">
        <is>
          <t>POL_CHITOSAN_HIGH_MW</t>
        </is>
      </c>
      <c r="B4901" t="inlineStr">
        <is>
          <t>solubility_in_dcm</t>
        </is>
      </c>
      <c r="C4901" t="inlineStr">
        <is>
          <t>poor</t>
        </is>
      </c>
      <c r="D4901"/>
      <c r="E4901"/>
      <c r="F4901"/>
      <c r="G4901"/>
      <c r="H4901" t="inlineStr">
        <is>
          <t>S007_EXCIPIENTS_HANDBOOK</t>
        </is>
      </c>
      <c r="I4901" t="inlineStr">
        <is>
          <t>handbook</t>
        </is>
      </c>
      <c r="J4901">
        <v>0.55</v>
      </c>
      <c r="K4901"/>
    </row>
    <row r="4902">
      <c r="A4902" t="inlineStr">
        <is>
          <t>POL_CHITOSAN_HIGH_MW</t>
        </is>
      </c>
      <c r="B4902" t="inlineStr">
        <is>
          <t>biodegradability</t>
        </is>
      </c>
      <c r="C4902" t="inlineStr">
        <is>
          <t>yes/enzymatic</t>
        </is>
      </c>
      <c r="D4902"/>
      <c r="E4902"/>
      <c r="F4902"/>
      <c r="G4902"/>
      <c r="H4902" t="inlineStr">
        <is>
          <t>S014_AULTON</t>
        </is>
      </c>
      <c r="I4902" t="inlineStr">
        <is>
          <t>curated</t>
        </is>
      </c>
      <c r="J4902">
        <v>0.65</v>
      </c>
      <c r="K4902"/>
    </row>
    <row r="4903">
      <c r="A4903" t="inlineStr">
        <is>
          <t>POL_CHITOSAN_HIGH_MW</t>
        </is>
      </c>
      <c r="B4903" t="inlineStr">
        <is>
          <t>mucoadhesive_flag</t>
        </is>
      </c>
      <c r="C4903" t="inlineStr">
        <is>
          <t>yes</t>
        </is>
      </c>
      <c r="D4903"/>
      <c r="E4903"/>
      <c r="F4903"/>
      <c r="G4903"/>
      <c r="H4903" t="inlineStr">
        <is>
          <t>S014_AULTON</t>
        </is>
      </c>
      <c r="I4903" t="inlineStr">
        <is>
          <t>curated</t>
        </is>
      </c>
      <c r="J4903">
        <v>0.65</v>
      </c>
      <c r="K4903"/>
    </row>
    <row r="4904">
      <c r="A4904" t="inlineStr">
        <is>
          <t>POL_CHITOSAN_HIGH_MW</t>
        </is>
      </c>
      <c r="B4904" t="inlineStr">
        <is>
          <t>coating_role</t>
        </is>
      </c>
      <c r="C4904" t="inlineStr">
        <is>
          <t>coating</t>
        </is>
      </c>
      <c r="D4904"/>
      <c r="E4904"/>
      <c r="F4904"/>
      <c r="G4904"/>
      <c r="H4904" t="inlineStr">
        <is>
          <t>S014_AULTON</t>
        </is>
      </c>
      <c r="I4904" t="inlineStr">
        <is>
          <t>curated</t>
        </is>
      </c>
      <c r="J4904">
        <v>0.6</v>
      </c>
      <c r="K4904"/>
    </row>
    <row r="4905">
      <c r="A4905" t="inlineStr">
        <is>
          <t>POL_CHITOSAN_HIGH_MW</t>
        </is>
      </c>
      <c r="B4905" t="inlineStr">
        <is>
          <t>stabilizer_role</t>
        </is>
      </c>
      <c r="C4905" t="inlineStr">
        <is>
          <t>yes</t>
        </is>
      </c>
      <c r="D4905"/>
      <c r="E4905"/>
      <c r="F4905"/>
      <c r="G4905"/>
      <c r="H4905" t="inlineStr">
        <is>
          <t>S014_AULTON</t>
        </is>
      </c>
      <c r="I4905" t="inlineStr">
        <is>
          <t>curated</t>
        </is>
      </c>
      <c r="J4905">
        <v>0.6</v>
      </c>
      <c r="K4905"/>
    </row>
    <row r="4906">
      <c r="A4906" t="inlineStr">
        <is>
          <t>POL_CHITOSAN_HIGH_MW</t>
        </is>
      </c>
      <c r="B4906" t="inlineStr">
        <is>
          <t>route_suitability</t>
        </is>
      </c>
      <c r="C4906" t="inlineStr">
        <is>
          <t>polymeric/hybrid/coating/stabilizer systems; grade and route dependent</t>
        </is>
      </c>
      <c r="D4906"/>
      <c r="E4906"/>
      <c r="F4906"/>
      <c r="G4906"/>
      <c r="H4906" t="inlineStr">
        <is>
          <t>S008_FDA_IID</t>
        </is>
      </c>
      <c r="I4906" t="inlineStr">
        <is>
          <t>curated</t>
        </is>
      </c>
      <c r="J4906">
        <v>0.55</v>
      </c>
      <c r="K4906"/>
    </row>
    <row r="4907">
      <c r="A4907" t="inlineStr">
        <is>
          <t>POL_CHITOSAN_HIGH_MW</t>
        </is>
      </c>
      <c r="B4907" t="inlineStr">
        <is>
          <t>toxicity_notes</t>
        </is>
      </c>
      <c r="C4907" t="inlineStr">
        <is>
          <t>polymer grade, residual monomers/solvents, endotoxin and molecular weight distribution must be controlled</t>
        </is>
      </c>
      <c r="D4907"/>
      <c r="E4907"/>
      <c r="F4907"/>
      <c r="G4907"/>
      <c r="H4907" t="inlineStr">
        <is>
          <t>S007_EXCIPIENTS_HANDBOOK</t>
        </is>
      </c>
      <c r="I4907" t="inlineStr">
        <is>
          <t>curated</t>
        </is>
      </c>
      <c r="J4907">
        <v>0.65</v>
      </c>
      <c r="K4907"/>
    </row>
    <row r="4908">
      <c r="A4908" t="inlineStr">
        <is>
          <t>POL_CHITOSAN_HIGH_MW</t>
        </is>
      </c>
      <c r="B4908" t="inlineStr">
        <is>
          <t>Hansen_delta_D</t>
        </is>
      </c>
      <c r="C4908">
        <v>18.0</v>
      </c>
      <c r="D4908" t="inlineStr">
        <is>
          <t>MPa^0.5</t>
        </is>
      </c>
      <c r="E4908"/>
      <c r="F4908"/>
      <c r="G4908" t="inlineStr">
        <is>
          <t>heuristic group-contribution/nearest-neighbour</t>
        </is>
      </c>
      <c r="H4908" t="inlineStr">
        <is>
          <t>S013_EST_HSP_HEURISTIC</t>
        </is>
      </c>
      <c r="I4908" t="inlineStr">
        <is>
          <t>estimated</t>
        </is>
      </c>
      <c r="J4908">
        <v>0.35</v>
      </c>
      <c r="K4908" t="inlineStr">
        <is>
          <t>Provisional HSP for screening; replace with experimental/literature value before model lock.</t>
        </is>
      </c>
    </row>
    <row r="4909">
      <c r="A4909" t="inlineStr">
        <is>
          <t>POL_CHITOSAN_HIGH_MW</t>
        </is>
      </c>
      <c r="B4909" t="inlineStr">
        <is>
          <t>Hansen_delta_P</t>
        </is>
      </c>
      <c r="C4909">
        <v>8.0</v>
      </c>
      <c r="D4909" t="inlineStr">
        <is>
          <t>MPa^0.5</t>
        </is>
      </c>
      <c r="E4909"/>
      <c r="F4909"/>
      <c r="G4909" t="inlineStr">
        <is>
          <t>heuristic group-contribution/nearest-neighbour</t>
        </is>
      </c>
      <c r="H4909" t="inlineStr">
        <is>
          <t>S013_EST_HSP_HEURISTIC</t>
        </is>
      </c>
      <c r="I4909" t="inlineStr">
        <is>
          <t>estimated</t>
        </is>
      </c>
      <c r="J4909">
        <v>0.35</v>
      </c>
      <c r="K4909" t="inlineStr">
        <is>
          <t>Provisional HSP for screening; replace with experimental/literature value before model lock.</t>
        </is>
      </c>
    </row>
    <row r="4910">
      <c r="A4910" t="inlineStr">
        <is>
          <t>POL_CHITOSAN_HIGH_MW</t>
        </is>
      </c>
      <c r="B4910" t="inlineStr">
        <is>
          <t>Hansen_delta_H</t>
        </is>
      </c>
      <c r="C4910">
        <v>10.0</v>
      </c>
      <c r="D4910" t="inlineStr">
        <is>
          <t>MPa^0.5</t>
        </is>
      </c>
      <c r="E4910"/>
      <c r="F4910"/>
      <c r="G4910" t="inlineStr">
        <is>
          <t>heuristic group-contribution/nearest-neighbour</t>
        </is>
      </c>
      <c r="H4910" t="inlineStr">
        <is>
          <t>S013_EST_HSP_HEURISTIC</t>
        </is>
      </c>
      <c r="I4910" t="inlineStr">
        <is>
          <t>estimated</t>
        </is>
      </c>
      <c r="J4910">
        <v>0.35</v>
      </c>
      <c r="K4910" t="inlineStr">
        <is>
          <t>Provisional HSP for screening; replace with experimental/literature value before model lock.</t>
        </is>
      </c>
    </row>
    <row r="4911">
      <c r="A4911" t="inlineStr">
        <is>
          <t>POL_CHITOSAN_HIGH_MW</t>
        </is>
      </c>
      <c r="B4911" t="inlineStr">
        <is>
          <t>Hildebrand_delta_T</t>
        </is>
      </c>
      <c r="C4911">
        <v>22.09</v>
      </c>
      <c r="D4911" t="inlineStr">
        <is>
          <t>MPa^0.5</t>
        </is>
      </c>
      <c r="E4911"/>
      <c r="F4911"/>
      <c r="G4911" t="inlineStr">
        <is>
          <t>sqrt(deltaD^2+deltaP^2+deltaH^2)</t>
        </is>
      </c>
      <c r="H4911" t="inlineStr">
        <is>
          <t>S012_CALCULATED</t>
        </is>
      </c>
      <c r="I4911" t="inlineStr">
        <is>
          <t>calculated</t>
        </is>
      </c>
      <c r="J4911">
        <v>0.39999999999999997</v>
      </c>
      <c r="K4911" t="inlineStr">
        <is>
          <t>Derived from stored Hansen components.</t>
        </is>
      </c>
    </row>
    <row r="4912">
      <c r="A4912" t="inlineStr">
        <is>
          <t>POL_CHITOSAN_HIGH_MW</t>
        </is>
      </c>
      <c r="B4912" t="inlineStr">
        <is>
          <t>HSP_radius_R0</t>
        </is>
      </c>
      <c r="C4912">
        <v>9.0</v>
      </c>
      <c r="D4912" t="inlineStr">
        <is>
          <t>MPa^0.5</t>
        </is>
      </c>
      <c r="E4912"/>
      <c r="F4912"/>
      <c r="G4912" t="inlineStr">
        <is>
          <t>literature/heuristic solubility sphere</t>
        </is>
      </c>
      <c r="H4912" t="inlineStr">
        <is>
          <t>S013_EST_HSP_HEURISTIC</t>
        </is>
      </c>
      <c r="I4912" t="inlineStr">
        <is>
          <t>estimated</t>
        </is>
      </c>
      <c r="J4912">
        <v>0.35</v>
      </c>
      <c r="K4912" t="inlineStr">
        <is>
          <t>Screening radius only unless experimentally determined.</t>
        </is>
      </c>
    </row>
    <row r="4913">
      <c r="A4913" t="inlineStr">
        <is>
          <t>POL_TRIMETHYL_CHITOSAN</t>
        </is>
      </c>
      <c r="B4913" t="inlineStr">
        <is>
          <t>average_mw_g_mol</t>
        </is>
      </c>
      <c r="C4913">
        <v>200000</v>
      </c>
      <c r="D4913" t="inlineStr">
        <is>
          <t>g/mol</t>
        </is>
      </c>
      <c r="E4913"/>
      <c r="F4913"/>
      <c r="G4913" t="inlineStr">
        <is>
          <t>grade-dependent</t>
        </is>
      </c>
      <c r="H4913" t="inlineStr">
        <is>
          <t>S007_EXCIPIENTS_HANDBOOK</t>
        </is>
      </c>
      <c r="I4913" t="inlineStr">
        <is>
          <t>supplier-reported</t>
        </is>
      </c>
      <c r="J4913">
        <v>0.45</v>
      </c>
      <c r="K4913"/>
    </row>
    <row r="4914">
      <c r="A4914" t="inlineStr">
        <is>
          <t>POL_TRIMETHYL_CHITOSAN</t>
        </is>
      </c>
      <c r="B4914" t="inlineStr">
        <is>
          <t>Tm_C</t>
        </is>
      </c>
      <c r="C4914">
        <v>220</v>
      </c>
      <c r="D4914" t="inlineStr">
        <is>
          <t>°C</t>
        </is>
      </c>
      <c r="E4914"/>
      <c r="F4914"/>
      <c r="G4914" t="inlineStr">
        <is>
          <t>grade/substitution dependent</t>
        </is>
      </c>
      <c r="H4914" t="inlineStr">
        <is>
          <t>S007_EXCIPIENTS_HANDBOOK</t>
        </is>
      </c>
      <c r="I4914" t="inlineStr">
        <is>
          <t>handbook</t>
        </is>
      </c>
      <c r="J4914">
        <v>0.48</v>
      </c>
      <c r="K4914"/>
    </row>
    <row r="4915">
      <c r="A4915" t="inlineStr">
        <is>
          <t>POL_TRIMETHYL_CHITOSAN</t>
        </is>
      </c>
      <c r="B4915" t="inlineStr">
        <is>
          <t>charge_density</t>
        </is>
      </c>
      <c r="C4915" t="inlineStr">
        <is>
          <t>degree of quaternization dependent</t>
        </is>
      </c>
      <c r="D4915"/>
      <c r="E4915"/>
      <c r="F4915"/>
      <c r="G4915" t="inlineStr">
        <is>
          <t>grade/substitution dependent</t>
        </is>
      </c>
      <c r="H4915" t="inlineStr">
        <is>
          <t>S007_EXCIPIENTS_HANDBOOK</t>
        </is>
      </c>
      <c r="I4915" t="inlineStr">
        <is>
          <t>literature</t>
        </is>
      </c>
      <c r="J4915">
        <v>0.48</v>
      </c>
      <c r="K4915"/>
    </row>
    <row r="4916">
      <c r="A4916" t="inlineStr">
        <is>
          <t>POL_TRIMETHYL_CHITOSAN</t>
        </is>
      </c>
      <c r="B4916" t="inlineStr">
        <is>
          <t>charge_type</t>
        </is>
      </c>
      <c r="C4916" t="inlineStr">
        <is>
          <t>cationic</t>
        </is>
      </c>
      <c r="D4916"/>
      <c r="E4916"/>
      <c r="F4916"/>
      <c r="G4916"/>
      <c r="H4916" t="inlineStr">
        <is>
          <t>S007_EXCIPIENTS_HANDBOOK</t>
        </is>
      </c>
      <c r="I4916" t="inlineStr">
        <is>
          <t>curated</t>
        </is>
      </c>
      <c r="J4916">
        <v>0.75</v>
      </c>
      <c r="K4916"/>
    </row>
    <row r="4917">
      <c r="A4917" t="inlineStr">
        <is>
          <t>POL_TRIMETHYL_CHITOSAN</t>
        </is>
      </c>
      <c r="B4917" t="inlineStr">
        <is>
          <t>formal_charge</t>
        </is>
      </c>
      <c r="C4917">
        <v>1</v>
      </c>
      <c r="D4917" t="inlineStr">
        <is>
          <t>e</t>
        </is>
      </c>
      <c r="E4917"/>
      <c r="F4917"/>
      <c r="G4917"/>
      <c r="H4917" t="inlineStr">
        <is>
          <t>S007_EXCIPIENTS_HANDBOOK</t>
        </is>
      </c>
      <c r="I4917" t="inlineStr">
        <is>
          <t>curated</t>
        </is>
      </c>
      <c r="J4917">
        <v>0.75</v>
      </c>
      <c r="K4917"/>
    </row>
    <row r="4918">
      <c r="A4918" t="inlineStr">
        <is>
          <t>POL_TRIMETHYL_CHITOSAN</t>
        </is>
      </c>
      <c r="B4918" t="inlineStr">
        <is>
          <t>solubility_in_water</t>
        </is>
      </c>
      <c r="C4918" t="inlineStr">
        <is>
          <t>high</t>
        </is>
      </c>
      <c r="D4918"/>
      <c r="E4918"/>
      <c r="F4918"/>
      <c r="G4918"/>
      <c r="H4918" t="inlineStr">
        <is>
          <t>S007_EXCIPIENTS_HANDBOOK</t>
        </is>
      </c>
      <c r="I4918" t="inlineStr">
        <is>
          <t>handbook</t>
        </is>
      </c>
      <c r="J4918">
        <v>0.55</v>
      </c>
      <c r="K4918"/>
    </row>
    <row r="4919">
      <c r="A4919" t="inlineStr">
        <is>
          <t>POL_TRIMETHYL_CHITOSAN</t>
        </is>
      </c>
      <c r="B4919" t="inlineStr">
        <is>
          <t>solubility_in_ethanol</t>
        </is>
      </c>
      <c r="C4919" t="inlineStr">
        <is>
          <t>poor</t>
        </is>
      </c>
      <c r="D4919"/>
      <c r="E4919"/>
      <c r="F4919"/>
      <c r="G4919"/>
      <c r="H4919" t="inlineStr">
        <is>
          <t>S007_EXCIPIENTS_HANDBOOK</t>
        </is>
      </c>
      <c r="I4919" t="inlineStr">
        <is>
          <t>handbook</t>
        </is>
      </c>
      <c r="J4919">
        <v>0.55</v>
      </c>
      <c r="K4919"/>
    </row>
    <row r="4920">
      <c r="A4920" t="inlineStr">
        <is>
          <t>POL_TRIMETHYL_CHITOSAN</t>
        </is>
      </c>
      <c r="B4920" t="inlineStr">
        <is>
          <t>solubility_in_acetone</t>
        </is>
      </c>
      <c r="C4920" t="inlineStr">
        <is>
          <t>poor</t>
        </is>
      </c>
      <c r="D4920"/>
      <c r="E4920"/>
      <c r="F4920"/>
      <c r="G4920"/>
      <c r="H4920" t="inlineStr">
        <is>
          <t>S007_EXCIPIENTS_HANDBOOK</t>
        </is>
      </c>
      <c r="I4920" t="inlineStr">
        <is>
          <t>handbook</t>
        </is>
      </c>
      <c r="J4920">
        <v>0.55</v>
      </c>
      <c r="K4920"/>
    </row>
    <row r="4921">
      <c r="A4921" t="inlineStr">
        <is>
          <t>POL_TRIMETHYL_CHITOSAN</t>
        </is>
      </c>
      <c r="B4921" t="inlineStr">
        <is>
          <t>solubility_in_dcm</t>
        </is>
      </c>
      <c r="C4921" t="inlineStr">
        <is>
          <t>poor</t>
        </is>
      </c>
      <c r="D4921"/>
      <c r="E4921"/>
      <c r="F4921"/>
      <c r="G4921"/>
      <c r="H4921" t="inlineStr">
        <is>
          <t>S007_EXCIPIENTS_HANDBOOK</t>
        </is>
      </c>
      <c r="I4921" t="inlineStr">
        <is>
          <t>handbook</t>
        </is>
      </c>
      <c r="J4921">
        <v>0.55</v>
      </c>
      <c r="K4921"/>
    </row>
    <row r="4922">
      <c r="A4922" t="inlineStr">
        <is>
          <t>POL_TRIMETHYL_CHITOSAN</t>
        </is>
      </c>
      <c r="B4922" t="inlineStr">
        <is>
          <t>biodegradability</t>
        </is>
      </c>
      <c r="C4922" t="inlineStr">
        <is>
          <t>yes/enzymatic</t>
        </is>
      </c>
      <c r="D4922"/>
      <c r="E4922"/>
      <c r="F4922"/>
      <c r="G4922"/>
      <c r="H4922" t="inlineStr">
        <is>
          <t>S014_AULTON</t>
        </is>
      </c>
      <c r="I4922" t="inlineStr">
        <is>
          <t>curated</t>
        </is>
      </c>
      <c r="J4922">
        <v>0.65</v>
      </c>
      <c r="K4922"/>
    </row>
    <row r="4923">
      <c r="A4923" t="inlineStr">
        <is>
          <t>POL_TRIMETHYL_CHITOSAN</t>
        </is>
      </c>
      <c r="B4923" t="inlineStr">
        <is>
          <t>mucoadhesive_flag</t>
        </is>
      </c>
      <c r="C4923" t="inlineStr">
        <is>
          <t>yes</t>
        </is>
      </c>
      <c r="D4923"/>
      <c r="E4923"/>
      <c r="F4923"/>
      <c r="G4923"/>
      <c r="H4923" t="inlineStr">
        <is>
          <t>S014_AULTON</t>
        </is>
      </c>
      <c r="I4923" t="inlineStr">
        <is>
          <t>curated</t>
        </is>
      </c>
      <c r="J4923">
        <v>0.65</v>
      </c>
      <c r="K4923"/>
    </row>
    <row r="4924">
      <c r="A4924" t="inlineStr">
        <is>
          <t>POL_TRIMETHYL_CHITOSAN</t>
        </is>
      </c>
      <c r="B4924" t="inlineStr">
        <is>
          <t>coating_role</t>
        </is>
      </c>
      <c r="C4924" t="inlineStr">
        <is>
          <t>coating</t>
        </is>
      </c>
      <c r="D4924"/>
      <c r="E4924"/>
      <c r="F4924"/>
      <c r="G4924"/>
      <c r="H4924" t="inlineStr">
        <is>
          <t>S014_AULTON</t>
        </is>
      </c>
      <c r="I4924" t="inlineStr">
        <is>
          <t>curated</t>
        </is>
      </c>
      <c r="J4924">
        <v>0.6</v>
      </c>
      <c r="K4924"/>
    </row>
    <row r="4925">
      <c r="A4925" t="inlineStr">
        <is>
          <t>POL_TRIMETHYL_CHITOSAN</t>
        </is>
      </c>
      <c r="B4925" t="inlineStr">
        <is>
          <t>stabilizer_role</t>
        </is>
      </c>
      <c r="C4925" t="inlineStr">
        <is>
          <t>yes</t>
        </is>
      </c>
      <c r="D4925"/>
      <c r="E4925"/>
      <c r="F4925"/>
      <c r="G4925"/>
      <c r="H4925" t="inlineStr">
        <is>
          <t>S014_AULTON</t>
        </is>
      </c>
      <c r="I4925" t="inlineStr">
        <is>
          <t>curated</t>
        </is>
      </c>
      <c r="J4925">
        <v>0.6</v>
      </c>
      <c r="K4925"/>
    </row>
    <row r="4926">
      <c r="A4926" t="inlineStr">
        <is>
          <t>POL_TRIMETHYL_CHITOSAN</t>
        </is>
      </c>
      <c r="B4926" t="inlineStr">
        <is>
          <t>route_suitability</t>
        </is>
      </c>
      <c r="C4926" t="inlineStr">
        <is>
          <t>polymeric/hybrid/coating/stabilizer systems; grade and route dependent</t>
        </is>
      </c>
      <c r="D4926"/>
      <c r="E4926"/>
      <c r="F4926"/>
      <c r="G4926"/>
      <c r="H4926" t="inlineStr">
        <is>
          <t>S008_FDA_IID</t>
        </is>
      </c>
      <c r="I4926" t="inlineStr">
        <is>
          <t>curated</t>
        </is>
      </c>
      <c r="J4926">
        <v>0.55</v>
      </c>
      <c r="K4926"/>
    </row>
    <row r="4927">
      <c r="A4927" t="inlineStr">
        <is>
          <t>POL_TRIMETHYL_CHITOSAN</t>
        </is>
      </c>
      <c r="B4927" t="inlineStr">
        <is>
          <t>toxicity_notes</t>
        </is>
      </c>
      <c r="C4927" t="inlineStr">
        <is>
          <t>polymer grade, residual monomers/solvents, endotoxin and molecular weight distribution must be controlled</t>
        </is>
      </c>
      <c r="D4927"/>
      <c r="E4927"/>
      <c r="F4927"/>
      <c r="G4927"/>
      <c r="H4927" t="inlineStr">
        <is>
          <t>S007_EXCIPIENTS_HANDBOOK</t>
        </is>
      </c>
      <c r="I4927" t="inlineStr">
        <is>
          <t>curated</t>
        </is>
      </c>
      <c r="J4927">
        <v>0.65</v>
      </c>
      <c r="K4927"/>
    </row>
    <row r="4928">
      <c r="A4928" t="inlineStr">
        <is>
          <t>POL_TRIMETHYL_CHITOSAN</t>
        </is>
      </c>
      <c r="B4928" t="inlineStr">
        <is>
          <t>Hansen_delta_D</t>
        </is>
      </c>
      <c r="C4928">
        <v>18.0</v>
      </c>
      <c r="D4928" t="inlineStr">
        <is>
          <t>MPa^0.5</t>
        </is>
      </c>
      <c r="E4928"/>
      <c r="F4928"/>
      <c r="G4928" t="inlineStr">
        <is>
          <t>heuristic group-contribution/nearest-neighbour</t>
        </is>
      </c>
      <c r="H4928" t="inlineStr">
        <is>
          <t>S013_EST_HSP_HEURISTIC</t>
        </is>
      </c>
      <c r="I4928" t="inlineStr">
        <is>
          <t>estimated</t>
        </is>
      </c>
      <c r="J4928">
        <v>0.35</v>
      </c>
      <c r="K4928" t="inlineStr">
        <is>
          <t>Provisional HSP for screening; replace with experimental/literature value before model lock.</t>
        </is>
      </c>
    </row>
    <row r="4929">
      <c r="A4929" t="inlineStr">
        <is>
          <t>POL_TRIMETHYL_CHITOSAN</t>
        </is>
      </c>
      <c r="B4929" t="inlineStr">
        <is>
          <t>Hansen_delta_P</t>
        </is>
      </c>
      <c r="C4929">
        <v>8.0</v>
      </c>
      <c r="D4929" t="inlineStr">
        <is>
          <t>MPa^0.5</t>
        </is>
      </c>
      <c r="E4929"/>
      <c r="F4929"/>
      <c r="G4929" t="inlineStr">
        <is>
          <t>heuristic group-contribution/nearest-neighbour</t>
        </is>
      </c>
      <c r="H4929" t="inlineStr">
        <is>
          <t>S013_EST_HSP_HEURISTIC</t>
        </is>
      </c>
      <c r="I4929" t="inlineStr">
        <is>
          <t>estimated</t>
        </is>
      </c>
      <c r="J4929">
        <v>0.35</v>
      </c>
      <c r="K4929" t="inlineStr">
        <is>
          <t>Provisional HSP for screening; replace with experimental/literature value before model lock.</t>
        </is>
      </c>
    </row>
    <row r="4930">
      <c r="A4930" t="inlineStr">
        <is>
          <t>POL_TRIMETHYL_CHITOSAN</t>
        </is>
      </c>
      <c r="B4930" t="inlineStr">
        <is>
          <t>Hansen_delta_H</t>
        </is>
      </c>
      <c r="C4930">
        <v>10.0</v>
      </c>
      <c r="D4930" t="inlineStr">
        <is>
          <t>MPa^0.5</t>
        </is>
      </c>
      <c r="E4930"/>
      <c r="F4930"/>
      <c r="G4930" t="inlineStr">
        <is>
          <t>heuristic group-contribution/nearest-neighbour</t>
        </is>
      </c>
      <c r="H4930" t="inlineStr">
        <is>
          <t>S013_EST_HSP_HEURISTIC</t>
        </is>
      </c>
      <c r="I4930" t="inlineStr">
        <is>
          <t>estimated</t>
        </is>
      </c>
      <c r="J4930">
        <v>0.35</v>
      </c>
      <c r="K4930" t="inlineStr">
        <is>
          <t>Provisional HSP for screening; replace with experimental/literature value before model lock.</t>
        </is>
      </c>
    </row>
    <row r="4931">
      <c r="A4931" t="inlineStr">
        <is>
          <t>POL_TRIMETHYL_CHITOSAN</t>
        </is>
      </c>
      <c r="B4931" t="inlineStr">
        <is>
          <t>Hildebrand_delta_T</t>
        </is>
      </c>
      <c r="C4931">
        <v>22.09</v>
      </c>
      <c r="D4931" t="inlineStr">
        <is>
          <t>MPa^0.5</t>
        </is>
      </c>
      <c r="E4931"/>
      <c r="F4931"/>
      <c r="G4931" t="inlineStr">
        <is>
          <t>sqrt(deltaD^2+deltaP^2+deltaH^2)</t>
        </is>
      </c>
      <c r="H4931" t="inlineStr">
        <is>
          <t>S012_CALCULATED</t>
        </is>
      </c>
      <c r="I4931" t="inlineStr">
        <is>
          <t>calculated</t>
        </is>
      </c>
      <c r="J4931">
        <v>0.39999999999999997</v>
      </c>
      <c r="K4931" t="inlineStr">
        <is>
          <t>Derived from stored Hansen components.</t>
        </is>
      </c>
    </row>
    <row r="4932">
      <c r="A4932" t="inlineStr">
        <is>
          <t>POL_TRIMETHYL_CHITOSAN</t>
        </is>
      </c>
      <c r="B4932" t="inlineStr">
        <is>
          <t>HSP_radius_R0</t>
        </is>
      </c>
      <c r="C4932">
        <v>9.0</v>
      </c>
      <c r="D4932" t="inlineStr">
        <is>
          <t>MPa^0.5</t>
        </is>
      </c>
      <c r="E4932"/>
      <c r="F4932"/>
      <c r="G4932" t="inlineStr">
        <is>
          <t>literature/heuristic solubility sphere</t>
        </is>
      </c>
      <c r="H4932" t="inlineStr">
        <is>
          <t>S013_EST_HSP_HEURISTIC</t>
        </is>
      </c>
      <c r="I4932" t="inlineStr">
        <is>
          <t>estimated</t>
        </is>
      </c>
      <c r="J4932">
        <v>0.35</v>
      </c>
      <c r="K4932" t="inlineStr">
        <is>
          <t>Screening radius only unless experimentally determined.</t>
        </is>
      </c>
    </row>
    <row r="4933">
      <c r="A4933" t="inlineStr">
        <is>
          <t>POL_PEI_LOW_MW</t>
        </is>
      </c>
      <c r="B4933" t="inlineStr">
        <is>
          <t>repeat_unit_mw_g_mol</t>
        </is>
      </c>
      <c r="C4933">
        <v>43</v>
      </c>
      <c r="D4933" t="inlineStr">
        <is>
          <t>g/mol</t>
        </is>
      </c>
      <c r="E4933"/>
      <c r="F4933"/>
      <c r="G4933"/>
      <c r="H4933" t="inlineStr">
        <is>
          <t>S007_EXCIPIENTS_HANDBOOK</t>
        </is>
      </c>
      <c r="I4933" t="inlineStr">
        <is>
          <t>handbook</t>
        </is>
      </c>
      <c r="J4933">
        <v>0.65</v>
      </c>
      <c r="K4933"/>
    </row>
    <row r="4934">
      <c r="A4934" t="inlineStr">
        <is>
          <t>POL_PEI_LOW_MW</t>
        </is>
      </c>
      <c r="B4934" t="inlineStr">
        <is>
          <t>average_mw_g_mol</t>
        </is>
      </c>
      <c r="C4934">
        <v>10000</v>
      </c>
      <c r="D4934" t="inlineStr">
        <is>
          <t>g/mol</t>
        </is>
      </c>
      <c r="E4934"/>
      <c r="F4934"/>
      <c r="G4934" t="inlineStr">
        <is>
          <t>grade-dependent</t>
        </is>
      </c>
      <c r="H4934" t="inlineStr">
        <is>
          <t>S007_EXCIPIENTS_HANDBOOK</t>
        </is>
      </c>
      <c r="I4934" t="inlineStr">
        <is>
          <t>supplier-reported</t>
        </is>
      </c>
      <c r="J4934">
        <v>0.45</v>
      </c>
      <c r="K4934"/>
    </row>
    <row r="4935">
      <c r="A4935" t="inlineStr">
        <is>
          <t>POL_PEI_LOW_MW</t>
        </is>
      </c>
      <c r="B4935" t="inlineStr">
        <is>
          <t>pKa</t>
        </is>
      </c>
      <c r="C4935">
        <v>8.5</v>
      </c>
      <c r="D4935"/>
      <c r="E4935"/>
      <c r="F4935"/>
      <c r="G4935" t="inlineStr">
        <is>
          <t>grade/substitution dependent</t>
        </is>
      </c>
      <c r="H4935" t="inlineStr">
        <is>
          <t>S007_EXCIPIENTS_HANDBOOK</t>
        </is>
      </c>
      <c r="I4935" t="inlineStr">
        <is>
          <t>literature</t>
        </is>
      </c>
      <c r="J4935">
        <v>0.48</v>
      </c>
      <c r="K4935"/>
    </row>
    <row r="4936">
      <c r="A4936" t="inlineStr">
        <is>
          <t>POL_PEI_LOW_MW</t>
        </is>
      </c>
      <c r="B4936" t="inlineStr">
        <is>
          <t>charge_density</t>
        </is>
      </c>
      <c r="C4936" t="inlineStr">
        <is>
          <t>high</t>
        </is>
      </c>
      <c r="D4936"/>
      <c r="E4936"/>
      <c r="F4936"/>
      <c r="G4936" t="inlineStr">
        <is>
          <t>grade/substitution dependent</t>
        </is>
      </c>
      <c r="H4936" t="inlineStr">
        <is>
          <t>S007_EXCIPIENTS_HANDBOOK</t>
        </is>
      </c>
      <c r="I4936" t="inlineStr">
        <is>
          <t>literature</t>
        </is>
      </c>
      <c r="J4936">
        <v>0.48</v>
      </c>
      <c r="K4936"/>
    </row>
    <row r="4937">
      <c r="A4937" t="inlineStr">
        <is>
          <t>POL_PEI_LOW_MW</t>
        </is>
      </c>
      <c r="B4937" t="inlineStr">
        <is>
          <t>charge_type</t>
        </is>
      </c>
      <c r="C4937" t="inlineStr">
        <is>
          <t>cationic</t>
        </is>
      </c>
      <c r="D4937"/>
      <c r="E4937"/>
      <c r="F4937"/>
      <c r="G4937"/>
      <c r="H4937" t="inlineStr">
        <is>
          <t>S007_EXCIPIENTS_HANDBOOK</t>
        </is>
      </c>
      <c r="I4937" t="inlineStr">
        <is>
          <t>curated</t>
        </is>
      </c>
      <c r="J4937">
        <v>0.75</v>
      </c>
      <c r="K4937"/>
    </row>
    <row r="4938">
      <c r="A4938" t="inlineStr">
        <is>
          <t>POL_PEI_LOW_MW</t>
        </is>
      </c>
      <c r="B4938" t="inlineStr">
        <is>
          <t>formal_charge</t>
        </is>
      </c>
      <c r="C4938">
        <v>1</v>
      </c>
      <c r="D4938" t="inlineStr">
        <is>
          <t>e</t>
        </is>
      </c>
      <c r="E4938"/>
      <c r="F4938"/>
      <c r="G4938"/>
      <c r="H4938" t="inlineStr">
        <is>
          <t>S007_EXCIPIENTS_HANDBOOK</t>
        </is>
      </c>
      <c r="I4938" t="inlineStr">
        <is>
          <t>curated</t>
        </is>
      </c>
      <c r="J4938">
        <v>0.75</v>
      </c>
      <c r="K4938"/>
    </row>
    <row r="4939">
      <c r="A4939" t="inlineStr">
        <is>
          <t>POL_PEI_LOW_MW</t>
        </is>
      </c>
      <c r="B4939" t="inlineStr">
        <is>
          <t>solubility_in_water</t>
        </is>
      </c>
      <c r="C4939" t="inlineStr">
        <is>
          <t>high</t>
        </is>
      </c>
      <c r="D4939"/>
      <c r="E4939"/>
      <c r="F4939"/>
      <c r="G4939"/>
      <c r="H4939" t="inlineStr">
        <is>
          <t>S007_EXCIPIENTS_HANDBOOK</t>
        </is>
      </c>
      <c r="I4939" t="inlineStr">
        <is>
          <t>handbook</t>
        </is>
      </c>
      <c r="J4939">
        <v>0.55</v>
      </c>
      <c r="K4939"/>
    </row>
    <row r="4940">
      <c r="A4940" t="inlineStr">
        <is>
          <t>POL_PEI_LOW_MW</t>
        </is>
      </c>
      <c r="B4940" t="inlineStr">
        <is>
          <t>solubility_in_ethanol</t>
        </is>
      </c>
      <c r="C4940" t="inlineStr">
        <is>
          <t>poor</t>
        </is>
      </c>
      <c r="D4940"/>
      <c r="E4940"/>
      <c r="F4940"/>
      <c r="G4940"/>
      <c r="H4940" t="inlineStr">
        <is>
          <t>S007_EXCIPIENTS_HANDBOOK</t>
        </is>
      </c>
      <c r="I4940" t="inlineStr">
        <is>
          <t>handbook</t>
        </is>
      </c>
      <c r="J4940">
        <v>0.55</v>
      </c>
      <c r="K4940"/>
    </row>
    <row r="4941">
      <c r="A4941" t="inlineStr">
        <is>
          <t>POL_PEI_LOW_MW</t>
        </is>
      </c>
      <c r="B4941" t="inlineStr">
        <is>
          <t>solubility_in_acetone</t>
        </is>
      </c>
      <c r="C4941" t="inlineStr">
        <is>
          <t>poor</t>
        </is>
      </c>
      <c r="D4941"/>
      <c r="E4941"/>
      <c r="F4941"/>
      <c r="G4941"/>
      <c r="H4941" t="inlineStr">
        <is>
          <t>S007_EXCIPIENTS_HANDBOOK</t>
        </is>
      </c>
      <c r="I4941" t="inlineStr">
        <is>
          <t>handbook</t>
        </is>
      </c>
      <c r="J4941">
        <v>0.55</v>
      </c>
      <c r="K4941"/>
    </row>
    <row r="4942">
      <c r="A4942" t="inlineStr">
        <is>
          <t>POL_PEI_LOW_MW</t>
        </is>
      </c>
      <c r="B4942" t="inlineStr">
        <is>
          <t>solubility_in_dcm</t>
        </is>
      </c>
      <c r="C4942" t="inlineStr">
        <is>
          <t>poor</t>
        </is>
      </c>
      <c r="D4942"/>
      <c r="E4942"/>
      <c r="F4942"/>
      <c r="G4942"/>
      <c r="H4942" t="inlineStr">
        <is>
          <t>S007_EXCIPIENTS_HANDBOOK</t>
        </is>
      </c>
      <c r="I4942" t="inlineStr">
        <is>
          <t>handbook</t>
        </is>
      </c>
      <c r="J4942">
        <v>0.55</v>
      </c>
      <c r="K4942"/>
    </row>
    <row r="4943">
      <c r="A4943" t="inlineStr">
        <is>
          <t>POL_PEI_LOW_MW</t>
        </is>
      </c>
      <c r="B4943" t="inlineStr">
        <is>
          <t>biodegradability</t>
        </is>
      </c>
      <c r="C4943" t="inlineStr">
        <is>
          <t>no</t>
        </is>
      </c>
      <c r="D4943"/>
      <c r="E4943"/>
      <c r="F4943"/>
      <c r="G4943"/>
      <c r="H4943" t="inlineStr">
        <is>
          <t>S014_AULTON</t>
        </is>
      </c>
      <c r="I4943" t="inlineStr">
        <is>
          <t>curated</t>
        </is>
      </c>
      <c r="J4943">
        <v>0.65</v>
      </c>
      <c r="K4943"/>
    </row>
    <row r="4944">
      <c r="A4944" t="inlineStr">
        <is>
          <t>POL_PEI_LOW_MW</t>
        </is>
      </c>
      <c r="B4944" t="inlineStr">
        <is>
          <t>mucoadhesive_flag</t>
        </is>
      </c>
      <c r="C4944" t="inlineStr">
        <is>
          <t>yes</t>
        </is>
      </c>
      <c r="D4944"/>
      <c r="E4944"/>
      <c r="F4944"/>
      <c r="G4944"/>
      <c r="H4944" t="inlineStr">
        <is>
          <t>S014_AULTON</t>
        </is>
      </c>
      <c r="I4944" t="inlineStr">
        <is>
          <t>curated</t>
        </is>
      </c>
      <c r="J4944">
        <v>0.65</v>
      </c>
      <c r="K4944"/>
    </row>
    <row r="4945">
      <c r="A4945" t="inlineStr">
        <is>
          <t>POL_PEI_LOW_MW</t>
        </is>
      </c>
      <c r="B4945" t="inlineStr">
        <is>
          <t>coating_role</t>
        </is>
      </c>
      <c r="C4945" t="inlineStr">
        <is>
          <t>complexation</t>
        </is>
      </c>
      <c r="D4945"/>
      <c r="E4945"/>
      <c r="F4945"/>
      <c r="G4945"/>
      <c r="H4945" t="inlineStr">
        <is>
          <t>S014_AULTON</t>
        </is>
      </c>
      <c r="I4945" t="inlineStr">
        <is>
          <t>curated</t>
        </is>
      </c>
      <c r="J4945">
        <v>0.6</v>
      </c>
      <c r="K4945"/>
    </row>
    <row r="4946">
      <c r="A4946" t="inlineStr">
        <is>
          <t>POL_PEI_LOW_MW</t>
        </is>
      </c>
      <c r="B4946" t="inlineStr">
        <is>
          <t>stabilizer_role</t>
        </is>
      </c>
      <c r="C4946" t="inlineStr">
        <is>
          <t>yes</t>
        </is>
      </c>
      <c r="D4946"/>
      <c r="E4946"/>
      <c r="F4946"/>
      <c r="G4946"/>
      <c r="H4946" t="inlineStr">
        <is>
          <t>S014_AULTON</t>
        </is>
      </c>
      <c r="I4946" t="inlineStr">
        <is>
          <t>curated</t>
        </is>
      </c>
      <c r="J4946">
        <v>0.6</v>
      </c>
      <c r="K4946"/>
    </row>
    <row r="4947">
      <c r="A4947" t="inlineStr">
        <is>
          <t>POL_PEI_LOW_MW</t>
        </is>
      </c>
      <c r="B4947" t="inlineStr">
        <is>
          <t>route_suitability</t>
        </is>
      </c>
      <c r="C4947" t="inlineStr">
        <is>
          <t>polymeric/hybrid/coating/stabilizer systems; grade and route dependent</t>
        </is>
      </c>
      <c r="D4947"/>
      <c r="E4947"/>
      <c r="F4947"/>
      <c r="G4947"/>
      <c r="H4947" t="inlineStr">
        <is>
          <t>S008_FDA_IID</t>
        </is>
      </c>
      <c r="I4947" t="inlineStr">
        <is>
          <t>curated</t>
        </is>
      </c>
      <c r="J4947">
        <v>0.55</v>
      </c>
      <c r="K4947"/>
    </row>
    <row r="4948">
      <c r="A4948" t="inlineStr">
        <is>
          <t>POL_PEI_LOW_MW</t>
        </is>
      </c>
      <c r="B4948" t="inlineStr">
        <is>
          <t>toxicity_notes</t>
        </is>
      </c>
      <c r="C4948" t="inlineStr">
        <is>
          <t>cytotoxic; use low dose and compare branched/linear</t>
        </is>
      </c>
      <c r="D4948"/>
      <c r="E4948"/>
      <c r="F4948"/>
      <c r="G4948"/>
      <c r="H4948" t="inlineStr">
        <is>
          <t>S007_EXCIPIENTS_HANDBOOK</t>
        </is>
      </c>
      <c r="I4948" t="inlineStr">
        <is>
          <t>curated</t>
        </is>
      </c>
      <c r="J4948">
        <v>0.65</v>
      </c>
      <c r="K4948"/>
    </row>
    <row r="4949">
      <c r="A4949" t="inlineStr">
        <is>
          <t>POL_PEI_LOW_MW</t>
        </is>
      </c>
      <c r="B4949" t="inlineStr">
        <is>
          <t>Hansen_delta_D</t>
        </is>
      </c>
      <c r="C4949">
        <v>18.0</v>
      </c>
      <c r="D4949" t="inlineStr">
        <is>
          <t>MPa^0.5</t>
        </is>
      </c>
      <c r="E4949"/>
      <c r="F4949"/>
      <c r="G4949" t="inlineStr">
        <is>
          <t>heuristic group-contribution/nearest-neighbour</t>
        </is>
      </c>
      <c r="H4949" t="inlineStr">
        <is>
          <t>S013_EST_HSP_HEURISTIC</t>
        </is>
      </c>
      <c r="I4949" t="inlineStr">
        <is>
          <t>estimated</t>
        </is>
      </c>
      <c r="J4949">
        <v>0.35</v>
      </c>
      <c r="K4949" t="inlineStr">
        <is>
          <t>Provisional HSP for screening; replace with experimental/literature value before model lock.</t>
        </is>
      </c>
    </row>
    <row r="4950">
      <c r="A4950" t="inlineStr">
        <is>
          <t>POL_PEI_LOW_MW</t>
        </is>
      </c>
      <c r="B4950" t="inlineStr">
        <is>
          <t>Hansen_delta_P</t>
        </is>
      </c>
      <c r="C4950">
        <v>8.0</v>
      </c>
      <c r="D4950" t="inlineStr">
        <is>
          <t>MPa^0.5</t>
        </is>
      </c>
      <c r="E4950"/>
      <c r="F4950"/>
      <c r="G4950" t="inlineStr">
        <is>
          <t>heuristic group-contribution/nearest-neighbour</t>
        </is>
      </c>
      <c r="H4950" t="inlineStr">
        <is>
          <t>S013_EST_HSP_HEURISTIC</t>
        </is>
      </c>
      <c r="I4950" t="inlineStr">
        <is>
          <t>estimated</t>
        </is>
      </c>
      <c r="J4950">
        <v>0.35</v>
      </c>
      <c r="K4950" t="inlineStr">
        <is>
          <t>Provisional HSP for screening; replace with experimental/literature value before model lock.</t>
        </is>
      </c>
    </row>
    <row r="4951">
      <c r="A4951" t="inlineStr">
        <is>
          <t>POL_PEI_LOW_MW</t>
        </is>
      </c>
      <c r="B4951" t="inlineStr">
        <is>
          <t>Hansen_delta_H</t>
        </is>
      </c>
      <c r="C4951">
        <v>10.0</v>
      </c>
      <c r="D4951" t="inlineStr">
        <is>
          <t>MPa^0.5</t>
        </is>
      </c>
      <c r="E4951"/>
      <c r="F4951"/>
      <c r="G4951" t="inlineStr">
        <is>
          <t>heuristic group-contribution/nearest-neighbour</t>
        </is>
      </c>
      <c r="H4951" t="inlineStr">
        <is>
          <t>S013_EST_HSP_HEURISTIC</t>
        </is>
      </c>
      <c r="I4951" t="inlineStr">
        <is>
          <t>estimated</t>
        </is>
      </c>
      <c r="J4951">
        <v>0.35</v>
      </c>
      <c r="K4951" t="inlineStr">
        <is>
          <t>Provisional HSP for screening; replace with experimental/literature value before model lock.</t>
        </is>
      </c>
    </row>
    <row r="4952">
      <c r="A4952" t="inlineStr">
        <is>
          <t>POL_PEI_LOW_MW</t>
        </is>
      </c>
      <c r="B4952" t="inlineStr">
        <is>
          <t>Hildebrand_delta_T</t>
        </is>
      </c>
      <c r="C4952">
        <v>22.09</v>
      </c>
      <c r="D4952" t="inlineStr">
        <is>
          <t>MPa^0.5</t>
        </is>
      </c>
      <c r="E4952"/>
      <c r="F4952"/>
      <c r="G4952" t="inlineStr">
        <is>
          <t>sqrt(deltaD^2+deltaP^2+deltaH^2)</t>
        </is>
      </c>
      <c r="H4952" t="inlineStr">
        <is>
          <t>S012_CALCULATED</t>
        </is>
      </c>
      <c r="I4952" t="inlineStr">
        <is>
          <t>calculated</t>
        </is>
      </c>
      <c r="J4952">
        <v>0.39999999999999997</v>
      </c>
      <c r="K4952" t="inlineStr">
        <is>
          <t>Derived from stored Hansen components.</t>
        </is>
      </c>
    </row>
    <row r="4953">
      <c r="A4953" t="inlineStr">
        <is>
          <t>POL_PEI_LOW_MW</t>
        </is>
      </c>
      <c r="B4953" t="inlineStr">
        <is>
          <t>HSP_radius_R0</t>
        </is>
      </c>
      <c r="C4953">
        <v>9.0</v>
      </c>
      <c r="D4953" t="inlineStr">
        <is>
          <t>MPa^0.5</t>
        </is>
      </c>
      <c r="E4953"/>
      <c r="F4953"/>
      <c r="G4953" t="inlineStr">
        <is>
          <t>literature/heuristic solubility sphere</t>
        </is>
      </c>
      <c r="H4953" t="inlineStr">
        <is>
          <t>S013_EST_HSP_HEURISTIC</t>
        </is>
      </c>
      <c r="I4953" t="inlineStr">
        <is>
          <t>estimated</t>
        </is>
      </c>
      <c r="J4953">
        <v>0.35</v>
      </c>
      <c r="K4953" t="inlineStr">
        <is>
          <t>Screening radius only unless experimentally determined.</t>
        </is>
      </c>
    </row>
    <row r="4954">
      <c r="A4954" t="inlineStr">
        <is>
          <t>POL_PEI_LOW_MW</t>
        </is>
      </c>
      <c r="B4954" t="inlineStr">
        <is>
          <t>repeat_unit_molar_volume</t>
        </is>
      </c>
      <c r="C4954">
        <v>35.83</v>
      </c>
      <c r="D4954" t="inlineStr">
        <is>
          <t>cm3/mol</t>
        </is>
      </c>
      <c r="E4954"/>
      <c r="F4954"/>
      <c r="G4954" t="inlineStr">
        <is>
          <t>repeat-unit MW / assumed density</t>
        </is>
      </c>
      <c r="H4954" t="inlineStr">
        <is>
          <t>S012_CALCULATED</t>
        </is>
      </c>
      <c r="I4954" t="inlineStr">
        <is>
          <t>estimated</t>
        </is>
      </c>
      <c r="J4954">
        <v>0.35</v>
      </c>
      <c r="K4954"/>
    </row>
    <row r="4955">
      <c r="A4955" t="inlineStr">
        <is>
          <t>POL_PEI_HIGH_MW</t>
        </is>
      </c>
      <c r="B4955" t="inlineStr">
        <is>
          <t>repeat_unit_mw_g_mol</t>
        </is>
      </c>
      <c r="C4955">
        <v>43</v>
      </c>
      <c r="D4955" t="inlineStr">
        <is>
          <t>g/mol</t>
        </is>
      </c>
      <c r="E4955"/>
      <c r="F4955"/>
      <c r="G4955"/>
      <c r="H4955" t="inlineStr">
        <is>
          <t>S007_EXCIPIENTS_HANDBOOK</t>
        </is>
      </c>
      <c r="I4955" t="inlineStr">
        <is>
          <t>handbook</t>
        </is>
      </c>
      <c r="J4955">
        <v>0.65</v>
      </c>
      <c r="K4955"/>
    </row>
    <row r="4956">
      <c r="A4956" t="inlineStr">
        <is>
          <t>POL_PEI_HIGH_MW</t>
        </is>
      </c>
      <c r="B4956" t="inlineStr">
        <is>
          <t>average_mw_g_mol</t>
        </is>
      </c>
      <c r="C4956">
        <v>25000</v>
      </c>
      <c r="D4956" t="inlineStr">
        <is>
          <t>g/mol</t>
        </is>
      </c>
      <c r="E4956"/>
      <c r="F4956"/>
      <c r="G4956" t="inlineStr">
        <is>
          <t>grade-dependent</t>
        </is>
      </c>
      <c r="H4956" t="inlineStr">
        <is>
          <t>S007_EXCIPIENTS_HANDBOOK</t>
        </is>
      </c>
      <c r="I4956" t="inlineStr">
        <is>
          <t>supplier-reported</t>
        </is>
      </c>
      <c r="J4956">
        <v>0.45</v>
      </c>
      <c r="K4956"/>
    </row>
    <row r="4957">
      <c r="A4957" t="inlineStr">
        <is>
          <t>POL_PEI_HIGH_MW</t>
        </is>
      </c>
      <c r="B4957" t="inlineStr">
        <is>
          <t>pKa</t>
        </is>
      </c>
      <c r="C4957">
        <v>8.5</v>
      </c>
      <c r="D4957"/>
      <c r="E4957"/>
      <c r="F4957"/>
      <c r="G4957" t="inlineStr">
        <is>
          <t>grade/substitution dependent</t>
        </is>
      </c>
      <c r="H4957" t="inlineStr">
        <is>
          <t>S007_EXCIPIENTS_HANDBOOK</t>
        </is>
      </c>
      <c r="I4957" t="inlineStr">
        <is>
          <t>literature</t>
        </is>
      </c>
      <c r="J4957">
        <v>0.48</v>
      </c>
      <c r="K4957"/>
    </row>
    <row r="4958">
      <c r="A4958" t="inlineStr">
        <is>
          <t>POL_PEI_HIGH_MW</t>
        </is>
      </c>
      <c r="B4958" t="inlineStr">
        <is>
          <t>charge_density</t>
        </is>
      </c>
      <c r="C4958" t="inlineStr">
        <is>
          <t>very high</t>
        </is>
      </c>
      <c r="D4958"/>
      <c r="E4958"/>
      <c r="F4958"/>
      <c r="G4958" t="inlineStr">
        <is>
          <t>grade/substitution dependent</t>
        </is>
      </c>
      <c r="H4958" t="inlineStr">
        <is>
          <t>S007_EXCIPIENTS_HANDBOOK</t>
        </is>
      </c>
      <c r="I4958" t="inlineStr">
        <is>
          <t>literature</t>
        </is>
      </c>
      <c r="J4958">
        <v>0.48</v>
      </c>
      <c r="K4958"/>
    </row>
    <row r="4959">
      <c r="A4959" t="inlineStr">
        <is>
          <t>POL_PEI_HIGH_MW</t>
        </is>
      </c>
      <c r="B4959" t="inlineStr">
        <is>
          <t>charge_type</t>
        </is>
      </c>
      <c r="C4959" t="inlineStr">
        <is>
          <t>cationic</t>
        </is>
      </c>
      <c r="D4959"/>
      <c r="E4959"/>
      <c r="F4959"/>
      <c r="G4959"/>
      <c r="H4959" t="inlineStr">
        <is>
          <t>S007_EXCIPIENTS_HANDBOOK</t>
        </is>
      </c>
      <c r="I4959" t="inlineStr">
        <is>
          <t>curated</t>
        </is>
      </c>
      <c r="J4959">
        <v>0.75</v>
      </c>
      <c r="K4959"/>
    </row>
    <row r="4960">
      <c r="A4960" t="inlineStr">
        <is>
          <t>POL_PEI_HIGH_MW</t>
        </is>
      </c>
      <c r="B4960" t="inlineStr">
        <is>
          <t>formal_charge</t>
        </is>
      </c>
      <c r="C4960">
        <v>1</v>
      </c>
      <c r="D4960" t="inlineStr">
        <is>
          <t>e</t>
        </is>
      </c>
      <c r="E4960"/>
      <c r="F4960"/>
      <c r="G4960"/>
      <c r="H4960" t="inlineStr">
        <is>
          <t>S007_EXCIPIENTS_HANDBOOK</t>
        </is>
      </c>
      <c r="I4960" t="inlineStr">
        <is>
          <t>curated</t>
        </is>
      </c>
      <c r="J4960">
        <v>0.75</v>
      </c>
      <c r="K4960"/>
    </row>
    <row r="4961">
      <c r="A4961" t="inlineStr">
        <is>
          <t>POL_PEI_HIGH_MW</t>
        </is>
      </c>
      <c r="B4961" t="inlineStr">
        <is>
          <t>solubility_in_water</t>
        </is>
      </c>
      <c r="C4961" t="inlineStr">
        <is>
          <t>high</t>
        </is>
      </c>
      <c r="D4961"/>
      <c r="E4961"/>
      <c r="F4961"/>
      <c r="G4961"/>
      <c r="H4961" t="inlineStr">
        <is>
          <t>S007_EXCIPIENTS_HANDBOOK</t>
        </is>
      </c>
      <c r="I4961" t="inlineStr">
        <is>
          <t>handbook</t>
        </is>
      </c>
      <c r="J4961">
        <v>0.55</v>
      </c>
      <c r="K4961"/>
    </row>
    <row r="4962">
      <c r="A4962" t="inlineStr">
        <is>
          <t>POL_PEI_HIGH_MW</t>
        </is>
      </c>
      <c r="B4962" t="inlineStr">
        <is>
          <t>solubility_in_ethanol</t>
        </is>
      </c>
      <c r="C4962" t="inlineStr">
        <is>
          <t>poor</t>
        </is>
      </c>
      <c r="D4962"/>
      <c r="E4962"/>
      <c r="F4962"/>
      <c r="G4962"/>
      <c r="H4962" t="inlineStr">
        <is>
          <t>S007_EXCIPIENTS_HANDBOOK</t>
        </is>
      </c>
      <c r="I4962" t="inlineStr">
        <is>
          <t>handbook</t>
        </is>
      </c>
      <c r="J4962">
        <v>0.55</v>
      </c>
      <c r="K4962"/>
    </row>
    <row r="4963">
      <c r="A4963" t="inlineStr">
        <is>
          <t>POL_PEI_HIGH_MW</t>
        </is>
      </c>
      <c r="B4963" t="inlineStr">
        <is>
          <t>solubility_in_acetone</t>
        </is>
      </c>
      <c r="C4963" t="inlineStr">
        <is>
          <t>poor</t>
        </is>
      </c>
      <c r="D4963"/>
      <c r="E4963"/>
      <c r="F4963"/>
      <c r="G4963"/>
      <c r="H4963" t="inlineStr">
        <is>
          <t>S007_EXCIPIENTS_HANDBOOK</t>
        </is>
      </c>
      <c r="I4963" t="inlineStr">
        <is>
          <t>handbook</t>
        </is>
      </c>
      <c r="J4963">
        <v>0.55</v>
      </c>
      <c r="K4963"/>
    </row>
    <row r="4964">
      <c r="A4964" t="inlineStr">
        <is>
          <t>POL_PEI_HIGH_MW</t>
        </is>
      </c>
      <c r="B4964" t="inlineStr">
        <is>
          <t>solubility_in_dcm</t>
        </is>
      </c>
      <c r="C4964" t="inlineStr">
        <is>
          <t>poor</t>
        </is>
      </c>
      <c r="D4964"/>
      <c r="E4964"/>
      <c r="F4964"/>
      <c r="G4964"/>
      <c r="H4964" t="inlineStr">
        <is>
          <t>S007_EXCIPIENTS_HANDBOOK</t>
        </is>
      </c>
      <c r="I4964" t="inlineStr">
        <is>
          <t>handbook</t>
        </is>
      </c>
      <c r="J4964">
        <v>0.55</v>
      </c>
      <c r="K4964"/>
    </row>
    <row r="4965">
      <c r="A4965" t="inlineStr">
        <is>
          <t>POL_PEI_HIGH_MW</t>
        </is>
      </c>
      <c r="B4965" t="inlineStr">
        <is>
          <t>biodegradability</t>
        </is>
      </c>
      <c r="C4965" t="inlineStr">
        <is>
          <t>no</t>
        </is>
      </c>
      <c r="D4965"/>
      <c r="E4965"/>
      <c r="F4965"/>
      <c r="G4965"/>
      <c r="H4965" t="inlineStr">
        <is>
          <t>S014_AULTON</t>
        </is>
      </c>
      <c r="I4965" t="inlineStr">
        <is>
          <t>curated</t>
        </is>
      </c>
      <c r="J4965">
        <v>0.65</v>
      </c>
      <c r="K4965"/>
    </row>
    <row r="4966">
      <c r="A4966" t="inlineStr">
        <is>
          <t>POL_PEI_HIGH_MW</t>
        </is>
      </c>
      <c r="B4966" t="inlineStr">
        <is>
          <t>mucoadhesive_flag</t>
        </is>
      </c>
      <c r="C4966" t="inlineStr">
        <is>
          <t>yes</t>
        </is>
      </c>
      <c r="D4966"/>
      <c r="E4966"/>
      <c r="F4966"/>
      <c r="G4966"/>
      <c r="H4966" t="inlineStr">
        <is>
          <t>S014_AULTON</t>
        </is>
      </c>
      <c r="I4966" t="inlineStr">
        <is>
          <t>curated</t>
        </is>
      </c>
      <c r="J4966">
        <v>0.65</v>
      </c>
      <c r="K4966"/>
    </row>
    <row r="4967">
      <c r="A4967" t="inlineStr">
        <is>
          <t>POL_PEI_HIGH_MW</t>
        </is>
      </c>
      <c r="B4967" t="inlineStr">
        <is>
          <t>coating_role</t>
        </is>
      </c>
      <c r="C4967" t="inlineStr">
        <is>
          <t>complexation</t>
        </is>
      </c>
      <c r="D4967"/>
      <c r="E4967"/>
      <c r="F4967"/>
      <c r="G4967"/>
      <c r="H4967" t="inlineStr">
        <is>
          <t>S014_AULTON</t>
        </is>
      </c>
      <c r="I4967" t="inlineStr">
        <is>
          <t>curated</t>
        </is>
      </c>
      <c r="J4967">
        <v>0.6</v>
      </c>
      <c r="K4967"/>
    </row>
    <row r="4968">
      <c r="A4968" t="inlineStr">
        <is>
          <t>POL_PEI_HIGH_MW</t>
        </is>
      </c>
      <c r="B4968" t="inlineStr">
        <is>
          <t>stabilizer_role</t>
        </is>
      </c>
      <c r="C4968" t="inlineStr">
        <is>
          <t>yes</t>
        </is>
      </c>
      <c r="D4968"/>
      <c r="E4968"/>
      <c r="F4968"/>
      <c r="G4968"/>
      <c r="H4968" t="inlineStr">
        <is>
          <t>S014_AULTON</t>
        </is>
      </c>
      <c r="I4968" t="inlineStr">
        <is>
          <t>curated</t>
        </is>
      </c>
      <c r="J4968">
        <v>0.6</v>
      </c>
      <c r="K4968"/>
    </row>
    <row r="4969">
      <c r="A4969" t="inlineStr">
        <is>
          <t>POL_PEI_HIGH_MW</t>
        </is>
      </c>
      <c r="B4969" t="inlineStr">
        <is>
          <t>route_suitability</t>
        </is>
      </c>
      <c r="C4969" t="inlineStr">
        <is>
          <t>polymeric/hybrid/coating/stabilizer systems; grade and route dependent</t>
        </is>
      </c>
      <c r="D4969"/>
      <c r="E4969"/>
      <c r="F4969"/>
      <c r="G4969"/>
      <c r="H4969" t="inlineStr">
        <is>
          <t>S008_FDA_IID</t>
        </is>
      </c>
      <c r="I4969" t="inlineStr">
        <is>
          <t>curated</t>
        </is>
      </c>
      <c r="J4969">
        <v>0.55</v>
      </c>
      <c r="K4969"/>
    </row>
    <row r="4970">
      <c r="A4970" t="inlineStr">
        <is>
          <t>POL_PEI_HIGH_MW</t>
        </is>
      </c>
      <c r="B4970" t="inlineStr">
        <is>
          <t>toxicity_notes</t>
        </is>
      </c>
      <c r="C4970" t="inlineStr">
        <is>
          <t>high cytotoxicity warning; avoid without strong justification</t>
        </is>
      </c>
      <c r="D4970"/>
      <c r="E4970"/>
      <c r="F4970"/>
      <c r="G4970"/>
      <c r="H4970" t="inlineStr">
        <is>
          <t>S007_EXCIPIENTS_HANDBOOK</t>
        </is>
      </c>
      <c r="I4970" t="inlineStr">
        <is>
          <t>curated</t>
        </is>
      </c>
      <c r="J4970">
        <v>0.65</v>
      </c>
      <c r="K4970"/>
    </row>
    <row r="4971">
      <c r="A4971" t="inlineStr">
        <is>
          <t>POL_PEI_HIGH_MW</t>
        </is>
      </c>
      <c r="B4971" t="inlineStr">
        <is>
          <t>Hansen_delta_D</t>
        </is>
      </c>
      <c r="C4971">
        <v>18.0</v>
      </c>
      <c r="D4971" t="inlineStr">
        <is>
          <t>MPa^0.5</t>
        </is>
      </c>
      <c r="E4971"/>
      <c r="F4971"/>
      <c r="G4971" t="inlineStr">
        <is>
          <t>heuristic group-contribution/nearest-neighbour</t>
        </is>
      </c>
      <c r="H4971" t="inlineStr">
        <is>
          <t>S013_EST_HSP_HEURISTIC</t>
        </is>
      </c>
      <c r="I4971" t="inlineStr">
        <is>
          <t>estimated</t>
        </is>
      </c>
      <c r="J4971">
        <v>0.35</v>
      </c>
      <c r="K4971" t="inlineStr">
        <is>
          <t>Provisional HSP for screening; replace with experimental/literature value before model lock.</t>
        </is>
      </c>
    </row>
    <row r="4972">
      <c r="A4972" t="inlineStr">
        <is>
          <t>POL_PEI_HIGH_MW</t>
        </is>
      </c>
      <c r="B4972" t="inlineStr">
        <is>
          <t>Hansen_delta_P</t>
        </is>
      </c>
      <c r="C4972">
        <v>8.0</v>
      </c>
      <c r="D4972" t="inlineStr">
        <is>
          <t>MPa^0.5</t>
        </is>
      </c>
      <c r="E4972"/>
      <c r="F4972"/>
      <c r="G4972" t="inlineStr">
        <is>
          <t>heuristic group-contribution/nearest-neighbour</t>
        </is>
      </c>
      <c r="H4972" t="inlineStr">
        <is>
          <t>S013_EST_HSP_HEURISTIC</t>
        </is>
      </c>
      <c r="I4972" t="inlineStr">
        <is>
          <t>estimated</t>
        </is>
      </c>
      <c r="J4972">
        <v>0.35</v>
      </c>
      <c r="K4972" t="inlineStr">
        <is>
          <t>Provisional HSP for screening; replace with experimental/literature value before model lock.</t>
        </is>
      </c>
    </row>
    <row r="4973">
      <c r="A4973" t="inlineStr">
        <is>
          <t>POL_PEI_HIGH_MW</t>
        </is>
      </c>
      <c r="B4973" t="inlineStr">
        <is>
          <t>Hansen_delta_H</t>
        </is>
      </c>
      <c r="C4973">
        <v>10.0</v>
      </c>
      <c r="D4973" t="inlineStr">
        <is>
          <t>MPa^0.5</t>
        </is>
      </c>
      <c r="E4973"/>
      <c r="F4973"/>
      <c r="G4973" t="inlineStr">
        <is>
          <t>heuristic group-contribution/nearest-neighbour</t>
        </is>
      </c>
      <c r="H4973" t="inlineStr">
        <is>
          <t>S013_EST_HSP_HEURISTIC</t>
        </is>
      </c>
      <c r="I4973" t="inlineStr">
        <is>
          <t>estimated</t>
        </is>
      </c>
      <c r="J4973">
        <v>0.35</v>
      </c>
      <c r="K4973" t="inlineStr">
        <is>
          <t>Provisional HSP for screening; replace with experimental/literature value before model lock.</t>
        </is>
      </c>
    </row>
    <row r="4974">
      <c r="A4974" t="inlineStr">
        <is>
          <t>POL_PEI_HIGH_MW</t>
        </is>
      </c>
      <c r="B4974" t="inlineStr">
        <is>
          <t>Hildebrand_delta_T</t>
        </is>
      </c>
      <c r="C4974">
        <v>22.09</v>
      </c>
      <c r="D4974" t="inlineStr">
        <is>
          <t>MPa^0.5</t>
        </is>
      </c>
      <c r="E4974"/>
      <c r="F4974"/>
      <c r="G4974" t="inlineStr">
        <is>
          <t>sqrt(deltaD^2+deltaP^2+deltaH^2)</t>
        </is>
      </c>
      <c r="H4974" t="inlineStr">
        <is>
          <t>S012_CALCULATED</t>
        </is>
      </c>
      <c r="I4974" t="inlineStr">
        <is>
          <t>calculated</t>
        </is>
      </c>
      <c r="J4974">
        <v>0.39999999999999997</v>
      </c>
      <c r="K4974" t="inlineStr">
        <is>
          <t>Derived from stored Hansen components.</t>
        </is>
      </c>
    </row>
    <row r="4975">
      <c r="A4975" t="inlineStr">
        <is>
          <t>POL_PEI_HIGH_MW</t>
        </is>
      </c>
      <c r="B4975" t="inlineStr">
        <is>
          <t>HSP_radius_R0</t>
        </is>
      </c>
      <c r="C4975">
        <v>9.0</v>
      </c>
      <c r="D4975" t="inlineStr">
        <is>
          <t>MPa^0.5</t>
        </is>
      </c>
      <c r="E4975"/>
      <c r="F4975"/>
      <c r="G4975" t="inlineStr">
        <is>
          <t>literature/heuristic solubility sphere</t>
        </is>
      </c>
      <c r="H4975" t="inlineStr">
        <is>
          <t>S013_EST_HSP_HEURISTIC</t>
        </is>
      </c>
      <c r="I4975" t="inlineStr">
        <is>
          <t>estimated</t>
        </is>
      </c>
      <c r="J4975">
        <v>0.35</v>
      </c>
      <c r="K4975" t="inlineStr">
        <is>
          <t>Screening radius only unless experimentally determined.</t>
        </is>
      </c>
    </row>
    <row r="4976">
      <c r="A4976" t="inlineStr">
        <is>
          <t>POL_PEI_HIGH_MW</t>
        </is>
      </c>
      <c r="B4976" t="inlineStr">
        <is>
          <t>repeat_unit_molar_volume</t>
        </is>
      </c>
      <c r="C4976">
        <v>35.83</v>
      </c>
      <c r="D4976" t="inlineStr">
        <is>
          <t>cm3/mol</t>
        </is>
      </c>
      <c r="E4976"/>
      <c r="F4976"/>
      <c r="G4976" t="inlineStr">
        <is>
          <t>repeat-unit MW / assumed density</t>
        </is>
      </c>
      <c r="H4976" t="inlineStr">
        <is>
          <t>S012_CALCULATED</t>
        </is>
      </c>
      <c r="I4976" t="inlineStr">
        <is>
          <t>estimated</t>
        </is>
      </c>
      <c r="J4976">
        <v>0.35</v>
      </c>
      <c r="K4976"/>
    </row>
    <row r="4977">
      <c r="A4977" t="inlineStr">
        <is>
          <t>POL_HYALURONIC_ACID</t>
        </is>
      </c>
      <c r="B4977" t="inlineStr">
        <is>
          <t>average_mw_g_mol</t>
        </is>
      </c>
      <c r="C4977">
        <v>1000000</v>
      </c>
      <c r="D4977" t="inlineStr">
        <is>
          <t>g/mol</t>
        </is>
      </c>
      <c r="E4977"/>
      <c r="F4977"/>
      <c r="G4977" t="inlineStr">
        <is>
          <t>grade-dependent</t>
        </is>
      </c>
      <c r="H4977" t="inlineStr">
        <is>
          <t>S007_EXCIPIENTS_HANDBOOK</t>
        </is>
      </c>
      <c r="I4977" t="inlineStr">
        <is>
          <t>supplier-reported</t>
        </is>
      </c>
      <c r="J4977">
        <v>0.45</v>
      </c>
      <c r="K4977"/>
    </row>
    <row r="4978">
      <c r="A4978" t="inlineStr">
        <is>
          <t>POL_HYALURONIC_ACID</t>
        </is>
      </c>
      <c r="B4978" t="inlineStr">
        <is>
          <t>Tm_C</t>
        </is>
      </c>
      <c r="C4978">
        <v>3.0</v>
      </c>
      <c r="D4978" t="inlineStr">
        <is>
          <t>°C</t>
        </is>
      </c>
      <c r="E4978"/>
      <c r="F4978"/>
      <c r="G4978" t="inlineStr">
        <is>
          <t>grade/substitution dependent</t>
        </is>
      </c>
      <c r="H4978" t="inlineStr">
        <is>
          <t>S007_EXCIPIENTS_HANDBOOK</t>
        </is>
      </c>
      <c r="I4978" t="inlineStr">
        <is>
          <t>handbook</t>
        </is>
      </c>
      <c r="J4978">
        <v>0.48</v>
      </c>
      <c r="K4978"/>
    </row>
    <row r="4979">
      <c r="A4979" t="inlineStr">
        <is>
          <t>POL_HYALURONIC_ACID</t>
        </is>
      </c>
      <c r="B4979" t="inlineStr">
        <is>
          <t>pKa</t>
        </is>
      </c>
      <c r="C4979" t="inlineStr">
        <is>
          <t>anionic</t>
        </is>
      </c>
      <c r="D4979"/>
      <c r="E4979"/>
      <c r="F4979"/>
      <c r="G4979" t="inlineStr">
        <is>
          <t>grade/substitution dependent</t>
        </is>
      </c>
      <c r="H4979" t="inlineStr">
        <is>
          <t>S007_EXCIPIENTS_HANDBOOK</t>
        </is>
      </c>
      <c r="I4979" t="inlineStr">
        <is>
          <t>literature</t>
        </is>
      </c>
      <c r="J4979">
        <v>0.48</v>
      </c>
      <c r="K4979"/>
    </row>
    <row r="4980">
      <c r="A4980" t="inlineStr">
        <is>
          <t>POL_HYALURONIC_ACID</t>
        </is>
      </c>
      <c r="B4980" t="inlineStr">
        <is>
          <t>charge_density</t>
        </is>
      </c>
      <c r="C4980" t="inlineStr">
        <is>
          <t>high</t>
        </is>
      </c>
      <c r="D4980"/>
      <c r="E4980"/>
      <c r="F4980"/>
      <c r="G4980" t="inlineStr">
        <is>
          <t>grade/substitution dependent</t>
        </is>
      </c>
      <c r="H4980" t="inlineStr">
        <is>
          <t>S007_EXCIPIENTS_HANDBOOK</t>
        </is>
      </c>
      <c r="I4980" t="inlineStr">
        <is>
          <t>literature</t>
        </is>
      </c>
      <c r="J4980">
        <v>0.48</v>
      </c>
      <c r="K4980"/>
    </row>
    <row r="4981">
      <c r="A4981" t="inlineStr">
        <is>
          <t>POL_HYALURONIC_ACID</t>
        </is>
      </c>
      <c r="B4981" t="inlineStr">
        <is>
          <t>charge_type</t>
        </is>
      </c>
      <c r="C4981">
        <v>-1</v>
      </c>
      <c r="D4981"/>
      <c r="E4981"/>
      <c r="F4981"/>
      <c r="G4981"/>
      <c r="H4981" t="inlineStr">
        <is>
          <t>S007_EXCIPIENTS_HANDBOOK</t>
        </is>
      </c>
      <c r="I4981" t="inlineStr">
        <is>
          <t>curated</t>
        </is>
      </c>
      <c r="J4981">
        <v>0.75</v>
      </c>
      <c r="K4981"/>
    </row>
    <row r="4982">
      <c r="A4982" t="inlineStr">
        <is>
          <t>POL_HYALURONIC_ACID</t>
        </is>
      </c>
      <c r="B4982" t="inlineStr">
        <is>
          <t>formal_charge</t>
        </is>
      </c>
      <c r="C4982" t="inlineStr">
        <is>
          <t>carboxylate density</t>
        </is>
      </c>
      <c r="D4982" t="inlineStr">
        <is>
          <t>e</t>
        </is>
      </c>
      <c r="E4982"/>
      <c r="F4982"/>
      <c r="G4982"/>
      <c r="H4982" t="inlineStr">
        <is>
          <t>S007_EXCIPIENTS_HANDBOOK</t>
        </is>
      </c>
      <c r="I4982" t="inlineStr">
        <is>
          <t>curated</t>
        </is>
      </c>
      <c r="J4982">
        <v>0.75</v>
      </c>
      <c r="K4982"/>
    </row>
    <row r="4983">
      <c r="A4983" t="inlineStr">
        <is>
          <t>POL_HYALURONIC_ACID</t>
        </is>
      </c>
      <c r="B4983" t="inlineStr">
        <is>
          <t>solubility_in_water</t>
        </is>
      </c>
      <c r="C4983" t="inlineStr">
        <is>
          <t>poor</t>
        </is>
      </c>
      <c r="D4983"/>
      <c r="E4983"/>
      <c r="F4983"/>
      <c r="G4983"/>
      <c r="H4983" t="inlineStr">
        <is>
          <t>S007_EXCIPIENTS_HANDBOOK</t>
        </is>
      </c>
      <c r="I4983" t="inlineStr">
        <is>
          <t>handbook</t>
        </is>
      </c>
      <c r="J4983">
        <v>0.55</v>
      </c>
      <c r="K4983"/>
    </row>
    <row r="4984">
      <c r="A4984" t="inlineStr">
        <is>
          <t>POL_HYALURONIC_ACID</t>
        </is>
      </c>
      <c r="B4984" t="inlineStr">
        <is>
          <t>solubility_in_ethanol</t>
        </is>
      </c>
      <c r="C4984" t="inlineStr">
        <is>
          <t>poor</t>
        </is>
      </c>
      <c r="D4984"/>
      <c r="E4984"/>
      <c r="F4984"/>
      <c r="G4984"/>
      <c r="H4984" t="inlineStr">
        <is>
          <t>S007_EXCIPIENTS_HANDBOOK</t>
        </is>
      </c>
      <c r="I4984" t="inlineStr">
        <is>
          <t>handbook</t>
        </is>
      </c>
      <c r="J4984">
        <v>0.55</v>
      </c>
      <c r="K4984"/>
    </row>
    <row r="4985">
      <c r="A4985" t="inlineStr">
        <is>
          <t>POL_HYALURONIC_ACID</t>
        </is>
      </c>
      <c r="B4985" t="inlineStr">
        <is>
          <t>solubility_in_acetone</t>
        </is>
      </c>
      <c r="C4985" t="inlineStr">
        <is>
          <t>poor</t>
        </is>
      </c>
      <c r="D4985"/>
      <c r="E4985"/>
      <c r="F4985"/>
      <c r="G4985"/>
      <c r="H4985" t="inlineStr">
        <is>
          <t>S007_EXCIPIENTS_HANDBOOK</t>
        </is>
      </c>
      <c r="I4985" t="inlineStr">
        <is>
          <t>handbook</t>
        </is>
      </c>
      <c r="J4985">
        <v>0.55</v>
      </c>
      <c r="K4985"/>
    </row>
    <row r="4986">
      <c r="A4986" t="inlineStr">
        <is>
          <t>POL_HYALURONIC_ACID</t>
        </is>
      </c>
      <c r="B4986" t="inlineStr">
        <is>
          <t>solubility_in_dcm</t>
        </is>
      </c>
      <c r="C4986" t="inlineStr">
        <is>
          <t>yes/enzymatic</t>
        </is>
      </c>
      <c r="D4986"/>
      <c r="E4986"/>
      <c r="F4986"/>
      <c r="G4986"/>
      <c r="H4986" t="inlineStr">
        <is>
          <t>S007_EXCIPIENTS_HANDBOOK</t>
        </is>
      </c>
      <c r="I4986" t="inlineStr">
        <is>
          <t>handbook</t>
        </is>
      </c>
      <c r="J4986">
        <v>0.55</v>
      </c>
      <c r="K4986"/>
    </row>
    <row r="4987">
      <c r="A4987" t="inlineStr">
        <is>
          <t>POL_HYALURONIC_ACID</t>
        </is>
      </c>
      <c r="B4987" t="inlineStr">
        <is>
          <t>biodegradability</t>
        </is>
      </c>
      <c r="C4987" t="inlineStr">
        <is>
          <t>yes</t>
        </is>
      </c>
      <c r="D4987"/>
      <c r="E4987"/>
      <c r="F4987"/>
      <c r="G4987"/>
      <c r="H4987" t="inlineStr">
        <is>
          <t>S014_AULTON</t>
        </is>
      </c>
      <c r="I4987" t="inlineStr">
        <is>
          <t>curated</t>
        </is>
      </c>
      <c r="J4987">
        <v>0.65</v>
      </c>
      <c r="K4987"/>
    </row>
    <row r="4988">
      <c r="A4988" t="inlineStr">
        <is>
          <t>POL_HYALURONIC_ACID</t>
        </is>
      </c>
      <c r="B4988" t="inlineStr">
        <is>
          <t>mucoadhesive_flag</t>
        </is>
      </c>
      <c r="C4988" t="inlineStr">
        <is>
          <t>targeting/coating</t>
        </is>
      </c>
      <c r="D4988"/>
      <c r="E4988"/>
      <c r="F4988"/>
      <c r="G4988"/>
      <c r="H4988" t="inlineStr">
        <is>
          <t>S014_AULTON</t>
        </is>
      </c>
      <c r="I4988" t="inlineStr">
        <is>
          <t>curated</t>
        </is>
      </c>
      <c r="J4988">
        <v>0.65</v>
      </c>
      <c r="K4988"/>
    </row>
    <row r="4989">
      <c r="A4989" t="inlineStr">
        <is>
          <t>POL_HYALURONIC_ACID</t>
        </is>
      </c>
      <c r="B4989" t="inlineStr">
        <is>
          <t>coating_role</t>
        </is>
      </c>
      <c r="C4989" t="inlineStr">
        <is>
          <t>yes</t>
        </is>
      </c>
      <c r="D4989"/>
      <c r="E4989"/>
      <c r="F4989"/>
      <c r="G4989"/>
      <c r="H4989" t="inlineStr">
        <is>
          <t>S014_AULTON</t>
        </is>
      </c>
      <c r="I4989" t="inlineStr">
        <is>
          <t>curated</t>
        </is>
      </c>
      <c r="J4989">
        <v>0.6</v>
      </c>
      <c r="K4989"/>
    </row>
    <row r="4990">
      <c r="A4990" t="inlineStr">
        <is>
          <t>POL_HYALURONIC_ACID</t>
        </is>
      </c>
      <c r="B4990" t="inlineStr">
        <is>
          <t>route_suitability</t>
        </is>
      </c>
      <c r="C4990" t="inlineStr">
        <is>
          <t>polymeric/hybrid/coating/stabilizer systems; grade and route dependent</t>
        </is>
      </c>
      <c r="D4990"/>
      <c r="E4990"/>
      <c r="F4990"/>
      <c r="G4990"/>
      <c r="H4990" t="inlineStr">
        <is>
          <t>S008_FDA_IID</t>
        </is>
      </c>
      <c r="I4990" t="inlineStr">
        <is>
          <t>curated</t>
        </is>
      </c>
      <c r="J4990">
        <v>0.55</v>
      </c>
      <c r="K4990"/>
    </row>
    <row r="4991">
      <c r="A4991" t="inlineStr">
        <is>
          <t>POL_HYALURONIC_ACID</t>
        </is>
      </c>
      <c r="B4991" t="inlineStr">
        <is>
          <t>toxicity_notes</t>
        </is>
      </c>
      <c r="C4991" t="inlineStr">
        <is>
          <t>MW and salt form critical</t>
        </is>
      </c>
      <c r="D4991"/>
      <c r="E4991"/>
      <c r="F4991"/>
      <c r="G4991"/>
      <c r="H4991" t="inlineStr">
        <is>
          <t>S007_EXCIPIENTS_HANDBOOK</t>
        </is>
      </c>
      <c r="I4991" t="inlineStr">
        <is>
          <t>curated</t>
        </is>
      </c>
      <c r="J4991">
        <v>0.65</v>
      </c>
      <c r="K4991"/>
    </row>
    <row r="4992">
      <c r="A4992" t="inlineStr">
        <is>
          <t>POL_HYALURONIC_ACID</t>
        </is>
      </c>
      <c r="B4992" t="inlineStr">
        <is>
          <t>Hansen_delta_D</t>
        </is>
      </c>
      <c r="C4992">
        <v>18.0</v>
      </c>
      <c r="D4992" t="inlineStr">
        <is>
          <t>MPa^0.5</t>
        </is>
      </c>
      <c r="E4992"/>
      <c r="F4992"/>
      <c r="G4992" t="inlineStr">
        <is>
          <t>heuristic group-contribution/nearest-neighbour</t>
        </is>
      </c>
      <c r="H4992" t="inlineStr">
        <is>
          <t>S013_EST_HSP_HEURISTIC</t>
        </is>
      </c>
      <c r="I4992" t="inlineStr">
        <is>
          <t>estimated</t>
        </is>
      </c>
      <c r="J4992">
        <v>0.35</v>
      </c>
      <c r="K4992" t="inlineStr">
        <is>
          <t>Provisional HSP for screening; replace with experimental/literature value before model lock.</t>
        </is>
      </c>
    </row>
    <row r="4993">
      <c r="A4993" t="inlineStr">
        <is>
          <t>POL_HYALURONIC_ACID</t>
        </is>
      </c>
      <c r="B4993" t="inlineStr">
        <is>
          <t>Hansen_delta_P</t>
        </is>
      </c>
      <c r="C4993">
        <v>8.0</v>
      </c>
      <c r="D4993" t="inlineStr">
        <is>
          <t>MPa^0.5</t>
        </is>
      </c>
      <c r="E4993"/>
      <c r="F4993"/>
      <c r="G4993" t="inlineStr">
        <is>
          <t>heuristic group-contribution/nearest-neighbour</t>
        </is>
      </c>
      <c r="H4993" t="inlineStr">
        <is>
          <t>S013_EST_HSP_HEURISTIC</t>
        </is>
      </c>
      <c r="I4993" t="inlineStr">
        <is>
          <t>estimated</t>
        </is>
      </c>
      <c r="J4993">
        <v>0.35</v>
      </c>
      <c r="K4993" t="inlineStr">
        <is>
          <t>Provisional HSP for screening; replace with experimental/literature value before model lock.</t>
        </is>
      </c>
    </row>
    <row r="4994">
      <c r="A4994" t="inlineStr">
        <is>
          <t>POL_HYALURONIC_ACID</t>
        </is>
      </c>
      <c r="B4994" t="inlineStr">
        <is>
          <t>Hansen_delta_H</t>
        </is>
      </c>
      <c r="C4994">
        <v>10.0</v>
      </c>
      <c r="D4994" t="inlineStr">
        <is>
          <t>MPa^0.5</t>
        </is>
      </c>
      <c r="E4994"/>
      <c r="F4994"/>
      <c r="G4994" t="inlineStr">
        <is>
          <t>heuristic group-contribution/nearest-neighbour</t>
        </is>
      </c>
      <c r="H4994" t="inlineStr">
        <is>
          <t>S013_EST_HSP_HEURISTIC</t>
        </is>
      </c>
      <c r="I4994" t="inlineStr">
        <is>
          <t>estimated</t>
        </is>
      </c>
      <c r="J4994">
        <v>0.35</v>
      </c>
      <c r="K4994" t="inlineStr">
        <is>
          <t>Provisional HSP for screening; replace with experimental/literature value before model lock.</t>
        </is>
      </c>
    </row>
    <row r="4995">
      <c r="A4995" t="inlineStr">
        <is>
          <t>POL_HYALURONIC_ACID</t>
        </is>
      </c>
      <c r="B4995" t="inlineStr">
        <is>
          <t>Hildebrand_delta_T</t>
        </is>
      </c>
      <c r="C4995">
        <v>22.09</v>
      </c>
      <c r="D4995" t="inlineStr">
        <is>
          <t>MPa^0.5</t>
        </is>
      </c>
      <c r="E4995"/>
      <c r="F4995"/>
      <c r="G4995" t="inlineStr">
        <is>
          <t>sqrt(deltaD^2+deltaP^2+deltaH^2)</t>
        </is>
      </c>
      <c r="H4995" t="inlineStr">
        <is>
          <t>S012_CALCULATED</t>
        </is>
      </c>
      <c r="I4995" t="inlineStr">
        <is>
          <t>calculated</t>
        </is>
      </c>
      <c r="J4995">
        <v>0.39999999999999997</v>
      </c>
      <c r="K4995" t="inlineStr">
        <is>
          <t>Derived from stored Hansen components.</t>
        </is>
      </c>
    </row>
    <row r="4996">
      <c r="A4996" t="inlineStr">
        <is>
          <t>POL_HYALURONIC_ACID</t>
        </is>
      </c>
      <c r="B4996" t="inlineStr">
        <is>
          <t>HSP_radius_R0</t>
        </is>
      </c>
      <c r="C4996">
        <v>9.0</v>
      </c>
      <c r="D4996" t="inlineStr">
        <is>
          <t>MPa^0.5</t>
        </is>
      </c>
      <c r="E4996"/>
      <c r="F4996"/>
      <c r="G4996" t="inlineStr">
        <is>
          <t>literature/heuristic solubility sphere</t>
        </is>
      </c>
      <c r="H4996" t="inlineStr">
        <is>
          <t>S013_EST_HSP_HEURISTIC</t>
        </is>
      </c>
      <c r="I4996" t="inlineStr">
        <is>
          <t>estimated</t>
        </is>
      </c>
      <c r="J4996">
        <v>0.35</v>
      </c>
      <c r="K4996" t="inlineStr">
        <is>
          <t>Screening radius only unless experimentally determined.</t>
        </is>
      </c>
    </row>
    <row r="4997">
      <c r="A4997" t="inlineStr">
        <is>
          <t>POL_SODIUM_ALGINATE</t>
        </is>
      </c>
      <c r="B4997" t="inlineStr">
        <is>
          <t>average_mw_g_mol</t>
        </is>
      </c>
      <c r="C4997">
        <v>200000</v>
      </c>
      <c r="D4997" t="inlineStr">
        <is>
          <t>g/mol</t>
        </is>
      </c>
      <c r="E4997"/>
      <c r="F4997"/>
      <c r="G4997" t="inlineStr">
        <is>
          <t>grade-dependent</t>
        </is>
      </c>
      <c r="H4997" t="inlineStr">
        <is>
          <t>S007_EXCIPIENTS_HANDBOOK</t>
        </is>
      </c>
      <c r="I4997" t="inlineStr">
        <is>
          <t>supplier-reported</t>
        </is>
      </c>
      <c r="J4997">
        <v>0.45</v>
      </c>
      <c r="K4997"/>
    </row>
    <row r="4998">
      <c r="A4998" t="inlineStr">
        <is>
          <t>POL_SODIUM_ALGINATE</t>
        </is>
      </c>
      <c r="B4998" t="inlineStr">
        <is>
          <t>Tm_C</t>
        </is>
      </c>
      <c r="C4998">
        <v>3.5</v>
      </c>
      <c r="D4998" t="inlineStr">
        <is>
          <t>°C</t>
        </is>
      </c>
      <c r="E4998"/>
      <c r="F4998"/>
      <c r="G4998" t="inlineStr">
        <is>
          <t>grade/substitution dependent</t>
        </is>
      </c>
      <c r="H4998" t="inlineStr">
        <is>
          <t>S007_EXCIPIENTS_HANDBOOK</t>
        </is>
      </c>
      <c r="I4998" t="inlineStr">
        <is>
          <t>handbook</t>
        </is>
      </c>
      <c r="J4998">
        <v>0.48</v>
      </c>
      <c r="K4998"/>
    </row>
    <row r="4999">
      <c r="A4999" t="inlineStr">
        <is>
          <t>POL_SODIUM_ALGINATE</t>
        </is>
      </c>
      <c r="B4999" t="inlineStr">
        <is>
          <t>pKa</t>
        </is>
      </c>
      <c r="C4999" t="inlineStr">
        <is>
          <t>anionic</t>
        </is>
      </c>
      <c r="D4999"/>
      <c r="E4999"/>
      <c r="F4999"/>
      <c r="G4999" t="inlineStr">
        <is>
          <t>grade/substitution dependent</t>
        </is>
      </c>
      <c r="H4999" t="inlineStr">
        <is>
          <t>S007_EXCIPIENTS_HANDBOOK</t>
        </is>
      </c>
      <c r="I4999" t="inlineStr">
        <is>
          <t>literature</t>
        </is>
      </c>
      <c r="J4999">
        <v>0.48</v>
      </c>
      <c r="K4999"/>
    </row>
    <row r="5000">
      <c r="A5000" t="inlineStr">
        <is>
          <t>POL_SODIUM_ALGINATE</t>
        </is>
      </c>
      <c r="B5000" t="inlineStr">
        <is>
          <t>charge_density</t>
        </is>
      </c>
      <c r="C5000" t="inlineStr">
        <is>
          <t>high</t>
        </is>
      </c>
      <c r="D5000"/>
      <c r="E5000"/>
      <c r="F5000"/>
      <c r="G5000" t="inlineStr">
        <is>
          <t>grade/substitution dependent</t>
        </is>
      </c>
      <c r="H5000" t="inlineStr">
        <is>
          <t>S007_EXCIPIENTS_HANDBOOK</t>
        </is>
      </c>
      <c r="I5000" t="inlineStr">
        <is>
          <t>literature</t>
        </is>
      </c>
      <c r="J5000">
        <v>0.48</v>
      </c>
      <c r="K5000"/>
    </row>
    <row r="5001">
      <c r="A5001" t="inlineStr">
        <is>
          <t>POL_SODIUM_ALGINATE</t>
        </is>
      </c>
      <c r="B5001" t="inlineStr">
        <is>
          <t>charge_type</t>
        </is>
      </c>
      <c r="C5001">
        <v>-1</v>
      </c>
      <c r="D5001"/>
      <c r="E5001"/>
      <c r="F5001"/>
      <c r="G5001"/>
      <c r="H5001" t="inlineStr">
        <is>
          <t>S007_EXCIPIENTS_HANDBOOK</t>
        </is>
      </c>
      <c r="I5001" t="inlineStr">
        <is>
          <t>curated</t>
        </is>
      </c>
      <c r="J5001">
        <v>0.75</v>
      </c>
      <c r="K5001"/>
    </row>
    <row r="5002">
      <c r="A5002" t="inlineStr">
        <is>
          <t>POL_SODIUM_ALGINATE</t>
        </is>
      </c>
      <c r="B5002" t="inlineStr">
        <is>
          <t>formal_charge</t>
        </is>
      </c>
      <c r="C5002" t="inlineStr">
        <is>
          <t>M/G ratio dependent</t>
        </is>
      </c>
      <c r="D5002" t="inlineStr">
        <is>
          <t>e</t>
        </is>
      </c>
      <c r="E5002"/>
      <c r="F5002"/>
      <c r="G5002"/>
      <c r="H5002" t="inlineStr">
        <is>
          <t>S007_EXCIPIENTS_HANDBOOK</t>
        </is>
      </c>
      <c r="I5002" t="inlineStr">
        <is>
          <t>curated</t>
        </is>
      </c>
      <c r="J5002">
        <v>0.75</v>
      </c>
      <c r="K5002"/>
    </row>
    <row r="5003">
      <c r="A5003" t="inlineStr">
        <is>
          <t>POL_SODIUM_ALGINATE</t>
        </is>
      </c>
      <c r="B5003" t="inlineStr">
        <is>
          <t>solubility_in_water</t>
        </is>
      </c>
      <c r="C5003" t="inlineStr">
        <is>
          <t>poor</t>
        </is>
      </c>
      <c r="D5003"/>
      <c r="E5003"/>
      <c r="F5003"/>
      <c r="G5003"/>
      <c r="H5003" t="inlineStr">
        <is>
          <t>S007_EXCIPIENTS_HANDBOOK</t>
        </is>
      </c>
      <c r="I5003" t="inlineStr">
        <is>
          <t>handbook</t>
        </is>
      </c>
      <c r="J5003">
        <v>0.55</v>
      </c>
      <c r="K5003"/>
    </row>
    <row r="5004">
      <c r="A5004" t="inlineStr">
        <is>
          <t>POL_SODIUM_ALGINATE</t>
        </is>
      </c>
      <c r="B5004" t="inlineStr">
        <is>
          <t>solubility_in_ethanol</t>
        </is>
      </c>
      <c r="C5004" t="inlineStr">
        <is>
          <t>poor</t>
        </is>
      </c>
      <c r="D5004"/>
      <c r="E5004"/>
      <c r="F5004"/>
      <c r="G5004"/>
      <c r="H5004" t="inlineStr">
        <is>
          <t>S007_EXCIPIENTS_HANDBOOK</t>
        </is>
      </c>
      <c r="I5004" t="inlineStr">
        <is>
          <t>handbook</t>
        </is>
      </c>
      <c r="J5004">
        <v>0.55</v>
      </c>
      <c r="K5004"/>
    </row>
    <row r="5005">
      <c r="A5005" t="inlineStr">
        <is>
          <t>POL_SODIUM_ALGINATE</t>
        </is>
      </c>
      <c r="B5005" t="inlineStr">
        <is>
          <t>solubility_in_acetone</t>
        </is>
      </c>
      <c r="C5005" t="inlineStr">
        <is>
          <t>poor</t>
        </is>
      </c>
      <c r="D5005"/>
      <c r="E5005"/>
      <c r="F5005"/>
      <c r="G5005"/>
      <c r="H5005" t="inlineStr">
        <is>
          <t>S007_EXCIPIENTS_HANDBOOK</t>
        </is>
      </c>
      <c r="I5005" t="inlineStr">
        <is>
          <t>handbook</t>
        </is>
      </c>
      <c r="J5005">
        <v>0.55</v>
      </c>
      <c r="K5005"/>
    </row>
    <row r="5006">
      <c r="A5006" t="inlineStr">
        <is>
          <t>POL_SODIUM_ALGINATE</t>
        </is>
      </c>
      <c r="B5006" t="inlineStr">
        <is>
          <t>solubility_in_dcm</t>
        </is>
      </c>
      <c r="C5006" t="inlineStr">
        <is>
          <t>yes/enzymatic</t>
        </is>
      </c>
      <c r="D5006"/>
      <c r="E5006"/>
      <c r="F5006"/>
      <c r="G5006"/>
      <c r="H5006" t="inlineStr">
        <is>
          <t>S007_EXCIPIENTS_HANDBOOK</t>
        </is>
      </c>
      <c r="I5006" t="inlineStr">
        <is>
          <t>handbook</t>
        </is>
      </c>
      <c r="J5006">
        <v>0.55</v>
      </c>
      <c r="K5006"/>
    </row>
    <row r="5007">
      <c r="A5007" t="inlineStr">
        <is>
          <t>POL_SODIUM_ALGINATE</t>
        </is>
      </c>
      <c r="B5007" t="inlineStr">
        <is>
          <t>biodegradability</t>
        </is>
      </c>
      <c r="C5007" t="inlineStr">
        <is>
          <t>yes</t>
        </is>
      </c>
      <c r="D5007"/>
      <c r="E5007"/>
      <c r="F5007"/>
      <c r="G5007"/>
      <c r="H5007" t="inlineStr">
        <is>
          <t>S014_AULTON</t>
        </is>
      </c>
      <c r="I5007" t="inlineStr">
        <is>
          <t>curated</t>
        </is>
      </c>
      <c r="J5007">
        <v>0.65</v>
      </c>
      <c r="K5007"/>
    </row>
    <row r="5008">
      <c r="A5008" t="inlineStr">
        <is>
          <t>POL_SODIUM_ALGINATE</t>
        </is>
      </c>
      <c r="B5008" t="inlineStr">
        <is>
          <t>mucoadhesive_flag</t>
        </is>
      </c>
      <c r="C5008" t="inlineStr">
        <is>
          <t>gel matrix</t>
        </is>
      </c>
      <c r="D5008"/>
      <c r="E5008"/>
      <c r="F5008"/>
      <c r="G5008"/>
      <c r="H5008" t="inlineStr">
        <is>
          <t>S014_AULTON</t>
        </is>
      </c>
      <c r="I5008" t="inlineStr">
        <is>
          <t>curated</t>
        </is>
      </c>
      <c r="J5008">
        <v>0.65</v>
      </c>
      <c r="K5008"/>
    </row>
    <row r="5009">
      <c r="A5009" t="inlineStr">
        <is>
          <t>POL_SODIUM_ALGINATE</t>
        </is>
      </c>
      <c r="B5009" t="inlineStr">
        <is>
          <t>coating_role</t>
        </is>
      </c>
      <c r="C5009" t="inlineStr">
        <is>
          <t>yes</t>
        </is>
      </c>
      <c r="D5009"/>
      <c r="E5009"/>
      <c r="F5009"/>
      <c r="G5009"/>
      <c r="H5009" t="inlineStr">
        <is>
          <t>S014_AULTON</t>
        </is>
      </c>
      <c r="I5009" t="inlineStr">
        <is>
          <t>curated</t>
        </is>
      </c>
      <c r="J5009">
        <v>0.6</v>
      </c>
      <c r="K5009"/>
    </row>
    <row r="5010">
      <c r="A5010" t="inlineStr">
        <is>
          <t>POL_SODIUM_ALGINATE</t>
        </is>
      </c>
      <c r="B5010" t="inlineStr">
        <is>
          <t>route_suitability</t>
        </is>
      </c>
      <c r="C5010" t="inlineStr">
        <is>
          <t>polymeric/hybrid/coating/stabilizer systems; grade and route dependent</t>
        </is>
      </c>
      <c r="D5010"/>
      <c r="E5010"/>
      <c r="F5010"/>
      <c r="G5010"/>
      <c r="H5010" t="inlineStr">
        <is>
          <t>S008_FDA_IID</t>
        </is>
      </c>
      <c r="I5010" t="inlineStr">
        <is>
          <t>curated</t>
        </is>
      </c>
      <c r="J5010">
        <v>0.55</v>
      </c>
      <c r="K5010"/>
    </row>
    <row r="5011">
      <c r="A5011" t="inlineStr">
        <is>
          <t>POL_SODIUM_ALGINATE</t>
        </is>
      </c>
      <c r="B5011" t="inlineStr">
        <is>
          <t>toxicity_notes</t>
        </is>
      </c>
      <c r="C5011" t="inlineStr">
        <is>
          <t>polymer grade, residual monomers/solvents, endotoxin and molecular weight distribution must be controlled</t>
        </is>
      </c>
      <c r="D5011"/>
      <c r="E5011"/>
      <c r="F5011"/>
      <c r="G5011"/>
      <c r="H5011" t="inlineStr">
        <is>
          <t>S007_EXCIPIENTS_HANDBOOK</t>
        </is>
      </c>
      <c r="I5011" t="inlineStr">
        <is>
          <t>curated</t>
        </is>
      </c>
      <c r="J5011">
        <v>0.65</v>
      </c>
      <c r="K5011"/>
    </row>
    <row r="5012">
      <c r="A5012" t="inlineStr">
        <is>
          <t>POL_SODIUM_ALGINATE</t>
        </is>
      </c>
      <c r="B5012" t="inlineStr">
        <is>
          <t>Hansen_delta_D</t>
        </is>
      </c>
      <c r="C5012">
        <v>18.0</v>
      </c>
      <c r="D5012" t="inlineStr">
        <is>
          <t>MPa^0.5</t>
        </is>
      </c>
      <c r="E5012"/>
      <c r="F5012"/>
      <c r="G5012" t="inlineStr">
        <is>
          <t>heuristic group-contribution/nearest-neighbour</t>
        </is>
      </c>
      <c r="H5012" t="inlineStr">
        <is>
          <t>S013_EST_HSP_HEURISTIC</t>
        </is>
      </c>
      <c r="I5012" t="inlineStr">
        <is>
          <t>estimated</t>
        </is>
      </c>
      <c r="J5012">
        <v>0.35</v>
      </c>
      <c r="K5012" t="inlineStr">
        <is>
          <t>Provisional HSP for screening; replace with experimental/literature value before model lock.</t>
        </is>
      </c>
    </row>
    <row r="5013">
      <c r="A5013" t="inlineStr">
        <is>
          <t>POL_SODIUM_ALGINATE</t>
        </is>
      </c>
      <c r="B5013" t="inlineStr">
        <is>
          <t>Hansen_delta_P</t>
        </is>
      </c>
      <c r="C5013">
        <v>8.0</v>
      </c>
      <c r="D5013" t="inlineStr">
        <is>
          <t>MPa^0.5</t>
        </is>
      </c>
      <c r="E5013"/>
      <c r="F5013"/>
      <c r="G5013" t="inlineStr">
        <is>
          <t>heuristic group-contribution/nearest-neighbour</t>
        </is>
      </c>
      <c r="H5013" t="inlineStr">
        <is>
          <t>S013_EST_HSP_HEURISTIC</t>
        </is>
      </c>
      <c r="I5013" t="inlineStr">
        <is>
          <t>estimated</t>
        </is>
      </c>
      <c r="J5013">
        <v>0.35</v>
      </c>
      <c r="K5013" t="inlineStr">
        <is>
          <t>Provisional HSP for screening; replace with experimental/literature value before model lock.</t>
        </is>
      </c>
    </row>
    <row r="5014">
      <c r="A5014" t="inlineStr">
        <is>
          <t>POL_SODIUM_ALGINATE</t>
        </is>
      </c>
      <c r="B5014" t="inlineStr">
        <is>
          <t>Hansen_delta_H</t>
        </is>
      </c>
      <c r="C5014">
        <v>10.0</v>
      </c>
      <c r="D5014" t="inlineStr">
        <is>
          <t>MPa^0.5</t>
        </is>
      </c>
      <c r="E5014"/>
      <c r="F5014"/>
      <c r="G5014" t="inlineStr">
        <is>
          <t>heuristic group-contribution/nearest-neighbour</t>
        </is>
      </c>
      <c r="H5014" t="inlineStr">
        <is>
          <t>S013_EST_HSP_HEURISTIC</t>
        </is>
      </c>
      <c r="I5014" t="inlineStr">
        <is>
          <t>estimated</t>
        </is>
      </c>
      <c r="J5014">
        <v>0.35</v>
      </c>
      <c r="K5014" t="inlineStr">
        <is>
          <t>Provisional HSP for screening; replace with experimental/literature value before model lock.</t>
        </is>
      </c>
    </row>
    <row r="5015">
      <c r="A5015" t="inlineStr">
        <is>
          <t>POL_SODIUM_ALGINATE</t>
        </is>
      </c>
      <c r="B5015" t="inlineStr">
        <is>
          <t>Hildebrand_delta_T</t>
        </is>
      </c>
      <c r="C5015">
        <v>22.09</v>
      </c>
      <c r="D5015" t="inlineStr">
        <is>
          <t>MPa^0.5</t>
        </is>
      </c>
      <c r="E5015"/>
      <c r="F5015"/>
      <c r="G5015" t="inlineStr">
        <is>
          <t>sqrt(deltaD^2+deltaP^2+deltaH^2)</t>
        </is>
      </c>
      <c r="H5015" t="inlineStr">
        <is>
          <t>S012_CALCULATED</t>
        </is>
      </c>
      <c r="I5015" t="inlineStr">
        <is>
          <t>calculated</t>
        </is>
      </c>
      <c r="J5015">
        <v>0.39999999999999997</v>
      </c>
      <c r="K5015" t="inlineStr">
        <is>
          <t>Derived from stored Hansen components.</t>
        </is>
      </c>
    </row>
    <row r="5016">
      <c r="A5016" t="inlineStr">
        <is>
          <t>POL_SODIUM_ALGINATE</t>
        </is>
      </c>
      <c r="B5016" t="inlineStr">
        <is>
          <t>HSP_radius_R0</t>
        </is>
      </c>
      <c r="C5016">
        <v>9.0</v>
      </c>
      <c r="D5016" t="inlineStr">
        <is>
          <t>MPa^0.5</t>
        </is>
      </c>
      <c r="E5016"/>
      <c r="F5016"/>
      <c r="G5016" t="inlineStr">
        <is>
          <t>literature/heuristic solubility sphere</t>
        </is>
      </c>
      <c r="H5016" t="inlineStr">
        <is>
          <t>S013_EST_HSP_HEURISTIC</t>
        </is>
      </c>
      <c r="I5016" t="inlineStr">
        <is>
          <t>estimated</t>
        </is>
      </c>
      <c r="J5016">
        <v>0.35</v>
      </c>
      <c r="K5016" t="inlineStr">
        <is>
          <t>Screening radius only unless experimentally determined.</t>
        </is>
      </c>
    </row>
    <row r="5017">
      <c r="A5017" t="inlineStr">
        <is>
          <t>POL_DEXTRAN</t>
        </is>
      </c>
      <c r="B5017" t="inlineStr">
        <is>
          <t>average_mw_g_mol</t>
        </is>
      </c>
      <c r="C5017">
        <v>70000</v>
      </c>
      <c r="D5017" t="inlineStr">
        <is>
          <t>g/mol</t>
        </is>
      </c>
      <c r="E5017"/>
      <c r="F5017"/>
      <c r="G5017" t="inlineStr">
        <is>
          <t>grade-dependent</t>
        </is>
      </c>
      <c r="H5017" t="inlineStr">
        <is>
          <t>S007_EXCIPIENTS_HANDBOOK</t>
        </is>
      </c>
      <c r="I5017" t="inlineStr">
        <is>
          <t>supplier-reported</t>
        </is>
      </c>
      <c r="J5017">
        <v>0.45</v>
      </c>
      <c r="K5017"/>
    </row>
    <row r="5018">
      <c r="A5018" t="inlineStr">
        <is>
          <t>POL_DEXTRAN</t>
        </is>
      </c>
      <c r="B5018" t="inlineStr">
        <is>
          <t>pKa</t>
        </is>
      </c>
      <c r="C5018" t="inlineStr">
        <is>
          <t>neutral</t>
        </is>
      </c>
      <c r="D5018"/>
      <c r="E5018"/>
      <c r="F5018"/>
      <c r="G5018" t="inlineStr">
        <is>
          <t>grade/substitution dependent</t>
        </is>
      </c>
      <c r="H5018" t="inlineStr">
        <is>
          <t>S007_EXCIPIENTS_HANDBOOK</t>
        </is>
      </c>
      <c r="I5018" t="inlineStr">
        <is>
          <t>literature</t>
        </is>
      </c>
      <c r="J5018">
        <v>0.48</v>
      </c>
      <c r="K5018"/>
    </row>
    <row r="5019">
      <c r="A5019" t="inlineStr">
        <is>
          <t>POL_DEXTRAN</t>
        </is>
      </c>
      <c r="B5019" t="inlineStr">
        <is>
          <t>charge_density</t>
        </is>
      </c>
      <c r="C5019" t="inlineStr">
        <is>
          <t>high</t>
        </is>
      </c>
      <c r="D5019"/>
      <c r="E5019"/>
      <c r="F5019"/>
      <c r="G5019" t="inlineStr">
        <is>
          <t>grade/substitution dependent</t>
        </is>
      </c>
      <c r="H5019" t="inlineStr">
        <is>
          <t>S007_EXCIPIENTS_HANDBOOK</t>
        </is>
      </c>
      <c r="I5019" t="inlineStr">
        <is>
          <t>literature</t>
        </is>
      </c>
      <c r="J5019">
        <v>0.48</v>
      </c>
      <c r="K5019"/>
    </row>
    <row r="5020">
      <c r="A5020" t="inlineStr">
        <is>
          <t>POL_DEXTRAN</t>
        </is>
      </c>
      <c r="B5020" t="inlineStr">
        <is>
          <t>charge_type</t>
        </is>
      </c>
      <c r="C5020">
        <v>0</v>
      </c>
      <c r="D5020"/>
      <c r="E5020"/>
      <c r="F5020"/>
      <c r="G5020"/>
      <c r="H5020" t="inlineStr">
        <is>
          <t>S007_EXCIPIENTS_HANDBOOK</t>
        </is>
      </c>
      <c r="I5020" t="inlineStr">
        <is>
          <t>curated</t>
        </is>
      </c>
      <c r="J5020">
        <v>0.75</v>
      </c>
      <c r="K5020"/>
    </row>
    <row r="5021">
      <c r="A5021" t="inlineStr">
        <is>
          <t>POL_DEXTRAN</t>
        </is>
      </c>
      <c r="B5021" t="inlineStr">
        <is>
          <t>solubility_in_water</t>
        </is>
      </c>
      <c r="C5021" t="inlineStr">
        <is>
          <t>poor</t>
        </is>
      </c>
      <c r="D5021"/>
      <c r="E5021"/>
      <c r="F5021"/>
      <c r="G5021"/>
      <c r="H5021" t="inlineStr">
        <is>
          <t>S007_EXCIPIENTS_HANDBOOK</t>
        </is>
      </c>
      <c r="I5021" t="inlineStr">
        <is>
          <t>handbook</t>
        </is>
      </c>
      <c r="J5021">
        <v>0.55</v>
      </c>
      <c r="K5021"/>
    </row>
    <row r="5022">
      <c r="A5022" t="inlineStr">
        <is>
          <t>POL_DEXTRAN</t>
        </is>
      </c>
      <c r="B5022" t="inlineStr">
        <is>
          <t>solubility_in_ethanol</t>
        </is>
      </c>
      <c r="C5022" t="inlineStr">
        <is>
          <t>poor</t>
        </is>
      </c>
      <c r="D5022"/>
      <c r="E5022"/>
      <c r="F5022"/>
      <c r="G5022"/>
      <c r="H5022" t="inlineStr">
        <is>
          <t>S007_EXCIPIENTS_HANDBOOK</t>
        </is>
      </c>
      <c r="I5022" t="inlineStr">
        <is>
          <t>handbook</t>
        </is>
      </c>
      <c r="J5022">
        <v>0.55</v>
      </c>
      <c r="K5022"/>
    </row>
    <row r="5023">
      <c r="A5023" t="inlineStr">
        <is>
          <t>POL_DEXTRAN</t>
        </is>
      </c>
      <c r="B5023" t="inlineStr">
        <is>
          <t>solubility_in_acetone</t>
        </is>
      </c>
      <c r="C5023" t="inlineStr">
        <is>
          <t>poor</t>
        </is>
      </c>
      <c r="D5023"/>
      <c r="E5023"/>
      <c r="F5023"/>
      <c r="G5023"/>
      <c r="H5023" t="inlineStr">
        <is>
          <t>S007_EXCIPIENTS_HANDBOOK</t>
        </is>
      </c>
      <c r="I5023" t="inlineStr">
        <is>
          <t>handbook</t>
        </is>
      </c>
      <c r="J5023">
        <v>0.55</v>
      </c>
      <c r="K5023"/>
    </row>
    <row r="5024">
      <c r="A5024" t="inlineStr">
        <is>
          <t>POL_DEXTRAN</t>
        </is>
      </c>
      <c r="B5024" t="inlineStr">
        <is>
          <t>solubility_in_dcm</t>
        </is>
      </c>
      <c r="C5024" t="inlineStr">
        <is>
          <t>yes/enzymatic</t>
        </is>
      </c>
      <c r="D5024"/>
      <c r="E5024"/>
      <c r="F5024"/>
      <c r="G5024"/>
      <c r="H5024" t="inlineStr">
        <is>
          <t>S007_EXCIPIENTS_HANDBOOK</t>
        </is>
      </c>
      <c r="I5024" t="inlineStr">
        <is>
          <t>handbook</t>
        </is>
      </c>
      <c r="J5024">
        <v>0.55</v>
      </c>
      <c r="K5024"/>
    </row>
    <row r="5025">
      <c r="A5025" t="inlineStr">
        <is>
          <t>POL_DEXTRAN</t>
        </is>
      </c>
      <c r="B5025" t="inlineStr">
        <is>
          <t>biodegradability</t>
        </is>
      </c>
      <c r="C5025" t="inlineStr">
        <is>
          <t>conditional</t>
        </is>
      </c>
      <c r="D5025"/>
      <c r="E5025"/>
      <c r="F5025"/>
      <c r="G5025"/>
      <c r="H5025" t="inlineStr">
        <is>
          <t>S014_AULTON</t>
        </is>
      </c>
      <c r="I5025" t="inlineStr">
        <is>
          <t>curated</t>
        </is>
      </c>
      <c r="J5025">
        <v>0.65</v>
      </c>
      <c r="K5025"/>
    </row>
    <row r="5026">
      <c r="A5026" t="inlineStr">
        <is>
          <t>POL_DEXTRAN</t>
        </is>
      </c>
      <c r="B5026" t="inlineStr">
        <is>
          <t>mucoadhesive_flag</t>
        </is>
      </c>
      <c r="C5026" t="inlineStr">
        <is>
          <t>stabilizer</t>
        </is>
      </c>
      <c r="D5026"/>
      <c r="E5026"/>
      <c r="F5026"/>
      <c r="G5026"/>
      <c r="H5026" t="inlineStr">
        <is>
          <t>S014_AULTON</t>
        </is>
      </c>
      <c r="I5026" t="inlineStr">
        <is>
          <t>curated</t>
        </is>
      </c>
      <c r="J5026">
        <v>0.65</v>
      </c>
      <c r="K5026"/>
    </row>
    <row r="5027">
      <c r="A5027" t="inlineStr">
        <is>
          <t>POL_DEXTRAN</t>
        </is>
      </c>
      <c r="B5027" t="inlineStr">
        <is>
          <t>coating_role</t>
        </is>
      </c>
      <c r="C5027" t="inlineStr">
        <is>
          <t>yes</t>
        </is>
      </c>
      <c r="D5027"/>
      <c r="E5027"/>
      <c r="F5027"/>
      <c r="G5027"/>
      <c r="H5027" t="inlineStr">
        <is>
          <t>S014_AULTON</t>
        </is>
      </c>
      <c r="I5027" t="inlineStr">
        <is>
          <t>curated</t>
        </is>
      </c>
      <c r="J5027">
        <v>0.6</v>
      </c>
      <c r="K5027"/>
    </row>
    <row r="5028">
      <c r="A5028" t="inlineStr">
        <is>
          <t>POL_DEXTRAN</t>
        </is>
      </c>
      <c r="B5028" t="inlineStr">
        <is>
          <t>route_suitability</t>
        </is>
      </c>
      <c r="C5028" t="inlineStr">
        <is>
          <t>polymeric/hybrid/coating/stabilizer systems; grade and route dependent</t>
        </is>
      </c>
      <c r="D5028"/>
      <c r="E5028"/>
      <c r="F5028"/>
      <c r="G5028"/>
      <c r="H5028" t="inlineStr">
        <is>
          <t>S008_FDA_IID</t>
        </is>
      </c>
      <c r="I5028" t="inlineStr">
        <is>
          <t>curated</t>
        </is>
      </c>
      <c r="J5028">
        <v>0.55</v>
      </c>
      <c r="K5028"/>
    </row>
    <row r="5029">
      <c r="A5029" t="inlineStr">
        <is>
          <t>POL_DEXTRAN</t>
        </is>
      </c>
      <c r="B5029" t="inlineStr">
        <is>
          <t>toxicity_notes</t>
        </is>
      </c>
      <c r="C5029" t="inlineStr">
        <is>
          <t>polymer grade, residual monomers/solvents, endotoxin and molecular weight distribution must be controlled</t>
        </is>
      </c>
      <c r="D5029"/>
      <c r="E5029"/>
      <c r="F5029"/>
      <c r="G5029"/>
      <c r="H5029" t="inlineStr">
        <is>
          <t>S007_EXCIPIENTS_HANDBOOK</t>
        </is>
      </c>
      <c r="I5029" t="inlineStr">
        <is>
          <t>curated</t>
        </is>
      </c>
      <c r="J5029">
        <v>0.65</v>
      </c>
      <c r="K5029"/>
    </row>
    <row r="5030">
      <c r="A5030" t="inlineStr">
        <is>
          <t>POL_DEXTRAN</t>
        </is>
      </c>
      <c r="B5030" t="inlineStr">
        <is>
          <t>Hansen_delta_D</t>
        </is>
      </c>
      <c r="C5030">
        <v>18.0</v>
      </c>
      <c r="D5030" t="inlineStr">
        <is>
          <t>MPa^0.5</t>
        </is>
      </c>
      <c r="E5030"/>
      <c r="F5030"/>
      <c r="G5030" t="inlineStr">
        <is>
          <t>heuristic group-contribution/nearest-neighbour</t>
        </is>
      </c>
      <c r="H5030" t="inlineStr">
        <is>
          <t>S013_EST_HSP_HEURISTIC</t>
        </is>
      </c>
      <c r="I5030" t="inlineStr">
        <is>
          <t>estimated</t>
        </is>
      </c>
      <c r="J5030">
        <v>0.35</v>
      </c>
      <c r="K5030" t="inlineStr">
        <is>
          <t>Provisional HSP for screening; replace with experimental/literature value before model lock.</t>
        </is>
      </c>
    </row>
    <row r="5031">
      <c r="A5031" t="inlineStr">
        <is>
          <t>POL_DEXTRAN</t>
        </is>
      </c>
      <c r="B5031" t="inlineStr">
        <is>
          <t>Hansen_delta_P</t>
        </is>
      </c>
      <c r="C5031">
        <v>8.0</v>
      </c>
      <c r="D5031" t="inlineStr">
        <is>
          <t>MPa^0.5</t>
        </is>
      </c>
      <c r="E5031"/>
      <c r="F5031"/>
      <c r="G5031" t="inlineStr">
        <is>
          <t>heuristic group-contribution/nearest-neighbour</t>
        </is>
      </c>
      <c r="H5031" t="inlineStr">
        <is>
          <t>S013_EST_HSP_HEURISTIC</t>
        </is>
      </c>
      <c r="I5031" t="inlineStr">
        <is>
          <t>estimated</t>
        </is>
      </c>
      <c r="J5031">
        <v>0.35</v>
      </c>
      <c r="K5031" t="inlineStr">
        <is>
          <t>Provisional HSP for screening; replace with experimental/literature value before model lock.</t>
        </is>
      </c>
    </row>
    <row r="5032">
      <c r="A5032" t="inlineStr">
        <is>
          <t>POL_DEXTRAN</t>
        </is>
      </c>
      <c r="B5032" t="inlineStr">
        <is>
          <t>Hansen_delta_H</t>
        </is>
      </c>
      <c r="C5032">
        <v>10.0</v>
      </c>
      <c r="D5032" t="inlineStr">
        <is>
          <t>MPa^0.5</t>
        </is>
      </c>
      <c r="E5032"/>
      <c r="F5032"/>
      <c r="G5032" t="inlineStr">
        <is>
          <t>heuristic group-contribution/nearest-neighbour</t>
        </is>
      </c>
      <c r="H5032" t="inlineStr">
        <is>
          <t>S013_EST_HSP_HEURISTIC</t>
        </is>
      </c>
      <c r="I5032" t="inlineStr">
        <is>
          <t>estimated</t>
        </is>
      </c>
      <c r="J5032">
        <v>0.35</v>
      </c>
      <c r="K5032" t="inlineStr">
        <is>
          <t>Provisional HSP for screening; replace with experimental/literature value before model lock.</t>
        </is>
      </c>
    </row>
    <row r="5033">
      <c r="A5033" t="inlineStr">
        <is>
          <t>POL_DEXTRAN</t>
        </is>
      </c>
      <c r="B5033" t="inlineStr">
        <is>
          <t>Hildebrand_delta_T</t>
        </is>
      </c>
      <c r="C5033">
        <v>22.09</v>
      </c>
      <c r="D5033" t="inlineStr">
        <is>
          <t>MPa^0.5</t>
        </is>
      </c>
      <c r="E5033"/>
      <c r="F5033"/>
      <c r="G5033" t="inlineStr">
        <is>
          <t>sqrt(deltaD^2+deltaP^2+deltaH^2)</t>
        </is>
      </c>
      <c r="H5033" t="inlineStr">
        <is>
          <t>S012_CALCULATED</t>
        </is>
      </c>
      <c r="I5033" t="inlineStr">
        <is>
          <t>calculated</t>
        </is>
      </c>
      <c r="J5033">
        <v>0.39999999999999997</v>
      </c>
      <c r="K5033" t="inlineStr">
        <is>
          <t>Derived from stored Hansen components.</t>
        </is>
      </c>
    </row>
    <row r="5034">
      <c r="A5034" t="inlineStr">
        <is>
          <t>POL_DEXTRAN</t>
        </is>
      </c>
      <c r="B5034" t="inlineStr">
        <is>
          <t>HSP_radius_R0</t>
        </is>
      </c>
      <c r="C5034">
        <v>9.0</v>
      </c>
      <c r="D5034" t="inlineStr">
        <is>
          <t>MPa^0.5</t>
        </is>
      </c>
      <c r="E5034"/>
      <c r="F5034"/>
      <c r="G5034" t="inlineStr">
        <is>
          <t>literature/heuristic solubility sphere</t>
        </is>
      </c>
      <c r="H5034" t="inlineStr">
        <is>
          <t>S013_EST_HSP_HEURISTIC</t>
        </is>
      </c>
      <c r="I5034" t="inlineStr">
        <is>
          <t>estimated</t>
        </is>
      </c>
      <c r="J5034">
        <v>0.35</v>
      </c>
      <c r="K5034" t="inlineStr">
        <is>
          <t>Screening radius only unless experimentally determined.</t>
        </is>
      </c>
    </row>
    <row r="5035">
      <c r="A5035" t="inlineStr">
        <is>
          <t>POL_HEPARIN</t>
        </is>
      </c>
      <c r="B5035" t="inlineStr">
        <is>
          <t>average_mw_g_mol</t>
        </is>
      </c>
      <c r="C5035">
        <v>15000</v>
      </c>
      <c r="D5035" t="inlineStr">
        <is>
          <t>g/mol</t>
        </is>
      </c>
      <c r="E5035"/>
      <c r="F5035"/>
      <c r="G5035" t="inlineStr">
        <is>
          <t>grade-dependent</t>
        </is>
      </c>
      <c r="H5035" t="inlineStr">
        <is>
          <t>S007_EXCIPIENTS_HANDBOOK</t>
        </is>
      </c>
      <c r="I5035" t="inlineStr">
        <is>
          <t>supplier-reported</t>
        </is>
      </c>
      <c r="J5035">
        <v>0.45</v>
      </c>
      <c r="K5035"/>
    </row>
    <row r="5036">
      <c r="A5036" t="inlineStr">
        <is>
          <t>POL_HEPARIN</t>
        </is>
      </c>
      <c r="B5036" t="inlineStr">
        <is>
          <t>pKa</t>
        </is>
      </c>
      <c r="C5036" t="inlineStr">
        <is>
          <t>anionic</t>
        </is>
      </c>
      <c r="D5036"/>
      <c r="E5036"/>
      <c r="F5036"/>
      <c r="G5036" t="inlineStr">
        <is>
          <t>grade/substitution dependent</t>
        </is>
      </c>
      <c r="H5036" t="inlineStr">
        <is>
          <t>S007_EXCIPIENTS_HANDBOOK</t>
        </is>
      </c>
      <c r="I5036" t="inlineStr">
        <is>
          <t>literature</t>
        </is>
      </c>
      <c r="J5036">
        <v>0.48</v>
      </c>
      <c r="K5036"/>
    </row>
    <row r="5037">
      <c r="A5037" t="inlineStr">
        <is>
          <t>POL_HEPARIN</t>
        </is>
      </c>
      <c r="B5037" t="inlineStr">
        <is>
          <t>charge_density</t>
        </is>
      </c>
      <c r="C5037" t="inlineStr">
        <is>
          <t>high</t>
        </is>
      </c>
      <c r="D5037"/>
      <c r="E5037"/>
      <c r="F5037"/>
      <c r="G5037" t="inlineStr">
        <is>
          <t>grade/substitution dependent</t>
        </is>
      </c>
      <c r="H5037" t="inlineStr">
        <is>
          <t>S007_EXCIPIENTS_HANDBOOK</t>
        </is>
      </c>
      <c r="I5037" t="inlineStr">
        <is>
          <t>literature</t>
        </is>
      </c>
      <c r="J5037">
        <v>0.48</v>
      </c>
      <c r="K5037"/>
    </row>
    <row r="5038">
      <c r="A5038" t="inlineStr">
        <is>
          <t>POL_HEPARIN</t>
        </is>
      </c>
      <c r="B5038" t="inlineStr">
        <is>
          <t>charge_type</t>
        </is>
      </c>
      <c r="C5038">
        <v>-1</v>
      </c>
      <c r="D5038"/>
      <c r="E5038"/>
      <c r="F5038"/>
      <c r="G5038"/>
      <c r="H5038" t="inlineStr">
        <is>
          <t>S007_EXCIPIENTS_HANDBOOK</t>
        </is>
      </c>
      <c r="I5038" t="inlineStr">
        <is>
          <t>curated</t>
        </is>
      </c>
      <c r="J5038">
        <v>0.75</v>
      </c>
      <c r="K5038"/>
    </row>
    <row r="5039">
      <c r="A5039" t="inlineStr">
        <is>
          <t>POL_HEPARIN</t>
        </is>
      </c>
      <c r="B5039" t="inlineStr">
        <is>
          <t>formal_charge</t>
        </is>
      </c>
      <c r="C5039" t="inlineStr">
        <is>
          <t>very high sulfate/carboxylate</t>
        </is>
      </c>
      <c r="D5039" t="inlineStr">
        <is>
          <t>e</t>
        </is>
      </c>
      <c r="E5039"/>
      <c r="F5039"/>
      <c r="G5039"/>
      <c r="H5039" t="inlineStr">
        <is>
          <t>S007_EXCIPIENTS_HANDBOOK</t>
        </is>
      </c>
      <c r="I5039" t="inlineStr">
        <is>
          <t>curated</t>
        </is>
      </c>
      <c r="J5039">
        <v>0.75</v>
      </c>
      <c r="K5039"/>
    </row>
    <row r="5040">
      <c r="A5040" t="inlineStr">
        <is>
          <t>POL_HEPARIN</t>
        </is>
      </c>
      <c r="B5040" t="inlineStr">
        <is>
          <t>solubility_in_water</t>
        </is>
      </c>
      <c r="C5040" t="inlineStr">
        <is>
          <t>poor</t>
        </is>
      </c>
      <c r="D5040"/>
      <c r="E5040"/>
      <c r="F5040"/>
      <c r="G5040"/>
      <c r="H5040" t="inlineStr">
        <is>
          <t>S007_EXCIPIENTS_HANDBOOK</t>
        </is>
      </c>
      <c r="I5040" t="inlineStr">
        <is>
          <t>handbook</t>
        </is>
      </c>
      <c r="J5040">
        <v>0.55</v>
      </c>
      <c r="K5040"/>
    </row>
    <row r="5041">
      <c r="A5041" t="inlineStr">
        <is>
          <t>POL_HEPARIN</t>
        </is>
      </c>
      <c r="B5041" t="inlineStr">
        <is>
          <t>solubility_in_ethanol</t>
        </is>
      </c>
      <c r="C5041" t="inlineStr">
        <is>
          <t>poor</t>
        </is>
      </c>
      <c r="D5041"/>
      <c r="E5041"/>
      <c r="F5041"/>
      <c r="G5041"/>
      <c r="H5041" t="inlineStr">
        <is>
          <t>S007_EXCIPIENTS_HANDBOOK</t>
        </is>
      </c>
      <c r="I5041" t="inlineStr">
        <is>
          <t>handbook</t>
        </is>
      </c>
      <c r="J5041">
        <v>0.55</v>
      </c>
      <c r="K5041"/>
    </row>
    <row r="5042">
      <c r="A5042" t="inlineStr">
        <is>
          <t>POL_HEPARIN</t>
        </is>
      </c>
      <c r="B5042" t="inlineStr">
        <is>
          <t>solubility_in_acetone</t>
        </is>
      </c>
      <c r="C5042" t="inlineStr">
        <is>
          <t>poor</t>
        </is>
      </c>
      <c r="D5042"/>
      <c r="E5042"/>
      <c r="F5042"/>
      <c r="G5042"/>
      <c r="H5042" t="inlineStr">
        <is>
          <t>S007_EXCIPIENTS_HANDBOOK</t>
        </is>
      </c>
      <c r="I5042" t="inlineStr">
        <is>
          <t>handbook</t>
        </is>
      </c>
      <c r="J5042">
        <v>0.55</v>
      </c>
      <c r="K5042"/>
    </row>
    <row r="5043">
      <c r="A5043" t="inlineStr">
        <is>
          <t>POL_HEPARIN</t>
        </is>
      </c>
      <c r="B5043" t="inlineStr">
        <is>
          <t>solubility_in_dcm</t>
        </is>
      </c>
      <c r="C5043" t="inlineStr">
        <is>
          <t>yes/enzymatic</t>
        </is>
      </c>
      <c r="D5043"/>
      <c r="E5043"/>
      <c r="F5043"/>
      <c r="G5043"/>
      <c r="H5043" t="inlineStr">
        <is>
          <t>S007_EXCIPIENTS_HANDBOOK</t>
        </is>
      </c>
      <c r="I5043" t="inlineStr">
        <is>
          <t>handbook</t>
        </is>
      </c>
      <c r="J5043">
        <v>0.55</v>
      </c>
      <c r="K5043"/>
    </row>
    <row r="5044">
      <c r="A5044" t="inlineStr">
        <is>
          <t>POL_HEPARIN</t>
        </is>
      </c>
      <c r="B5044" t="inlineStr">
        <is>
          <t>biodegradability</t>
        </is>
      </c>
      <c r="C5044" t="inlineStr">
        <is>
          <t>yes</t>
        </is>
      </c>
      <c r="D5044"/>
      <c r="E5044"/>
      <c r="F5044"/>
      <c r="G5044"/>
      <c r="H5044" t="inlineStr">
        <is>
          <t>S014_AULTON</t>
        </is>
      </c>
      <c r="I5044" t="inlineStr">
        <is>
          <t>curated</t>
        </is>
      </c>
      <c r="J5044">
        <v>0.65</v>
      </c>
      <c r="K5044"/>
    </row>
    <row r="5045">
      <c r="A5045" t="inlineStr">
        <is>
          <t>POL_HEPARIN</t>
        </is>
      </c>
      <c r="B5045" t="inlineStr">
        <is>
          <t>mucoadhesive_flag</t>
        </is>
      </c>
      <c r="C5045" t="inlineStr">
        <is>
          <t>coating</t>
        </is>
      </c>
      <c r="D5045"/>
      <c r="E5045"/>
      <c r="F5045"/>
      <c r="G5045"/>
      <c r="H5045" t="inlineStr">
        <is>
          <t>S014_AULTON</t>
        </is>
      </c>
      <c r="I5045" t="inlineStr">
        <is>
          <t>curated</t>
        </is>
      </c>
      <c r="J5045">
        <v>0.65</v>
      </c>
      <c r="K5045"/>
    </row>
    <row r="5046">
      <c r="A5046" t="inlineStr">
        <is>
          <t>POL_HEPARIN</t>
        </is>
      </c>
      <c r="B5046" t="inlineStr">
        <is>
          <t>coating_role</t>
        </is>
      </c>
      <c r="C5046" t="inlineStr">
        <is>
          <t>yes</t>
        </is>
      </c>
      <c r="D5046"/>
      <c r="E5046"/>
      <c r="F5046"/>
      <c r="G5046"/>
      <c r="H5046" t="inlineStr">
        <is>
          <t>S014_AULTON</t>
        </is>
      </c>
      <c r="I5046" t="inlineStr">
        <is>
          <t>curated</t>
        </is>
      </c>
      <c r="J5046">
        <v>0.6</v>
      </c>
      <c r="K5046"/>
    </row>
    <row r="5047">
      <c r="A5047" t="inlineStr">
        <is>
          <t>POL_HEPARIN</t>
        </is>
      </c>
      <c r="B5047" t="inlineStr">
        <is>
          <t>stabilizer_role</t>
        </is>
      </c>
      <c r="C5047" t="inlineStr">
        <is>
          <t>anticoagulant bioactivity; route safety critical</t>
        </is>
      </c>
      <c r="D5047"/>
      <c r="E5047"/>
      <c r="F5047"/>
      <c r="G5047"/>
      <c r="H5047" t="inlineStr">
        <is>
          <t>S014_AULTON</t>
        </is>
      </c>
      <c r="I5047" t="inlineStr">
        <is>
          <t>curated</t>
        </is>
      </c>
      <c r="J5047">
        <v>0.6</v>
      </c>
      <c r="K5047"/>
    </row>
    <row r="5048">
      <c r="A5048" t="inlineStr">
        <is>
          <t>POL_HEPARIN</t>
        </is>
      </c>
      <c r="B5048" t="inlineStr">
        <is>
          <t>route_suitability</t>
        </is>
      </c>
      <c r="C5048" t="inlineStr">
        <is>
          <t>polymeric/hybrid/coating/stabilizer systems; grade and route dependent</t>
        </is>
      </c>
      <c r="D5048"/>
      <c r="E5048"/>
      <c r="F5048"/>
      <c r="G5048"/>
      <c r="H5048" t="inlineStr">
        <is>
          <t>S008_FDA_IID</t>
        </is>
      </c>
      <c r="I5048" t="inlineStr">
        <is>
          <t>curated</t>
        </is>
      </c>
      <c r="J5048">
        <v>0.55</v>
      </c>
      <c r="K5048"/>
    </row>
    <row r="5049">
      <c r="A5049" t="inlineStr">
        <is>
          <t>POL_HEPARIN</t>
        </is>
      </c>
      <c r="B5049" t="inlineStr">
        <is>
          <t>toxicity_notes</t>
        </is>
      </c>
      <c r="C5049" t="inlineStr">
        <is>
          <t>polymer grade, residual monomers/solvents, endotoxin and molecular weight distribution must be controlled</t>
        </is>
      </c>
      <c r="D5049"/>
      <c r="E5049"/>
      <c r="F5049"/>
      <c r="G5049"/>
      <c r="H5049" t="inlineStr">
        <is>
          <t>S007_EXCIPIENTS_HANDBOOK</t>
        </is>
      </c>
      <c r="I5049" t="inlineStr">
        <is>
          <t>curated</t>
        </is>
      </c>
      <c r="J5049">
        <v>0.65</v>
      </c>
      <c r="K5049"/>
    </row>
    <row r="5050">
      <c r="A5050" t="inlineStr">
        <is>
          <t>POL_HEPARIN</t>
        </is>
      </c>
      <c r="B5050" t="inlineStr">
        <is>
          <t>Hansen_delta_D</t>
        </is>
      </c>
      <c r="C5050">
        <v>18.0</v>
      </c>
      <c r="D5050" t="inlineStr">
        <is>
          <t>MPa^0.5</t>
        </is>
      </c>
      <c r="E5050"/>
      <c r="F5050"/>
      <c r="G5050" t="inlineStr">
        <is>
          <t>heuristic group-contribution/nearest-neighbour</t>
        </is>
      </c>
      <c r="H5050" t="inlineStr">
        <is>
          <t>S013_EST_HSP_HEURISTIC</t>
        </is>
      </c>
      <c r="I5050" t="inlineStr">
        <is>
          <t>estimated</t>
        </is>
      </c>
      <c r="J5050">
        <v>0.35</v>
      </c>
      <c r="K5050" t="inlineStr">
        <is>
          <t>Provisional HSP for screening; replace with experimental/literature value before model lock.</t>
        </is>
      </c>
    </row>
    <row r="5051">
      <c r="A5051" t="inlineStr">
        <is>
          <t>POL_HEPARIN</t>
        </is>
      </c>
      <c r="B5051" t="inlineStr">
        <is>
          <t>Hansen_delta_P</t>
        </is>
      </c>
      <c r="C5051">
        <v>8.0</v>
      </c>
      <c r="D5051" t="inlineStr">
        <is>
          <t>MPa^0.5</t>
        </is>
      </c>
      <c r="E5051"/>
      <c r="F5051"/>
      <c r="G5051" t="inlineStr">
        <is>
          <t>heuristic group-contribution/nearest-neighbour</t>
        </is>
      </c>
      <c r="H5051" t="inlineStr">
        <is>
          <t>S013_EST_HSP_HEURISTIC</t>
        </is>
      </c>
      <c r="I5051" t="inlineStr">
        <is>
          <t>estimated</t>
        </is>
      </c>
      <c r="J5051">
        <v>0.35</v>
      </c>
      <c r="K5051" t="inlineStr">
        <is>
          <t>Provisional HSP for screening; replace with experimental/literature value before model lock.</t>
        </is>
      </c>
    </row>
    <row r="5052">
      <c r="A5052" t="inlineStr">
        <is>
          <t>POL_HEPARIN</t>
        </is>
      </c>
      <c r="B5052" t="inlineStr">
        <is>
          <t>Hansen_delta_H</t>
        </is>
      </c>
      <c r="C5052">
        <v>10.0</v>
      </c>
      <c r="D5052" t="inlineStr">
        <is>
          <t>MPa^0.5</t>
        </is>
      </c>
      <c r="E5052"/>
      <c r="F5052"/>
      <c r="G5052" t="inlineStr">
        <is>
          <t>heuristic group-contribution/nearest-neighbour</t>
        </is>
      </c>
      <c r="H5052" t="inlineStr">
        <is>
          <t>S013_EST_HSP_HEURISTIC</t>
        </is>
      </c>
      <c r="I5052" t="inlineStr">
        <is>
          <t>estimated</t>
        </is>
      </c>
      <c r="J5052">
        <v>0.35</v>
      </c>
      <c r="K5052" t="inlineStr">
        <is>
          <t>Provisional HSP for screening; replace with experimental/literature value before model lock.</t>
        </is>
      </c>
    </row>
    <row r="5053">
      <c r="A5053" t="inlineStr">
        <is>
          <t>POL_HEPARIN</t>
        </is>
      </c>
      <c r="B5053" t="inlineStr">
        <is>
          <t>Hildebrand_delta_T</t>
        </is>
      </c>
      <c r="C5053">
        <v>22.09</v>
      </c>
      <c r="D5053" t="inlineStr">
        <is>
          <t>MPa^0.5</t>
        </is>
      </c>
      <c r="E5053"/>
      <c r="F5053"/>
      <c r="G5053" t="inlineStr">
        <is>
          <t>sqrt(deltaD^2+deltaP^2+deltaH^2)</t>
        </is>
      </c>
      <c r="H5053" t="inlineStr">
        <is>
          <t>S012_CALCULATED</t>
        </is>
      </c>
      <c r="I5053" t="inlineStr">
        <is>
          <t>calculated</t>
        </is>
      </c>
      <c r="J5053">
        <v>0.39999999999999997</v>
      </c>
      <c r="K5053" t="inlineStr">
        <is>
          <t>Derived from stored Hansen components.</t>
        </is>
      </c>
    </row>
    <row r="5054">
      <c r="A5054" t="inlineStr">
        <is>
          <t>POL_HEPARIN</t>
        </is>
      </c>
      <c r="B5054" t="inlineStr">
        <is>
          <t>HSP_radius_R0</t>
        </is>
      </c>
      <c r="C5054">
        <v>9.0</v>
      </c>
      <c r="D5054" t="inlineStr">
        <is>
          <t>MPa^0.5</t>
        </is>
      </c>
      <c r="E5054"/>
      <c r="F5054"/>
      <c r="G5054" t="inlineStr">
        <is>
          <t>literature/heuristic solubility sphere</t>
        </is>
      </c>
      <c r="H5054" t="inlineStr">
        <is>
          <t>S013_EST_HSP_HEURISTIC</t>
        </is>
      </c>
      <c r="I5054" t="inlineStr">
        <is>
          <t>estimated</t>
        </is>
      </c>
      <c r="J5054">
        <v>0.35</v>
      </c>
      <c r="K5054" t="inlineStr">
        <is>
          <t>Screening radius only unless experimentally determined.</t>
        </is>
      </c>
    </row>
    <row r="5055">
      <c r="A5055" t="inlineStr">
        <is>
          <t>POL_PECTIN</t>
        </is>
      </c>
      <c r="B5055" t="inlineStr">
        <is>
          <t>average_mw_g_mol</t>
        </is>
      </c>
      <c r="C5055">
        <v>100000</v>
      </c>
      <c r="D5055" t="inlineStr">
        <is>
          <t>g/mol</t>
        </is>
      </c>
      <c r="E5055"/>
      <c r="F5055"/>
      <c r="G5055" t="inlineStr">
        <is>
          <t>grade-dependent</t>
        </is>
      </c>
      <c r="H5055" t="inlineStr">
        <is>
          <t>S007_EXCIPIENTS_HANDBOOK</t>
        </is>
      </c>
      <c r="I5055" t="inlineStr">
        <is>
          <t>supplier-reported</t>
        </is>
      </c>
      <c r="J5055">
        <v>0.45</v>
      </c>
      <c r="K5055"/>
    </row>
    <row r="5056">
      <c r="A5056" t="inlineStr">
        <is>
          <t>POL_PECTIN</t>
        </is>
      </c>
      <c r="B5056" t="inlineStr">
        <is>
          <t>Tm_C</t>
        </is>
      </c>
      <c r="C5056">
        <v>3.5</v>
      </c>
      <c r="D5056" t="inlineStr">
        <is>
          <t>°C</t>
        </is>
      </c>
      <c r="E5056"/>
      <c r="F5056"/>
      <c r="G5056" t="inlineStr">
        <is>
          <t>grade/substitution dependent</t>
        </is>
      </c>
      <c r="H5056" t="inlineStr">
        <is>
          <t>S007_EXCIPIENTS_HANDBOOK</t>
        </is>
      </c>
      <c r="I5056" t="inlineStr">
        <is>
          <t>handbook</t>
        </is>
      </c>
      <c r="J5056">
        <v>0.48</v>
      </c>
      <c r="K5056"/>
    </row>
    <row r="5057">
      <c r="A5057" t="inlineStr">
        <is>
          <t>POL_PECTIN</t>
        </is>
      </c>
      <c r="B5057" t="inlineStr">
        <is>
          <t>pKa</t>
        </is>
      </c>
      <c r="C5057" t="inlineStr">
        <is>
          <t>anionic</t>
        </is>
      </c>
      <c r="D5057"/>
      <c r="E5057"/>
      <c r="F5057"/>
      <c r="G5057" t="inlineStr">
        <is>
          <t>grade/substitution dependent</t>
        </is>
      </c>
      <c r="H5057" t="inlineStr">
        <is>
          <t>S007_EXCIPIENTS_HANDBOOK</t>
        </is>
      </c>
      <c r="I5057" t="inlineStr">
        <is>
          <t>literature</t>
        </is>
      </c>
      <c r="J5057">
        <v>0.48</v>
      </c>
      <c r="K5057"/>
    </row>
    <row r="5058">
      <c r="A5058" t="inlineStr">
        <is>
          <t>POL_PECTIN</t>
        </is>
      </c>
      <c r="B5058" t="inlineStr">
        <is>
          <t>charge_density</t>
        </is>
      </c>
      <c r="C5058" t="inlineStr">
        <is>
          <t>swells</t>
        </is>
      </c>
      <c r="D5058"/>
      <c r="E5058"/>
      <c r="F5058"/>
      <c r="G5058" t="inlineStr">
        <is>
          <t>grade/substitution dependent</t>
        </is>
      </c>
      <c r="H5058" t="inlineStr">
        <is>
          <t>S007_EXCIPIENTS_HANDBOOK</t>
        </is>
      </c>
      <c r="I5058" t="inlineStr">
        <is>
          <t>literature</t>
        </is>
      </c>
      <c r="J5058">
        <v>0.48</v>
      </c>
      <c r="K5058"/>
    </row>
    <row r="5059">
      <c r="A5059" t="inlineStr">
        <is>
          <t>POL_PECTIN</t>
        </is>
      </c>
      <c r="B5059" t="inlineStr">
        <is>
          <t>charge_type</t>
        </is>
      </c>
      <c r="C5059">
        <v>-1</v>
      </c>
      <c r="D5059"/>
      <c r="E5059"/>
      <c r="F5059"/>
      <c r="G5059"/>
      <c r="H5059" t="inlineStr">
        <is>
          <t>S007_EXCIPIENTS_HANDBOOK</t>
        </is>
      </c>
      <c r="I5059" t="inlineStr">
        <is>
          <t>curated</t>
        </is>
      </c>
      <c r="J5059">
        <v>0.75</v>
      </c>
      <c r="K5059"/>
    </row>
    <row r="5060">
      <c r="A5060" t="inlineStr">
        <is>
          <t>POL_PECTIN</t>
        </is>
      </c>
      <c r="B5060" t="inlineStr">
        <is>
          <t>formal_charge</t>
        </is>
      </c>
      <c r="C5060" t="inlineStr">
        <is>
          <t>degree esterification dependent</t>
        </is>
      </c>
      <c r="D5060" t="inlineStr">
        <is>
          <t>e</t>
        </is>
      </c>
      <c r="E5060"/>
      <c r="F5060"/>
      <c r="G5060"/>
      <c r="H5060" t="inlineStr">
        <is>
          <t>S007_EXCIPIENTS_HANDBOOK</t>
        </is>
      </c>
      <c r="I5060" t="inlineStr">
        <is>
          <t>curated</t>
        </is>
      </c>
      <c r="J5060">
        <v>0.75</v>
      </c>
      <c r="K5060"/>
    </row>
    <row r="5061">
      <c r="A5061" t="inlineStr">
        <is>
          <t>POL_PECTIN</t>
        </is>
      </c>
      <c r="B5061" t="inlineStr">
        <is>
          <t>solubility_in_water</t>
        </is>
      </c>
      <c r="C5061" t="inlineStr">
        <is>
          <t>poor</t>
        </is>
      </c>
      <c r="D5061"/>
      <c r="E5061"/>
      <c r="F5061"/>
      <c r="G5061"/>
      <c r="H5061" t="inlineStr">
        <is>
          <t>S007_EXCIPIENTS_HANDBOOK</t>
        </is>
      </c>
      <c r="I5061" t="inlineStr">
        <is>
          <t>handbook</t>
        </is>
      </c>
      <c r="J5061">
        <v>0.55</v>
      </c>
      <c r="K5061"/>
    </row>
    <row r="5062">
      <c r="A5062" t="inlineStr">
        <is>
          <t>POL_PECTIN</t>
        </is>
      </c>
      <c r="B5062" t="inlineStr">
        <is>
          <t>solubility_in_ethanol</t>
        </is>
      </c>
      <c r="C5062" t="inlineStr">
        <is>
          <t>poor</t>
        </is>
      </c>
      <c r="D5062"/>
      <c r="E5062"/>
      <c r="F5062"/>
      <c r="G5062"/>
      <c r="H5062" t="inlineStr">
        <is>
          <t>S007_EXCIPIENTS_HANDBOOK</t>
        </is>
      </c>
      <c r="I5062" t="inlineStr">
        <is>
          <t>handbook</t>
        </is>
      </c>
      <c r="J5062">
        <v>0.55</v>
      </c>
      <c r="K5062"/>
    </row>
    <row r="5063">
      <c r="A5063" t="inlineStr">
        <is>
          <t>POL_PECTIN</t>
        </is>
      </c>
      <c r="B5063" t="inlineStr">
        <is>
          <t>solubility_in_acetone</t>
        </is>
      </c>
      <c r="C5063" t="inlineStr">
        <is>
          <t>poor</t>
        </is>
      </c>
      <c r="D5063"/>
      <c r="E5063"/>
      <c r="F5063"/>
      <c r="G5063"/>
      <c r="H5063" t="inlineStr">
        <is>
          <t>S007_EXCIPIENTS_HANDBOOK</t>
        </is>
      </c>
      <c r="I5063" t="inlineStr">
        <is>
          <t>handbook</t>
        </is>
      </c>
      <c r="J5063">
        <v>0.55</v>
      </c>
      <c r="K5063"/>
    </row>
    <row r="5064">
      <c r="A5064" t="inlineStr">
        <is>
          <t>POL_PECTIN</t>
        </is>
      </c>
      <c r="B5064" t="inlineStr">
        <is>
          <t>solubility_in_dcm</t>
        </is>
      </c>
      <c r="C5064" t="inlineStr">
        <is>
          <t>yes/enzymatic</t>
        </is>
      </c>
      <c r="D5064"/>
      <c r="E5064"/>
      <c r="F5064"/>
      <c r="G5064"/>
      <c r="H5064" t="inlineStr">
        <is>
          <t>S007_EXCIPIENTS_HANDBOOK</t>
        </is>
      </c>
      <c r="I5064" t="inlineStr">
        <is>
          <t>handbook</t>
        </is>
      </c>
      <c r="J5064">
        <v>0.55</v>
      </c>
      <c r="K5064"/>
    </row>
    <row r="5065">
      <c r="A5065" t="inlineStr">
        <is>
          <t>POL_PECTIN</t>
        </is>
      </c>
      <c r="B5065" t="inlineStr">
        <is>
          <t>biodegradability</t>
        </is>
      </c>
      <c r="C5065" t="inlineStr">
        <is>
          <t>yes</t>
        </is>
      </c>
      <c r="D5065"/>
      <c r="E5065"/>
      <c r="F5065"/>
      <c r="G5065"/>
      <c r="H5065" t="inlineStr">
        <is>
          <t>S014_AULTON</t>
        </is>
      </c>
      <c r="I5065" t="inlineStr">
        <is>
          <t>curated</t>
        </is>
      </c>
      <c r="J5065">
        <v>0.65</v>
      </c>
      <c r="K5065"/>
    </row>
    <row r="5066">
      <c r="A5066" t="inlineStr">
        <is>
          <t>POL_PECTIN</t>
        </is>
      </c>
      <c r="B5066" t="inlineStr">
        <is>
          <t>mucoadhesive_flag</t>
        </is>
      </c>
      <c r="C5066" t="inlineStr">
        <is>
          <t>gel matrix</t>
        </is>
      </c>
      <c r="D5066"/>
      <c r="E5066"/>
      <c r="F5066"/>
      <c r="G5066"/>
      <c r="H5066" t="inlineStr">
        <is>
          <t>S014_AULTON</t>
        </is>
      </c>
      <c r="I5066" t="inlineStr">
        <is>
          <t>curated</t>
        </is>
      </c>
      <c r="J5066">
        <v>0.65</v>
      </c>
      <c r="K5066"/>
    </row>
    <row r="5067">
      <c r="A5067" t="inlineStr">
        <is>
          <t>POL_PECTIN</t>
        </is>
      </c>
      <c r="B5067" t="inlineStr">
        <is>
          <t>coating_role</t>
        </is>
      </c>
      <c r="C5067" t="inlineStr">
        <is>
          <t>yes</t>
        </is>
      </c>
      <c r="D5067"/>
      <c r="E5067"/>
      <c r="F5067"/>
      <c r="G5067"/>
      <c r="H5067" t="inlineStr">
        <is>
          <t>S014_AULTON</t>
        </is>
      </c>
      <c r="I5067" t="inlineStr">
        <is>
          <t>curated</t>
        </is>
      </c>
      <c r="J5067">
        <v>0.6</v>
      </c>
      <c r="K5067"/>
    </row>
    <row r="5068">
      <c r="A5068" t="inlineStr">
        <is>
          <t>POL_PECTIN</t>
        </is>
      </c>
      <c r="B5068" t="inlineStr">
        <is>
          <t>route_suitability</t>
        </is>
      </c>
      <c r="C5068" t="inlineStr">
        <is>
          <t>polymeric/hybrid/coating/stabilizer systems; grade and route dependent</t>
        </is>
      </c>
      <c r="D5068"/>
      <c r="E5068"/>
      <c r="F5068"/>
      <c r="G5068"/>
      <c r="H5068" t="inlineStr">
        <is>
          <t>S008_FDA_IID</t>
        </is>
      </c>
      <c r="I5068" t="inlineStr">
        <is>
          <t>curated</t>
        </is>
      </c>
      <c r="J5068">
        <v>0.55</v>
      </c>
      <c r="K5068"/>
    </row>
    <row r="5069">
      <c r="A5069" t="inlineStr">
        <is>
          <t>POL_PECTIN</t>
        </is>
      </c>
      <c r="B5069" t="inlineStr">
        <is>
          <t>toxicity_notes</t>
        </is>
      </c>
      <c r="C5069" t="inlineStr">
        <is>
          <t>polymer grade, residual monomers/solvents, endotoxin and molecular weight distribution must be controlled</t>
        </is>
      </c>
      <c r="D5069"/>
      <c r="E5069"/>
      <c r="F5069"/>
      <c r="G5069"/>
      <c r="H5069" t="inlineStr">
        <is>
          <t>S007_EXCIPIENTS_HANDBOOK</t>
        </is>
      </c>
      <c r="I5069" t="inlineStr">
        <is>
          <t>curated</t>
        </is>
      </c>
      <c r="J5069">
        <v>0.65</v>
      </c>
      <c r="K5069"/>
    </row>
    <row r="5070">
      <c r="A5070" t="inlineStr">
        <is>
          <t>POL_PECTIN</t>
        </is>
      </c>
      <c r="B5070" t="inlineStr">
        <is>
          <t>Hansen_delta_D</t>
        </is>
      </c>
      <c r="C5070">
        <v>18.0</v>
      </c>
      <c r="D5070" t="inlineStr">
        <is>
          <t>MPa^0.5</t>
        </is>
      </c>
      <c r="E5070"/>
      <c r="F5070"/>
      <c r="G5070" t="inlineStr">
        <is>
          <t>heuristic group-contribution/nearest-neighbour</t>
        </is>
      </c>
      <c r="H5070" t="inlineStr">
        <is>
          <t>S013_EST_HSP_HEURISTIC</t>
        </is>
      </c>
      <c r="I5070" t="inlineStr">
        <is>
          <t>estimated</t>
        </is>
      </c>
      <c r="J5070">
        <v>0.35</v>
      </c>
      <c r="K5070" t="inlineStr">
        <is>
          <t>Provisional HSP for screening; replace with experimental/literature value before model lock.</t>
        </is>
      </c>
    </row>
    <row r="5071">
      <c r="A5071" t="inlineStr">
        <is>
          <t>POL_PECTIN</t>
        </is>
      </c>
      <c r="B5071" t="inlineStr">
        <is>
          <t>Hansen_delta_P</t>
        </is>
      </c>
      <c r="C5071">
        <v>8.0</v>
      </c>
      <c r="D5071" t="inlineStr">
        <is>
          <t>MPa^0.5</t>
        </is>
      </c>
      <c r="E5071"/>
      <c r="F5071"/>
      <c r="G5071" t="inlineStr">
        <is>
          <t>heuristic group-contribution/nearest-neighbour</t>
        </is>
      </c>
      <c r="H5071" t="inlineStr">
        <is>
          <t>S013_EST_HSP_HEURISTIC</t>
        </is>
      </c>
      <c r="I5071" t="inlineStr">
        <is>
          <t>estimated</t>
        </is>
      </c>
      <c r="J5071">
        <v>0.35</v>
      </c>
      <c r="K5071" t="inlineStr">
        <is>
          <t>Provisional HSP for screening; replace with experimental/literature value before model lock.</t>
        </is>
      </c>
    </row>
    <row r="5072">
      <c r="A5072" t="inlineStr">
        <is>
          <t>POL_PECTIN</t>
        </is>
      </c>
      <c r="B5072" t="inlineStr">
        <is>
          <t>Hansen_delta_H</t>
        </is>
      </c>
      <c r="C5072">
        <v>10.0</v>
      </c>
      <c r="D5072" t="inlineStr">
        <is>
          <t>MPa^0.5</t>
        </is>
      </c>
      <c r="E5072"/>
      <c r="F5072"/>
      <c r="G5072" t="inlineStr">
        <is>
          <t>heuristic group-contribution/nearest-neighbour</t>
        </is>
      </c>
      <c r="H5072" t="inlineStr">
        <is>
          <t>S013_EST_HSP_HEURISTIC</t>
        </is>
      </c>
      <c r="I5072" t="inlineStr">
        <is>
          <t>estimated</t>
        </is>
      </c>
      <c r="J5072">
        <v>0.35</v>
      </c>
      <c r="K5072" t="inlineStr">
        <is>
          <t>Provisional HSP for screening; replace with experimental/literature value before model lock.</t>
        </is>
      </c>
    </row>
    <row r="5073">
      <c r="A5073" t="inlineStr">
        <is>
          <t>POL_PECTIN</t>
        </is>
      </c>
      <c r="B5073" t="inlineStr">
        <is>
          <t>Hildebrand_delta_T</t>
        </is>
      </c>
      <c r="C5073">
        <v>22.09</v>
      </c>
      <c r="D5073" t="inlineStr">
        <is>
          <t>MPa^0.5</t>
        </is>
      </c>
      <c r="E5073"/>
      <c r="F5073"/>
      <c r="G5073" t="inlineStr">
        <is>
          <t>sqrt(deltaD^2+deltaP^2+deltaH^2)</t>
        </is>
      </c>
      <c r="H5073" t="inlineStr">
        <is>
          <t>S012_CALCULATED</t>
        </is>
      </c>
      <c r="I5073" t="inlineStr">
        <is>
          <t>calculated</t>
        </is>
      </c>
      <c r="J5073">
        <v>0.39999999999999997</v>
      </c>
      <c r="K5073" t="inlineStr">
        <is>
          <t>Derived from stored Hansen components.</t>
        </is>
      </c>
    </row>
    <row r="5074">
      <c r="A5074" t="inlineStr">
        <is>
          <t>POL_PECTIN</t>
        </is>
      </c>
      <c r="B5074" t="inlineStr">
        <is>
          <t>HSP_radius_R0</t>
        </is>
      </c>
      <c r="C5074">
        <v>9.0</v>
      </c>
      <c r="D5074" t="inlineStr">
        <is>
          <t>MPa^0.5</t>
        </is>
      </c>
      <c r="E5074"/>
      <c r="F5074"/>
      <c r="G5074" t="inlineStr">
        <is>
          <t>literature/heuristic solubility sphere</t>
        </is>
      </c>
      <c r="H5074" t="inlineStr">
        <is>
          <t>S013_EST_HSP_HEURISTIC</t>
        </is>
      </c>
      <c r="I5074" t="inlineStr">
        <is>
          <t>estimated</t>
        </is>
      </c>
      <c r="J5074">
        <v>0.35</v>
      </c>
      <c r="K5074" t="inlineStr">
        <is>
          <t>Screening radius only unless experimentally determined.</t>
        </is>
      </c>
    </row>
    <row r="5075">
      <c r="A5075" t="inlineStr">
        <is>
          <t>POL_EUDRAGIT_RS</t>
        </is>
      </c>
      <c r="B5075" t="inlineStr">
        <is>
          <t>average_mw_g_mol</t>
        </is>
      </c>
      <c r="C5075">
        <v>150000</v>
      </c>
      <c r="D5075" t="inlineStr">
        <is>
          <t>g/mol</t>
        </is>
      </c>
      <c r="E5075"/>
      <c r="F5075"/>
      <c r="G5075" t="inlineStr">
        <is>
          <t>grade-dependent</t>
        </is>
      </c>
      <c r="H5075" t="inlineStr">
        <is>
          <t>S007_EXCIPIENTS_HANDBOOK</t>
        </is>
      </c>
      <c r="I5075" t="inlineStr">
        <is>
          <t>supplier-reported</t>
        </is>
      </c>
      <c r="J5075">
        <v>0.45</v>
      </c>
      <c r="K5075"/>
    </row>
    <row r="5076">
      <c r="A5076" t="inlineStr">
        <is>
          <t>POL_EUDRAGIT_RS</t>
        </is>
      </c>
      <c r="B5076" t="inlineStr">
        <is>
          <t>Tg_C</t>
        </is>
      </c>
      <c r="C5076">
        <v>65</v>
      </c>
      <c r="D5076" t="inlineStr">
        <is>
          <t>°C</t>
        </is>
      </c>
      <c r="E5076"/>
      <c r="F5076"/>
      <c r="G5076" t="inlineStr">
        <is>
          <t>grade/substitution dependent</t>
        </is>
      </c>
      <c r="H5076" t="inlineStr">
        <is>
          <t>S007_EXCIPIENTS_HANDBOOK</t>
        </is>
      </c>
      <c r="I5076" t="inlineStr">
        <is>
          <t>handbook</t>
        </is>
      </c>
      <c r="J5076">
        <v>0.48</v>
      </c>
      <c r="K5076"/>
    </row>
    <row r="5077">
      <c r="A5077" t="inlineStr">
        <is>
          <t>POL_EUDRAGIT_RS</t>
        </is>
      </c>
      <c r="B5077" t="inlineStr">
        <is>
          <t>pKa</t>
        </is>
      </c>
      <c r="C5077" t="inlineStr">
        <is>
          <t>quaternary</t>
        </is>
      </c>
      <c r="D5077"/>
      <c r="E5077"/>
      <c r="F5077"/>
      <c r="G5077" t="inlineStr">
        <is>
          <t>grade/substitution dependent</t>
        </is>
      </c>
      <c r="H5077" t="inlineStr">
        <is>
          <t>S007_EXCIPIENTS_HANDBOOK</t>
        </is>
      </c>
      <c r="I5077" t="inlineStr">
        <is>
          <t>literature</t>
        </is>
      </c>
      <c r="J5077">
        <v>0.48</v>
      </c>
      <c r="K5077"/>
    </row>
    <row r="5078">
      <c r="A5078" t="inlineStr">
        <is>
          <t>POL_EUDRAGIT_RS</t>
        </is>
      </c>
      <c r="B5078" t="inlineStr">
        <is>
          <t>charge_density</t>
        </is>
      </c>
      <c r="C5078" t="inlineStr">
        <is>
          <t>low quaternary ammonium</t>
        </is>
      </c>
      <c r="D5078"/>
      <c r="E5078"/>
      <c r="F5078"/>
      <c r="G5078" t="inlineStr">
        <is>
          <t>grade/substitution dependent</t>
        </is>
      </c>
      <c r="H5078" t="inlineStr">
        <is>
          <t>S007_EXCIPIENTS_HANDBOOK</t>
        </is>
      </c>
      <c r="I5078" t="inlineStr">
        <is>
          <t>literature</t>
        </is>
      </c>
      <c r="J5078">
        <v>0.48</v>
      </c>
      <c r="K5078"/>
    </row>
    <row r="5079">
      <c r="A5079" t="inlineStr">
        <is>
          <t>POL_EUDRAGIT_RS</t>
        </is>
      </c>
      <c r="B5079" t="inlineStr">
        <is>
          <t>charge_type</t>
        </is>
      </c>
      <c r="C5079" t="inlineStr">
        <is>
          <t>cationic/low</t>
        </is>
      </c>
      <c r="D5079"/>
      <c r="E5079"/>
      <c r="F5079"/>
      <c r="G5079"/>
      <c r="H5079" t="inlineStr">
        <is>
          <t>S007_EXCIPIENTS_HANDBOOK</t>
        </is>
      </c>
      <c r="I5079" t="inlineStr">
        <is>
          <t>curated</t>
        </is>
      </c>
      <c r="J5079">
        <v>0.75</v>
      </c>
      <c r="K5079"/>
    </row>
    <row r="5080">
      <c r="A5080" t="inlineStr">
        <is>
          <t>POL_EUDRAGIT_RS</t>
        </is>
      </c>
      <c r="B5080" t="inlineStr">
        <is>
          <t>formal_charge</t>
        </is>
      </c>
      <c r="C5080">
        <v>1</v>
      </c>
      <c r="D5080" t="inlineStr">
        <is>
          <t>e</t>
        </is>
      </c>
      <c r="E5080"/>
      <c r="F5080"/>
      <c r="G5080"/>
      <c r="H5080" t="inlineStr">
        <is>
          <t>S007_EXCIPIENTS_HANDBOOK</t>
        </is>
      </c>
      <c r="I5080" t="inlineStr">
        <is>
          <t>curated</t>
        </is>
      </c>
      <c r="J5080">
        <v>0.75</v>
      </c>
      <c r="K5080"/>
    </row>
    <row r="5081">
      <c r="A5081" t="inlineStr">
        <is>
          <t>POL_EUDRAGIT_RS</t>
        </is>
      </c>
      <c r="B5081" t="inlineStr">
        <is>
          <t>solubility_in_water</t>
        </is>
      </c>
      <c r="C5081" t="inlineStr">
        <is>
          <t>poor</t>
        </is>
      </c>
      <c r="D5081"/>
      <c r="E5081"/>
      <c r="F5081"/>
      <c r="G5081"/>
      <c r="H5081" t="inlineStr">
        <is>
          <t>S007_EXCIPIENTS_HANDBOOK</t>
        </is>
      </c>
      <c r="I5081" t="inlineStr">
        <is>
          <t>handbook</t>
        </is>
      </c>
      <c r="J5081">
        <v>0.55</v>
      </c>
      <c r="K5081"/>
    </row>
    <row r="5082">
      <c r="A5082" t="inlineStr">
        <is>
          <t>POL_EUDRAGIT_RS</t>
        </is>
      </c>
      <c r="B5082" t="inlineStr">
        <is>
          <t>solubility_in_ethanol</t>
        </is>
      </c>
      <c r="C5082" t="inlineStr">
        <is>
          <t>soluble</t>
        </is>
      </c>
      <c r="D5082"/>
      <c r="E5082"/>
      <c r="F5082"/>
      <c r="G5082"/>
      <c r="H5082" t="inlineStr">
        <is>
          <t>S007_EXCIPIENTS_HANDBOOK</t>
        </is>
      </c>
      <c r="I5082" t="inlineStr">
        <is>
          <t>handbook</t>
        </is>
      </c>
      <c r="J5082">
        <v>0.55</v>
      </c>
      <c r="K5082"/>
    </row>
    <row r="5083">
      <c r="A5083" t="inlineStr">
        <is>
          <t>POL_EUDRAGIT_RS</t>
        </is>
      </c>
      <c r="B5083" t="inlineStr">
        <is>
          <t>solubility_in_acetone</t>
        </is>
      </c>
      <c r="C5083" t="inlineStr">
        <is>
          <t>poor</t>
        </is>
      </c>
      <c r="D5083"/>
      <c r="E5083"/>
      <c r="F5083"/>
      <c r="G5083"/>
      <c r="H5083" t="inlineStr">
        <is>
          <t>S007_EXCIPIENTS_HANDBOOK</t>
        </is>
      </c>
      <c r="I5083" t="inlineStr">
        <is>
          <t>handbook</t>
        </is>
      </c>
      <c r="J5083">
        <v>0.55</v>
      </c>
      <c r="K5083"/>
    </row>
    <row r="5084">
      <c r="A5084" t="inlineStr">
        <is>
          <t>POL_EUDRAGIT_RS</t>
        </is>
      </c>
      <c r="B5084" t="inlineStr">
        <is>
          <t>solubility_in_dcm</t>
        </is>
      </c>
      <c r="C5084" t="inlineStr">
        <is>
          <t>poor</t>
        </is>
      </c>
      <c r="D5084"/>
      <c r="E5084"/>
      <c r="F5084"/>
      <c r="G5084"/>
      <c r="H5084" t="inlineStr">
        <is>
          <t>S007_EXCIPIENTS_HANDBOOK</t>
        </is>
      </c>
      <c r="I5084" t="inlineStr">
        <is>
          <t>handbook</t>
        </is>
      </c>
      <c r="J5084">
        <v>0.55</v>
      </c>
      <c r="K5084"/>
    </row>
    <row r="5085">
      <c r="A5085" t="inlineStr">
        <is>
          <t>POL_EUDRAGIT_RS</t>
        </is>
      </c>
      <c r="B5085" t="inlineStr">
        <is>
          <t>biodegradability</t>
        </is>
      </c>
      <c r="C5085" t="inlineStr">
        <is>
          <t>no</t>
        </is>
      </c>
      <c r="D5085"/>
      <c r="E5085"/>
      <c r="F5085"/>
      <c r="G5085"/>
      <c r="H5085" t="inlineStr">
        <is>
          <t>S014_AULTON</t>
        </is>
      </c>
      <c r="I5085" t="inlineStr">
        <is>
          <t>curated</t>
        </is>
      </c>
      <c r="J5085">
        <v>0.65</v>
      </c>
      <c r="K5085"/>
    </row>
    <row r="5086">
      <c r="A5086" t="inlineStr">
        <is>
          <t>POL_EUDRAGIT_RS</t>
        </is>
      </c>
      <c r="B5086" t="inlineStr">
        <is>
          <t>mucoadhesive_flag</t>
        </is>
      </c>
      <c r="C5086" t="inlineStr">
        <is>
          <t>conditional</t>
        </is>
      </c>
      <c r="D5086"/>
      <c r="E5086"/>
      <c r="F5086"/>
      <c r="G5086"/>
      <c r="H5086" t="inlineStr">
        <is>
          <t>S014_AULTON</t>
        </is>
      </c>
      <c r="I5086" t="inlineStr">
        <is>
          <t>curated</t>
        </is>
      </c>
      <c r="J5086">
        <v>0.65</v>
      </c>
      <c r="K5086"/>
    </row>
    <row r="5087">
      <c r="A5087" t="inlineStr">
        <is>
          <t>POL_EUDRAGIT_RS</t>
        </is>
      </c>
      <c r="B5087" t="inlineStr">
        <is>
          <t>coating_role</t>
        </is>
      </c>
      <c r="C5087" t="inlineStr">
        <is>
          <t>coating</t>
        </is>
      </c>
      <c r="D5087"/>
      <c r="E5087"/>
      <c r="F5087"/>
      <c r="G5087"/>
      <c r="H5087" t="inlineStr">
        <is>
          <t>S014_AULTON</t>
        </is>
      </c>
      <c r="I5087" t="inlineStr">
        <is>
          <t>curated</t>
        </is>
      </c>
      <c r="J5087">
        <v>0.6</v>
      </c>
      <c r="K5087"/>
    </row>
    <row r="5088">
      <c r="A5088" t="inlineStr">
        <is>
          <t>POL_EUDRAGIT_RS</t>
        </is>
      </c>
      <c r="B5088" t="inlineStr">
        <is>
          <t>stabilizer_role</t>
        </is>
      </c>
      <c r="C5088" t="inlineStr">
        <is>
          <t>conditional</t>
        </is>
      </c>
      <c r="D5088"/>
      <c r="E5088"/>
      <c r="F5088"/>
      <c r="G5088"/>
      <c r="H5088" t="inlineStr">
        <is>
          <t>S014_AULTON</t>
        </is>
      </c>
      <c r="I5088" t="inlineStr">
        <is>
          <t>curated</t>
        </is>
      </c>
      <c r="J5088">
        <v>0.6</v>
      </c>
      <c r="K5088"/>
    </row>
    <row r="5089">
      <c r="A5089" t="inlineStr">
        <is>
          <t>POL_EUDRAGIT_RS</t>
        </is>
      </c>
      <c r="B5089" t="inlineStr">
        <is>
          <t>route_suitability</t>
        </is>
      </c>
      <c r="C5089" t="inlineStr">
        <is>
          <t>polymeric/hybrid/coating/stabilizer systems; grade and route dependent</t>
        </is>
      </c>
      <c r="D5089"/>
      <c r="E5089"/>
      <c r="F5089"/>
      <c r="G5089"/>
      <c r="H5089" t="inlineStr">
        <is>
          <t>S008_FDA_IID</t>
        </is>
      </c>
      <c r="I5089" t="inlineStr">
        <is>
          <t>curated</t>
        </is>
      </c>
      <c r="J5089">
        <v>0.55</v>
      </c>
      <c r="K5089"/>
    </row>
    <row r="5090">
      <c r="A5090" t="inlineStr">
        <is>
          <t>POL_EUDRAGIT_RS</t>
        </is>
      </c>
      <c r="B5090" t="inlineStr">
        <is>
          <t>toxicity_notes</t>
        </is>
      </c>
      <c r="C5090" t="inlineStr">
        <is>
          <t>polymer grade, residual monomers/solvents, endotoxin and molecular weight distribution must be controlled</t>
        </is>
      </c>
      <c r="D5090"/>
      <c r="E5090"/>
      <c r="F5090"/>
      <c r="G5090"/>
      <c r="H5090" t="inlineStr">
        <is>
          <t>S007_EXCIPIENTS_HANDBOOK</t>
        </is>
      </c>
      <c r="I5090" t="inlineStr">
        <is>
          <t>curated</t>
        </is>
      </c>
      <c r="J5090">
        <v>0.65</v>
      </c>
      <c r="K5090"/>
    </row>
    <row r="5091">
      <c r="A5091" t="inlineStr">
        <is>
          <t>POL_EUDRAGIT_RS</t>
        </is>
      </c>
      <c r="B5091" t="inlineStr">
        <is>
          <t>Hansen_delta_D</t>
        </is>
      </c>
      <c r="C5091">
        <v>18.0</v>
      </c>
      <c r="D5091" t="inlineStr">
        <is>
          <t>MPa^0.5</t>
        </is>
      </c>
      <c r="E5091"/>
      <c r="F5091"/>
      <c r="G5091" t="inlineStr">
        <is>
          <t>heuristic group-contribution/nearest-neighbour</t>
        </is>
      </c>
      <c r="H5091" t="inlineStr">
        <is>
          <t>S013_EST_HSP_HEURISTIC</t>
        </is>
      </c>
      <c r="I5091" t="inlineStr">
        <is>
          <t>estimated</t>
        </is>
      </c>
      <c r="J5091">
        <v>0.35</v>
      </c>
      <c r="K5091" t="inlineStr">
        <is>
          <t>Provisional HSP for screening; replace with experimental/literature value before model lock.</t>
        </is>
      </c>
    </row>
    <row r="5092">
      <c r="A5092" t="inlineStr">
        <is>
          <t>POL_EUDRAGIT_RS</t>
        </is>
      </c>
      <c r="B5092" t="inlineStr">
        <is>
          <t>Hansen_delta_P</t>
        </is>
      </c>
      <c r="C5092">
        <v>8.0</v>
      </c>
      <c r="D5092" t="inlineStr">
        <is>
          <t>MPa^0.5</t>
        </is>
      </c>
      <c r="E5092"/>
      <c r="F5092"/>
      <c r="G5092" t="inlineStr">
        <is>
          <t>heuristic group-contribution/nearest-neighbour</t>
        </is>
      </c>
      <c r="H5092" t="inlineStr">
        <is>
          <t>S013_EST_HSP_HEURISTIC</t>
        </is>
      </c>
      <c r="I5092" t="inlineStr">
        <is>
          <t>estimated</t>
        </is>
      </c>
      <c r="J5092">
        <v>0.35</v>
      </c>
      <c r="K5092" t="inlineStr">
        <is>
          <t>Provisional HSP for screening; replace with experimental/literature value before model lock.</t>
        </is>
      </c>
    </row>
    <row r="5093">
      <c r="A5093" t="inlineStr">
        <is>
          <t>POL_EUDRAGIT_RS</t>
        </is>
      </c>
      <c r="B5093" t="inlineStr">
        <is>
          <t>Hansen_delta_H</t>
        </is>
      </c>
      <c r="C5093">
        <v>10.0</v>
      </c>
      <c r="D5093" t="inlineStr">
        <is>
          <t>MPa^0.5</t>
        </is>
      </c>
      <c r="E5093"/>
      <c r="F5093"/>
      <c r="G5093" t="inlineStr">
        <is>
          <t>heuristic group-contribution/nearest-neighbour</t>
        </is>
      </c>
      <c r="H5093" t="inlineStr">
        <is>
          <t>S013_EST_HSP_HEURISTIC</t>
        </is>
      </c>
      <c r="I5093" t="inlineStr">
        <is>
          <t>estimated</t>
        </is>
      </c>
      <c r="J5093">
        <v>0.35</v>
      </c>
      <c r="K5093" t="inlineStr">
        <is>
          <t>Provisional HSP for screening; replace with experimental/literature value before model lock.</t>
        </is>
      </c>
    </row>
    <row r="5094">
      <c r="A5094" t="inlineStr">
        <is>
          <t>POL_EUDRAGIT_RS</t>
        </is>
      </c>
      <c r="B5094" t="inlineStr">
        <is>
          <t>Hildebrand_delta_T</t>
        </is>
      </c>
      <c r="C5094">
        <v>22.09</v>
      </c>
      <c r="D5094" t="inlineStr">
        <is>
          <t>MPa^0.5</t>
        </is>
      </c>
      <c r="E5094"/>
      <c r="F5094"/>
      <c r="G5094" t="inlineStr">
        <is>
          <t>sqrt(deltaD^2+deltaP^2+deltaH^2)</t>
        </is>
      </c>
      <c r="H5094" t="inlineStr">
        <is>
          <t>S012_CALCULATED</t>
        </is>
      </c>
      <c r="I5094" t="inlineStr">
        <is>
          <t>calculated</t>
        </is>
      </c>
      <c r="J5094">
        <v>0.39999999999999997</v>
      </c>
      <c r="K5094" t="inlineStr">
        <is>
          <t>Derived from stored Hansen components.</t>
        </is>
      </c>
    </row>
    <row r="5095">
      <c r="A5095" t="inlineStr">
        <is>
          <t>POL_EUDRAGIT_RS</t>
        </is>
      </c>
      <c r="B5095" t="inlineStr">
        <is>
          <t>HSP_radius_R0</t>
        </is>
      </c>
      <c r="C5095">
        <v>9.0</v>
      </c>
      <c r="D5095" t="inlineStr">
        <is>
          <t>MPa^0.5</t>
        </is>
      </c>
      <c r="E5095"/>
      <c r="F5095"/>
      <c r="G5095" t="inlineStr">
        <is>
          <t>literature/heuristic solubility sphere</t>
        </is>
      </c>
      <c r="H5095" t="inlineStr">
        <is>
          <t>S013_EST_HSP_HEURISTIC</t>
        </is>
      </c>
      <c r="I5095" t="inlineStr">
        <is>
          <t>estimated</t>
        </is>
      </c>
      <c r="J5095">
        <v>0.35</v>
      </c>
      <c r="K5095" t="inlineStr">
        <is>
          <t>Screening radius only unless experimentally determined.</t>
        </is>
      </c>
    </row>
    <row r="5096">
      <c r="A5096" t="inlineStr">
        <is>
          <t>POL_EUDRAGIT_RL</t>
        </is>
      </c>
      <c r="B5096" t="inlineStr">
        <is>
          <t>average_mw_g_mol</t>
        </is>
      </c>
      <c r="C5096">
        <v>150000</v>
      </c>
      <c r="D5096" t="inlineStr">
        <is>
          <t>g/mol</t>
        </is>
      </c>
      <c r="E5096"/>
      <c r="F5096"/>
      <c r="G5096" t="inlineStr">
        <is>
          <t>grade-dependent</t>
        </is>
      </c>
      <c r="H5096" t="inlineStr">
        <is>
          <t>S007_EXCIPIENTS_HANDBOOK</t>
        </is>
      </c>
      <c r="I5096" t="inlineStr">
        <is>
          <t>supplier-reported</t>
        </is>
      </c>
      <c r="J5096">
        <v>0.45</v>
      </c>
      <c r="K5096"/>
    </row>
    <row r="5097">
      <c r="A5097" t="inlineStr">
        <is>
          <t>POL_EUDRAGIT_RL</t>
        </is>
      </c>
      <c r="B5097" t="inlineStr">
        <is>
          <t>Tg_C</t>
        </is>
      </c>
      <c r="C5097">
        <v>60</v>
      </c>
      <c r="D5097" t="inlineStr">
        <is>
          <t>°C</t>
        </is>
      </c>
      <c r="E5097"/>
      <c r="F5097"/>
      <c r="G5097" t="inlineStr">
        <is>
          <t>grade/substitution dependent</t>
        </is>
      </c>
      <c r="H5097" t="inlineStr">
        <is>
          <t>S007_EXCIPIENTS_HANDBOOK</t>
        </is>
      </c>
      <c r="I5097" t="inlineStr">
        <is>
          <t>handbook</t>
        </is>
      </c>
      <c r="J5097">
        <v>0.48</v>
      </c>
      <c r="K5097"/>
    </row>
    <row r="5098">
      <c r="A5098" t="inlineStr">
        <is>
          <t>POL_EUDRAGIT_RL</t>
        </is>
      </c>
      <c r="B5098" t="inlineStr">
        <is>
          <t>pKa</t>
        </is>
      </c>
      <c r="C5098" t="inlineStr">
        <is>
          <t>quaternary</t>
        </is>
      </c>
      <c r="D5098"/>
      <c r="E5098"/>
      <c r="F5098"/>
      <c r="G5098" t="inlineStr">
        <is>
          <t>grade/substitution dependent</t>
        </is>
      </c>
      <c r="H5098" t="inlineStr">
        <is>
          <t>S007_EXCIPIENTS_HANDBOOK</t>
        </is>
      </c>
      <c r="I5098" t="inlineStr">
        <is>
          <t>literature</t>
        </is>
      </c>
      <c r="J5098">
        <v>0.48</v>
      </c>
      <c r="K5098"/>
    </row>
    <row r="5099">
      <c r="A5099" t="inlineStr">
        <is>
          <t>POL_EUDRAGIT_RL</t>
        </is>
      </c>
      <c r="B5099" t="inlineStr">
        <is>
          <t>charge_density</t>
        </is>
      </c>
      <c r="C5099" t="inlineStr">
        <is>
          <t>medium quaternary ammonium</t>
        </is>
      </c>
      <c r="D5099"/>
      <c r="E5099"/>
      <c r="F5099"/>
      <c r="G5099" t="inlineStr">
        <is>
          <t>grade/substitution dependent</t>
        </is>
      </c>
      <c r="H5099" t="inlineStr">
        <is>
          <t>S007_EXCIPIENTS_HANDBOOK</t>
        </is>
      </c>
      <c r="I5099" t="inlineStr">
        <is>
          <t>literature</t>
        </is>
      </c>
      <c r="J5099">
        <v>0.48</v>
      </c>
      <c r="K5099"/>
    </row>
    <row r="5100">
      <c r="A5100" t="inlineStr">
        <is>
          <t>POL_EUDRAGIT_RL</t>
        </is>
      </c>
      <c r="B5100" t="inlineStr">
        <is>
          <t>charge_type</t>
        </is>
      </c>
      <c r="C5100" t="inlineStr">
        <is>
          <t>cationic/medium</t>
        </is>
      </c>
      <c r="D5100"/>
      <c r="E5100"/>
      <c r="F5100"/>
      <c r="G5100"/>
      <c r="H5100" t="inlineStr">
        <is>
          <t>S007_EXCIPIENTS_HANDBOOK</t>
        </is>
      </c>
      <c r="I5100" t="inlineStr">
        <is>
          <t>curated</t>
        </is>
      </c>
      <c r="J5100">
        <v>0.75</v>
      </c>
      <c r="K5100"/>
    </row>
    <row r="5101">
      <c r="A5101" t="inlineStr">
        <is>
          <t>POL_EUDRAGIT_RL</t>
        </is>
      </c>
      <c r="B5101" t="inlineStr">
        <is>
          <t>formal_charge</t>
        </is>
      </c>
      <c r="C5101">
        <v>1</v>
      </c>
      <c r="D5101" t="inlineStr">
        <is>
          <t>e</t>
        </is>
      </c>
      <c r="E5101"/>
      <c r="F5101"/>
      <c r="G5101"/>
      <c r="H5101" t="inlineStr">
        <is>
          <t>S007_EXCIPIENTS_HANDBOOK</t>
        </is>
      </c>
      <c r="I5101" t="inlineStr">
        <is>
          <t>curated</t>
        </is>
      </c>
      <c r="J5101">
        <v>0.75</v>
      </c>
      <c r="K5101"/>
    </row>
    <row r="5102">
      <c r="A5102" t="inlineStr">
        <is>
          <t>POL_EUDRAGIT_RL</t>
        </is>
      </c>
      <c r="B5102" t="inlineStr">
        <is>
          <t>solubility_in_water</t>
        </is>
      </c>
      <c r="C5102" t="inlineStr">
        <is>
          <t>poor</t>
        </is>
      </c>
      <c r="D5102"/>
      <c r="E5102"/>
      <c r="F5102"/>
      <c r="G5102"/>
      <c r="H5102" t="inlineStr">
        <is>
          <t>S007_EXCIPIENTS_HANDBOOK</t>
        </is>
      </c>
      <c r="I5102" t="inlineStr">
        <is>
          <t>handbook</t>
        </is>
      </c>
      <c r="J5102">
        <v>0.55</v>
      </c>
      <c r="K5102"/>
    </row>
    <row r="5103">
      <c r="A5103" t="inlineStr">
        <is>
          <t>POL_EUDRAGIT_RL</t>
        </is>
      </c>
      <c r="B5103" t="inlineStr">
        <is>
          <t>solubility_in_ethanol</t>
        </is>
      </c>
      <c r="C5103" t="inlineStr">
        <is>
          <t>soluble</t>
        </is>
      </c>
      <c r="D5103"/>
      <c r="E5103"/>
      <c r="F5103"/>
      <c r="G5103"/>
      <c r="H5103" t="inlineStr">
        <is>
          <t>S007_EXCIPIENTS_HANDBOOK</t>
        </is>
      </c>
      <c r="I5103" t="inlineStr">
        <is>
          <t>handbook</t>
        </is>
      </c>
      <c r="J5103">
        <v>0.55</v>
      </c>
      <c r="K5103"/>
    </row>
    <row r="5104">
      <c r="A5104" t="inlineStr">
        <is>
          <t>POL_EUDRAGIT_RL</t>
        </is>
      </c>
      <c r="B5104" t="inlineStr">
        <is>
          <t>solubility_in_acetone</t>
        </is>
      </c>
      <c r="C5104" t="inlineStr">
        <is>
          <t>poor</t>
        </is>
      </c>
      <c r="D5104"/>
      <c r="E5104"/>
      <c r="F5104"/>
      <c r="G5104"/>
      <c r="H5104" t="inlineStr">
        <is>
          <t>S007_EXCIPIENTS_HANDBOOK</t>
        </is>
      </c>
      <c r="I5104" t="inlineStr">
        <is>
          <t>handbook</t>
        </is>
      </c>
      <c r="J5104">
        <v>0.55</v>
      </c>
      <c r="K5104"/>
    </row>
    <row r="5105">
      <c r="A5105" t="inlineStr">
        <is>
          <t>POL_EUDRAGIT_RL</t>
        </is>
      </c>
      <c r="B5105" t="inlineStr">
        <is>
          <t>solubility_in_dcm</t>
        </is>
      </c>
      <c r="C5105" t="inlineStr">
        <is>
          <t>poor</t>
        </is>
      </c>
      <c r="D5105"/>
      <c r="E5105"/>
      <c r="F5105"/>
      <c r="G5105"/>
      <c r="H5105" t="inlineStr">
        <is>
          <t>S007_EXCIPIENTS_HANDBOOK</t>
        </is>
      </c>
      <c r="I5105" t="inlineStr">
        <is>
          <t>handbook</t>
        </is>
      </c>
      <c r="J5105">
        <v>0.55</v>
      </c>
      <c r="K5105"/>
    </row>
    <row r="5106">
      <c r="A5106" t="inlineStr">
        <is>
          <t>POL_EUDRAGIT_RL</t>
        </is>
      </c>
      <c r="B5106" t="inlineStr">
        <is>
          <t>biodegradability</t>
        </is>
      </c>
      <c r="C5106" t="inlineStr">
        <is>
          <t>no</t>
        </is>
      </c>
      <c r="D5106"/>
      <c r="E5106"/>
      <c r="F5106"/>
      <c r="G5106"/>
      <c r="H5106" t="inlineStr">
        <is>
          <t>S014_AULTON</t>
        </is>
      </c>
      <c r="I5106" t="inlineStr">
        <is>
          <t>curated</t>
        </is>
      </c>
      <c r="J5106">
        <v>0.65</v>
      </c>
      <c r="K5106"/>
    </row>
    <row r="5107">
      <c r="A5107" t="inlineStr">
        <is>
          <t>POL_EUDRAGIT_RL</t>
        </is>
      </c>
      <c r="B5107" t="inlineStr">
        <is>
          <t>mucoadhesive_flag</t>
        </is>
      </c>
      <c r="C5107" t="inlineStr">
        <is>
          <t>conditional</t>
        </is>
      </c>
      <c r="D5107"/>
      <c r="E5107"/>
      <c r="F5107"/>
      <c r="G5107"/>
      <c r="H5107" t="inlineStr">
        <is>
          <t>S014_AULTON</t>
        </is>
      </c>
      <c r="I5107" t="inlineStr">
        <is>
          <t>curated</t>
        </is>
      </c>
      <c r="J5107">
        <v>0.65</v>
      </c>
      <c r="K5107"/>
    </row>
    <row r="5108">
      <c r="A5108" t="inlineStr">
        <is>
          <t>POL_EUDRAGIT_RL</t>
        </is>
      </c>
      <c r="B5108" t="inlineStr">
        <is>
          <t>coating_role</t>
        </is>
      </c>
      <c r="C5108" t="inlineStr">
        <is>
          <t>coating</t>
        </is>
      </c>
      <c r="D5108"/>
      <c r="E5108"/>
      <c r="F5108"/>
      <c r="G5108"/>
      <c r="H5108" t="inlineStr">
        <is>
          <t>S014_AULTON</t>
        </is>
      </c>
      <c r="I5108" t="inlineStr">
        <is>
          <t>curated</t>
        </is>
      </c>
      <c r="J5108">
        <v>0.6</v>
      </c>
      <c r="K5108"/>
    </row>
    <row r="5109">
      <c r="A5109" t="inlineStr">
        <is>
          <t>POL_EUDRAGIT_RL</t>
        </is>
      </c>
      <c r="B5109" t="inlineStr">
        <is>
          <t>stabilizer_role</t>
        </is>
      </c>
      <c r="C5109" t="inlineStr">
        <is>
          <t>conditional</t>
        </is>
      </c>
      <c r="D5109"/>
      <c r="E5109"/>
      <c r="F5109"/>
      <c r="G5109"/>
      <c r="H5109" t="inlineStr">
        <is>
          <t>S014_AULTON</t>
        </is>
      </c>
      <c r="I5109" t="inlineStr">
        <is>
          <t>curated</t>
        </is>
      </c>
      <c r="J5109">
        <v>0.6</v>
      </c>
      <c r="K5109"/>
    </row>
    <row r="5110">
      <c r="A5110" t="inlineStr">
        <is>
          <t>POL_EUDRAGIT_RL</t>
        </is>
      </c>
      <c r="B5110" t="inlineStr">
        <is>
          <t>route_suitability</t>
        </is>
      </c>
      <c r="C5110" t="inlineStr">
        <is>
          <t>polymeric/hybrid/coating/stabilizer systems; grade and route dependent</t>
        </is>
      </c>
      <c r="D5110"/>
      <c r="E5110"/>
      <c r="F5110"/>
      <c r="G5110"/>
      <c r="H5110" t="inlineStr">
        <is>
          <t>S008_FDA_IID</t>
        </is>
      </c>
      <c r="I5110" t="inlineStr">
        <is>
          <t>curated</t>
        </is>
      </c>
      <c r="J5110">
        <v>0.55</v>
      </c>
      <c r="K5110"/>
    </row>
    <row r="5111">
      <c r="A5111" t="inlineStr">
        <is>
          <t>POL_EUDRAGIT_RL</t>
        </is>
      </c>
      <c r="B5111" t="inlineStr">
        <is>
          <t>toxicity_notes</t>
        </is>
      </c>
      <c r="C5111" t="inlineStr">
        <is>
          <t>polymer grade, residual monomers/solvents, endotoxin and molecular weight distribution must be controlled</t>
        </is>
      </c>
      <c r="D5111"/>
      <c r="E5111"/>
      <c r="F5111"/>
      <c r="G5111"/>
      <c r="H5111" t="inlineStr">
        <is>
          <t>S007_EXCIPIENTS_HANDBOOK</t>
        </is>
      </c>
      <c r="I5111" t="inlineStr">
        <is>
          <t>curated</t>
        </is>
      </c>
      <c r="J5111">
        <v>0.65</v>
      </c>
      <c r="K5111"/>
    </row>
    <row r="5112">
      <c r="A5112" t="inlineStr">
        <is>
          <t>POL_EUDRAGIT_RL</t>
        </is>
      </c>
      <c r="B5112" t="inlineStr">
        <is>
          <t>Hansen_delta_D</t>
        </is>
      </c>
      <c r="C5112">
        <v>18.0</v>
      </c>
      <c r="D5112" t="inlineStr">
        <is>
          <t>MPa^0.5</t>
        </is>
      </c>
      <c r="E5112"/>
      <c r="F5112"/>
      <c r="G5112" t="inlineStr">
        <is>
          <t>heuristic group-contribution/nearest-neighbour</t>
        </is>
      </c>
      <c r="H5112" t="inlineStr">
        <is>
          <t>S013_EST_HSP_HEURISTIC</t>
        </is>
      </c>
      <c r="I5112" t="inlineStr">
        <is>
          <t>estimated</t>
        </is>
      </c>
      <c r="J5112">
        <v>0.35</v>
      </c>
      <c r="K5112" t="inlineStr">
        <is>
          <t>Provisional HSP for screening; replace with experimental/literature value before model lock.</t>
        </is>
      </c>
    </row>
    <row r="5113">
      <c r="A5113" t="inlineStr">
        <is>
          <t>POL_EUDRAGIT_RL</t>
        </is>
      </c>
      <c r="B5113" t="inlineStr">
        <is>
          <t>Hansen_delta_P</t>
        </is>
      </c>
      <c r="C5113">
        <v>8.0</v>
      </c>
      <c r="D5113" t="inlineStr">
        <is>
          <t>MPa^0.5</t>
        </is>
      </c>
      <c r="E5113"/>
      <c r="F5113"/>
      <c r="G5113" t="inlineStr">
        <is>
          <t>heuristic group-contribution/nearest-neighbour</t>
        </is>
      </c>
      <c r="H5113" t="inlineStr">
        <is>
          <t>S013_EST_HSP_HEURISTIC</t>
        </is>
      </c>
      <c r="I5113" t="inlineStr">
        <is>
          <t>estimated</t>
        </is>
      </c>
      <c r="J5113">
        <v>0.35</v>
      </c>
      <c r="K5113" t="inlineStr">
        <is>
          <t>Provisional HSP for screening; replace with experimental/literature value before model lock.</t>
        </is>
      </c>
    </row>
    <row r="5114">
      <c r="A5114" t="inlineStr">
        <is>
          <t>POL_EUDRAGIT_RL</t>
        </is>
      </c>
      <c r="B5114" t="inlineStr">
        <is>
          <t>Hansen_delta_H</t>
        </is>
      </c>
      <c r="C5114">
        <v>10.0</v>
      </c>
      <c r="D5114" t="inlineStr">
        <is>
          <t>MPa^0.5</t>
        </is>
      </c>
      <c r="E5114"/>
      <c r="F5114"/>
      <c r="G5114" t="inlineStr">
        <is>
          <t>heuristic group-contribution/nearest-neighbour</t>
        </is>
      </c>
      <c r="H5114" t="inlineStr">
        <is>
          <t>S013_EST_HSP_HEURISTIC</t>
        </is>
      </c>
      <c r="I5114" t="inlineStr">
        <is>
          <t>estimated</t>
        </is>
      </c>
      <c r="J5114">
        <v>0.35</v>
      </c>
      <c r="K5114" t="inlineStr">
        <is>
          <t>Provisional HSP for screening; replace with experimental/literature value before model lock.</t>
        </is>
      </c>
    </row>
    <row r="5115">
      <c r="A5115" t="inlineStr">
        <is>
          <t>POL_EUDRAGIT_RL</t>
        </is>
      </c>
      <c r="B5115" t="inlineStr">
        <is>
          <t>Hildebrand_delta_T</t>
        </is>
      </c>
      <c r="C5115">
        <v>22.09</v>
      </c>
      <c r="D5115" t="inlineStr">
        <is>
          <t>MPa^0.5</t>
        </is>
      </c>
      <c r="E5115"/>
      <c r="F5115"/>
      <c r="G5115" t="inlineStr">
        <is>
          <t>sqrt(deltaD^2+deltaP^2+deltaH^2)</t>
        </is>
      </c>
      <c r="H5115" t="inlineStr">
        <is>
          <t>S012_CALCULATED</t>
        </is>
      </c>
      <c r="I5115" t="inlineStr">
        <is>
          <t>calculated</t>
        </is>
      </c>
      <c r="J5115">
        <v>0.39999999999999997</v>
      </c>
      <c r="K5115" t="inlineStr">
        <is>
          <t>Derived from stored Hansen components.</t>
        </is>
      </c>
    </row>
    <row r="5116">
      <c r="A5116" t="inlineStr">
        <is>
          <t>POL_EUDRAGIT_RL</t>
        </is>
      </c>
      <c r="B5116" t="inlineStr">
        <is>
          <t>HSP_radius_R0</t>
        </is>
      </c>
      <c r="C5116">
        <v>9.0</v>
      </c>
      <c r="D5116" t="inlineStr">
        <is>
          <t>MPa^0.5</t>
        </is>
      </c>
      <c r="E5116"/>
      <c r="F5116"/>
      <c r="G5116" t="inlineStr">
        <is>
          <t>literature/heuristic solubility sphere</t>
        </is>
      </c>
      <c r="H5116" t="inlineStr">
        <is>
          <t>S013_EST_HSP_HEURISTIC</t>
        </is>
      </c>
      <c r="I5116" t="inlineStr">
        <is>
          <t>estimated</t>
        </is>
      </c>
      <c r="J5116">
        <v>0.35</v>
      </c>
      <c r="K5116" t="inlineStr">
        <is>
          <t>Screening radius only unless experimentally determined.</t>
        </is>
      </c>
    </row>
    <row r="5117">
      <c r="A5117" t="inlineStr">
        <is>
          <t>POL_EUDRAGIT_L100</t>
        </is>
      </c>
      <c r="B5117" t="inlineStr">
        <is>
          <t>average_mw_g_mol</t>
        </is>
      </c>
      <c r="C5117">
        <v>135000</v>
      </c>
      <c r="D5117" t="inlineStr">
        <is>
          <t>g/mol</t>
        </is>
      </c>
      <c r="E5117"/>
      <c r="F5117"/>
      <c r="G5117" t="inlineStr">
        <is>
          <t>grade-dependent</t>
        </is>
      </c>
      <c r="H5117" t="inlineStr">
        <is>
          <t>S007_EXCIPIENTS_HANDBOOK</t>
        </is>
      </c>
      <c r="I5117" t="inlineStr">
        <is>
          <t>supplier-reported</t>
        </is>
      </c>
      <c r="J5117">
        <v>0.45</v>
      </c>
      <c r="K5117"/>
    </row>
    <row r="5118">
      <c r="A5118" t="inlineStr">
        <is>
          <t>POL_EUDRAGIT_L100</t>
        </is>
      </c>
      <c r="B5118" t="inlineStr">
        <is>
          <t>Tg_C</t>
        </is>
      </c>
      <c r="C5118">
        <v>110</v>
      </c>
      <c r="D5118" t="inlineStr">
        <is>
          <t>°C</t>
        </is>
      </c>
      <c r="E5118"/>
      <c r="F5118"/>
      <c r="G5118" t="inlineStr">
        <is>
          <t>grade/substitution dependent</t>
        </is>
      </c>
      <c r="H5118" t="inlineStr">
        <is>
          <t>S007_EXCIPIENTS_HANDBOOK</t>
        </is>
      </c>
      <c r="I5118" t="inlineStr">
        <is>
          <t>handbook</t>
        </is>
      </c>
      <c r="J5118">
        <v>0.48</v>
      </c>
      <c r="K5118"/>
    </row>
    <row r="5119">
      <c r="A5119" t="inlineStr">
        <is>
          <t>POL_EUDRAGIT_L100</t>
        </is>
      </c>
      <c r="B5119" t="inlineStr">
        <is>
          <t>pKa</t>
        </is>
      </c>
      <c r="C5119">
        <v>6.0</v>
      </c>
      <c r="D5119"/>
      <c r="E5119"/>
      <c r="F5119"/>
      <c r="G5119" t="inlineStr">
        <is>
          <t>grade/substitution dependent</t>
        </is>
      </c>
      <c r="H5119" t="inlineStr">
        <is>
          <t>S007_EXCIPIENTS_HANDBOOK</t>
        </is>
      </c>
      <c r="I5119" t="inlineStr">
        <is>
          <t>literature</t>
        </is>
      </c>
      <c r="J5119">
        <v>0.48</v>
      </c>
      <c r="K5119"/>
    </row>
    <row r="5120">
      <c r="A5120" t="inlineStr">
        <is>
          <t>POL_EUDRAGIT_L100</t>
        </is>
      </c>
      <c r="B5120" t="inlineStr">
        <is>
          <t>charge_density</t>
        </is>
      </c>
      <c r="C5120" t="inlineStr">
        <is>
          <t>carboxylate</t>
        </is>
      </c>
      <c r="D5120"/>
      <c r="E5120"/>
      <c r="F5120"/>
      <c r="G5120" t="inlineStr">
        <is>
          <t>grade/substitution dependent</t>
        </is>
      </c>
      <c r="H5120" t="inlineStr">
        <is>
          <t>S007_EXCIPIENTS_HANDBOOK</t>
        </is>
      </c>
      <c r="I5120" t="inlineStr">
        <is>
          <t>literature</t>
        </is>
      </c>
      <c r="J5120">
        <v>0.48</v>
      </c>
      <c r="K5120"/>
    </row>
    <row r="5121">
      <c r="A5121" t="inlineStr">
        <is>
          <t>POL_EUDRAGIT_L100</t>
        </is>
      </c>
      <c r="B5121" t="inlineStr">
        <is>
          <t>charge_type</t>
        </is>
      </c>
      <c r="C5121" t="inlineStr">
        <is>
          <t>anionic</t>
        </is>
      </c>
      <c r="D5121"/>
      <c r="E5121"/>
      <c r="F5121"/>
      <c r="G5121"/>
      <c r="H5121" t="inlineStr">
        <is>
          <t>S007_EXCIPIENTS_HANDBOOK</t>
        </is>
      </c>
      <c r="I5121" t="inlineStr">
        <is>
          <t>curated</t>
        </is>
      </c>
      <c r="J5121">
        <v>0.75</v>
      </c>
      <c r="K5121"/>
    </row>
    <row r="5122">
      <c r="A5122" t="inlineStr">
        <is>
          <t>POL_EUDRAGIT_L100</t>
        </is>
      </c>
      <c r="B5122" t="inlineStr">
        <is>
          <t>formal_charge</t>
        </is>
      </c>
      <c r="C5122">
        <v>-1</v>
      </c>
      <c r="D5122" t="inlineStr">
        <is>
          <t>e</t>
        </is>
      </c>
      <c r="E5122"/>
      <c r="F5122"/>
      <c r="G5122"/>
      <c r="H5122" t="inlineStr">
        <is>
          <t>S007_EXCIPIENTS_HANDBOOK</t>
        </is>
      </c>
      <c r="I5122" t="inlineStr">
        <is>
          <t>curated</t>
        </is>
      </c>
      <c r="J5122">
        <v>0.75</v>
      </c>
      <c r="K5122"/>
    </row>
    <row r="5123">
      <c r="A5123" t="inlineStr">
        <is>
          <t>POL_EUDRAGIT_L100</t>
        </is>
      </c>
      <c r="B5123" t="inlineStr">
        <is>
          <t>solubility_in_water</t>
        </is>
      </c>
      <c r="C5123" t="inlineStr">
        <is>
          <t>pH&gt;6 soluble</t>
        </is>
      </c>
      <c r="D5123"/>
      <c r="E5123"/>
      <c r="F5123"/>
      <c r="G5123"/>
      <c r="H5123" t="inlineStr">
        <is>
          <t>S007_EXCIPIENTS_HANDBOOK</t>
        </is>
      </c>
      <c r="I5123" t="inlineStr">
        <is>
          <t>handbook</t>
        </is>
      </c>
      <c r="J5123">
        <v>0.55</v>
      </c>
      <c r="K5123"/>
    </row>
    <row r="5124">
      <c r="A5124" t="inlineStr">
        <is>
          <t>POL_EUDRAGIT_L100</t>
        </is>
      </c>
      <c r="B5124" t="inlineStr">
        <is>
          <t>solubility_in_ethanol</t>
        </is>
      </c>
      <c r="C5124" t="inlineStr">
        <is>
          <t>soluble</t>
        </is>
      </c>
      <c r="D5124"/>
      <c r="E5124"/>
      <c r="F5124"/>
      <c r="G5124"/>
      <c r="H5124" t="inlineStr">
        <is>
          <t>S007_EXCIPIENTS_HANDBOOK</t>
        </is>
      </c>
      <c r="I5124" t="inlineStr">
        <is>
          <t>handbook</t>
        </is>
      </c>
      <c r="J5124">
        <v>0.55</v>
      </c>
      <c r="K5124"/>
    </row>
    <row r="5125">
      <c r="A5125" t="inlineStr">
        <is>
          <t>POL_EUDRAGIT_L100</t>
        </is>
      </c>
      <c r="B5125" t="inlineStr">
        <is>
          <t>solubility_in_acetone</t>
        </is>
      </c>
      <c r="C5125" t="inlineStr">
        <is>
          <t>poor</t>
        </is>
      </c>
      <c r="D5125"/>
      <c r="E5125"/>
      <c r="F5125"/>
      <c r="G5125"/>
      <c r="H5125" t="inlineStr">
        <is>
          <t>S007_EXCIPIENTS_HANDBOOK</t>
        </is>
      </c>
      <c r="I5125" t="inlineStr">
        <is>
          <t>handbook</t>
        </is>
      </c>
      <c r="J5125">
        <v>0.55</v>
      </c>
      <c r="K5125"/>
    </row>
    <row r="5126">
      <c r="A5126" t="inlineStr">
        <is>
          <t>POL_EUDRAGIT_L100</t>
        </is>
      </c>
      <c r="B5126" t="inlineStr">
        <is>
          <t>solubility_in_dcm</t>
        </is>
      </c>
      <c r="C5126" t="inlineStr">
        <is>
          <t>poor</t>
        </is>
      </c>
      <c r="D5126"/>
      <c r="E5126"/>
      <c r="F5126"/>
      <c r="G5126"/>
      <c r="H5126" t="inlineStr">
        <is>
          <t>S007_EXCIPIENTS_HANDBOOK</t>
        </is>
      </c>
      <c r="I5126" t="inlineStr">
        <is>
          <t>handbook</t>
        </is>
      </c>
      <c r="J5126">
        <v>0.55</v>
      </c>
      <c r="K5126"/>
    </row>
    <row r="5127">
      <c r="A5127" t="inlineStr">
        <is>
          <t>POL_EUDRAGIT_L100</t>
        </is>
      </c>
      <c r="B5127" t="inlineStr">
        <is>
          <t>biodegradability</t>
        </is>
      </c>
      <c r="C5127" t="inlineStr">
        <is>
          <t>no</t>
        </is>
      </c>
      <c r="D5127"/>
      <c r="E5127"/>
      <c r="F5127"/>
      <c r="G5127"/>
      <c r="H5127" t="inlineStr">
        <is>
          <t>S014_AULTON</t>
        </is>
      </c>
      <c r="I5127" t="inlineStr">
        <is>
          <t>curated</t>
        </is>
      </c>
      <c r="J5127">
        <v>0.65</v>
      </c>
      <c r="K5127"/>
    </row>
    <row r="5128">
      <c r="A5128" t="inlineStr">
        <is>
          <t>POL_EUDRAGIT_L100</t>
        </is>
      </c>
      <c r="B5128" t="inlineStr">
        <is>
          <t>mucoadhesive_flag</t>
        </is>
      </c>
      <c r="C5128" t="inlineStr">
        <is>
          <t>conditional</t>
        </is>
      </c>
      <c r="D5128"/>
      <c r="E5128"/>
      <c r="F5128"/>
      <c r="G5128"/>
      <c r="H5128" t="inlineStr">
        <is>
          <t>S014_AULTON</t>
        </is>
      </c>
      <c r="I5128" t="inlineStr">
        <is>
          <t>curated</t>
        </is>
      </c>
      <c r="J5128">
        <v>0.65</v>
      </c>
      <c r="K5128"/>
    </row>
    <row r="5129">
      <c r="A5129" t="inlineStr">
        <is>
          <t>POL_EUDRAGIT_L100</t>
        </is>
      </c>
      <c r="B5129" t="inlineStr">
        <is>
          <t>coating_role</t>
        </is>
      </c>
      <c r="C5129" t="inlineStr">
        <is>
          <t>enteric coating</t>
        </is>
      </c>
      <c r="D5129"/>
      <c r="E5129"/>
      <c r="F5129"/>
      <c r="G5129"/>
      <c r="H5129" t="inlineStr">
        <is>
          <t>S014_AULTON</t>
        </is>
      </c>
      <c r="I5129" t="inlineStr">
        <is>
          <t>curated</t>
        </is>
      </c>
      <c r="J5129">
        <v>0.6</v>
      </c>
      <c r="K5129"/>
    </row>
    <row r="5130">
      <c r="A5130" t="inlineStr">
        <is>
          <t>POL_EUDRAGIT_L100</t>
        </is>
      </c>
      <c r="B5130" t="inlineStr">
        <is>
          <t>stabilizer_role</t>
        </is>
      </c>
      <c r="C5130" t="inlineStr">
        <is>
          <t>conditional</t>
        </is>
      </c>
      <c r="D5130"/>
      <c r="E5130"/>
      <c r="F5130"/>
      <c r="G5130"/>
      <c r="H5130" t="inlineStr">
        <is>
          <t>S014_AULTON</t>
        </is>
      </c>
      <c r="I5130" t="inlineStr">
        <is>
          <t>curated</t>
        </is>
      </c>
      <c r="J5130">
        <v>0.6</v>
      </c>
      <c r="K5130"/>
    </row>
    <row r="5131">
      <c r="A5131" t="inlineStr">
        <is>
          <t>POL_EUDRAGIT_L100</t>
        </is>
      </c>
      <c r="B5131" t="inlineStr">
        <is>
          <t>route_suitability</t>
        </is>
      </c>
      <c r="C5131" t="inlineStr">
        <is>
          <t>polymeric/hybrid/coating/stabilizer systems; grade and route dependent</t>
        </is>
      </c>
      <c r="D5131"/>
      <c r="E5131"/>
      <c r="F5131"/>
      <c r="G5131"/>
      <c r="H5131" t="inlineStr">
        <is>
          <t>S008_FDA_IID</t>
        </is>
      </c>
      <c r="I5131" t="inlineStr">
        <is>
          <t>curated</t>
        </is>
      </c>
      <c r="J5131">
        <v>0.55</v>
      </c>
      <c r="K5131"/>
    </row>
    <row r="5132">
      <c r="A5132" t="inlineStr">
        <is>
          <t>POL_EUDRAGIT_L100</t>
        </is>
      </c>
      <c r="B5132" t="inlineStr">
        <is>
          <t>toxicity_notes</t>
        </is>
      </c>
      <c r="C5132" t="inlineStr">
        <is>
          <t>polymer grade, residual monomers/solvents, endotoxin and molecular weight distribution must be controlled</t>
        </is>
      </c>
      <c r="D5132"/>
      <c r="E5132"/>
      <c r="F5132"/>
      <c r="G5132"/>
      <c r="H5132" t="inlineStr">
        <is>
          <t>S007_EXCIPIENTS_HANDBOOK</t>
        </is>
      </c>
      <c r="I5132" t="inlineStr">
        <is>
          <t>curated</t>
        </is>
      </c>
      <c r="J5132">
        <v>0.65</v>
      </c>
      <c r="K5132"/>
    </row>
    <row r="5133">
      <c r="A5133" t="inlineStr">
        <is>
          <t>POL_EUDRAGIT_L100</t>
        </is>
      </c>
      <c r="B5133" t="inlineStr">
        <is>
          <t>Hansen_delta_D</t>
        </is>
      </c>
      <c r="C5133">
        <v>18.0</v>
      </c>
      <c r="D5133" t="inlineStr">
        <is>
          <t>MPa^0.5</t>
        </is>
      </c>
      <c r="E5133"/>
      <c r="F5133"/>
      <c r="G5133" t="inlineStr">
        <is>
          <t>heuristic group-contribution/nearest-neighbour</t>
        </is>
      </c>
      <c r="H5133" t="inlineStr">
        <is>
          <t>S013_EST_HSP_HEURISTIC</t>
        </is>
      </c>
      <c r="I5133" t="inlineStr">
        <is>
          <t>estimated</t>
        </is>
      </c>
      <c r="J5133">
        <v>0.35</v>
      </c>
      <c r="K5133" t="inlineStr">
        <is>
          <t>Provisional HSP for screening; replace with experimental/literature value before model lock.</t>
        </is>
      </c>
    </row>
    <row r="5134">
      <c r="A5134" t="inlineStr">
        <is>
          <t>POL_EUDRAGIT_L100</t>
        </is>
      </c>
      <c r="B5134" t="inlineStr">
        <is>
          <t>Hansen_delta_P</t>
        </is>
      </c>
      <c r="C5134">
        <v>8.0</v>
      </c>
      <c r="D5134" t="inlineStr">
        <is>
          <t>MPa^0.5</t>
        </is>
      </c>
      <c r="E5134"/>
      <c r="F5134"/>
      <c r="G5134" t="inlineStr">
        <is>
          <t>heuristic group-contribution/nearest-neighbour</t>
        </is>
      </c>
      <c r="H5134" t="inlineStr">
        <is>
          <t>S013_EST_HSP_HEURISTIC</t>
        </is>
      </c>
      <c r="I5134" t="inlineStr">
        <is>
          <t>estimated</t>
        </is>
      </c>
      <c r="J5134">
        <v>0.35</v>
      </c>
      <c r="K5134" t="inlineStr">
        <is>
          <t>Provisional HSP for screening; replace with experimental/literature value before model lock.</t>
        </is>
      </c>
    </row>
    <row r="5135">
      <c r="A5135" t="inlineStr">
        <is>
          <t>POL_EUDRAGIT_L100</t>
        </is>
      </c>
      <c r="B5135" t="inlineStr">
        <is>
          <t>Hansen_delta_H</t>
        </is>
      </c>
      <c r="C5135">
        <v>10.0</v>
      </c>
      <c r="D5135" t="inlineStr">
        <is>
          <t>MPa^0.5</t>
        </is>
      </c>
      <c r="E5135"/>
      <c r="F5135"/>
      <c r="G5135" t="inlineStr">
        <is>
          <t>heuristic group-contribution/nearest-neighbour</t>
        </is>
      </c>
      <c r="H5135" t="inlineStr">
        <is>
          <t>S013_EST_HSP_HEURISTIC</t>
        </is>
      </c>
      <c r="I5135" t="inlineStr">
        <is>
          <t>estimated</t>
        </is>
      </c>
      <c r="J5135">
        <v>0.35</v>
      </c>
      <c r="K5135" t="inlineStr">
        <is>
          <t>Provisional HSP for screening; replace with experimental/literature value before model lock.</t>
        </is>
      </c>
    </row>
    <row r="5136">
      <c r="A5136" t="inlineStr">
        <is>
          <t>POL_EUDRAGIT_L100</t>
        </is>
      </c>
      <c r="B5136" t="inlineStr">
        <is>
          <t>Hildebrand_delta_T</t>
        </is>
      </c>
      <c r="C5136">
        <v>22.09</v>
      </c>
      <c r="D5136" t="inlineStr">
        <is>
          <t>MPa^0.5</t>
        </is>
      </c>
      <c r="E5136"/>
      <c r="F5136"/>
      <c r="G5136" t="inlineStr">
        <is>
          <t>sqrt(deltaD^2+deltaP^2+deltaH^2)</t>
        </is>
      </c>
      <c r="H5136" t="inlineStr">
        <is>
          <t>S012_CALCULATED</t>
        </is>
      </c>
      <c r="I5136" t="inlineStr">
        <is>
          <t>calculated</t>
        </is>
      </c>
      <c r="J5136">
        <v>0.39999999999999997</v>
      </c>
      <c r="K5136" t="inlineStr">
        <is>
          <t>Derived from stored Hansen components.</t>
        </is>
      </c>
    </row>
    <row r="5137">
      <c r="A5137" t="inlineStr">
        <is>
          <t>POL_EUDRAGIT_L100</t>
        </is>
      </c>
      <c r="B5137" t="inlineStr">
        <is>
          <t>HSP_radius_R0</t>
        </is>
      </c>
      <c r="C5137">
        <v>9.0</v>
      </c>
      <c r="D5137" t="inlineStr">
        <is>
          <t>MPa^0.5</t>
        </is>
      </c>
      <c r="E5137"/>
      <c r="F5137"/>
      <c r="G5137" t="inlineStr">
        <is>
          <t>literature/heuristic solubility sphere</t>
        </is>
      </c>
      <c r="H5137" t="inlineStr">
        <is>
          <t>S013_EST_HSP_HEURISTIC</t>
        </is>
      </c>
      <c r="I5137" t="inlineStr">
        <is>
          <t>estimated</t>
        </is>
      </c>
      <c r="J5137">
        <v>0.35</v>
      </c>
      <c r="K5137" t="inlineStr">
        <is>
          <t>Screening radius only unless experimentally determined.</t>
        </is>
      </c>
    </row>
    <row r="5138">
      <c r="A5138" t="inlineStr">
        <is>
          <t>POL_EUDRAGIT_S100</t>
        </is>
      </c>
      <c r="B5138" t="inlineStr">
        <is>
          <t>average_mw_g_mol</t>
        </is>
      </c>
      <c r="C5138">
        <v>135000</v>
      </c>
      <c r="D5138" t="inlineStr">
        <is>
          <t>g/mol</t>
        </is>
      </c>
      <c r="E5138"/>
      <c r="F5138"/>
      <c r="G5138" t="inlineStr">
        <is>
          <t>grade-dependent</t>
        </is>
      </c>
      <c r="H5138" t="inlineStr">
        <is>
          <t>S007_EXCIPIENTS_HANDBOOK</t>
        </is>
      </c>
      <c r="I5138" t="inlineStr">
        <is>
          <t>supplier-reported</t>
        </is>
      </c>
      <c r="J5138">
        <v>0.45</v>
      </c>
      <c r="K5138"/>
    </row>
    <row r="5139">
      <c r="A5139" t="inlineStr">
        <is>
          <t>POL_EUDRAGIT_S100</t>
        </is>
      </c>
      <c r="B5139" t="inlineStr">
        <is>
          <t>Tg_C</t>
        </is>
      </c>
      <c r="C5139">
        <v>160</v>
      </c>
      <c r="D5139" t="inlineStr">
        <is>
          <t>°C</t>
        </is>
      </c>
      <c r="E5139"/>
      <c r="F5139"/>
      <c r="G5139" t="inlineStr">
        <is>
          <t>grade/substitution dependent</t>
        </is>
      </c>
      <c r="H5139" t="inlineStr">
        <is>
          <t>S007_EXCIPIENTS_HANDBOOK</t>
        </is>
      </c>
      <c r="I5139" t="inlineStr">
        <is>
          <t>handbook</t>
        </is>
      </c>
      <c r="J5139">
        <v>0.48</v>
      </c>
      <c r="K5139"/>
    </row>
    <row r="5140">
      <c r="A5140" t="inlineStr">
        <is>
          <t>POL_EUDRAGIT_S100</t>
        </is>
      </c>
      <c r="B5140" t="inlineStr">
        <is>
          <t>pKa</t>
        </is>
      </c>
      <c r="C5140">
        <v>7.0</v>
      </c>
      <c r="D5140"/>
      <c r="E5140"/>
      <c r="F5140"/>
      <c r="G5140" t="inlineStr">
        <is>
          <t>grade/substitution dependent</t>
        </is>
      </c>
      <c r="H5140" t="inlineStr">
        <is>
          <t>S007_EXCIPIENTS_HANDBOOK</t>
        </is>
      </c>
      <c r="I5140" t="inlineStr">
        <is>
          <t>literature</t>
        </is>
      </c>
      <c r="J5140">
        <v>0.48</v>
      </c>
      <c r="K5140"/>
    </row>
    <row r="5141">
      <c r="A5141" t="inlineStr">
        <is>
          <t>POL_EUDRAGIT_S100</t>
        </is>
      </c>
      <c r="B5141" t="inlineStr">
        <is>
          <t>charge_density</t>
        </is>
      </c>
      <c r="C5141" t="inlineStr">
        <is>
          <t>carboxylate</t>
        </is>
      </c>
      <c r="D5141"/>
      <c r="E5141"/>
      <c r="F5141"/>
      <c r="G5141" t="inlineStr">
        <is>
          <t>grade/substitution dependent</t>
        </is>
      </c>
      <c r="H5141" t="inlineStr">
        <is>
          <t>S007_EXCIPIENTS_HANDBOOK</t>
        </is>
      </c>
      <c r="I5141" t="inlineStr">
        <is>
          <t>literature</t>
        </is>
      </c>
      <c r="J5141">
        <v>0.48</v>
      </c>
      <c r="K5141"/>
    </row>
    <row r="5142">
      <c r="A5142" t="inlineStr">
        <is>
          <t>POL_EUDRAGIT_S100</t>
        </is>
      </c>
      <c r="B5142" t="inlineStr">
        <is>
          <t>charge_type</t>
        </is>
      </c>
      <c r="C5142" t="inlineStr">
        <is>
          <t>anionic</t>
        </is>
      </c>
      <c r="D5142"/>
      <c r="E5142"/>
      <c r="F5142"/>
      <c r="G5142"/>
      <c r="H5142" t="inlineStr">
        <is>
          <t>S007_EXCIPIENTS_HANDBOOK</t>
        </is>
      </c>
      <c r="I5142" t="inlineStr">
        <is>
          <t>curated</t>
        </is>
      </c>
      <c r="J5142">
        <v>0.75</v>
      </c>
      <c r="K5142"/>
    </row>
    <row r="5143">
      <c r="A5143" t="inlineStr">
        <is>
          <t>POL_EUDRAGIT_S100</t>
        </is>
      </c>
      <c r="B5143" t="inlineStr">
        <is>
          <t>formal_charge</t>
        </is>
      </c>
      <c r="C5143">
        <v>-1</v>
      </c>
      <c r="D5143" t="inlineStr">
        <is>
          <t>e</t>
        </is>
      </c>
      <c r="E5143"/>
      <c r="F5143"/>
      <c r="G5143"/>
      <c r="H5143" t="inlineStr">
        <is>
          <t>S007_EXCIPIENTS_HANDBOOK</t>
        </is>
      </c>
      <c r="I5143" t="inlineStr">
        <is>
          <t>curated</t>
        </is>
      </c>
      <c r="J5143">
        <v>0.75</v>
      </c>
      <c r="K5143"/>
    </row>
    <row r="5144">
      <c r="A5144" t="inlineStr">
        <is>
          <t>POL_EUDRAGIT_S100</t>
        </is>
      </c>
      <c r="B5144" t="inlineStr">
        <is>
          <t>solubility_in_water</t>
        </is>
      </c>
      <c r="C5144" t="inlineStr">
        <is>
          <t>pH&gt;7 soluble</t>
        </is>
      </c>
      <c r="D5144"/>
      <c r="E5144"/>
      <c r="F5144"/>
      <c r="G5144"/>
      <c r="H5144" t="inlineStr">
        <is>
          <t>S007_EXCIPIENTS_HANDBOOK</t>
        </is>
      </c>
      <c r="I5144" t="inlineStr">
        <is>
          <t>handbook</t>
        </is>
      </c>
      <c r="J5144">
        <v>0.55</v>
      </c>
      <c r="K5144"/>
    </row>
    <row r="5145">
      <c r="A5145" t="inlineStr">
        <is>
          <t>POL_EUDRAGIT_S100</t>
        </is>
      </c>
      <c r="B5145" t="inlineStr">
        <is>
          <t>solubility_in_ethanol</t>
        </is>
      </c>
      <c r="C5145" t="inlineStr">
        <is>
          <t>soluble</t>
        </is>
      </c>
      <c r="D5145"/>
      <c r="E5145"/>
      <c r="F5145"/>
      <c r="G5145"/>
      <c r="H5145" t="inlineStr">
        <is>
          <t>S007_EXCIPIENTS_HANDBOOK</t>
        </is>
      </c>
      <c r="I5145" t="inlineStr">
        <is>
          <t>handbook</t>
        </is>
      </c>
      <c r="J5145">
        <v>0.55</v>
      </c>
      <c r="K5145"/>
    </row>
    <row r="5146">
      <c r="A5146" t="inlineStr">
        <is>
          <t>POL_EUDRAGIT_S100</t>
        </is>
      </c>
      <c r="B5146" t="inlineStr">
        <is>
          <t>solubility_in_acetone</t>
        </is>
      </c>
      <c r="C5146" t="inlineStr">
        <is>
          <t>poor</t>
        </is>
      </c>
      <c r="D5146"/>
      <c r="E5146"/>
      <c r="F5146"/>
      <c r="G5146"/>
      <c r="H5146" t="inlineStr">
        <is>
          <t>S007_EXCIPIENTS_HANDBOOK</t>
        </is>
      </c>
      <c r="I5146" t="inlineStr">
        <is>
          <t>handbook</t>
        </is>
      </c>
      <c r="J5146">
        <v>0.55</v>
      </c>
      <c r="K5146"/>
    </row>
    <row r="5147">
      <c r="A5147" t="inlineStr">
        <is>
          <t>POL_EUDRAGIT_S100</t>
        </is>
      </c>
      <c r="B5147" t="inlineStr">
        <is>
          <t>solubility_in_dcm</t>
        </is>
      </c>
      <c r="C5147" t="inlineStr">
        <is>
          <t>poor</t>
        </is>
      </c>
      <c r="D5147"/>
      <c r="E5147"/>
      <c r="F5147"/>
      <c r="G5147"/>
      <c r="H5147" t="inlineStr">
        <is>
          <t>S007_EXCIPIENTS_HANDBOOK</t>
        </is>
      </c>
      <c r="I5147" t="inlineStr">
        <is>
          <t>handbook</t>
        </is>
      </c>
      <c r="J5147">
        <v>0.55</v>
      </c>
      <c r="K5147"/>
    </row>
    <row r="5148">
      <c r="A5148" t="inlineStr">
        <is>
          <t>POL_EUDRAGIT_S100</t>
        </is>
      </c>
      <c r="B5148" t="inlineStr">
        <is>
          <t>biodegradability</t>
        </is>
      </c>
      <c r="C5148" t="inlineStr">
        <is>
          <t>no</t>
        </is>
      </c>
      <c r="D5148"/>
      <c r="E5148"/>
      <c r="F5148"/>
      <c r="G5148"/>
      <c r="H5148" t="inlineStr">
        <is>
          <t>S014_AULTON</t>
        </is>
      </c>
      <c r="I5148" t="inlineStr">
        <is>
          <t>curated</t>
        </is>
      </c>
      <c r="J5148">
        <v>0.65</v>
      </c>
      <c r="K5148"/>
    </row>
    <row r="5149">
      <c r="A5149" t="inlineStr">
        <is>
          <t>POL_EUDRAGIT_S100</t>
        </is>
      </c>
      <c r="B5149" t="inlineStr">
        <is>
          <t>mucoadhesive_flag</t>
        </is>
      </c>
      <c r="C5149" t="inlineStr">
        <is>
          <t>conditional</t>
        </is>
      </c>
      <c r="D5149"/>
      <c r="E5149"/>
      <c r="F5149"/>
      <c r="G5149"/>
      <c r="H5149" t="inlineStr">
        <is>
          <t>S014_AULTON</t>
        </is>
      </c>
      <c r="I5149" t="inlineStr">
        <is>
          <t>curated</t>
        </is>
      </c>
      <c r="J5149">
        <v>0.65</v>
      </c>
      <c r="K5149"/>
    </row>
    <row r="5150">
      <c r="A5150" t="inlineStr">
        <is>
          <t>POL_EUDRAGIT_S100</t>
        </is>
      </c>
      <c r="B5150" t="inlineStr">
        <is>
          <t>coating_role</t>
        </is>
      </c>
      <c r="C5150" t="inlineStr">
        <is>
          <t>enteric coating</t>
        </is>
      </c>
      <c r="D5150"/>
      <c r="E5150"/>
      <c r="F5150"/>
      <c r="G5150"/>
      <c r="H5150" t="inlineStr">
        <is>
          <t>S014_AULTON</t>
        </is>
      </c>
      <c r="I5150" t="inlineStr">
        <is>
          <t>curated</t>
        </is>
      </c>
      <c r="J5150">
        <v>0.6</v>
      </c>
      <c r="K5150"/>
    </row>
    <row r="5151">
      <c r="A5151" t="inlineStr">
        <is>
          <t>POL_EUDRAGIT_S100</t>
        </is>
      </c>
      <c r="B5151" t="inlineStr">
        <is>
          <t>stabilizer_role</t>
        </is>
      </c>
      <c r="C5151" t="inlineStr">
        <is>
          <t>conditional</t>
        </is>
      </c>
      <c r="D5151"/>
      <c r="E5151"/>
      <c r="F5151"/>
      <c r="G5151"/>
      <c r="H5151" t="inlineStr">
        <is>
          <t>S014_AULTON</t>
        </is>
      </c>
      <c r="I5151" t="inlineStr">
        <is>
          <t>curated</t>
        </is>
      </c>
      <c r="J5151">
        <v>0.6</v>
      </c>
      <c r="K5151"/>
    </row>
    <row r="5152">
      <c r="A5152" t="inlineStr">
        <is>
          <t>POL_EUDRAGIT_S100</t>
        </is>
      </c>
      <c r="B5152" t="inlineStr">
        <is>
          <t>route_suitability</t>
        </is>
      </c>
      <c r="C5152" t="inlineStr">
        <is>
          <t>polymeric/hybrid/coating/stabilizer systems; grade and route dependent</t>
        </is>
      </c>
      <c r="D5152"/>
      <c r="E5152"/>
      <c r="F5152"/>
      <c r="G5152"/>
      <c r="H5152" t="inlineStr">
        <is>
          <t>S008_FDA_IID</t>
        </is>
      </c>
      <c r="I5152" t="inlineStr">
        <is>
          <t>curated</t>
        </is>
      </c>
      <c r="J5152">
        <v>0.55</v>
      </c>
      <c r="K5152"/>
    </row>
    <row r="5153">
      <c r="A5153" t="inlineStr">
        <is>
          <t>POL_EUDRAGIT_S100</t>
        </is>
      </c>
      <c r="B5153" t="inlineStr">
        <is>
          <t>toxicity_notes</t>
        </is>
      </c>
      <c r="C5153" t="inlineStr">
        <is>
          <t>polymer grade, residual monomers/solvents, endotoxin and molecular weight distribution must be controlled</t>
        </is>
      </c>
      <c r="D5153"/>
      <c r="E5153"/>
      <c r="F5153"/>
      <c r="G5153"/>
      <c r="H5153" t="inlineStr">
        <is>
          <t>S007_EXCIPIENTS_HANDBOOK</t>
        </is>
      </c>
      <c r="I5153" t="inlineStr">
        <is>
          <t>curated</t>
        </is>
      </c>
      <c r="J5153">
        <v>0.65</v>
      </c>
      <c r="K5153"/>
    </row>
    <row r="5154">
      <c r="A5154" t="inlineStr">
        <is>
          <t>POL_EUDRAGIT_S100</t>
        </is>
      </c>
      <c r="B5154" t="inlineStr">
        <is>
          <t>Hansen_delta_D</t>
        </is>
      </c>
      <c r="C5154">
        <v>18.0</v>
      </c>
      <c r="D5154" t="inlineStr">
        <is>
          <t>MPa^0.5</t>
        </is>
      </c>
      <c r="E5154"/>
      <c r="F5154"/>
      <c r="G5154" t="inlineStr">
        <is>
          <t>heuristic group-contribution/nearest-neighbour</t>
        </is>
      </c>
      <c r="H5154" t="inlineStr">
        <is>
          <t>S013_EST_HSP_HEURISTIC</t>
        </is>
      </c>
      <c r="I5154" t="inlineStr">
        <is>
          <t>estimated</t>
        </is>
      </c>
      <c r="J5154">
        <v>0.35</v>
      </c>
      <c r="K5154" t="inlineStr">
        <is>
          <t>Provisional HSP for screening; replace with experimental/literature value before model lock.</t>
        </is>
      </c>
    </row>
    <row r="5155">
      <c r="A5155" t="inlineStr">
        <is>
          <t>POL_EUDRAGIT_S100</t>
        </is>
      </c>
      <c r="B5155" t="inlineStr">
        <is>
          <t>Hansen_delta_P</t>
        </is>
      </c>
      <c r="C5155">
        <v>8.0</v>
      </c>
      <c r="D5155" t="inlineStr">
        <is>
          <t>MPa^0.5</t>
        </is>
      </c>
      <c r="E5155"/>
      <c r="F5155"/>
      <c r="G5155" t="inlineStr">
        <is>
          <t>heuristic group-contribution/nearest-neighbour</t>
        </is>
      </c>
      <c r="H5155" t="inlineStr">
        <is>
          <t>S013_EST_HSP_HEURISTIC</t>
        </is>
      </c>
      <c r="I5155" t="inlineStr">
        <is>
          <t>estimated</t>
        </is>
      </c>
      <c r="J5155">
        <v>0.35</v>
      </c>
      <c r="K5155" t="inlineStr">
        <is>
          <t>Provisional HSP for screening; replace with experimental/literature value before model lock.</t>
        </is>
      </c>
    </row>
    <row r="5156">
      <c r="A5156" t="inlineStr">
        <is>
          <t>POL_EUDRAGIT_S100</t>
        </is>
      </c>
      <c r="B5156" t="inlineStr">
        <is>
          <t>Hansen_delta_H</t>
        </is>
      </c>
      <c r="C5156">
        <v>10.0</v>
      </c>
      <c r="D5156" t="inlineStr">
        <is>
          <t>MPa^0.5</t>
        </is>
      </c>
      <c r="E5156"/>
      <c r="F5156"/>
      <c r="G5156" t="inlineStr">
        <is>
          <t>heuristic group-contribution/nearest-neighbour</t>
        </is>
      </c>
      <c r="H5156" t="inlineStr">
        <is>
          <t>S013_EST_HSP_HEURISTIC</t>
        </is>
      </c>
      <c r="I5156" t="inlineStr">
        <is>
          <t>estimated</t>
        </is>
      </c>
      <c r="J5156">
        <v>0.35</v>
      </c>
      <c r="K5156" t="inlineStr">
        <is>
          <t>Provisional HSP for screening; replace with experimental/literature value before model lock.</t>
        </is>
      </c>
    </row>
    <row r="5157">
      <c r="A5157" t="inlineStr">
        <is>
          <t>POL_EUDRAGIT_S100</t>
        </is>
      </c>
      <c r="B5157" t="inlineStr">
        <is>
          <t>Hildebrand_delta_T</t>
        </is>
      </c>
      <c r="C5157">
        <v>22.09</v>
      </c>
      <c r="D5157" t="inlineStr">
        <is>
          <t>MPa^0.5</t>
        </is>
      </c>
      <c r="E5157"/>
      <c r="F5157"/>
      <c r="G5157" t="inlineStr">
        <is>
          <t>sqrt(deltaD^2+deltaP^2+deltaH^2)</t>
        </is>
      </c>
      <c r="H5157" t="inlineStr">
        <is>
          <t>S012_CALCULATED</t>
        </is>
      </c>
      <c r="I5157" t="inlineStr">
        <is>
          <t>calculated</t>
        </is>
      </c>
      <c r="J5157">
        <v>0.39999999999999997</v>
      </c>
      <c r="K5157" t="inlineStr">
        <is>
          <t>Derived from stored Hansen components.</t>
        </is>
      </c>
    </row>
    <row r="5158">
      <c r="A5158" t="inlineStr">
        <is>
          <t>POL_EUDRAGIT_S100</t>
        </is>
      </c>
      <c r="B5158" t="inlineStr">
        <is>
          <t>HSP_radius_R0</t>
        </is>
      </c>
      <c r="C5158">
        <v>9.0</v>
      </c>
      <c r="D5158" t="inlineStr">
        <is>
          <t>MPa^0.5</t>
        </is>
      </c>
      <c r="E5158"/>
      <c r="F5158"/>
      <c r="G5158" t="inlineStr">
        <is>
          <t>literature/heuristic solubility sphere</t>
        </is>
      </c>
      <c r="H5158" t="inlineStr">
        <is>
          <t>S013_EST_HSP_HEURISTIC</t>
        </is>
      </c>
      <c r="I5158" t="inlineStr">
        <is>
          <t>estimated</t>
        </is>
      </c>
      <c r="J5158">
        <v>0.35</v>
      </c>
      <c r="K5158" t="inlineStr">
        <is>
          <t>Screening radius only unless experimentally determined.</t>
        </is>
      </c>
    </row>
    <row r="5159">
      <c r="A5159" t="inlineStr">
        <is>
          <t>POL_EUDRAGIT_E_PO</t>
        </is>
      </c>
      <c r="B5159" t="inlineStr">
        <is>
          <t>average_mw_g_mol</t>
        </is>
      </c>
      <c r="C5159">
        <v>47000</v>
      </c>
      <c r="D5159" t="inlineStr">
        <is>
          <t>g/mol</t>
        </is>
      </c>
      <c r="E5159"/>
      <c r="F5159"/>
      <c r="G5159" t="inlineStr">
        <is>
          <t>grade-dependent</t>
        </is>
      </c>
      <c r="H5159" t="inlineStr">
        <is>
          <t>S007_EXCIPIENTS_HANDBOOK</t>
        </is>
      </c>
      <c r="I5159" t="inlineStr">
        <is>
          <t>supplier-reported</t>
        </is>
      </c>
      <c r="J5159">
        <v>0.45</v>
      </c>
      <c r="K5159"/>
    </row>
    <row r="5160">
      <c r="A5160" t="inlineStr">
        <is>
          <t>POL_EUDRAGIT_E_PO</t>
        </is>
      </c>
      <c r="B5160" t="inlineStr">
        <is>
          <t>Tg_C</t>
        </is>
      </c>
      <c r="C5160">
        <v>48</v>
      </c>
      <c r="D5160" t="inlineStr">
        <is>
          <t>°C</t>
        </is>
      </c>
      <c r="E5160"/>
      <c r="F5160"/>
      <c r="G5160" t="inlineStr">
        <is>
          <t>grade/substitution dependent</t>
        </is>
      </c>
      <c r="H5160" t="inlineStr">
        <is>
          <t>S007_EXCIPIENTS_HANDBOOK</t>
        </is>
      </c>
      <c r="I5160" t="inlineStr">
        <is>
          <t>handbook</t>
        </is>
      </c>
      <c r="J5160">
        <v>0.48</v>
      </c>
      <c r="K5160"/>
    </row>
    <row r="5161">
      <c r="A5161" t="inlineStr">
        <is>
          <t>POL_EUDRAGIT_E_PO</t>
        </is>
      </c>
      <c r="B5161" t="inlineStr">
        <is>
          <t>pKa</t>
        </is>
      </c>
      <c r="C5161">
        <v>6.0</v>
      </c>
      <c r="D5161"/>
      <c r="E5161"/>
      <c r="F5161"/>
      <c r="G5161" t="inlineStr">
        <is>
          <t>grade/substitution dependent</t>
        </is>
      </c>
      <c r="H5161" t="inlineStr">
        <is>
          <t>S007_EXCIPIENTS_HANDBOOK</t>
        </is>
      </c>
      <c r="I5161" t="inlineStr">
        <is>
          <t>literature</t>
        </is>
      </c>
      <c r="J5161">
        <v>0.48</v>
      </c>
      <c r="K5161"/>
    </row>
    <row r="5162">
      <c r="A5162" t="inlineStr">
        <is>
          <t>POL_EUDRAGIT_E_PO</t>
        </is>
      </c>
      <c r="B5162" t="inlineStr">
        <is>
          <t>charge_density</t>
        </is>
      </c>
      <c r="C5162" t="inlineStr">
        <is>
          <t>tertiary amine</t>
        </is>
      </c>
      <c r="D5162"/>
      <c r="E5162"/>
      <c r="F5162"/>
      <c r="G5162" t="inlineStr">
        <is>
          <t>grade/substitution dependent</t>
        </is>
      </c>
      <c r="H5162" t="inlineStr">
        <is>
          <t>S007_EXCIPIENTS_HANDBOOK</t>
        </is>
      </c>
      <c r="I5162" t="inlineStr">
        <is>
          <t>literature</t>
        </is>
      </c>
      <c r="J5162">
        <v>0.48</v>
      </c>
      <c r="K5162"/>
    </row>
    <row r="5163">
      <c r="A5163" t="inlineStr">
        <is>
          <t>POL_EUDRAGIT_E_PO</t>
        </is>
      </c>
      <c r="B5163" t="inlineStr">
        <is>
          <t>charge_type</t>
        </is>
      </c>
      <c r="C5163" t="inlineStr">
        <is>
          <t>cationic</t>
        </is>
      </c>
      <c r="D5163"/>
      <c r="E5163"/>
      <c r="F5163"/>
      <c r="G5163"/>
      <c r="H5163" t="inlineStr">
        <is>
          <t>S007_EXCIPIENTS_HANDBOOK</t>
        </is>
      </c>
      <c r="I5163" t="inlineStr">
        <is>
          <t>curated</t>
        </is>
      </c>
      <c r="J5163">
        <v>0.75</v>
      </c>
      <c r="K5163"/>
    </row>
    <row r="5164">
      <c r="A5164" t="inlineStr">
        <is>
          <t>POL_EUDRAGIT_E_PO</t>
        </is>
      </c>
      <c r="B5164" t="inlineStr">
        <is>
          <t>formal_charge</t>
        </is>
      </c>
      <c r="C5164">
        <v>1</v>
      </c>
      <c r="D5164" t="inlineStr">
        <is>
          <t>e</t>
        </is>
      </c>
      <c r="E5164"/>
      <c r="F5164"/>
      <c r="G5164"/>
      <c r="H5164" t="inlineStr">
        <is>
          <t>S007_EXCIPIENTS_HANDBOOK</t>
        </is>
      </c>
      <c r="I5164" t="inlineStr">
        <is>
          <t>curated</t>
        </is>
      </c>
      <c r="J5164">
        <v>0.75</v>
      </c>
      <c r="K5164"/>
    </row>
    <row r="5165">
      <c r="A5165" t="inlineStr">
        <is>
          <t>POL_EUDRAGIT_E_PO</t>
        </is>
      </c>
      <c r="B5165" t="inlineStr">
        <is>
          <t>solubility_in_water</t>
        </is>
      </c>
      <c r="C5165" t="inlineStr">
        <is>
          <t>acid-soluble</t>
        </is>
      </c>
      <c r="D5165"/>
      <c r="E5165"/>
      <c r="F5165"/>
      <c r="G5165"/>
      <c r="H5165" t="inlineStr">
        <is>
          <t>S007_EXCIPIENTS_HANDBOOK</t>
        </is>
      </c>
      <c r="I5165" t="inlineStr">
        <is>
          <t>handbook</t>
        </is>
      </c>
      <c r="J5165">
        <v>0.55</v>
      </c>
      <c r="K5165"/>
    </row>
    <row r="5166">
      <c r="A5166" t="inlineStr">
        <is>
          <t>POL_EUDRAGIT_E_PO</t>
        </is>
      </c>
      <c r="B5166" t="inlineStr">
        <is>
          <t>solubility_in_ethanol</t>
        </is>
      </c>
      <c r="C5166" t="inlineStr">
        <is>
          <t>soluble</t>
        </is>
      </c>
      <c r="D5166"/>
      <c r="E5166"/>
      <c r="F5166"/>
      <c r="G5166"/>
      <c r="H5166" t="inlineStr">
        <is>
          <t>S007_EXCIPIENTS_HANDBOOK</t>
        </is>
      </c>
      <c r="I5166" t="inlineStr">
        <is>
          <t>handbook</t>
        </is>
      </c>
      <c r="J5166">
        <v>0.55</v>
      </c>
      <c r="K5166"/>
    </row>
    <row r="5167">
      <c r="A5167" t="inlineStr">
        <is>
          <t>POL_EUDRAGIT_E_PO</t>
        </is>
      </c>
      <c r="B5167" t="inlineStr">
        <is>
          <t>solubility_in_acetone</t>
        </is>
      </c>
      <c r="C5167" t="inlineStr">
        <is>
          <t>poor</t>
        </is>
      </c>
      <c r="D5167"/>
      <c r="E5167"/>
      <c r="F5167"/>
      <c r="G5167"/>
      <c r="H5167" t="inlineStr">
        <is>
          <t>S007_EXCIPIENTS_HANDBOOK</t>
        </is>
      </c>
      <c r="I5167" t="inlineStr">
        <is>
          <t>handbook</t>
        </is>
      </c>
      <c r="J5167">
        <v>0.55</v>
      </c>
      <c r="K5167"/>
    </row>
    <row r="5168">
      <c r="A5168" t="inlineStr">
        <is>
          <t>POL_EUDRAGIT_E_PO</t>
        </is>
      </c>
      <c r="B5168" t="inlineStr">
        <is>
          <t>solubility_in_dcm</t>
        </is>
      </c>
      <c r="C5168" t="inlineStr">
        <is>
          <t>poor</t>
        </is>
      </c>
      <c r="D5168"/>
      <c r="E5168"/>
      <c r="F5168"/>
      <c r="G5168"/>
      <c r="H5168" t="inlineStr">
        <is>
          <t>S007_EXCIPIENTS_HANDBOOK</t>
        </is>
      </c>
      <c r="I5168" t="inlineStr">
        <is>
          <t>handbook</t>
        </is>
      </c>
      <c r="J5168">
        <v>0.55</v>
      </c>
      <c r="K5168"/>
    </row>
    <row r="5169">
      <c r="A5169" t="inlineStr">
        <is>
          <t>POL_EUDRAGIT_E_PO</t>
        </is>
      </c>
      <c r="B5169" t="inlineStr">
        <is>
          <t>biodegradability</t>
        </is>
      </c>
      <c r="C5169" t="inlineStr">
        <is>
          <t>no</t>
        </is>
      </c>
      <c r="D5169"/>
      <c r="E5169"/>
      <c r="F5169"/>
      <c r="G5169"/>
      <c r="H5169" t="inlineStr">
        <is>
          <t>S014_AULTON</t>
        </is>
      </c>
      <c r="I5169" t="inlineStr">
        <is>
          <t>curated</t>
        </is>
      </c>
      <c r="J5169">
        <v>0.65</v>
      </c>
      <c r="K5169"/>
    </row>
    <row r="5170">
      <c r="A5170" t="inlineStr">
        <is>
          <t>POL_EUDRAGIT_E_PO</t>
        </is>
      </c>
      <c r="B5170" t="inlineStr">
        <is>
          <t>mucoadhesive_flag</t>
        </is>
      </c>
      <c r="C5170" t="inlineStr">
        <is>
          <t>conditional</t>
        </is>
      </c>
      <c r="D5170"/>
      <c r="E5170"/>
      <c r="F5170"/>
      <c r="G5170"/>
      <c r="H5170" t="inlineStr">
        <is>
          <t>S014_AULTON</t>
        </is>
      </c>
      <c r="I5170" t="inlineStr">
        <is>
          <t>curated</t>
        </is>
      </c>
      <c r="J5170">
        <v>0.65</v>
      </c>
      <c r="K5170"/>
    </row>
    <row r="5171">
      <c r="A5171" t="inlineStr">
        <is>
          <t>POL_EUDRAGIT_E_PO</t>
        </is>
      </c>
      <c r="B5171" t="inlineStr">
        <is>
          <t>coating_role</t>
        </is>
      </c>
      <c r="C5171" t="inlineStr">
        <is>
          <t>taste masking/coating</t>
        </is>
      </c>
      <c r="D5171"/>
      <c r="E5171"/>
      <c r="F5171"/>
      <c r="G5171"/>
      <c r="H5171" t="inlineStr">
        <is>
          <t>S014_AULTON</t>
        </is>
      </c>
      <c r="I5171" t="inlineStr">
        <is>
          <t>curated</t>
        </is>
      </c>
      <c r="J5171">
        <v>0.6</v>
      </c>
      <c r="K5171"/>
    </row>
    <row r="5172">
      <c r="A5172" t="inlineStr">
        <is>
          <t>POL_EUDRAGIT_E_PO</t>
        </is>
      </c>
      <c r="B5172" t="inlineStr">
        <is>
          <t>stabilizer_role</t>
        </is>
      </c>
      <c r="C5172" t="inlineStr">
        <is>
          <t>conditional</t>
        </is>
      </c>
      <c r="D5172"/>
      <c r="E5172"/>
      <c r="F5172"/>
      <c r="G5172"/>
      <c r="H5172" t="inlineStr">
        <is>
          <t>S014_AULTON</t>
        </is>
      </c>
      <c r="I5172" t="inlineStr">
        <is>
          <t>curated</t>
        </is>
      </c>
      <c r="J5172">
        <v>0.6</v>
      </c>
      <c r="K5172"/>
    </row>
    <row r="5173">
      <c r="A5173" t="inlineStr">
        <is>
          <t>POL_EUDRAGIT_E_PO</t>
        </is>
      </c>
      <c r="B5173" t="inlineStr">
        <is>
          <t>route_suitability</t>
        </is>
      </c>
      <c r="C5173" t="inlineStr">
        <is>
          <t>polymeric/hybrid/coating/stabilizer systems; grade and route dependent</t>
        </is>
      </c>
      <c r="D5173"/>
      <c r="E5173"/>
      <c r="F5173"/>
      <c r="G5173"/>
      <c r="H5173" t="inlineStr">
        <is>
          <t>S008_FDA_IID</t>
        </is>
      </c>
      <c r="I5173" t="inlineStr">
        <is>
          <t>curated</t>
        </is>
      </c>
      <c r="J5173">
        <v>0.55</v>
      </c>
      <c r="K5173"/>
    </row>
    <row r="5174">
      <c r="A5174" t="inlineStr">
        <is>
          <t>POL_EUDRAGIT_E_PO</t>
        </is>
      </c>
      <c r="B5174" t="inlineStr">
        <is>
          <t>toxicity_notes</t>
        </is>
      </c>
      <c r="C5174" t="inlineStr">
        <is>
          <t>polymer grade, residual monomers/solvents, endotoxin and molecular weight distribution must be controlled</t>
        </is>
      </c>
      <c r="D5174"/>
      <c r="E5174"/>
      <c r="F5174"/>
      <c r="G5174"/>
      <c r="H5174" t="inlineStr">
        <is>
          <t>S007_EXCIPIENTS_HANDBOOK</t>
        </is>
      </c>
      <c r="I5174" t="inlineStr">
        <is>
          <t>curated</t>
        </is>
      </c>
      <c r="J5174">
        <v>0.65</v>
      </c>
      <c r="K5174"/>
    </row>
    <row r="5175">
      <c r="A5175" t="inlineStr">
        <is>
          <t>POL_EUDRAGIT_E_PO</t>
        </is>
      </c>
      <c r="B5175" t="inlineStr">
        <is>
          <t>Hansen_delta_D</t>
        </is>
      </c>
      <c r="C5175">
        <v>18.0</v>
      </c>
      <c r="D5175" t="inlineStr">
        <is>
          <t>MPa^0.5</t>
        </is>
      </c>
      <c r="E5175"/>
      <c r="F5175"/>
      <c r="G5175" t="inlineStr">
        <is>
          <t>heuristic group-contribution/nearest-neighbour</t>
        </is>
      </c>
      <c r="H5175" t="inlineStr">
        <is>
          <t>S013_EST_HSP_HEURISTIC</t>
        </is>
      </c>
      <c r="I5175" t="inlineStr">
        <is>
          <t>estimated</t>
        </is>
      </c>
      <c r="J5175">
        <v>0.35</v>
      </c>
      <c r="K5175" t="inlineStr">
        <is>
          <t>Provisional HSP for screening; replace with experimental/literature value before model lock.</t>
        </is>
      </c>
    </row>
    <row r="5176">
      <c r="A5176" t="inlineStr">
        <is>
          <t>POL_EUDRAGIT_E_PO</t>
        </is>
      </c>
      <c r="B5176" t="inlineStr">
        <is>
          <t>Hansen_delta_P</t>
        </is>
      </c>
      <c r="C5176">
        <v>8.0</v>
      </c>
      <c r="D5176" t="inlineStr">
        <is>
          <t>MPa^0.5</t>
        </is>
      </c>
      <c r="E5176"/>
      <c r="F5176"/>
      <c r="G5176" t="inlineStr">
        <is>
          <t>heuristic group-contribution/nearest-neighbour</t>
        </is>
      </c>
      <c r="H5176" t="inlineStr">
        <is>
          <t>S013_EST_HSP_HEURISTIC</t>
        </is>
      </c>
      <c r="I5176" t="inlineStr">
        <is>
          <t>estimated</t>
        </is>
      </c>
      <c r="J5176">
        <v>0.35</v>
      </c>
      <c r="K5176" t="inlineStr">
        <is>
          <t>Provisional HSP for screening; replace with experimental/literature value before model lock.</t>
        </is>
      </c>
    </row>
    <row r="5177">
      <c r="A5177" t="inlineStr">
        <is>
          <t>POL_EUDRAGIT_E_PO</t>
        </is>
      </c>
      <c r="B5177" t="inlineStr">
        <is>
          <t>Hansen_delta_H</t>
        </is>
      </c>
      <c r="C5177">
        <v>10.0</v>
      </c>
      <c r="D5177" t="inlineStr">
        <is>
          <t>MPa^0.5</t>
        </is>
      </c>
      <c r="E5177"/>
      <c r="F5177"/>
      <c r="G5177" t="inlineStr">
        <is>
          <t>heuristic group-contribution/nearest-neighbour</t>
        </is>
      </c>
      <c r="H5177" t="inlineStr">
        <is>
          <t>S013_EST_HSP_HEURISTIC</t>
        </is>
      </c>
      <c r="I5177" t="inlineStr">
        <is>
          <t>estimated</t>
        </is>
      </c>
      <c r="J5177">
        <v>0.35</v>
      </c>
      <c r="K5177" t="inlineStr">
        <is>
          <t>Provisional HSP for screening; replace with experimental/literature value before model lock.</t>
        </is>
      </c>
    </row>
    <row r="5178">
      <c r="A5178" t="inlineStr">
        <is>
          <t>POL_EUDRAGIT_E_PO</t>
        </is>
      </c>
      <c r="B5178" t="inlineStr">
        <is>
          <t>Hildebrand_delta_T</t>
        </is>
      </c>
      <c r="C5178">
        <v>22.09</v>
      </c>
      <c r="D5178" t="inlineStr">
        <is>
          <t>MPa^0.5</t>
        </is>
      </c>
      <c r="E5178"/>
      <c r="F5178"/>
      <c r="G5178" t="inlineStr">
        <is>
          <t>sqrt(deltaD^2+deltaP^2+deltaH^2)</t>
        </is>
      </c>
      <c r="H5178" t="inlineStr">
        <is>
          <t>S012_CALCULATED</t>
        </is>
      </c>
      <c r="I5178" t="inlineStr">
        <is>
          <t>calculated</t>
        </is>
      </c>
      <c r="J5178">
        <v>0.39999999999999997</v>
      </c>
      <c r="K5178" t="inlineStr">
        <is>
          <t>Derived from stored Hansen components.</t>
        </is>
      </c>
    </row>
    <row r="5179">
      <c r="A5179" t="inlineStr">
        <is>
          <t>POL_EUDRAGIT_E_PO</t>
        </is>
      </c>
      <c r="B5179" t="inlineStr">
        <is>
          <t>HSP_radius_R0</t>
        </is>
      </c>
      <c r="C5179">
        <v>9.0</v>
      </c>
      <c r="D5179" t="inlineStr">
        <is>
          <t>MPa^0.5</t>
        </is>
      </c>
      <c r="E5179"/>
      <c r="F5179"/>
      <c r="G5179" t="inlineStr">
        <is>
          <t>literature/heuristic solubility sphere</t>
        </is>
      </c>
      <c r="H5179" t="inlineStr">
        <is>
          <t>S013_EST_HSP_HEURISTIC</t>
        </is>
      </c>
      <c r="I5179" t="inlineStr">
        <is>
          <t>estimated</t>
        </is>
      </c>
      <c r="J5179">
        <v>0.35</v>
      </c>
      <c r="K5179" t="inlineStr">
        <is>
          <t>Screening radius only unless experimentally determined.</t>
        </is>
      </c>
    </row>
    <row r="5180">
      <c r="A5180" t="inlineStr">
        <is>
          <t>POL_GELATIN</t>
        </is>
      </c>
      <c r="B5180" t="inlineStr">
        <is>
          <t>average_mw_g_mol</t>
        </is>
      </c>
      <c r="C5180">
        <v>50000</v>
      </c>
      <c r="D5180" t="inlineStr">
        <is>
          <t>g/mol</t>
        </is>
      </c>
      <c r="E5180"/>
      <c r="F5180"/>
      <c r="G5180" t="inlineStr">
        <is>
          <t>grade-dependent</t>
        </is>
      </c>
      <c r="H5180" t="inlineStr">
        <is>
          <t>S007_EXCIPIENTS_HANDBOOK</t>
        </is>
      </c>
      <c r="I5180" t="inlineStr">
        <is>
          <t>supplier-reported</t>
        </is>
      </c>
      <c r="J5180">
        <v>0.45</v>
      </c>
      <c r="K5180"/>
    </row>
    <row r="5181">
      <c r="A5181" t="inlineStr">
        <is>
          <t>POL_GELATIN</t>
        </is>
      </c>
      <c r="B5181" t="inlineStr">
        <is>
          <t>pKa</t>
        </is>
      </c>
      <c r="C5181" t="inlineStr">
        <is>
          <t>amphoteric</t>
        </is>
      </c>
      <c r="D5181"/>
      <c r="E5181"/>
      <c r="F5181"/>
      <c r="G5181" t="inlineStr">
        <is>
          <t>grade/substitution dependent</t>
        </is>
      </c>
      <c r="H5181" t="inlineStr">
        <is>
          <t>S007_EXCIPIENTS_HANDBOOK</t>
        </is>
      </c>
      <c r="I5181" t="inlineStr">
        <is>
          <t>literature</t>
        </is>
      </c>
      <c r="J5181">
        <v>0.48</v>
      </c>
      <c r="K5181"/>
    </row>
    <row r="5182">
      <c r="A5182" t="inlineStr">
        <is>
          <t>POL_GELATIN</t>
        </is>
      </c>
      <c r="B5182" t="inlineStr">
        <is>
          <t>charge_density</t>
        </is>
      </c>
      <c r="C5182" t="inlineStr">
        <is>
          <t>hot-water soluble</t>
        </is>
      </c>
      <c r="D5182"/>
      <c r="E5182"/>
      <c r="F5182"/>
      <c r="G5182" t="inlineStr">
        <is>
          <t>grade/substitution dependent</t>
        </is>
      </c>
      <c r="H5182" t="inlineStr">
        <is>
          <t>S007_EXCIPIENTS_HANDBOOK</t>
        </is>
      </c>
      <c r="I5182" t="inlineStr">
        <is>
          <t>literature</t>
        </is>
      </c>
      <c r="J5182">
        <v>0.48</v>
      </c>
      <c r="K5182"/>
    </row>
    <row r="5183">
      <c r="A5183" t="inlineStr">
        <is>
          <t>POL_GELATIN</t>
        </is>
      </c>
      <c r="B5183" t="inlineStr">
        <is>
          <t>charge_type</t>
        </is>
      </c>
      <c r="C5183">
        <v>0</v>
      </c>
      <c r="D5183"/>
      <c r="E5183"/>
      <c r="F5183"/>
      <c r="G5183"/>
      <c r="H5183" t="inlineStr">
        <is>
          <t>S007_EXCIPIENTS_HANDBOOK</t>
        </is>
      </c>
      <c r="I5183" t="inlineStr">
        <is>
          <t>curated</t>
        </is>
      </c>
      <c r="J5183">
        <v>0.75</v>
      </c>
      <c r="K5183"/>
    </row>
    <row r="5184">
      <c r="A5184" t="inlineStr">
        <is>
          <t>POL_GELATIN</t>
        </is>
      </c>
      <c r="B5184" t="inlineStr">
        <is>
          <t>formal_charge</t>
        </is>
      </c>
      <c r="C5184" t="inlineStr">
        <is>
          <t>pI type dependent</t>
        </is>
      </c>
      <c r="D5184" t="inlineStr">
        <is>
          <t>e</t>
        </is>
      </c>
      <c r="E5184"/>
      <c r="F5184"/>
      <c r="G5184"/>
      <c r="H5184" t="inlineStr">
        <is>
          <t>S007_EXCIPIENTS_HANDBOOK</t>
        </is>
      </c>
      <c r="I5184" t="inlineStr">
        <is>
          <t>curated</t>
        </is>
      </c>
      <c r="J5184">
        <v>0.75</v>
      </c>
      <c r="K5184"/>
    </row>
    <row r="5185">
      <c r="A5185" t="inlineStr">
        <is>
          <t>POL_GELATIN</t>
        </is>
      </c>
      <c r="B5185" t="inlineStr">
        <is>
          <t>solubility_in_water</t>
        </is>
      </c>
      <c r="C5185" t="inlineStr">
        <is>
          <t>poor</t>
        </is>
      </c>
      <c r="D5185"/>
      <c r="E5185"/>
      <c r="F5185"/>
      <c r="G5185"/>
      <c r="H5185" t="inlineStr">
        <is>
          <t>S007_EXCIPIENTS_HANDBOOK</t>
        </is>
      </c>
      <c r="I5185" t="inlineStr">
        <is>
          <t>handbook</t>
        </is>
      </c>
      <c r="J5185">
        <v>0.55</v>
      </c>
      <c r="K5185"/>
    </row>
    <row r="5186">
      <c r="A5186" t="inlineStr">
        <is>
          <t>POL_GELATIN</t>
        </is>
      </c>
      <c r="B5186" t="inlineStr">
        <is>
          <t>solubility_in_ethanol</t>
        </is>
      </c>
      <c r="C5186" t="inlineStr">
        <is>
          <t>poor</t>
        </is>
      </c>
      <c r="D5186"/>
      <c r="E5186"/>
      <c r="F5186"/>
      <c r="G5186"/>
      <c r="H5186" t="inlineStr">
        <is>
          <t>S007_EXCIPIENTS_HANDBOOK</t>
        </is>
      </c>
      <c r="I5186" t="inlineStr">
        <is>
          <t>handbook</t>
        </is>
      </c>
      <c r="J5186">
        <v>0.55</v>
      </c>
      <c r="K5186"/>
    </row>
    <row r="5187">
      <c r="A5187" t="inlineStr">
        <is>
          <t>POL_GELATIN</t>
        </is>
      </c>
      <c r="B5187" t="inlineStr">
        <is>
          <t>solubility_in_acetone</t>
        </is>
      </c>
      <c r="C5187" t="inlineStr">
        <is>
          <t>poor</t>
        </is>
      </c>
      <c r="D5187"/>
      <c r="E5187"/>
      <c r="F5187"/>
      <c r="G5187"/>
      <c r="H5187" t="inlineStr">
        <is>
          <t>S007_EXCIPIENTS_HANDBOOK</t>
        </is>
      </c>
      <c r="I5187" t="inlineStr">
        <is>
          <t>handbook</t>
        </is>
      </c>
      <c r="J5187">
        <v>0.55</v>
      </c>
      <c r="K5187"/>
    </row>
    <row r="5188">
      <c r="A5188" t="inlineStr">
        <is>
          <t>POL_GELATIN</t>
        </is>
      </c>
      <c r="B5188" t="inlineStr">
        <is>
          <t>solubility_in_dcm</t>
        </is>
      </c>
      <c r="C5188" t="inlineStr">
        <is>
          <t>yes/enzymatic</t>
        </is>
      </c>
      <c r="D5188"/>
      <c r="E5188"/>
      <c r="F5188"/>
      <c r="G5188"/>
      <c r="H5188" t="inlineStr">
        <is>
          <t>S007_EXCIPIENTS_HANDBOOK</t>
        </is>
      </c>
      <c r="I5188" t="inlineStr">
        <is>
          <t>handbook</t>
        </is>
      </c>
      <c r="J5188">
        <v>0.55</v>
      </c>
      <c r="K5188"/>
    </row>
    <row r="5189">
      <c r="A5189" t="inlineStr">
        <is>
          <t>POL_GELATIN</t>
        </is>
      </c>
      <c r="B5189" t="inlineStr">
        <is>
          <t>biodegradability</t>
        </is>
      </c>
      <c r="C5189" t="inlineStr">
        <is>
          <t>yes</t>
        </is>
      </c>
      <c r="D5189"/>
      <c r="E5189"/>
      <c r="F5189"/>
      <c r="G5189"/>
      <c r="H5189" t="inlineStr">
        <is>
          <t>S014_AULTON</t>
        </is>
      </c>
      <c r="I5189" t="inlineStr">
        <is>
          <t>curated</t>
        </is>
      </c>
      <c r="J5189">
        <v>0.65</v>
      </c>
      <c r="K5189"/>
    </row>
    <row r="5190">
      <c r="A5190" t="inlineStr">
        <is>
          <t>POL_GELATIN</t>
        </is>
      </c>
      <c r="B5190" t="inlineStr">
        <is>
          <t>mucoadhesive_flag</t>
        </is>
      </c>
      <c r="C5190" t="inlineStr">
        <is>
          <t>matrix</t>
        </is>
      </c>
      <c r="D5190"/>
      <c r="E5190"/>
      <c r="F5190"/>
      <c r="G5190"/>
      <c r="H5190" t="inlineStr">
        <is>
          <t>S014_AULTON</t>
        </is>
      </c>
      <c r="I5190" t="inlineStr">
        <is>
          <t>curated</t>
        </is>
      </c>
      <c r="J5190">
        <v>0.65</v>
      </c>
      <c r="K5190"/>
    </row>
    <row r="5191">
      <c r="A5191" t="inlineStr">
        <is>
          <t>POL_GELATIN</t>
        </is>
      </c>
      <c r="B5191" t="inlineStr">
        <is>
          <t>coating_role</t>
        </is>
      </c>
      <c r="C5191" t="inlineStr">
        <is>
          <t>yes</t>
        </is>
      </c>
      <c r="D5191"/>
      <c r="E5191"/>
      <c r="F5191"/>
      <c r="G5191"/>
      <c r="H5191" t="inlineStr">
        <is>
          <t>S014_AULTON</t>
        </is>
      </c>
      <c r="I5191" t="inlineStr">
        <is>
          <t>curated</t>
        </is>
      </c>
      <c r="J5191">
        <v>0.6</v>
      </c>
      <c r="K5191"/>
    </row>
    <row r="5192">
      <c r="A5192" t="inlineStr">
        <is>
          <t>POL_GELATIN</t>
        </is>
      </c>
      <c r="B5192" t="inlineStr">
        <is>
          <t>stabilizer_role</t>
        </is>
      </c>
      <c r="C5192" t="inlineStr">
        <is>
          <t>animal source/bioburden/allergen control</t>
        </is>
      </c>
      <c r="D5192"/>
      <c r="E5192"/>
      <c r="F5192"/>
      <c r="G5192"/>
      <c r="H5192" t="inlineStr">
        <is>
          <t>S014_AULTON</t>
        </is>
      </c>
      <c r="I5192" t="inlineStr">
        <is>
          <t>curated</t>
        </is>
      </c>
      <c r="J5192">
        <v>0.6</v>
      </c>
      <c r="K5192"/>
    </row>
    <row r="5193">
      <c r="A5193" t="inlineStr">
        <is>
          <t>POL_GELATIN</t>
        </is>
      </c>
      <c r="B5193" t="inlineStr">
        <is>
          <t>route_suitability</t>
        </is>
      </c>
      <c r="C5193" t="inlineStr">
        <is>
          <t>polymeric/hybrid/coating/stabilizer systems; grade and route dependent</t>
        </is>
      </c>
      <c r="D5193"/>
      <c r="E5193"/>
      <c r="F5193"/>
      <c r="G5193"/>
      <c r="H5193" t="inlineStr">
        <is>
          <t>S008_FDA_IID</t>
        </is>
      </c>
      <c r="I5193" t="inlineStr">
        <is>
          <t>curated</t>
        </is>
      </c>
      <c r="J5193">
        <v>0.55</v>
      </c>
      <c r="K5193"/>
    </row>
    <row r="5194">
      <c r="A5194" t="inlineStr">
        <is>
          <t>POL_GELATIN</t>
        </is>
      </c>
      <c r="B5194" t="inlineStr">
        <is>
          <t>toxicity_notes</t>
        </is>
      </c>
      <c r="C5194" t="inlineStr">
        <is>
          <t>polymer grade, residual monomers/solvents, endotoxin and molecular weight distribution must be controlled</t>
        </is>
      </c>
      <c r="D5194"/>
      <c r="E5194"/>
      <c r="F5194"/>
      <c r="G5194"/>
      <c r="H5194" t="inlineStr">
        <is>
          <t>S007_EXCIPIENTS_HANDBOOK</t>
        </is>
      </c>
      <c r="I5194" t="inlineStr">
        <is>
          <t>curated</t>
        </is>
      </c>
      <c r="J5194">
        <v>0.65</v>
      </c>
      <c r="K5194"/>
    </row>
    <row r="5195">
      <c r="A5195" t="inlineStr">
        <is>
          <t>POL_GELATIN</t>
        </is>
      </c>
      <c r="B5195" t="inlineStr">
        <is>
          <t>Hansen_delta_D</t>
        </is>
      </c>
      <c r="C5195">
        <v>18.0</v>
      </c>
      <c r="D5195" t="inlineStr">
        <is>
          <t>MPa^0.5</t>
        </is>
      </c>
      <c r="E5195"/>
      <c r="F5195"/>
      <c r="G5195" t="inlineStr">
        <is>
          <t>heuristic group-contribution/nearest-neighbour</t>
        </is>
      </c>
      <c r="H5195" t="inlineStr">
        <is>
          <t>S013_EST_HSP_HEURISTIC</t>
        </is>
      </c>
      <c r="I5195" t="inlineStr">
        <is>
          <t>estimated</t>
        </is>
      </c>
      <c r="J5195">
        <v>0.35</v>
      </c>
      <c r="K5195" t="inlineStr">
        <is>
          <t>Provisional HSP for screening; replace with experimental/literature value before model lock.</t>
        </is>
      </c>
    </row>
    <row r="5196">
      <c r="A5196" t="inlineStr">
        <is>
          <t>POL_GELATIN</t>
        </is>
      </c>
      <c r="B5196" t="inlineStr">
        <is>
          <t>Hansen_delta_P</t>
        </is>
      </c>
      <c r="C5196">
        <v>8.0</v>
      </c>
      <c r="D5196" t="inlineStr">
        <is>
          <t>MPa^0.5</t>
        </is>
      </c>
      <c r="E5196"/>
      <c r="F5196"/>
      <c r="G5196" t="inlineStr">
        <is>
          <t>heuristic group-contribution/nearest-neighbour</t>
        </is>
      </c>
      <c r="H5196" t="inlineStr">
        <is>
          <t>S013_EST_HSP_HEURISTIC</t>
        </is>
      </c>
      <c r="I5196" t="inlineStr">
        <is>
          <t>estimated</t>
        </is>
      </c>
      <c r="J5196">
        <v>0.35</v>
      </c>
      <c r="K5196" t="inlineStr">
        <is>
          <t>Provisional HSP for screening; replace with experimental/literature value before model lock.</t>
        </is>
      </c>
    </row>
    <row r="5197">
      <c r="A5197" t="inlineStr">
        <is>
          <t>POL_GELATIN</t>
        </is>
      </c>
      <c r="B5197" t="inlineStr">
        <is>
          <t>Hansen_delta_H</t>
        </is>
      </c>
      <c r="C5197">
        <v>10.0</v>
      </c>
      <c r="D5197" t="inlineStr">
        <is>
          <t>MPa^0.5</t>
        </is>
      </c>
      <c r="E5197"/>
      <c r="F5197"/>
      <c r="G5197" t="inlineStr">
        <is>
          <t>heuristic group-contribution/nearest-neighbour</t>
        </is>
      </c>
      <c r="H5197" t="inlineStr">
        <is>
          <t>S013_EST_HSP_HEURISTIC</t>
        </is>
      </c>
      <c r="I5197" t="inlineStr">
        <is>
          <t>estimated</t>
        </is>
      </c>
      <c r="J5197">
        <v>0.35</v>
      </c>
      <c r="K5197" t="inlineStr">
        <is>
          <t>Provisional HSP for screening; replace with experimental/literature value before model lock.</t>
        </is>
      </c>
    </row>
    <row r="5198">
      <c r="A5198" t="inlineStr">
        <is>
          <t>POL_GELATIN</t>
        </is>
      </c>
      <c r="B5198" t="inlineStr">
        <is>
          <t>Hildebrand_delta_T</t>
        </is>
      </c>
      <c r="C5198">
        <v>22.09</v>
      </c>
      <c r="D5198" t="inlineStr">
        <is>
          <t>MPa^0.5</t>
        </is>
      </c>
      <c r="E5198"/>
      <c r="F5198"/>
      <c r="G5198" t="inlineStr">
        <is>
          <t>sqrt(deltaD^2+deltaP^2+deltaH^2)</t>
        </is>
      </c>
      <c r="H5198" t="inlineStr">
        <is>
          <t>S012_CALCULATED</t>
        </is>
      </c>
      <c r="I5198" t="inlineStr">
        <is>
          <t>calculated</t>
        </is>
      </c>
      <c r="J5198">
        <v>0.39999999999999997</v>
      </c>
      <c r="K5198" t="inlineStr">
        <is>
          <t>Derived from stored Hansen components.</t>
        </is>
      </c>
    </row>
    <row r="5199">
      <c r="A5199" t="inlineStr">
        <is>
          <t>POL_GELATIN</t>
        </is>
      </c>
      <c r="B5199" t="inlineStr">
        <is>
          <t>HSP_radius_R0</t>
        </is>
      </c>
      <c r="C5199">
        <v>9.0</v>
      </c>
      <c r="D5199" t="inlineStr">
        <is>
          <t>MPa^0.5</t>
        </is>
      </c>
      <c r="E5199"/>
      <c r="F5199"/>
      <c r="G5199" t="inlineStr">
        <is>
          <t>literature/heuristic solubility sphere</t>
        </is>
      </c>
      <c r="H5199" t="inlineStr">
        <is>
          <t>S013_EST_HSP_HEURISTIC</t>
        </is>
      </c>
      <c r="I5199" t="inlineStr">
        <is>
          <t>estimated</t>
        </is>
      </c>
      <c r="J5199">
        <v>0.35</v>
      </c>
      <c r="K5199" t="inlineStr">
        <is>
          <t>Screening radius only unless experimentally determined.</t>
        </is>
      </c>
    </row>
    <row r="5200">
      <c r="A5200" t="inlineStr">
        <is>
          <t>POL_ALBUMIN_POLYMER_GRADE</t>
        </is>
      </c>
      <c r="B5200" t="inlineStr">
        <is>
          <t>average_mw_g_mol</t>
        </is>
      </c>
      <c r="C5200">
        <v>66500</v>
      </c>
      <c r="D5200" t="inlineStr">
        <is>
          <t>g/mol</t>
        </is>
      </c>
      <c r="E5200"/>
      <c r="F5200"/>
      <c r="G5200" t="inlineStr">
        <is>
          <t>grade-dependent</t>
        </is>
      </c>
      <c r="H5200" t="inlineStr">
        <is>
          <t>S007_EXCIPIENTS_HANDBOOK</t>
        </is>
      </c>
      <c r="I5200" t="inlineStr">
        <is>
          <t>supplier-reported</t>
        </is>
      </c>
      <c r="J5200">
        <v>0.45</v>
      </c>
      <c r="K5200"/>
    </row>
    <row r="5201">
      <c r="A5201" t="inlineStr">
        <is>
          <t>POL_ALBUMIN_POLYMER_GRADE</t>
        </is>
      </c>
      <c r="B5201" t="inlineStr">
        <is>
          <t>pKa</t>
        </is>
      </c>
      <c r="C5201" t="inlineStr">
        <is>
          <t>amphoteric</t>
        </is>
      </c>
      <c r="D5201"/>
      <c r="E5201"/>
      <c r="F5201"/>
      <c r="G5201" t="inlineStr">
        <is>
          <t>grade/substitution dependent</t>
        </is>
      </c>
      <c r="H5201" t="inlineStr">
        <is>
          <t>S007_EXCIPIENTS_HANDBOOK</t>
        </is>
      </c>
      <c r="I5201" t="inlineStr">
        <is>
          <t>literature</t>
        </is>
      </c>
      <c r="J5201">
        <v>0.48</v>
      </c>
      <c r="K5201"/>
    </row>
    <row r="5202">
      <c r="A5202" t="inlineStr">
        <is>
          <t>POL_ALBUMIN_POLYMER_GRADE</t>
        </is>
      </c>
      <c r="B5202" t="inlineStr">
        <is>
          <t>charge_density</t>
        </is>
      </c>
      <c r="C5202" t="inlineStr">
        <is>
          <t>high</t>
        </is>
      </c>
      <c r="D5202"/>
      <c r="E5202"/>
      <c r="F5202"/>
      <c r="G5202" t="inlineStr">
        <is>
          <t>grade/substitution dependent</t>
        </is>
      </c>
      <c r="H5202" t="inlineStr">
        <is>
          <t>S007_EXCIPIENTS_HANDBOOK</t>
        </is>
      </c>
      <c r="I5202" t="inlineStr">
        <is>
          <t>literature</t>
        </is>
      </c>
      <c r="J5202">
        <v>0.48</v>
      </c>
      <c r="K5202"/>
    </row>
    <row r="5203">
      <c r="A5203" t="inlineStr">
        <is>
          <t>POL_ALBUMIN_POLYMER_GRADE</t>
        </is>
      </c>
      <c r="B5203" t="inlineStr">
        <is>
          <t>charge_type</t>
        </is>
      </c>
      <c r="C5203">
        <v>0</v>
      </c>
      <c r="D5203"/>
      <c r="E5203"/>
      <c r="F5203"/>
      <c r="G5203"/>
      <c r="H5203" t="inlineStr">
        <is>
          <t>S007_EXCIPIENTS_HANDBOOK</t>
        </is>
      </c>
      <c r="I5203" t="inlineStr">
        <is>
          <t>curated</t>
        </is>
      </c>
      <c r="J5203">
        <v>0.75</v>
      </c>
      <c r="K5203"/>
    </row>
    <row r="5204">
      <c r="A5204" t="inlineStr">
        <is>
          <t>POL_ALBUMIN_POLYMER_GRADE</t>
        </is>
      </c>
      <c r="B5204" t="inlineStr">
        <is>
          <t>formal_charge</t>
        </is>
      </c>
      <c r="C5204" t="inlineStr">
        <is>
          <t>pI ~4.7</t>
        </is>
      </c>
      <c r="D5204" t="inlineStr">
        <is>
          <t>e</t>
        </is>
      </c>
      <c r="E5204"/>
      <c r="F5204"/>
      <c r="G5204"/>
      <c r="H5204" t="inlineStr">
        <is>
          <t>S007_EXCIPIENTS_HANDBOOK</t>
        </is>
      </c>
      <c r="I5204" t="inlineStr">
        <is>
          <t>curated</t>
        </is>
      </c>
      <c r="J5204">
        <v>0.75</v>
      </c>
      <c r="K5204"/>
    </row>
    <row r="5205">
      <c r="A5205" t="inlineStr">
        <is>
          <t>POL_ALBUMIN_POLYMER_GRADE</t>
        </is>
      </c>
      <c r="B5205" t="inlineStr">
        <is>
          <t>solubility_in_water</t>
        </is>
      </c>
      <c r="C5205" t="inlineStr">
        <is>
          <t>poor</t>
        </is>
      </c>
      <c r="D5205"/>
      <c r="E5205"/>
      <c r="F5205"/>
      <c r="G5205"/>
      <c r="H5205" t="inlineStr">
        <is>
          <t>S007_EXCIPIENTS_HANDBOOK</t>
        </is>
      </c>
      <c r="I5205" t="inlineStr">
        <is>
          <t>handbook</t>
        </is>
      </c>
      <c r="J5205">
        <v>0.55</v>
      </c>
      <c r="K5205"/>
    </row>
    <row r="5206">
      <c r="A5206" t="inlineStr">
        <is>
          <t>POL_ALBUMIN_POLYMER_GRADE</t>
        </is>
      </c>
      <c r="B5206" t="inlineStr">
        <is>
          <t>solubility_in_ethanol</t>
        </is>
      </c>
      <c r="C5206" t="inlineStr">
        <is>
          <t>poor</t>
        </is>
      </c>
      <c r="D5206"/>
      <c r="E5206"/>
      <c r="F5206"/>
      <c r="G5206"/>
      <c r="H5206" t="inlineStr">
        <is>
          <t>S007_EXCIPIENTS_HANDBOOK</t>
        </is>
      </c>
      <c r="I5206" t="inlineStr">
        <is>
          <t>handbook</t>
        </is>
      </c>
      <c r="J5206">
        <v>0.55</v>
      </c>
      <c r="K5206"/>
    </row>
    <row r="5207">
      <c r="A5207" t="inlineStr">
        <is>
          <t>POL_ALBUMIN_POLYMER_GRADE</t>
        </is>
      </c>
      <c r="B5207" t="inlineStr">
        <is>
          <t>solubility_in_acetone</t>
        </is>
      </c>
      <c r="C5207" t="inlineStr">
        <is>
          <t>poor</t>
        </is>
      </c>
      <c r="D5207"/>
      <c r="E5207"/>
      <c r="F5207"/>
      <c r="G5207"/>
      <c r="H5207" t="inlineStr">
        <is>
          <t>S007_EXCIPIENTS_HANDBOOK</t>
        </is>
      </c>
      <c r="I5207" t="inlineStr">
        <is>
          <t>handbook</t>
        </is>
      </c>
      <c r="J5207">
        <v>0.55</v>
      </c>
      <c r="K5207"/>
    </row>
    <row r="5208">
      <c r="A5208" t="inlineStr">
        <is>
          <t>POL_ALBUMIN_POLYMER_GRADE</t>
        </is>
      </c>
      <c r="B5208" t="inlineStr">
        <is>
          <t>solubility_in_dcm</t>
        </is>
      </c>
      <c r="C5208" t="inlineStr">
        <is>
          <t>yes/enzymatic</t>
        </is>
      </c>
      <c r="D5208"/>
      <c r="E5208"/>
      <c r="F5208"/>
      <c r="G5208"/>
      <c r="H5208" t="inlineStr">
        <is>
          <t>S007_EXCIPIENTS_HANDBOOK</t>
        </is>
      </c>
      <c r="I5208" t="inlineStr">
        <is>
          <t>handbook</t>
        </is>
      </c>
      <c r="J5208">
        <v>0.55</v>
      </c>
      <c r="K5208"/>
    </row>
    <row r="5209">
      <c r="A5209" t="inlineStr">
        <is>
          <t>POL_ALBUMIN_POLYMER_GRADE</t>
        </is>
      </c>
      <c r="B5209" t="inlineStr">
        <is>
          <t>biodegradability</t>
        </is>
      </c>
      <c r="C5209" t="inlineStr">
        <is>
          <t>conditional</t>
        </is>
      </c>
      <c r="D5209"/>
      <c r="E5209"/>
      <c r="F5209"/>
      <c r="G5209"/>
      <c r="H5209" t="inlineStr">
        <is>
          <t>S014_AULTON</t>
        </is>
      </c>
      <c r="I5209" t="inlineStr">
        <is>
          <t>curated</t>
        </is>
      </c>
      <c r="J5209">
        <v>0.65</v>
      </c>
      <c r="K5209"/>
    </row>
    <row r="5210">
      <c r="A5210" t="inlineStr">
        <is>
          <t>POL_ALBUMIN_POLYMER_GRADE</t>
        </is>
      </c>
      <c r="B5210" t="inlineStr">
        <is>
          <t>mucoadhesive_flag</t>
        </is>
      </c>
      <c r="C5210" t="inlineStr">
        <is>
          <t>nanoparticle matrix</t>
        </is>
      </c>
      <c r="D5210"/>
      <c r="E5210"/>
      <c r="F5210"/>
      <c r="G5210"/>
      <c r="H5210" t="inlineStr">
        <is>
          <t>S014_AULTON</t>
        </is>
      </c>
      <c r="I5210" t="inlineStr">
        <is>
          <t>curated</t>
        </is>
      </c>
      <c r="J5210">
        <v>0.65</v>
      </c>
      <c r="K5210"/>
    </row>
    <row r="5211">
      <c r="A5211" t="inlineStr">
        <is>
          <t>POL_ALBUMIN_POLYMER_GRADE</t>
        </is>
      </c>
      <c r="B5211" t="inlineStr">
        <is>
          <t>coating_role</t>
        </is>
      </c>
      <c r="C5211" t="inlineStr">
        <is>
          <t>yes</t>
        </is>
      </c>
      <c r="D5211"/>
      <c r="E5211"/>
      <c r="F5211"/>
      <c r="G5211"/>
      <c r="H5211" t="inlineStr">
        <is>
          <t>S014_AULTON</t>
        </is>
      </c>
      <c r="I5211" t="inlineStr">
        <is>
          <t>curated</t>
        </is>
      </c>
      <c r="J5211">
        <v>0.6</v>
      </c>
      <c r="K5211"/>
    </row>
    <row r="5212">
      <c r="A5212" t="inlineStr">
        <is>
          <t>POL_ALBUMIN_POLYMER_GRADE</t>
        </is>
      </c>
      <c r="B5212" t="inlineStr">
        <is>
          <t>stabilizer_role</t>
        </is>
      </c>
      <c r="C5212" t="inlineStr">
        <is>
          <t>biologic source/immunogenicity/endotoxin control</t>
        </is>
      </c>
      <c r="D5212"/>
      <c r="E5212"/>
      <c r="F5212"/>
      <c r="G5212"/>
      <c r="H5212" t="inlineStr">
        <is>
          <t>S014_AULTON</t>
        </is>
      </c>
      <c r="I5212" t="inlineStr">
        <is>
          <t>curated</t>
        </is>
      </c>
      <c r="J5212">
        <v>0.6</v>
      </c>
      <c r="K5212"/>
    </row>
    <row r="5213">
      <c r="A5213" t="inlineStr">
        <is>
          <t>POL_ALBUMIN_POLYMER_GRADE</t>
        </is>
      </c>
      <c r="B5213" t="inlineStr">
        <is>
          <t>route_suitability</t>
        </is>
      </c>
      <c r="C5213" t="inlineStr">
        <is>
          <t>polymeric/hybrid/coating/stabilizer systems; grade and route dependent</t>
        </is>
      </c>
      <c r="D5213"/>
      <c r="E5213"/>
      <c r="F5213"/>
      <c r="G5213"/>
      <c r="H5213" t="inlineStr">
        <is>
          <t>S008_FDA_IID</t>
        </is>
      </c>
      <c r="I5213" t="inlineStr">
        <is>
          <t>curated</t>
        </is>
      </c>
      <c r="J5213">
        <v>0.55</v>
      </c>
      <c r="K5213"/>
    </row>
    <row r="5214">
      <c r="A5214" t="inlineStr">
        <is>
          <t>POL_ALBUMIN_POLYMER_GRADE</t>
        </is>
      </c>
      <c r="B5214" t="inlineStr">
        <is>
          <t>toxicity_notes</t>
        </is>
      </c>
      <c r="C5214" t="inlineStr">
        <is>
          <t>polymer grade, residual monomers/solvents, endotoxin and molecular weight distribution must be controlled</t>
        </is>
      </c>
      <c r="D5214"/>
      <c r="E5214"/>
      <c r="F5214"/>
      <c r="G5214"/>
      <c r="H5214" t="inlineStr">
        <is>
          <t>S007_EXCIPIENTS_HANDBOOK</t>
        </is>
      </c>
      <c r="I5214" t="inlineStr">
        <is>
          <t>curated</t>
        </is>
      </c>
      <c r="J5214">
        <v>0.65</v>
      </c>
      <c r="K5214"/>
    </row>
    <row r="5215">
      <c r="A5215" t="inlineStr">
        <is>
          <t>POL_ALBUMIN_POLYMER_GRADE</t>
        </is>
      </c>
      <c r="B5215" t="inlineStr">
        <is>
          <t>Hansen_delta_D</t>
        </is>
      </c>
      <c r="C5215">
        <v>18.0</v>
      </c>
      <c r="D5215" t="inlineStr">
        <is>
          <t>MPa^0.5</t>
        </is>
      </c>
      <c r="E5215"/>
      <c r="F5215"/>
      <c r="G5215" t="inlineStr">
        <is>
          <t>heuristic group-contribution/nearest-neighbour</t>
        </is>
      </c>
      <c r="H5215" t="inlineStr">
        <is>
          <t>S013_EST_HSP_HEURISTIC</t>
        </is>
      </c>
      <c r="I5215" t="inlineStr">
        <is>
          <t>estimated</t>
        </is>
      </c>
      <c r="J5215">
        <v>0.35</v>
      </c>
      <c r="K5215" t="inlineStr">
        <is>
          <t>Provisional HSP for screening; replace with experimental/literature value before model lock.</t>
        </is>
      </c>
    </row>
    <row r="5216">
      <c r="A5216" t="inlineStr">
        <is>
          <t>POL_ALBUMIN_POLYMER_GRADE</t>
        </is>
      </c>
      <c r="B5216" t="inlineStr">
        <is>
          <t>Hansen_delta_P</t>
        </is>
      </c>
      <c r="C5216">
        <v>8.0</v>
      </c>
      <c r="D5216" t="inlineStr">
        <is>
          <t>MPa^0.5</t>
        </is>
      </c>
      <c r="E5216"/>
      <c r="F5216"/>
      <c r="G5216" t="inlineStr">
        <is>
          <t>heuristic group-contribution/nearest-neighbour</t>
        </is>
      </c>
      <c r="H5216" t="inlineStr">
        <is>
          <t>S013_EST_HSP_HEURISTIC</t>
        </is>
      </c>
      <c r="I5216" t="inlineStr">
        <is>
          <t>estimated</t>
        </is>
      </c>
      <c r="J5216">
        <v>0.35</v>
      </c>
      <c r="K5216" t="inlineStr">
        <is>
          <t>Provisional HSP for screening; replace with experimental/literature value before model lock.</t>
        </is>
      </c>
    </row>
    <row r="5217">
      <c r="A5217" t="inlineStr">
        <is>
          <t>POL_ALBUMIN_POLYMER_GRADE</t>
        </is>
      </c>
      <c r="B5217" t="inlineStr">
        <is>
          <t>Hansen_delta_H</t>
        </is>
      </c>
      <c r="C5217">
        <v>10.0</v>
      </c>
      <c r="D5217" t="inlineStr">
        <is>
          <t>MPa^0.5</t>
        </is>
      </c>
      <c r="E5217"/>
      <c r="F5217"/>
      <c r="G5217" t="inlineStr">
        <is>
          <t>heuristic group-contribution/nearest-neighbour</t>
        </is>
      </c>
      <c r="H5217" t="inlineStr">
        <is>
          <t>S013_EST_HSP_HEURISTIC</t>
        </is>
      </c>
      <c r="I5217" t="inlineStr">
        <is>
          <t>estimated</t>
        </is>
      </c>
      <c r="J5217">
        <v>0.35</v>
      </c>
      <c r="K5217" t="inlineStr">
        <is>
          <t>Provisional HSP for screening; replace with experimental/literature value before model lock.</t>
        </is>
      </c>
    </row>
    <row r="5218">
      <c r="A5218" t="inlineStr">
        <is>
          <t>POL_ALBUMIN_POLYMER_GRADE</t>
        </is>
      </c>
      <c r="B5218" t="inlineStr">
        <is>
          <t>Hildebrand_delta_T</t>
        </is>
      </c>
      <c r="C5218">
        <v>22.09</v>
      </c>
      <c r="D5218" t="inlineStr">
        <is>
          <t>MPa^0.5</t>
        </is>
      </c>
      <c r="E5218"/>
      <c r="F5218"/>
      <c r="G5218" t="inlineStr">
        <is>
          <t>sqrt(deltaD^2+deltaP^2+deltaH^2)</t>
        </is>
      </c>
      <c r="H5218" t="inlineStr">
        <is>
          <t>S012_CALCULATED</t>
        </is>
      </c>
      <c r="I5218" t="inlineStr">
        <is>
          <t>calculated</t>
        </is>
      </c>
      <c r="J5218">
        <v>0.39999999999999997</v>
      </c>
      <c r="K5218" t="inlineStr">
        <is>
          <t>Derived from stored Hansen components.</t>
        </is>
      </c>
    </row>
    <row r="5219">
      <c r="A5219" t="inlineStr">
        <is>
          <t>POL_ALBUMIN_POLYMER_GRADE</t>
        </is>
      </c>
      <c r="B5219" t="inlineStr">
        <is>
          <t>HSP_radius_R0</t>
        </is>
      </c>
      <c r="C5219">
        <v>9.0</v>
      </c>
      <c r="D5219" t="inlineStr">
        <is>
          <t>MPa^0.5</t>
        </is>
      </c>
      <c r="E5219"/>
      <c r="F5219"/>
      <c r="G5219" t="inlineStr">
        <is>
          <t>literature/heuristic solubility sphere</t>
        </is>
      </c>
      <c r="H5219" t="inlineStr">
        <is>
          <t>S013_EST_HSP_HEURISTIC</t>
        </is>
      </c>
      <c r="I5219" t="inlineStr">
        <is>
          <t>estimated</t>
        </is>
      </c>
      <c r="J5219">
        <v>0.35</v>
      </c>
      <c r="K5219" t="inlineStr">
        <is>
          <t>Screening radius only unless experimentally determined.</t>
        </is>
      </c>
    </row>
    <row r="5220">
      <c r="A5220" t="inlineStr">
        <is>
          <t>POL_CASEIN</t>
        </is>
      </c>
      <c r="B5220" t="inlineStr">
        <is>
          <t>average_mw_g_mol</t>
        </is>
      </c>
      <c r="C5220">
        <v>24000</v>
      </c>
      <c r="D5220" t="inlineStr">
        <is>
          <t>g/mol</t>
        </is>
      </c>
      <c r="E5220"/>
      <c r="F5220"/>
      <c r="G5220" t="inlineStr">
        <is>
          <t>grade-dependent</t>
        </is>
      </c>
      <c r="H5220" t="inlineStr">
        <is>
          <t>S007_EXCIPIENTS_HANDBOOK</t>
        </is>
      </c>
      <c r="I5220" t="inlineStr">
        <is>
          <t>supplier-reported</t>
        </is>
      </c>
      <c r="J5220">
        <v>0.45</v>
      </c>
      <c r="K5220"/>
    </row>
    <row r="5221">
      <c r="A5221" t="inlineStr">
        <is>
          <t>POL_CASEIN</t>
        </is>
      </c>
      <c r="B5221" t="inlineStr">
        <is>
          <t>pKa</t>
        </is>
      </c>
      <c r="C5221" t="inlineStr">
        <is>
          <t>amphoteric</t>
        </is>
      </c>
      <c r="D5221"/>
      <c r="E5221"/>
      <c r="F5221"/>
      <c r="G5221" t="inlineStr">
        <is>
          <t>grade/substitution dependent</t>
        </is>
      </c>
      <c r="H5221" t="inlineStr">
        <is>
          <t>S007_EXCIPIENTS_HANDBOOK</t>
        </is>
      </c>
      <c r="I5221" t="inlineStr">
        <is>
          <t>literature</t>
        </is>
      </c>
      <c r="J5221">
        <v>0.48</v>
      </c>
      <c r="K5221"/>
    </row>
    <row r="5222">
      <c r="A5222" t="inlineStr">
        <is>
          <t>POL_CASEIN</t>
        </is>
      </c>
      <c r="B5222" t="inlineStr">
        <is>
          <t>charge_density</t>
        </is>
      </c>
      <c r="C5222" t="inlineStr">
        <is>
          <t>colloidal</t>
        </is>
      </c>
      <c r="D5222"/>
      <c r="E5222"/>
      <c r="F5222"/>
      <c r="G5222" t="inlineStr">
        <is>
          <t>grade/substitution dependent</t>
        </is>
      </c>
      <c r="H5222" t="inlineStr">
        <is>
          <t>S007_EXCIPIENTS_HANDBOOK</t>
        </is>
      </c>
      <c r="I5222" t="inlineStr">
        <is>
          <t>literature</t>
        </is>
      </c>
      <c r="J5222">
        <v>0.48</v>
      </c>
      <c r="K5222"/>
    </row>
    <row r="5223">
      <c r="A5223" t="inlineStr">
        <is>
          <t>POL_CASEIN</t>
        </is>
      </c>
      <c r="B5223" t="inlineStr">
        <is>
          <t>charge_type</t>
        </is>
      </c>
      <c r="C5223">
        <v>0</v>
      </c>
      <c r="D5223"/>
      <c r="E5223"/>
      <c r="F5223"/>
      <c r="G5223"/>
      <c r="H5223" t="inlineStr">
        <is>
          <t>S007_EXCIPIENTS_HANDBOOK</t>
        </is>
      </c>
      <c r="I5223" t="inlineStr">
        <is>
          <t>curated</t>
        </is>
      </c>
      <c r="J5223">
        <v>0.75</v>
      </c>
      <c r="K5223"/>
    </row>
    <row r="5224">
      <c r="A5224" t="inlineStr">
        <is>
          <t>POL_CASEIN</t>
        </is>
      </c>
      <c r="B5224" t="inlineStr">
        <is>
          <t>formal_charge</t>
        </is>
      </c>
      <c r="C5224" t="inlineStr">
        <is>
          <t>pI ~4.6</t>
        </is>
      </c>
      <c r="D5224" t="inlineStr">
        <is>
          <t>e</t>
        </is>
      </c>
      <c r="E5224"/>
      <c r="F5224"/>
      <c r="G5224"/>
      <c r="H5224" t="inlineStr">
        <is>
          <t>S007_EXCIPIENTS_HANDBOOK</t>
        </is>
      </c>
      <c r="I5224" t="inlineStr">
        <is>
          <t>curated</t>
        </is>
      </c>
      <c r="J5224">
        <v>0.75</v>
      </c>
      <c r="K5224"/>
    </row>
    <row r="5225">
      <c r="A5225" t="inlineStr">
        <is>
          <t>POL_CASEIN</t>
        </is>
      </c>
      <c r="B5225" t="inlineStr">
        <is>
          <t>solubility_in_water</t>
        </is>
      </c>
      <c r="C5225" t="inlineStr">
        <is>
          <t>poor</t>
        </is>
      </c>
      <c r="D5225"/>
      <c r="E5225"/>
      <c r="F5225"/>
      <c r="G5225"/>
      <c r="H5225" t="inlineStr">
        <is>
          <t>S007_EXCIPIENTS_HANDBOOK</t>
        </is>
      </c>
      <c r="I5225" t="inlineStr">
        <is>
          <t>handbook</t>
        </is>
      </c>
      <c r="J5225">
        <v>0.55</v>
      </c>
      <c r="K5225"/>
    </row>
    <row r="5226">
      <c r="A5226" t="inlineStr">
        <is>
          <t>POL_CASEIN</t>
        </is>
      </c>
      <c r="B5226" t="inlineStr">
        <is>
          <t>solubility_in_ethanol</t>
        </is>
      </c>
      <c r="C5226" t="inlineStr">
        <is>
          <t>poor</t>
        </is>
      </c>
      <c r="D5226"/>
      <c r="E5226"/>
      <c r="F5226"/>
      <c r="G5226"/>
      <c r="H5226" t="inlineStr">
        <is>
          <t>S007_EXCIPIENTS_HANDBOOK</t>
        </is>
      </c>
      <c r="I5226" t="inlineStr">
        <is>
          <t>handbook</t>
        </is>
      </c>
      <c r="J5226">
        <v>0.55</v>
      </c>
      <c r="K5226"/>
    </row>
    <row r="5227">
      <c r="A5227" t="inlineStr">
        <is>
          <t>POL_CASEIN</t>
        </is>
      </c>
      <c r="B5227" t="inlineStr">
        <is>
          <t>solubility_in_acetone</t>
        </is>
      </c>
      <c r="C5227" t="inlineStr">
        <is>
          <t>poor</t>
        </is>
      </c>
      <c r="D5227"/>
      <c r="E5227"/>
      <c r="F5227"/>
      <c r="G5227"/>
      <c r="H5227" t="inlineStr">
        <is>
          <t>S007_EXCIPIENTS_HANDBOOK</t>
        </is>
      </c>
      <c r="I5227" t="inlineStr">
        <is>
          <t>handbook</t>
        </is>
      </c>
      <c r="J5227">
        <v>0.55</v>
      </c>
      <c r="K5227"/>
    </row>
    <row r="5228">
      <c r="A5228" t="inlineStr">
        <is>
          <t>POL_CASEIN</t>
        </is>
      </c>
      <c r="B5228" t="inlineStr">
        <is>
          <t>solubility_in_dcm</t>
        </is>
      </c>
      <c r="C5228" t="inlineStr">
        <is>
          <t>yes/enzymatic</t>
        </is>
      </c>
      <c r="D5228"/>
      <c r="E5228"/>
      <c r="F5228"/>
      <c r="G5228"/>
      <c r="H5228" t="inlineStr">
        <is>
          <t>S007_EXCIPIENTS_HANDBOOK</t>
        </is>
      </c>
      <c r="I5228" t="inlineStr">
        <is>
          <t>handbook</t>
        </is>
      </c>
      <c r="J5228">
        <v>0.55</v>
      </c>
      <c r="K5228"/>
    </row>
    <row r="5229">
      <c r="A5229" t="inlineStr">
        <is>
          <t>POL_CASEIN</t>
        </is>
      </c>
      <c r="B5229" t="inlineStr">
        <is>
          <t>biodegradability</t>
        </is>
      </c>
      <c r="C5229" t="inlineStr">
        <is>
          <t>yes</t>
        </is>
      </c>
      <c r="D5229"/>
      <c r="E5229"/>
      <c r="F5229"/>
      <c r="G5229"/>
      <c r="H5229" t="inlineStr">
        <is>
          <t>S014_AULTON</t>
        </is>
      </c>
      <c r="I5229" t="inlineStr">
        <is>
          <t>curated</t>
        </is>
      </c>
      <c r="J5229">
        <v>0.65</v>
      </c>
      <c r="K5229"/>
    </row>
    <row r="5230">
      <c r="A5230" t="inlineStr">
        <is>
          <t>POL_CASEIN</t>
        </is>
      </c>
      <c r="B5230" t="inlineStr">
        <is>
          <t>mucoadhesive_flag</t>
        </is>
      </c>
      <c r="C5230" t="inlineStr">
        <is>
          <t>nanoparticle matrix</t>
        </is>
      </c>
      <c r="D5230"/>
      <c r="E5230"/>
      <c r="F5230"/>
      <c r="G5230"/>
      <c r="H5230" t="inlineStr">
        <is>
          <t>S014_AULTON</t>
        </is>
      </c>
      <c r="I5230" t="inlineStr">
        <is>
          <t>curated</t>
        </is>
      </c>
      <c r="J5230">
        <v>0.65</v>
      </c>
      <c r="K5230"/>
    </row>
    <row r="5231">
      <c r="A5231" t="inlineStr">
        <is>
          <t>POL_CASEIN</t>
        </is>
      </c>
      <c r="B5231" t="inlineStr">
        <is>
          <t>coating_role</t>
        </is>
      </c>
      <c r="C5231" t="inlineStr">
        <is>
          <t>yes</t>
        </is>
      </c>
      <c r="D5231"/>
      <c r="E5231"/>
      <c r="F5231"/>
      <c r="G5231"/>
      <c r="H5231" t="inlineStr">
        <is>
          <t>S014_AULTON</t>
        </is>
      </c>
      <c r="I5231" t="inlineStr">
        <is>
          <t>curated</t>
        </is>
      </c>
      <c r="J5231">
        <v>0.6</v>
      </c>
      <c r="K5231"/>
    </row>
    <row r="5232">
      <c r="A5232" t="inlineStr">
        <is>
          <t>POL_CASEIN</t>
        </is>
      </c>
      <c r="B5232" t="inlineStr">
        <is>
          <t>stabilizer_role</t>
        </is>
      </c>
      <c r="C5232" t="inlineStr">
        <is>
          <t>milk protein allergen consideration</t>
        </is>
      </c>
      <c r="D5232"/>
      <c r="E5232"/>
      <c r="F5232"/>
      <c r="G5232"/>
      <c r="H5232" t="inlineStr">
        <is>
          <t>S014_AULTON</t>
        </is>
      </c>
      <c r="I5232" t="inlineStr">
        <is>
          <t>curated</t>
        </is>
      </c>
      <c r="J5232">
        <v>0.6</v>
      </c>
      <c r="K5232"/>
    </row>
    <row r="5233">
      <c r="A5233" t="inlineStr">
        <is>
          <t>POL_CASEIN</t>
        </is>
      </c>
      <c r="B5233" t="inlineStr">
        <is>
          <t>route_suitability</t>
        </is>
      </c>
      <c r="C5233" t="inlineStr">
        <is>
          <t>polymeric/hybrid/coating/stabilizer systems; grade and route dependent</t>
        </is>
      </c>
      <c r="D5233"/>
      <c r="E5233"/>
      <c r="F5233"/>
      <c r="G5233"/>
      <c r="H5233" t="inlineStr">
        <is>
          <t>S008_FDA_IID</t>
        </is>
      </c>
      <c r="I5233" t="inlineStr">
        <is>
          <t>curated</t>
        </is>
      </c>
      <c r="J5233">
        <v>0.55</v>
      </c>
      <c r="K5233"/>
    </row>
    <row r="5234">
      <c r="A5234" t="inlineStr">
        <is>
          <t>POL_CASEIN</t>
        </is>
      </c>
      <c r="B5234" t="inlineStr">
        <is>
          <t>toxicity_notes</t>
        </is>
      </c>
      <c r="C5234" t="inlineStr">
        <is>
          <t>polymer grade, residual monomers/solvents, endotoxin and molecular weight distribution must be controlled</t>
        </is>
      </c>
      <c r="D5234"/>
      <c r="E5234"/>
      <c r="F5234"/>
      <c r="G5234"/>
      <c r="H5234" t="inlineStr">
        <is>
          <t>S007_EXCIPIENTS_HANDBOOK</t>
        </is>
      </c>
      <c r="I5234" t="inlineStr">
        <is>
          <t>curated</t>
        </is>
      </c>
      <c r="J5234">
        <v>0.65</v>
      </c>
      <c r="K5234"/>
    </row>
    <row r="5235">
      <c r="A5235" t="inlineStr">
        <is>
          <t>POL_CASEIN</t>
        </is>
      </c>
      <c r="B5235" t="inlineStr">
        <is>
          <t>Hansen_delta_D</t>
        </is>
      </c>
      <c r="C5235">
        <v>18.0</v>
      </c>
      <c r="D5235" t="inlineStr">
        <is>
          <t>MPa^0.5</t>
        </is>
      </c>
      <c r="E5235"/>
      <c r="F5235"/>
      <c r="G5235" t="inlineStr">
        <is>
          <t>heuristic group-contribution/nearest-neighbour</t>
        </is>
      </c>
      <c r="H5235" t="inlineStr">
        <is>
          <t>S013_EST_HSP_HEURISTIC</t>
        </is>
      </c>
      <c r="I5235" t="inlineStr">
        <is>
          <t>estimated</t>
        </is>
      </c>
      <c r="J5235">
        <v>0.35</v>
      </c>
      <c r="K5235" t="inlineStr">
        <is>
          <t>Provisional HSP for screening; replace with experimental/literature value before model lock.</t>
        </is>
      </c>
    </row>
    <row r="5236">
      <c r="A5236" t="inlineStr">
        <is>
          <t>POL_CASEIN</t>
        </is>
      </c>
      <c r="B5236" t="inlineStr">
        <is>
          <t>Hansen_delta_P</t>
        </is>
      </c>
      <c r="C5236">
        <v>8.0</v>
      </c>
      <c r="D5236" t="inlineStr">
        <is>
          <t>MPa^0.5</t>
        </is>
      </c>
      <c r="E5236"/>
      <c r="F5236"/>
      <c r="G5236" t="inlineStr">
        <is>
          <t>heuristic group-contribution/nearest-neighbour</t>
        </is>
      </c>
      <c r="H5236" t="inlineStr">
        <is>
          <t>S013_EST_HSP_HEURISTIC</t>
        </is>
      </c>
      <c r="I5236" t="inlineStr">
        <is>
          <t>estimated</t>
        </is>
      </c>
      <c r="J5236">
        <v>0.35</v>
      </c>
      <c r="K5236" t="inlineStr">
        <is>
          <t>Provisional HSP for screening; replace with experimental/literature value before model lock.</t>
        </is>
      </c>
    </row>
    <row r="5237">
      <c r="A5237" t="inlineStr">
        <is>
          <t>POL_CASEIN</t>
        </is>
      </c>
      <c r="B5237" t="inlineStr">
        <is>
          <t>Hansen_delta_H</t>
        </is>
      </c>
      <c r="C5237">
        <v>10.0</v>
      </c>
      <c r="D5237" t="inlineStr">
        <is>
          <t>MPa^0.5</t>
        </is>
      </c>
      <c r="E5237"/>
      <c r="F5237"/>
      <c r="G5237" t="inlineStr">
        <is>
          <t>heuristic group-contribution/nearest-neighbour</t>
        </is>
      </c>
      <c r="H5237" t="inlineStr">
        <is>
          <t>S013_EST_HSP_HEURISTIC</t>
        </is>
      </c>
      <c r="I5237" t="inlineStr">
        <is>
          <t>estimated</t>
        </is>
      </c>
      <c r="J5237">
        <v>0.35</v>
      </c>
      <c r="K5237" t="inlineStr">
        <is>
          <t>Provisional HSP for screening; replace with experimental/literature value before model lock.</t>
        </is>
      </c>
    </row>
    <row r="5238">
      <c r="A5238" t="inlineStr">
        <is>
          <t>POL_CASEIN</t>
        </is>
      </c>
      <c r="B5238" t="inlineStr">
        <is>
          <t>Hildebrand_delta_T</t>
        </is>
      </c>
      <c r="C5238">
        <v>22.09</v>
      </c>
      <c r="D5238" t="inlineStr">
        <is>
          <t>MPa^0.5</t>
        </is>
      </c>
      <c r="E5238"/>
      <c r="F5238"/>
      <c r="G5238" t="inlineStr">
        <is>
          <t>sqrt(deltaD^2+deltaP^2+deltaH^2)</t>
        </is>
      </c>
      <c r="H5238" t="inlineStr">
        <is>
          <t>S012_CALCULATED</t>
        </is>
      </c>
      <c r="I5238" t="inlineStr">
        <is>
          <t>calculated</t>
        </is>
      </c>
      <c r="J5238">
        <v>0.39999999999999997</v>
      </c>
      <c r="K5238" t="inlineStr">
        <is>
          <t>Derived from stored Hansen components.</t>
        </is>
      </c>
    </row>
    <row r="5239">
      <c r="A5239" t="inlineStr">
        <is>
          <t>POL_CASEIN</t>
        </is>
      </c>
      <c r="B5239" t="inlineStr">
        <is>
          <t>HSP_radius_R0</t>
        </is>
      </c>
      <c r="C5239">
        <v>9.0</v>
      </c>
      <c r="D5239" t="inlineStr">
        <is>
          <t>MPa^0.5</t>
        </is>
      </c>
      <c r="E5239"/>
      <c r="F5239"/>
      <c r="G5239" t="inlineStr">
        <is>
          <t>literature/heuristic solubility sphere</t>
        </is>
      </c>
      <c r="H5239" t="inlineStr">
        <is>
          <t>S013_EST_HSP_HEURISTIC</t>
        </is>
      </c>
      <c r="I5239" t="inlineStr">
        <is>
          <t>estimated</t>
        </is>
      </c>
      <c r="J5239">
        <v>0.35</v>
      </c>
      <c r="K5239" t="inlineStr">
        <is>
          <t>Screening radius only unless experimentally determined.</t>
        </is>
      </c>
    </row>
    <row r="5240">
      <c r="A5240" t="inlineStr">
        <is>
          <t>POL_ZEIN</t>
        </is>
      </c>
      <c r="B5240" t="inlineStr">
        <is>
          <t>average_mw_g_mol</t>
        </is>
      </c>
      <c r="C5240">
        <v>25000</v>
      </c>
      <c r="D5240" t="inlineStr">
        <is>
          <t>g/mol</t>
        </is>
      </c>
      <c r="E5240"/>
      <c r="F5240"/>
      <c r="G5240" t="inlineStr">
        <is>
          <t>grade-dependent</t>
        </is>
      </c>
      <c r="H5240" t="inlineStr">
        <is>
          <t>S007_EXCIPIENTS_HANDBOOK</t>
        </is>
      </c>
      <c r="I5240" t="inlineStr">
        <is>
          <t>supplier-reported</t>
        </is>
      </c>
      <c r="J5240">
        <v>0.45</v>
      </c>
      <c r="K5240"/>
    </row>
    <row r="5241">
      <c r="A5241" t="inlineStr">
        <is>
          <t>POL_ZEIN</t>
        </is>
      </c>
      <c r="B5241" t="inlineStr">
        <is>
          <t>pKa</t>
        </is>
      </c>
      <c r="C5241" t="inlineStr">
        <is>
          <t>neutral/amphoteric</t>
        </is>
      </c>
      <c r="D5241"/>
      <c r="E5241"/>
      <c r="F5241"/>
      <c r="G5241" t="inlineStr">
        <is>
          <t>grade/substitution dependent</t>
        </is>
      </c>
      <c r="H5241" t="inlineStr">
        <is>
          <t>S007_EXCIPIENTS_HANDBOOK</t>
        </is>
      </c>
      <c r="I5241" t="inlineStr">
        <is>
          <t>literature</t>
        </is>
      </c>
      <c r="J5241">
        <v>0.48</v>
      </c>
      <c r="K5241"/>
    </row>
    <row r="5242">
      <c r="A5242" t="inlineStr">
        <is>
          <t>POL_ZEIN</t>
        </is>
      </c>
      <c r="B5242" t="inlineStr">
        <is>
          <t>charge_density</t>
        </is>
      </c>
      <c r="C5242" t="inlineStr">
        <is>
          <t>poor</t>
        </is>
      </c>
      <c r="D5242"/>
      <c r="E5242"/>
      <c r="F5242"/>
      <c r="G5242" t="inlineStr">
        <is>
          <t>grade/substitution dependent</t>
        </is>
      </c>
      <c r="H5242" t="inlineStr">
        <is>
          <t>S007_EXCIPIENTS_HANDBOOK</t>
        </is>
      </c>
      <c r="I5242" t="inlineStr">
        <is>
          <t>literature</t>
        </is>
      </c>
      <c r="J5242">
        <v>0.48</v>
      </c>
      <c r="K5242"/>
    </row>
    <row r="5243">
      <c r="A5243" t="inlineStr">
        <is>
          <t>POL_ZEIN</t>
        </is>
      </c>
      <c r="B5243" t="inlineStr">
        <is>
          <t>charge_type</t>
        </is>
      </c>
      <c r="C5243">
        <v>0</v>
      </c>
      <c r="D5243"/>
      <c r="E5243"/>
      <c r="F5243"/>
      <c r="G5243"/>
      <c r="H5243" t="inlineStr">
        <is>
          <t>S007_EXCIPIENTS_HANDBOOK</t>
        </is>
      </c>
      <c r="I5243" t="inlineStr">
        <is>
          <t>curated</t>
        </is>
      </c>
      <c r="J5243">
        <v>0.75</v>
      </c>
      <c r="K5243"/>
    </row>
    <row r="5244">
      <c r="A5244" t="inlineStr">
        <is>
          <t>POL_ZEIN</t>
        </is>
      </c>
      <c r="B5244" t="inlineStr">
        <is>
          <t>solubility_in_water</t>
        </is>
      </c>
      <c r="C5244" t="inlineStr">
        <is>
          <t>soluble</t>
        </is>
      </c>
      <c r="D5244"/>
      <c r="E5244"/>
      <c r="F5244"/>
      <c r="G5244"/>
      <c r="H5244" t="inlineStr">
        <is>
          <t>S007_EXCIPIENTS_HANDBOOK</t>
        </is>
      </c>
      <c r="I5244" t="inlineStr">
        <is>
          <t>handbook</t>
        </is>
      </c>
      <c r="J5244">
        <v>0.55</v>
      </c>
      <c r="K5244"/>
    </row>
    <row r="5245">
      <c r="A5245" t="inlineStr">
        <is>
          <t>POL_ZEIN</t>
        </is>
      </c>
      <c r="B5245" t="inlineStr">
        <is>
          <t>solubility_in_ethanol</t>
        </is>
      </c>
      <c r="C5245" t="inlineStr">
        <is>
          <t>poor</t>
        </is>
      </c>
      <c r="D5245"/>
      <c r="E5245"/>
      <c r="F5245"/>
      <c r="G5245"/>
      <c r="H5245" t="inlineStr">
        <is>
          <t>S007_EXCIPIENTS_HANDBOOK</t>
        </is>
      </c>
      <c r="I5245" t="inlineStr">
        <is>
          <t>handbook</t>
        </is>
      </c>
      <c r="J5245">
        <v>0.55</v>
      </c>
      <c r="K5245"/>
    </row>
    <row r="5246">
      <c r="A5246" t="inlineStr">
        <is>
          <t>POL_ZEIN</t>
        </is>
      </c>
      <c r="B5246" t="inlineStr">
        <is>
          <t>solubility_in_acetone</t>
        </is>
      </c>
      <c r="C5246" t="inlineStr">
        <is>
          <t>poor</t>
        </is>
      </c>
      <c r="D5246"/>
      <c r="E5246"/>
      <c r="F5246"/>
      <c r="G5246"/>
      <c r="H5246" t="inlineStr">
        <is>
          <t>S007_EXCIPIENTS_HANDBOOK</t>
        </is>
      </c>
      <c r="I5246" t="inlineStr">
        <is>
          <t>handbook</t>
        </is>
      </c>
      <c r="J5246">
        <v>0.55</v>
      </c>
      <c r="K5246"/>
    </row>
    <row r="5247">
      <c r="A5247" t="inlineStr">
        <is>
          <t>POL_ZEIN</t>
        </is>
      </c>
      <c r="B5247" t="inlineStr">
        <is>
          <t>solubility_in_dcm</t>
        </is>
      </c>
      <c r="C5247" t="inlineStr">
        <is>
          <t>biodegradable</t>
        </is>
      </c>
      <c r="D5247"/>
      <c r="E5247"/>
      <c r="F5247"/>
      <c r="G5247"/>
      <c r="H5247" t="inlineStr">
        <is>
          <t>S007_EXCIPIENTS_HANDBOOK</t>
        </is>
      </c>
      <c r="I5247" t="inlineStr">
        <is>
          <t>handbook</t>
        </is>
      </c>
      <c r="J5247">
        <v>0.55</v>
      </c>
      <c r="K5247"/>
    </row>
    <row r="5248">
      <c r="A5248" t="inlineStr">
        <is>
          <t>POL_ZEIN</t>
        </is>
      </c>
      <c r="B5248" t="inlineStr">
        <is>
          <t>biodegradability</t>
        </is>
      </c>
      <c r="C5248" t="inlineStr">
        <is>
          <t>conditional</t>
        </is>
      </c>
      <c r="D5248"/>
      <c r="E5248"/>
      <c r="F5248"/>
      <c r="G5248"/>
      <c r="H5248" t="inlineStr">
        <is>
          <t>S014_AULTON</t>
        </is>
      </c>
      <c r="I5248" t="inlineStr">
        <is>
          <t>curated</t>
        </is>
      </c>
      <c r="J5248">
        <v>0.65</v>
      </c>
      <c r="K5248"/>
    </row>
    <row r="5249">
      <c r="A5249" t="inlineStr">
        <is>
          <t>POL_ZEIN</t>
        </is>
      </c>
      <c r="B5249" t="inlineStr">
        <is>
          <t>mucoadhesive_flag</t>
        </is>
      </c>
      <c r="C5249" t="inlineStr">
        <is>
          <t>nanoparticle matrix</t>
        </is>
      </c>
      <c r="D5249"/>
      <c r="E5249"/>
      <c r="F5249"/>
      <c r="G5249"/>
      <c r="H5249" t="inlineStr">
        <is>
          <t>S014_AULTON</t>
        </is>
      </c>
      <c r="I5249" t="inlineStr">
        <is>
          <t>curated</t>
        </is>
      </c>
      <c r="J5249">
        <v>0.65</v>
      </c>
      <c r="K5249"/>
    </row>
    <row r="5250">
      <c r="A5250" t="inlineStr">
        <is>
          <t>POL_ZEIN</t>
        </is>
      </c>
      <c r="B5250" t="inlineStr">
        <is>
          <t>coating_role</t>
        </is>
      </c>
      <c r="C5250" t="inlineStr">
        <is>
          <t>yes</t>
        </is>
      </c>
      <c r="D5250"/>
      <c r="E5250"/>
      <c r="F5250"/>
      <c r="G5250"/>
      <c r="H5250" t="inlineStr">
        <is>
          <t>S014_AULTON</t>
        </is>
      </c>
      <c r="I5250" t="inlineStr">
        <is>
          <t>curated</t>
        </is>
      </c>
      <c r="J5250">
        <v>0.6</v>
      </c>
      <c r="K5250"/>
    </row>
    <row r="5251">
      <c r="A5251" t="inlineStr">
        <is>
          <t>POL_ZEIN</t>
        </is>
      </c>
      <c r="B5251" t="inlineStr">
        <is>
          <t>stabilizer_role</t>
        </is>
      </c>
      <c r="C5251" t="inlineStr">
        <is>
          <t>corn protein; hydrophobic</t>
        </is>
      </c>
      <c r="D5251"/>
      <c r="E5251"/>
      <c r="F5251"/>
      <c r="G5251"/>
      <c r="H5251" t="inlineStr">
        <is>
          <t>S014_AULTON</t>
        </is>
      </c>
      <c r="I5251" t="inlineStr">
        <is>
          <t>curated</t>
        </is>
      </c>
      <c r="J5251">
        <v>0.6</v>
      </c>
      <c r="K5251"/>
    </row>
    <row r="5252">
      <c r="A5252" t="inlineStr">
        <is>
          <t>POL_ZEIN</t>
        </is>
      </c>
      <c r="B5252" t="inlineStr">
        <is>
          <t>route_suitability</t>
        </is>
      </c>
      <c r="C5252" t="inlineStr">
        <is>
          <t>polymeric/hybrid/coating/stabilizer systems; grade and route dependent</t>
        </is>
      </c>
      <c r="D5252"/>
      <c r="E5252"/>
      <c r="F5252"/>
      <c r="G5252"/>
      <c r="H5252" t="inlineStr">
        <is>
          <t>S008_FDA_IID</t>
        </is>
      </c>
      <c r="I5252" t="inlineStr">
        <is>
          <t>curated</t>
        </is>
      </c>
      <c r="J5252">
        <v>0.55</v>
      </c>
      <c r="K5252"/>
    </row>
    <row r="5253">
      <c r="A5253" t="inlineStr">
        <is>
          <t>POL_ZEIN</t>
        </is>
      </c>
      <c r="B5253" t="inlineStr">
        <is>
          <t>toxicity_notes</t>
        </is>
      </c>
      <c r="C5253" t="inlineStr">
        <is>
          <t>polymer grade, residual monomers/solvents, endotoxin and molecular weight distribution must be controlled</t>
        </is>
      </c>
      <c r="D5253"/>
      <c r="E5253"/>
      <c r="F5253"/>
      <c r="G5253"/>
      <c r="H5253" t="inlineStr">
        <is>
          <t>S007_EXCIPIENTS_HANDBOOK</t>
        </is>
      </c>
      <c r="I5253" t="inlineStr">
        <is>
          <t>curated</t>
        </is>
      </c>
      <c r="J5253">
        <v>0.65</v>
      </c>
      <c r="K5253"/>
    </row>
    <row r="5254">
      <c r="A5254" t="inlineStr">
        <is>
          <t>POL_ZEIN</t>
        </is>
      </c>
      <c r="B5254" t="inlineStr">
        <is>
          <t>Hansen_delta_D</t>
        </is>
      </c>
      <c r="C5254">
        <v>18.0</v>
      </c>
      <c r="D5254" t="inlineStr">
        <is>
          <t>MPa^0.5</t>
        </is>
      </c>
      <c r="E5254"/>
      <c r="F5254"/>
      <c r="G5254" t="inlineStr">
        <is>
          <t>heuristic group-contribution/nearest-neighbour</t>
        </is>
      </c>
      <c r="H5254" t="inlineStr">
        <is>
          <t>S013_EST_HSP_HEURISTIC</t>
        </is>
      </c>
      <c r="I5254" t="inlineStr">
        <is>
          <t>estimated</t>
        </is>
      </c>
      <c r="J5254">
        <v>0.35</v>
      </c>
      <c r="K5254" t="inlineStr">
        <is>
          <t>Provisional HSP for screening; replace with experimental/literature value before model lock.</t>
        </is>
      </c>
    </row>
    <row r="5255">
      <c r="A5255" t="inlineStr">
        <is>
          <t>POL_ZEIN</t>
        </is>
      </c>
      <c r="B5255" t="inlineStr">
        <is>
          <t>Hansen_delta_P</t>
        </is>
      </c>
      <c r="C5255">
        <v>8.0</v>
      </c>
      <c r="D5255" t="inlineStr">
        <is>
          <t>MPa^0.5</t>
        </is>
      </c>
      <c r="E5255"/>
      <c r="F5255"/>
      <c r="G5255" t="inlineStr">
        <is>
          <t>heuristic group-contribution/nearest-neighbour</t>
        </is>
      </c>
      <c r="H5255" t="inlineStr">
        <is>
          <t>S013_EST_HSP_HEURISTIC</t>
        </is>
      </c>
      <c r="I5255" t="inlineStr">
        <is>
          <t>estimated</t>
        </is>
      </c>
      <c r="J5255">
        <v>0.35</v>
      </c>
      <c r="K5255" t="inlineStr">
        <is>
          <t>Provisional HSP for screening; replace with experimental/literature value before model lock.</t>
        </is>
      </c>
    </row>
    <row r="5256">
      <c r="A5256" t="inlineStr">
        <is>
          <t>POL_ZEIN</t>
        </is>
      </c>
      <c r="B5256" t="inlineStr">
        <is>
          <t>Hansen_delta_H</t>
        </is>
      </c>
      <c r="C5256">
        <v>10.0</v>
      </c>
      <c r="D5256" t="inlineStr">
        <is>
          <t>MPa^0.5</t>
        </is>
      </c>
      <c r="E5256"/>
      <c r="F5256"/>
      <c r="G5256" t="inlineStr">
        <is>
          <t>heuristic group-contribution/nearest-neighbour</t>
        </is>
      </c>
      <c r="H5256" t="inlineStr">
        <is>
          <t>S013_EST_HSP_HEURISTIC</t>
        </is>
      </c>
      <c r="I5256" t="inlineStr">
        <is>
          <t>estimated</t>
        </is>
      </c>
      <c r="J5256">
        <v>0.35</v>
      </c>
      <c r="K5256" t="inlineStr">
        <is>
          <t>Provisional HSP for screening; replace with experimental/literature value before model lock.</t>
        </is>
      </c>
    </row>
    <row r="5257">
      <c r="A5257" t="inlineStr">
        <is>
          <t>POL_ZEIN</t>
        </is>
      </c>
      <c r="B5257" t="inlineStr">
        <is>
          <t>Hildebrand_delta_T</t>
        </is>
      </c>
      <c r="C5257">
        <v>22.09</v>
      </c>
      <c r="D5257" t="inlineStr">
        <is>
          <t>MPa^0.5</t>
        </is>
      </c>
      <c r="E5257"/>
      <c r="F5257"/>
      <c r="G5257" t="inlineStr">
        <is>
          <t>sqrt(deltaD^2+deltaP^2+deltaH^2)</t>
        </is>
      </c>
      <c r="H5257" t="inlineStr">
        <is>
          <t>S012_CALCULATED</t>
        </is>
      </c>
      <c r="I5257" t="inlineStr">
        <is>
          <t>calculated</t>
        </is>
      </c>
      <c r="J5257">
        <v>0.39999999999999997</v>
      </c>
      <c r="K5257" t="inlineStr">
        <is>
          <t>Derived from stored Hansen components.</t>
        </is>
      </c>
    </row>
    <row r="5258">
      <c r="A5258" t="inlineStr">
        <is>
          <t>POL_ZEIN</t>
        </is>
      </c>
      <c r="B5258" t="inlineStr">
        <is>
          <t>HSP_radius_R0</t>
        </is>
      </c>
      <c r="C5258">
        <v>9.0</v>
      </c>
      <c r="D5258" t="inlineStr">
        <is>
          <t>MPa^0.5</t>
        </is>
      </c>
      <c r="E5258"/>
      <c r="F5258"/>
      <c r="G5258" t="inlineStr">
        <is>
          <t>literature/heuristic solubility sphere</t>
        </is>
      </c>
      <c r="H5258" t="inlineStr">
        <is>
          <t>S013_EST_HSP_HEURISTIC</t>
        </is>
      </c>
      <c r="I5258" t="inlineStr">
        <is>
          <t>estimated</t>
        </is>
      </c>
      <c r="J5258">
        <v>0.35</v>
      </c>
      <c r="K5258" t="inlineStr">
        <is>
          <t>Screening radius only unless experimentally determined.</t>
        </is>
      </c>
    </row>
    <row r="5259">
      <c r="A5259" t="inlineStr">
        <is>
          <t>POL_PEG_400_POLYMER_GRADE</t>
        </is>
      </c>
      <c r="B5259" t="inlineStr">
        <is>
          <t>repeat_unit_mw_g_mol</t>
        </is>
      </c>
      <c r="C5259">
        <v>44</v>
      </c>
      <c r="D5259" t="inlineStr">
        <is>
          <t>g/mol</t>
        </is>
      </c>
      <c r="E5259"/>
      <c r="F5259"/>
      <c r="G5259"/>
      <c r="H5259" t="inlineStr">
        <is>
          <t>S007_EXCIPIENTS_HANDBOOK</t>
        </is>
      </c>
      <c r="I5259" t="inlineStr">
        <is>
          <t>handbook</t>
        </is>
      </c>
      <c r="J5259">
        <v>0.65</v>
      </c>
      <c r="K5259"/>
    </row>
    <row r="5260">
      <c r="A5260" t="inlineStr">
        <is>
          <t>POL_PEG_400_POLYMER_GRADE</t>
        </is>
      </c>
      <c r="B5260" t="inlineStr">
        <is>
          <t>average_mw_g_mol</t>
        </is>
      </c>
      <c r="C5260">
        <v>400</v>
      </c>
      <c r="D5260" t="inlineStr">
        <is>
          <t>g/mol</t>
        </is>
      </c>
      <c r="E5260"/>
      <c r="F5260"/>
      <c r="G5260" t="inlineStr">
        <is>
          <t>grade-dependent</t>
        </is>
      </c>
      <c r="H5260" t="inlineStr">
        <is>
          <t>S007_EXCIPIENTS_HANDBOOK</t>
        </is>
      </c>
      <c r="I5260" t="inlineStr">
        <is>
          <t>supplier-reported</t>
        </is>
      </c>
      <c r="J5260">
        <v>0.45</v>
      </c>
      <c r="K5260"/>
    </row>
    <row r="5261">
      <c r="A5261" t="inlineStr">
        <is>
          <t>POL_PEG_400_POLYMER_GRADE</t>
        </is>
      </c>
      <c r="B5261" t="inlineStr">
        <is>
          <t>Tg_C</t>
        </is>
      </c>
      <c r="C5261">
        <v>-60</v>
      </c>
      <c r="D5261" t="inlineStr">
        <is>
          <t>°C</t>
        </is>
      </c>
      <c r="E5261"/>
      <c r="F5261"/>
      <c r="G5261" t="inlineStr">
        <is>
          <t>grade/substitution dependent</t>
        </is>
      </c>
      <c r="H5261" t="inlineStr">
        <is>
          <t>S007_EXCIPIENTS_HANDBOOK</t>
        </is>
      </c>
      <c r="I5261" t="inlineStr">
        <is>
          <t>handbook</t>
        </is>
      </c>
      <c r="J5261">
        <v>0.48</v>
      </c>
      <c r="K5261"/>
    </row>
    <row r="5262">
      <c r="A5262" t="inlineStr">
        <is>
          <t>POL_PEG_400_POLYMER_GRADE</t>
        </is>
      </c>
      <c r="B5262" t="inlineStr">
        <is>
          <t>Tm_C</t>
        </is>
      </c>
      <c r="C5262">
        <v>4</v>
      </c>
      <c r="D5262" t="inlineStr">
        <is>
          <t>°C</t>
        </is>
      </c>
      <c r="E5262"/>
      <c r="F5262"/>
      <c r="G5262" t="inlineStr">
        <is>
          <t>grade/substitution dependent</t>
        </is>
      </c>
      <c r="H5262" t="inlineStr">
        <is>
          <t>S007_EXCIPIENTS_HANDBOOK</t>
        </is>
      </c>
      <c r="I5262" t="inlineStr">
        <is>
          <t>handbook</t>
        </is>
      </c>
      <c r="J5262">
        <v>0.48</v>
      </c>
      <c r="K5262"/>
    </row>
    <row r="5263">
      <c r="A5263" t="inlineStr">
        <is>
          <t>POL_PEG_400_POLYMER_GRADE</t>
        </is>
      </c>
      <c r="B5263" t="inlineStr">
        <is>
          <t>charge_type</t>
        </is>
      </c>
      <c r="C5263" t="inlineStr">
        <is>
          <t>neutral</t>
        </is>
      </c>
      <c r="D5263"/>
      <c r="E5263"/>
      <c r="F5263"/>
      <c r="G5263"/>
      <c r="H5263" t="inlineStr">
        <is>
          <t>S007_EXCIPIENTS_HANDBOOK</t>
        </is>
      </c>
      <c r="I5263" t="inlineStr">
        <is>
          <t>curated</t>
        </is>
      </c>
      <c r="J5263">
        <v>0.75</v>
      </c>
      <c r="K5263"/>
    </row>
    <row r="5264">
      <c r="A5264" t="inlineStr">
        <is>
          <t>POL_PEG_400_POLYMER_GRADE</t>
        </is>
      </c>
      <c r="B5264" t="inlineStr">
        <is>
          <t>formal_charge</t>
        </is>
      </c>
      <c r="C5264">
        <v>0</v>
      </c>
      <c r="D5264" t="inlineStr">
        <is>
          <t>e</t>
        </is>
      </c>
      <c r="E5264"/>
      <c r="F5264"/>
      <c r="G5264"/>
      <c r="H5264" t="inlineStr">
        <is>
          <t>S007_EXCIPIENTS_HANDBOOK</t>
        </is>
      </c>
      <c r="I5264" t="inlineStr">
        <is>
          <t>curated</t>
        </is>
      </c>
      <c r="J5264">
        <v>0.75</v>
      </c>
      <c r="K5264"/>
    </row>
    <row r="5265">
      <c r="A5265" t="inlineStr">
        <is>
          <t>POL_PEG_400_POLYMER_GRADE</t>
        </is>
      </c>
      <c r="B5265" t="inlineStr">
        <is>
          <t>solubility_in_water</t>
        </is>
      </c>
      <c r="C5265" t="inlineStr">
        <is>
          <t>high</t>
        </is>
      </c>
      <c r="D5265"/>
      <c r="E5265"/>
      <c r="F5265"/>
      <c r="G5265"/>
      <c r="H5265" t="inlineStr">
        <is>
          <t>S007_EXCIPIENTS_HANDBOOK</t>
        </is>
      </c>
      <c r="I5265" t="inlineStr">
        <is>
          <t>handbook</t>
        </is>
      </c>
      <c r="J5265">
        <v>0.55</v>
      </c>
      <c r="K5265"/>
    </row>
    <row r="5266">
      <c r="A5266" t="inlineStr">
        <is>
          <t>POL_PEG_400_POLYMER_GRADE</t>
        </is>
      </c>
      <c r="B5266" t="inlineStr">
        <is>
          <t>solubility_in_ethanol</t>
        </is>
      </c>
      <c r="C5266" t="inlineStr">
        <is>
          <t>soluble</t>
        </is>
      </c>
      <c r="D5266"/>
      <c r="E5266"/>
      <c r="F5266"/>
      <c r="G5266"/>
      <c r="H5266" t="inlineStr">
        <is>
          <t>S007_EXCIPIENTS_HANDBOOK</t>
        </is>
      </c>
      <c r="I5266" t="inlineStr">
        <is>
          <t>handbook</t>
        </is>
      </c>
      <c r="J5266">
        <v>0.55</v>
      </c>
      <c r="K5266"/>
    </row>
    <row r="5267">
      <c r="A5267" t="inlineStr">
        <is>
          <t>POL_PEG_400_POLYMER_GRADE</t>
        </is>
      </c>
      <c r="B5267" t="inlineStr">
        <is>
          <t>solubility_in_acetone</t>
        </is>
      </c>
      <c r="C5267" t="inlineStr">
        <is>
          <t>poor</t>
        </is>
      </c>
      <c r="D5267"/>
      <c r="E5267"/>
      <c r="F5267"/>
      <c r="G5267"/>
      <c r="H5267" t="inlineStr">
        <is>
          <t>S007_EXCIPIENTS_HANDBOOK</t>
        </is>
      </c>
      <c r="I5267" t="inlineStr">
        <is>
          <t>handbook</t>
        </is>
      </c>
      <c r="J5267">
        <v>0.55</v>
      </c>
      <c r="K5267"/>
    </row>
    <row r="5268">
      <c r="A5268" t="inlineStr">
        <is>
          <t>POL_PEG_400_POLYMER_GRADE</t>
        </is>
      </c>
      <c r="B5268" t="inlineStr">
        <is>
          <t>solubility_in_dcm</t>
        </is>
      </c>
      <c r="C5268" t="inlineStr">
        <is>
          <t>poor</t>
        </is>
      </c>
      <c r="D5268"/>
      <c r="E5268"/>
      <c r="F5268"/>
      <c r="G5268"/>
      <c r="H5268" t="inlineStr">
        <is>
          <t>S007_EXCIPIENTS_HANDBOOK</t>
        </is>
      </c>
      <c r="I5268" t="inlineStr">
        <is>
          <t>handbook</t>
        </is>
      </c>
      <c r="J5268">
        <v>0.55</v>
      </c>
      <c r="K5268"/>
    </row>
    <row r="5269">
      <c r="A5269" t="inlineStr">
        <is>
          <t>POL_PEG_400_POLYMER_GRADE</t>
        </is>
      </c>
      <c r="B5269" t="inlineStr">
        <is>
          <t>biodegradability</t>
        </is>
      </c>
      <c r="C5269" t="inlineStr">
        <is>
          <t>limited</t>
        </is>
      </c>
      <c r="D5269"/>
      <c r="E5269"/>
      <c r="F5269"/>
      <c r="G5269"/>
      <c r="H5269" t="inlineStr">
        <is>
          <t>S014_AULTON</t>
        </is>
      </c>
      <c r="I5269" t="inlineStr">
        <is>
          <t>curated</t>
        </is>
      </c>
      <c r="J5269">
        <v>0.65</v>
      </c>
      <c r="K5269"/>
    </row>
    <row r="5270">
      <c r="A5270" t="inlineStr">
        <is>
          <t>POL_PEG_400_POLYMER_GRADE</t>
        </is>
      </c>
      <c r="B5270" t="inlineStr">
        <is>
          <t>mucoadhesive_flag</t>
        </is>
      </c>
      <c r="C5270" t="inlineStr">
        <is>
          <t>no</t>
        </is>
      </c>
      <c r="D5270"/>
      <c r="E5270"/>
      <c r="F5270"/>
      <c r="G5270"/>
      <c r="H5270" t="inlineStr">
        <is>
          <t>S014_AULTON</t>
        </is>
      </c>
      <c r="I5270" t="inlineStr">
        <is>
          <t>curated</t>
        </is>
      </c>
      <c r="J5270">
        <v>0.65</v>
      </c>
      <c r="K5270"/>
    </row>
    <row r="5271">
      <c r="A5271" t="inlineStr">
        <is>
          <t>POL_PEG_400_POLYMER_GRADE</t>
        </is>
      </c>
      <c r="B5271" t="inlineStr">
        <is>
          <t>coating_role</t>
        </is>
      </c>
      <c r="C5271" t="inlineStr">
        <is>
          <t>plasticizer</t>
        </is>
      </c>
      <c r="D5271"/>
      <c r="E5271"/>
      <c r="F5271"/>
      <c r="G5271"/>
      <c r="H5271" t="inlineStr">
        <is>
          <t>S014_AULTON</t>
        </is>
      </c>
      <c r="I5271" t="inlineStr">
        <is>
          <t>curated</t>
        </is>
      </c>
      <c r="J5271">
        <v>0.6</v>
      </c>
      <c r="K5271"/>
    </row>
    <row r="5272">
      <c r="A5272" t="inlineStr">
        <is>
          <t>POL_PEG_400_POLYMER_GRADE</t>
        </is>
      </c>
      <c r="B5272" t="inlineStr">
        <is>
          <t>stabilizer_role</t>
        </is>
      </c>
      <c r="C5272" t="inlineStr">
        <is>
          <t>yes</t>
        </is>
      </c>
      <c r="D5272"/>
      <c r="E5272"/>
      <c r="F5272"/>
      <c r="G5272"/>
      <c r="H5272" t="inlineStr">
        <is>
          <t>S014_AULTON</t>
        </is>
      </c>
      <c r="I5272" t="inlineStr">
        <is>
          <t>curated</t>
        </is>
      </c>
      <c r="J5272">
        <v>0.6</v>
      </c>
      <c r="K5272"/>
    </row>
    <row r="5273">
      <c r="A5273" t="inlineStr">
        <is>
          <t>POL_PEG_400_POLYMER_GRADE</t>
        </is>
      </c>
      <c r="B5273" t="inlineStr">
        <is>
          <t>route_suitability</t>
        </is>
      </c>
      <c r="C5273" t="inlineStr">
        <is>
          <t>polymeric/hybrid/coating/stabilizer systems; grade and route dependent</t>
        </is>
      </c>
      <c r="D5273"/>
      <c r="E5273"/>
      <c r="F5273"/>
      <c r="G5273"/>
      <c r="H5273" t="inlineStr">
        <is>
          <t>S008_FDA_IID</t>
        </is>
      </c>
      <c r="I5273" t="inlineStr">
        <is>
          <t>curated</t>
        </is>
      </c>
      <c r="J5273">
        <v>0.55</v>
      </c>
      <c r="K5273"/>
    </row>
    <row r="5274">
      <c r="A5274" t="inlineStr">
        <is>
          <t>POL_PEG_400_POLYMER_GRADE</t>
        </is>
      </c>
      <c r="B5274" t="inlineStr">
        <is>
          <t>toxicity_notes</t>
        </is>
      </c>
      <c r="C5274" t="inlineStr">
        <is>
          <t>polymer grade, residual monomers/solvents, endotoxin and molecular weight distribution must be controlled</t>
        </is>
      </c>
      <c r="D5274"/>
      <c r="E5274"/>
      <c r="F5274"/>
      <c r="G5274"/>
      <c r="H5274" t="inlineStr">
        <is>
          <t>S007_EXCIPIENTS_HANDBOOK</t>
        </is>
      </c>
      <c r="I5274" t="inlineStr">
        <is>
          <t>curated</t>
        </is>
      </c>
      <c r="J5274">
        <v>0.65</v>
      </c>
      <c r="K5274"/>
    </row>
    <row r="5275">
      <c r="A5275" t="inlineStr">
        <is>
          <t>POL_PEG_400_POLYMER_GRADE</t>
        </is>
      </c>
      <c r="B5275" t="inlineStr">
        <is>
          <t>Hansen_delta_D</t>
        </is>
      </c>
      <c r="C5275">
        <v>18.0</v>
      </c>
      <c r="D5275" t="inlineStr">
        <is>
          <t>MPa^0.5</t>
        </is>
      </c>
      <c r="E5275"/>
      <c r="F5275"/>
      <c r="G5275" t="inlineStr">
        <is>
          <t>heuristic group-contribution/nearest-neighbour</t>
        </is>
      </c>
      <c r="H5275" t="inlineStr">
        <is>
          <t>S013_EST_HSP_HEURISTIC</t>
        </is>
      </c>
      <c r="I5275" t="inlineStr">
        <is>
          <t>estimated</t>
        </is>
      </c>
      <c r="J5275">
        <v>0.35</v>
      </c>
      <c r="K5275" t="inlineStr">
        <is>
          <t>Provisional HSP for screening; replace with experimental/literature value before model lock.</t>
        </is>
      </c>
    </row>
    <row r="5276">
      <c r="A5276" t="inlineStr">
        <is>
          <t>POL_PEG_400_POLYMER_GRADE</t>
        </is>
      </c>
      <c r="B5276" t="inlineStr">
        <is>
          <t>Hansen_delta_P</t>
        </is>
      </c>
      <c r="C5276">
        <v>8.0</v>
      </c>
      <c r="D5276" t="inlineStr">
        <is>
          <t>MPa^0.5</t>
        </is>
      </c>
      <c r="E5276"/>
      <c r="F5276"/>
      <c r="G5276" t="inlineStr">
        <is>
          <t>heuristic group-contribution/nearest-neighbour</t>
        </is>
      </c>
      <c r="H5276" t="inlineStr">
        <is>
          <t>S013_EST_HSP_HEURISTIC</t>
        </is>
      </c>
      <c r="I5276" t="inlineStr">
        <is>
          <t>estimated</t>
        </is>
      </c>
      <c r="J5276">
        <v>0.35</v>
      </c>
      <c r="K5276" t="inlineStr">
        <is>
          <t>Provisional HSP for screening; replace with experimental/literature value before model lock.</t>
        </is>
      </c>
    </row>
    <row r="5277">
      <c r="A5277" t="inlineStr">
        <is>
          <t>POL_PEG_400_POLYMER_GRADE</t>
        </is>
      </c>
      <c r="B5277" t="inlineStr">
        <is>
          <t>Hansen_delta_H</t>
        </is>
      </c>
      <c r="C5277">
        <v>10.0</v>
      </c>
      <c r="D5277" t="inlineStr">
        <is>
          <t>MPa^0.5</t>
        </is>
      </c>
      <c r="E5277"/>
      <c r="F5277"/>
      <c r="G5277" t="inlineStr">
        <is>
          <t>heuristic group-contribution/nearest-neighbour</t>
        </is>
      </c>
      <c r="H5277" t="inlineStr">
        <is>
          <t>S013_EST_HSP_HEURISTIC</t>
        </is>
      </c>
      <c r="I5277" t="inlineStr">
        <is>
          <t>estimated</t>
        </is>
      </c>
      <c r="J5277">
        <v>0.35</v>
      </c>
      <c r="K5277" t="inlineStr">
        <is>
          <t>Provisional HSP for screening; replace with experimental/literature value before model lock.</t>
        </is>
      </c>
    </row>
    <row r="5278">
      <c r="A5278" t="inlineStr">
        <is>
          <t>POL_PEG_400_POLYMER_GRADE</t>
        </is>
      </c>
      <c r="B5278" t="inlineStr">
        <is>
          <t>Hildebrand_delta_T</t>
        </is>
      </c>
      <c r="C5278">
        <v>22.09</v>
      </c>
      <c r="D5278" t="inlineStr">
        <is>
          <t>MPa^0.5</t>
        </is>
      </c>
      <c r="E5278"/>
      <c r="F5278"/>
      <c r="G5278" t="inlineStr">
        <is>
          <t>sqrt(deltaD^2+deltaP^2+deltaH^2)</t>
        </is>
      </c>
      <c r="H5278" t="inlineStr">
        <is>
          <t>S012_CALCULATED</t>
        </is>
      </c>
      <c r="I5278" t="inlineStr">
        <is>
          <t>calculated</t>
        </is>
      </c>
      <c r="J5278">
        <v>0.39999999999999997</v>
      </c>
      <c r="K5278" t="inlineStr">
        <is>
          <t>Derived from stored Hansen components.</t>
        </is>
      </c>
    </row>
    <row r="5279">
      <c r="A5279" t="inlineStr">
        <is>
          <t>POL_PEG_400_POLYMER_GRADE</t>
        </is>
      </c>
      <c r="B5279" t="inlineStr">
        <is>
          <t>HSP_radius_R0</t>
        </is>
      </c>
      <c r="C5279">
        <v>9.0</v>
      </c>
      <c r="D5279" t="inlineStr">
        <is>
          <t>MPa^0.5</t>
        </is>
      </c>
      <c r="E5279"/>
      <c r="F5279"/>
      <c r="G5279" t="inlineStr">
        <is>
          <t>literature/heuristic solubility sphere</t>
        </is>
      </c>
      <c r="H5279" t="inlineStr">
        <is>
          <t>S013_EST_HSP_HEURISTIC</t>
        </is>
      </c>
      <c r="I5279" t="inlineStr">
        <is>
          <t>estimated</t>
        </is>
      </c>
      <c r="J5279">
        <v>0.35</v>
      </c>
      <c r="K5279" t="inlineStr">
        <is>
          <t>Screening radius only unless experimentally determined.</t>
        </is>
      </c>
    </row>
    <row r="5280">
      <c r="A5280" t="inlineStr">
        <is>
          <t>POL_PEG_400_POLYMER_GRADE</t>
        </is>
      </c>
      <c r="B5280" t="inlineStr">
        <is>
          <t>repeat_unit_molar_volume</t>
        </is>
      </c>
      <c r="C5280">
        <v>36.67</v>
      </c>
      <c r="D5280" t="inlineStr">
        <is>
          <t>cm3/mol</t>
        </is>
      </c>
      <c r="E5280"/>
      <c r="F5280"/>
      <c r="G5280" t="inlineStr">
        <is>
          <t>repeat-unit MW / assumed density</t>
        </is>
      </c>
      <c r="H5280" t="inlineStr">
        <is>
          <t>S012_CALCULATED</t>
        </is>
      </c>
      <c r="I5280" t="inlineStr">
        <is>
          <t>estimated</t>
        </is>
      </c>
      <c r="J5280">
        <v>0.35</v>
      </c>
      <c r="K5280"/>
    </row>
  </sheetData>
  <autoFilter ref="A1:K528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ySplit="1" topLeftCell="A2" activePane="bottomLeft" state="frozen"/>
    </sheetView>
  </sheetViews>
  <cols>
    <col min="1" max="1" width="24" customWidth="1"/>
    <col min="2" max="2" width="20" customWidth="1"/>
    <col min="3" max="3" width="76" customWidth="1"/>
    <col min="4" max="4" width="18" customWidth="1"/>
    <col min="5" max="5" width="62" customWidth="1"/>
    <col min="6" max="6" width="16" customWidth="1"/>
    <col min="7" max="7" width="52" customWidth="1"/>
  </cols>
  <sheetData>
    <row r="1">
      <c r="A1" t="inlineStr" s="1">
        <is>
          <t>source_id</t>
        </is>
      </c>
      <c r="B1" t="inlineStr" s="1">
        <is>
          <t>source_type</t>
        </is>
      </c>
      <c r="C1" t="inlineStr" s="1">
        <is>
          <t>citation</t>
        </is>
      </c>
      <c r="D1" t="inlineStr" s="1">
        <is>
          <t>DOI</t>
        </is>
      </c>
      <c r="E1" t="inlineStr" s="1">
        <is>
          <t>URL</t>
        </is>
      </c>
      <c r="F1" t="inlineStr" s="1">
        <is>
          <t>access_date</t>
        </is>
      </c>
      <c r="G1" t="inlineStr" s="1">
        <is>
          <t>notes</t>
        </is>
      </c>
    </row>
    <row r="2">
      <c r="A2" t="inlineStr">
        <is>
          <t>S000_USER_SPEC</t>
        </is>
      </c>
      <c r="B2" t="inlineStr">
        <is>
          <t>user_schema</t>
        </is>
      </c>
      <c r="C2" t="inlineStr">
        <is>
          <t>User-provided NanoFormulationDesigner material database schema and requirements, uploaded June 23, 2026.</t>
        </is>
      </c>
      <c r="D2"/>
      <c r="E2" t="inlineStr">
        <is>
          <t>local_uploaded_file:Pasted text(155).txt</t>
        </is>
      </c>
      <c r="F2" t="inlineStr">
        <is>
          <t>2026-06-23</t>
        </is>
      </c>
      <c r="G2" t="inlineStr">
        <is>
          <t>Defines required tables, material classes, calculation support, and curation rules.</t>
        </is>
      </c>
    </row>
    <row r="3">
      <c r="A3" t="inlineStr">
        <is>
          <t>S001_PUBCHEM</t>
        </is>
      </c>
      <c r="B3" t="inlineStr">
        <is>
          <t>database</t>
        </is>
      </c>
      <c r="C3" t="inlineStr">
        <is>
          <t>NIH National Library of Medicine. PubChem Compound Database.</t>
        </is>
      </c>
      <c r="D3"/>
      <c r="E3" t="inlineStr">
        <is>
          <t>https://pubchem.ncbi.nlm.nih.gov/</t>
        </is>
      </c>
      <c r="F3" t="inlineStr">
        <is>
          <t>2026-06-23</t>
        </is>
      </c>
      <c r="G3" t="inlineStr">
        <is>
          <t>Used for stable identifiers and computed molecular descriptors such as formula, molecular weight, XLogP, TPSA, HBD/HBA, rotatable bonds, and SMILES when curated.</t>
        </is>
      </c>
    </row>
    <row r="4">
      <c r="A4" t="inlineStr">
        <is>
          <t>S002_PUBCHEM_PUGREST</t>
        </is>
      </c>
      <c r="B4" t="inlineStr">
        <is>
          <t>documentation</t>
        </is>
      </c>
      <c r="C4" t="inlineStr">
        <is>
          <t>NIH/NCBI. PubChem PUG-REST documentation, compound property tables.</t>
        </is>
      </c>
      <c r="D4"/>
      <c r="E4" t="inlineStr">
        <is>
          <t>https://pubchem.ncbi.nlm.nih.gov/docs/pug-rest</t>
        </is>
      </c>
      <c r="F4" t="inlineStr">
        <is>
          <t>2026-06-23</t>
        </is>
      </c>
      <c r="G4" t="inlineStr">
        <is>
          <t>Defines PubChem property fields and provenance assumptions.</t>
        </is>
      </c>
    </row>
    <row r="5">
      <c r="A5" t="inlineStr">
        <is>
          <t>S003_AVANTI_PHASE</t>
        </is>
      </c>
      <c r="B5" t="inlineStr">
        <is>
          <t>supplier_database</t>
        </is>
      </c>
      <c r="C5" t="inlineStr">
        <is>
          <t>Avanti Research/Croda. Phase Transition Temperatures for Glycerophospholipids.</t>
        </is>
      </c>
      <c r="D5"/>
      <c r="E5" t="inlineStr">
        <is>
          <t>https://www.avantiresearch.com/en-gb/support-hub/physical-properties/phase-transition-temps</t>
        </is>
      </c>
      <c r="F5" t="inlineStr">
        <is>
          <t>2026-06-23</t>
        </is>
      </c>
      <c r="G5" t="inlineStr">
        <is>
          <t>Primary curation source for phospholipid main transition temperatures.</t>
        </is>
      </c>
    </row>
    <row r="6">
      <c r="A6" t="inlineStr">
        <is>
          <t>S004_LIPIDMAPS</t>
        </is>
      </c>
      <c r="B6" t="inlineStr">
        <is>
          <t>database</t>
        </is>
      </c>
      <c r="C6" t="inlineStr">
        <is>
          <t>Sud M, Fahy E, Cotter D, et al. LMSD: LIPID MAPS structure database. Nucleic Acids Res. 2007;35:D527-D532.</t>
        </is>
      </c>
      <c r="D6" t="inlineStr">
        <is>
          <t>10.1093/nar/gkl838</t>
        </is>
      </c>
      <c r="E6" t="inlineStr">
        <is>
          <t>https://www.lipidmaps.org/</t>
        </is>
      </c>
      <c r="F6" t="inlineStr">
        <is>
          <t>2026-06-23</t>
        </is>
      </c>
      <c r="G6" t="inlineStr">
        <is>
          <t>Lipid structures, classification, shorthand, and identifiers.</t>
        </is>
      </c>
    </row>
    <row r="7">
      <c r="A7" t="inlineStr">
        <is>
          <t>S005_ICH_Q3C_R9</t>
        </is>
      </c>
      <c r="B7" t="inlineStr">
        <is>
          <t>regulatory_guideline</t>
        </is>
      </c>
      <c r="C7" t="inlineStr">
        <is>
          <t>ICH Q3C(R9). Guideline for Residual Solvents, Step 5, April 2024.</t>
        </is>
      </c>
      <c r="D7"/>
      <c r="E7" t="inlineStr">
        <is>
          <t>https://database.ich.org/sites/default/files/ICH_Q3C%28R9%29_Guideline_MinorRevision_2024_2024_Approved.pdf</t>
        </is>
      </c>
      <c r="F7" t="inlineStr">
        <is>
          <t>2026-06-23</t>
        </is>
      </c>
      <c r="G7" t="inlineStr">
        <is>
          <t>Residual solvent class and permitted daily exposure where applicable.</t>
        </is>
      </c>
    </row>
    <row r="8">
      <c r="A8" t="inlineStr">
        <is>
          <t>S006_HANSEN_HANDBOOK</t>
        </is>
      </c>
      <c r="B8" t="inlineStr">
        <is>
          <t>handbook</t>
        </is>
      </c>
      <c r="C8" t="inlineStr">
        <is>
          <t>Hansen CM. Hansen Solubility Parameters: A User’s Handbook, 2nd ed. CRC Press; 2007.</t>
        </is>
      </c>
      <c r="D8" t="inlineStr">
        <is>
          <t>10.1201/9781420006834</t>
        </is>
      </c>
      <c r="E8" t="inlineStr">
        <is>
          <t>https://www.hansen-solubility.com/Charles-Hansen/thehandbook.php</t>
        </is>
      </c>
      <c r="F8" t="inlineStr">
        <is>
          <t>2026-06-23</t>
        </is>
      </c>
      <c r="G8" t="inlineStr">
        <is>
          <t>Reference framework for Hansen/Hildebrand solubility parameters and RED calculation.</t>
        </is>
      </c>
    </row>
    <row r="9">
      <c r="A9" t="inlineStr">
        <is>
          <t>S007_EXCIPIENTS_HANDBOOK</t>
        </is>
      </c>
      <c r="B9" t="inlineStr">
        <is>
          <t>handbook</t>
        </is>
      </c>
      <c r="C9" t="inlineStr">
        <is>
          <t>Rowe RC, Sheskey PJ, Quinn ME, eds. Handbook of Pharmaceutical Excipients, 6th ed. Pharmaceutical Press; 2009.</t>
        </is>
      </c>
      <c r="D9"/>
      <c r="E9" t="inlineStr">
        <is>
          <t>https://www.ncbi.nlm.nih.gov/nlmcatalog/101514782</t>
        </is>
      </c>
      <c r="F9" t="inlineStr">
        <is>
          <t>2026-06-23</t>
        </is>
      </c>
      <c r="G9" t="inlineStr">
        <is>
          <t>Excipient identity, physical properties, safety notes, and grade variability.</t>
        </is>
      </c>
    </row>
    <row r="10">
      <c r="A10" t="inlineStr">
        <is>
          <t>S008_FDA_IID</t>
        </is>
      </c>
      <c r="B10" t="inlineStr">
        <is>
          <t>regulatory_database</t>
        </is>
      </c>
      <c r="C10" t="inlineStr">
        <is>
          <t>U.S. FDA. Inactive Ingredients in Approved Drug Products Database and quarterly download files.</t>
        </is>
      </c>
      <c r="D10"/>
      <c r="E10" t="inlineStr">
        <is>
          <t>https://www.fda.gov/drugs/drug-approvals-and-databases/inactive-ingredients-database-download</t>
        </is>
      </c>
      <c r="F10" t="inlineStr">
        <is>
          <t>2026-06-23</t>
        </is>
      </c>
      <c r="G10" t="inlineStr">
        <is>
          <t>Prior route/dosage-form precedent for excipients; route suitability requires product-specific confirmation.</t>
        </is>
      </c>
    </row>
    <row r="11">
      <c r="A11" t="inlineStr">
        <is>
          <t>S009_GATTEFOSSE</t>
        </is>
      </c>
      <c r="B11" t="inlineStr">
        <is>
          <t>supplier_brochure</t>
        </is>
      </c>
      <c r="C11" t="inlineStr">
        <is>
          <t>Gattefossé. Lipid excipients for drug delivery catalogue and excipient selection brochures.</t>
        </is>
      </c>
      <c r="D11"/>
      <c r="E11" t="inlineStr">
        <is>
          <t>https://www.gattefosse.com/pharmaceuticals/learn-more/publications</t>
        </is>
      </c>
      <c r="F11" t="inlineStr">
        <is>
          <t>2026-06-23</t>
        </is>
      </c>
      <c r="G11" t="inlineStr">
        <is>
          <t>Trade-name excipient class, HLB/melting/drop-point ranges, route/application notes.</t>
        </is>
      </c>
    </row>
    <row r="12">
      <c r="A12" t="inlineStr">
        <is>
          <t>S010_BASF_KOLLIPHOR</t>
        </is>
      </c>
      <c r="B12" t="inlineStr">
        <is>
          <t>supplier</t>
        </is>
      </c>
      <c r="C12" t="inlineStr">
        <is>
          <t>BASF Pharma Solutions. Kolliphor/Cremophor and poloxamer product information.</t>
        </is>
      </c>
      <c r="D12"/>
      <c r="E12" t="inlineStr">
        <is>
          <t>https://pharma.basf.com/</t>
        </is>
      </c>
      <c r="F12" t="inlineStr">
        <is>
          <t>2026-06-23</t>
        </is>
      </c>
      <c r="G12" t="inlineStr">
        <is>
          <t>Surfactant grade notes, average MW ranges, HLB/cloud point where supplier-reported.</t>
        </is>
      </c>
    </row>
    <row r="13">
      <c r="A13" t="inlineStr">
        <is>
          <t>S011_CRODA_SPAN_TWEEN</t>
        </is>
      </c>
      <c r="B13" t="inlineStr">
        <is>
          <t>supplier</t>
        </is>
      </c>
      <c r="C13" t="inlineStr">
        <is>
          <t>Croda. Span and Tween nonionic surfactant technical literature.</t>
        </is>
      </c>
      <c r="D13"/>
      <c r="E13" t="inlineStr">
        <is>
          <t>https://www.crodapharma.com/</t>
        </is>
      </c>
      <c r="F13" t="inlineStr">
        <is>
          <t>2026-06-23</t>
        </is>
      </c>
      <c r="G13" t="inlineStr">
        <is>
          <t>HLB and fatty-chain identity for sorbitan esters and polysorbates; values may vary by grade.</t>
        </is>
      </c>
    </row>
    <row r="14">
      <c r="A14" t="inlineStr">
        <is>
          <t>S012_CALCULATED</t>
        </is>
      </c>
      <c r="B14" t="inlineStr">
        <is>
          <t>calculation</t>
        </is>
      </c>
      <c r="C14" t="inlineStr">
        <is>
          <t>Internal calculated descriptor from stored constants, not a primary experimental source.</t>
        </is>
      </c>
      <c r="D14"/>
      <c r="E14" t="inlineStr">
        <is>
          <t>local:internal_calculation</t>
        </is>
      </c>
      <c r="F14" t="inlineStr">
        <is>
          <t>2026-06-23</t>
        </is>
      </c>
      <c r="G14" t="inlineStr">
        <is>
          <t>Used for derived values such as molar volume estimated from MW/density or Hildebrand total from Hansen components.</t>
        </is>
      </c>
    </row>
    <row r="15">
      <c r="A15" t="inlineStr">
        <is>
          <t>S013_EST_HSP_HEURISTIC</t>
        </is>
      </c>
      <c r="B15" t="inlineStr">
        <is>
          <t>estimation_protocol</t>
        </is>
      </c>
      <c r="C15" t="inlineStr">
        <is>
          <t>Internal group-contribution/nearest-neighbour heuristic for provisional Hansen parameters.</t>
        </is>
      </c>
      <c r="D15"/>
      <c r="E15" t="inlineStr">
        <is>
          <t>local:estimation_protocol</t>
        </is>
      </c>
      <c r="F15" t="inlineStr">
        <is>
          <t>2026-06-23</t>
        </is>
      </c>
      <c r="G15" t="inlineStr">
        <is>
          <t>Use only for screening/ranking; replace with experimental inverse-gas chromatography, solubility-sphere, or literature HSP values.</t>
        </is>
      </c>
    </row>
    <row r="16">
      <c r="A16" t="inlineStr">
        <is>
          <t>S014_AULTON</t>
        </is>
      </c>
      <c r="B16" t="inlineStr">
        <is>
          <t>textbook</t>
        </is>
      </c>
      <c r="C16" t="inlineStr">
        <is>
          <t>Aulton ME, Taylor KMG. Aulton’s Pharmaceutics: The Design and Manufacture of Medicines. Elsevier.</t>
        </is>
      </c>
      <c r="D16"/>
      <c r="E16" t="inlineStr">
        <is>
          <t>https://www.elsevier.com/books/aultons-pharmaceutics</t>
        </is>
      </c>
      <c r="F16" t="inlineStr">
        <is>
          <t>2026-06-23</t>
        </is>
      </c>
      <c r="G16" t="inlineStr">
        <is>
          <t>Formulation roles, excipient function, carrier concepts, and route suitability framing.</t>
        </is>
      </c>
    </row>
    <row r="17">
      <c r="A17" t="inlineStr">
        <is>
          <t>S015_VAN_HOOGEVEST</t>
        </is>
      </c>
      <c r="B17" t="inlineStr">
        <is>
          <t>review</t>
        </is>
      </c>
      <c r="C17" t="inlineStr">
        <is>
          <t>van Hoogevest P, Wendel A. The use of natural and synthetic phospholipids as pharmaceutical excipients. Eur J Lipid Sci Technol. 2014;116:1088-1107.</t>
        </is>
      </c>
      <c r="D17" t="inlineStr">
        <is>
          <t>10.1002/ejlt.201400219</t>
        </is>
      </c>
      <c r="E17" t="inlineStr">
        <is>
          <t>https://pmc.ncbi.nlm.nih.gov/articles/PMC4207189/</t>
        </is>
      </c>
      <c r="F17" t="inlineStr">
        <is>
          <t>2026-06-23</t>
        </is>
      </c>
      <c r="G17" t="inlineStr">
        <is>
          <t>Phospholipid regulatory precedent, formulation use, oral/parenteral relevance.</t>
        </is>
      </c>
    </row>
    <row r="18">
      <c r="A18" t="inlineStr">
        <is>
          <t>S016_CHEN_TM</t>
        </is>
      </c>
      <c r="B18" t="inlineStr">
        <is>
          <t>primary_literature</t>
        </is>
      </c>
      <c r="C18" t="inlineStr">
        <is>
          <t>Chen W, et al. Determination of the main phase transition temperature of phospholipids by nanoparticle tracking analysis. Sci Rep. 2018;8:14815.</t>
        </is>
      </c>
      <c r="D18" t="inlineStr">
        <is>
          <t>10.1038/s41598-018-33107-5</t>
        </is>
      </c>
      <c r="E18" t="inlineStr">
        <is>
          <t>https://www.nature.com/articles/s41598-018-33107-5</t>
        </is>
      </c>
      <c r="F18" t="inlineStr">
        <is>
          <t>2026-06-23</t>
        </is>
      </c>
      <c r="G18" t="inlineStr">
        <is>
          <t>Experimental confirmation of DMPC/DPPC/DSPC transition temperatures.</t>
        </is>
      </c>
    </row>
  </sheetData>
  <autoFilter ref="A1:G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pane ySplit="1" topLeftCell="A2" activePane="bottomLeft" state="frozen"/>
    </sheetView>
  </sheetViews>
  <cols>
    <col min="1" max="1" width="20" customWidth="1"/>
    <col min="2" max="2" width="32" customWidth="1"/>
    <col min="11" max="11" width="48" customWidth="1"/>
    <col min="12" max="12" width="18" customWidth="1"/>
  </cols>
  <sheetData>
    <row r="1">
      <c r="A1" t="inlineStr" s="1">
        <is>
          <t>material_type</t>
        </is>
      </c>
      <c r="B1" t="inlineStr" s="1">
        <is>
          <t>category</t>
        </is>
      </c>
      <c r="C1" t="inlineStr" s="1">
        <is>
          <t>number_of_materials</t>
        </is>
      </c>
      <c r="D1" t="inlineStr" s="1">
        <is>
          <t>number_with_MW</t>
        </is>
      </c>
      <c r="E1" t="inlineStr" s="1">
        <is>
          <t>number_with_HLB</t>
        </is>
      </c>
      <c r="F1" t="inlineStr" s="1">
        <is>
          <t>number_with_chain_data</t>
        </is>
      </c>
      <c r="G1" t="inlineStr" s="1">
        <is>
          <t>number_with_charge</t>
        </is>
      </c>
      <c r="H1" t="inlineStr" s="1">
        <is>
          <t>number_with_HSP</t>
        </is>
      </c>
      <c r="I1" t="inlineStr" s="1">
        <is>
          <t>number_with_molar_volume</t>
        </is>
      </c>
      <c r="J1" t="inlineStr" s="1">
        <is>
          <t>number_with_transition_or_melting_temperature</t>
        </is>
      </c>
      <c r="K1" t="inlineStr" s="1">
        <is>
          <t>key_missing_values</t>
        </is>
      </c>
      <c r="L1" t="inlineStr" s="1">
        <is>
          <t>priority_for_curation</t>
        </is>
      </c>
    </row>
    <row r="2">
      <c r="A2" t="inlineStr">
        <is>
          <t>API</t>
        </is>
      </c>
      <c r="B2" t="inlineStr">
        <is>
          <t>Drug/API</t>
        </is>
      </c>
      <c r="C2">
        <v>35</v>
      </c>
      <c r="D2">
        <v>35</v>
      </c>
      <c r="E2">
        <v>0</v>
      </c>
      <c r="F2">
        <v>0</v>
      </c>
      <c r="G2">
        <v>35</v>
      </c>
      <c r="H2">
        <v>35</v>
      </c>
      <c r="I2">
        <v>35</v>
      </c>
      <c r="J2">
        <v>35</v>
      </c>
      <c r="K2" t="inlineStr">
        <is>
          <t>LogD_7_4; pKa_acid; pKa_base</t>
        </is>
      </c>
      <c r="L2" t="inlineStr">
        <is>
          <t>P2</t>
        </is>
      </c>
    </row>
    <row r="3">
      <c r="A3" t="inlineStr">
        <is>
          <t>API</t>
        </is>
      </c>
      <c r="B3" t="inlineStr">
        <is>
          <t>Payload placeholder</t>
        </is>
      </c>
      <c r="C3">
        <v>3</v>
      </c>
      <c r="D3">
        <v>3</v>
      </c>
      <c r="E3">
        <v>0</v>
      </c>
      <c r="F3">
        <v>0</v>
      </c>
      <c r="G3">
        <v>3</v>
      </c>
      <c r="H3">
        <v>0</v>
      </c>
      <c r="I3">
        <v>0</v>
      </c>
      <c r="J3">
        <v>0</v>
      </c>
      <c r="K3" t="inlineStr">
        <is>
          <t>molecular_weight_g_mol; molecular_formula; LogP</t>
        </is>
      </c>
      <c r="L3" t="inlineStr">
        <is>
          <t>P1</t>
        </is>
      </c>
    </row>
    <row r="4">
      <c r="A4" t="inlineStr">
        <is>
          <t>Bile salt</t>
        </is>
      </c>
      <c r="B4" t="inlineStr">
        <is>
          <t>Bile salt/bilosome edge material</t>
        </is>
      </c>
      <c r="C4">
        <v>8</v>
      </c>
      <c r="D4">
        <v>8</v>
      </c>
      <c r="E4">
        <v>8</v>
      </c>
      <c r="F4">
        <v>0</v>
      </c>
      <c r="G4">
        <v>8</v>
      </c>
      <c r="H4">
        <v>8</v>
      </c>
      <c r="I4">
        <v>8</v>
      </c>
      <c r="J4">
        <v>0</v>
      </c>
      <c r="K4" t="inlineStr">
        <is>
          <t>none obvious in seed set</t>
        </is>
      </c>
      <c r="L4" t="inlineStr">
        <is>
          <t>P2</t>
        </is>
      </c>
    </row>
    <row r="5">
      <c r="A5" t="inlineStr">
        <is>
          <t>Carrier</t>
        </is>
      </c>
      <c r="B5" t="inlineStr">
        <is>
          <t>Dry carrier/cryoprotectant</t>
        </is>
      </c>
      <c r="C5">
        <v>20</v>
      </c>
      <c r="D5">
        <v>19</v>
      </c>
      <c r="E5">
        <v>0</v>
      </c>
      <c r="F5">
        <v>0</v>
      </c>
      <c r="G5">
        <v>0</v>
      </c>
      <c r="H5">
        <v>0</v>
      </c>
      <c r="I5">
        <v>0</v>
      </c>
      <c r="J5">
        <v>12</v>
      </c>
      <c r="K5" t="inlineStr">
        <is>
          <t>molecular_weight_g_mol; melting_point_C; surface_area_m2_g; average_MW; glass_transition_temperature_C; porosity</t>
        </is>
      </c>
      <c r="L5" t="inlineStr">
        <is>
          <t>P1</t>
        </is>
      </c>
    </row>
    <row r="6">
      <c r="A6" t="inlineStr">
        <is>
          <t>Charge inducer</t>
        </is>
      </c>
      <c r="B6" t="inlineStr">
        <is>
          <t>Charge inducer/ionic modifier</t>
        </is>
      </c>
      <c r="C6">
        <v>4</v>
      </c>
      <c r="D6">
        <v>4</v>
      </c>
      <c r="E6">
        <v>0</v>
      </c>
      <c r="F6">
        <v>4</v>
      </c>
      <c r="G6">
        <v>4</v>
      </c>
      <c r="H6">
        <v>4</v>
      </c>
      <c r="I6">
        <v>4</v>
      </c>
      <c r="J6">
        <v>0</v>
      </c>
      <c r="K6" t="inlineStr">
        <is>
          <t>none obvious in seed set</t>
        </is>
      </c>
      <c r="L6" t="inlineStr">
        <is>
          <t>P2</t>
        </is>
      </c>
    </row>
    <row r="7">
      <c r="A7" t="inlineStr">
        <is>
          <t>Lipid</t>
        </is>
      </c>
      <c r="B7" t="inlineStr">
        <is>
          <t>Phospholipid/membrane lipid</t>
        </is>
      </c>
      <c r="C7">
        <v>44</v>
      </c>
      <c r="D7">
        <v>44</v>
      </c>
      <c r="E7">
        <v>0</v>
      </c>
      <c r="F7">
        <v>44</v>
      </c>
      <c r="G7">
        <v>44</v>
      </c>
      <c r="H7">
        <v>44</v>
      </c>
      <c r="I7">
        <v>43</v>
      </c>
      <c r="J7">
        <v>26</v>
      </c>
      <c r="K7" t="inlineStr">
        <is>
          <t>pKa_if_ionizable; phase_transition_temperature_C; melting_point_C</t>
        </is>
      </c>
      <c r="L7" t="inlineStr">
        <is>
          <t>P2</t>
        </is>
      </c>
    </row>
    <row r="8">
      <c r="A8" t="inlineStr">
        <is>
          <t>Polymer</t>
        </is>
      </c>
      <c r="B8" t="inlineStr">
        <is>
          <t>Polymer</t>
        </is>
      </c>
      <c r="C8">
        <v>38</v>
      </c>
      <c r="D8">
        <v>38</v>
      </c>
      <c r="E8">
        <v>0</v>
      </c>
      <c r="F8">
        <v>0</v>
      </c>
      <c r="G8">
        <v>38</v>
      </c>
      <c r="H8">
        <v>38</v>
      </c>
      <c r="I8">
        <v>16</v>
      </c>
      <c r="J8">
        <v>28</v>
      </c>
      <c r="K8" t="inlineStr">
        <is>
          <t>average_mw_g_mol; Tm_C; pKa; charge_density; mw_range; repeat_unit_mw_g_mol</t>
        </is>
      </c>
      <c r="L8" t="inlineStr">
        <is>
          <t>P2</t>
        </is>
      </c>
    </row>
    <row r="9">
      <c r="A9" t="inlineStr">
        <is>
          <t>Solid lipid/oil</t>
        </is>
      </c>
      <c r="B9" t="inlineStr">
        <is>
          <t>Solid lipid/oil/wax</t>
        </is>
      </c>
      <c r="C9">
        <v>35</v>
      </c>
      <c r="D9">
        <v>35</v>
      </c>
      <c r="E9">
        <v>13</v>
      </c>
      <c r="F9">
        <v>35</v>
      </c>
      <c r="G9">
        <v>0</v>
      </c>
      <c r="H9">
        <v>35</v>
      </c>
      <c r="I9">
        <v>35</v>
      </c>
      <c r="J9">
        <v>35</v>
      </c>
      <c r="K9" t="inlineStr">
        <is>
          <t>average_MW; HLB_if_amphiphilic; saponification_or_acid_value_if_relevant; molecular_weight_g_mol</t>
        </is>
      </c>
      <c r="L9" t="inlineStr">
        <is>
          <t>P3</t>
        </is>
      </c>
    </row>
    <row r="10">
      <c r="A10" t="inlineStr">
        <is>
          <t>Solvent</t>
        </is>
      </c>
      <c r="B10" t="inlineStr">
        <is>
          <t>Solvent/co-solvent</t>
        </is>
      </c>
      <c r="C10">
        <v>18</v>
      </c>
      <c r="D10">
        <v>18</v>
      </c>
      <c r="E10">
        <v>0</v>
      </c>
      <c r="F10">
        <v>0</v>
      </c>
      <c r="G10">
        <v>0</v>
      </c>
      <c r="H10">
        <v>18</v>
      </c>
      <c r="I10">
        <v>18</v>
      </c>
      <c r="J10">
        <v>18</v>
      </c>
      <c r="K10" t="inlineStr">
        <is>
          <t>permitted_daily_exposure_if_available; CMC_mM; cloud_point_C; Krafft_point_C</t>
        </is>
      </c>
      <c r="L10" t="inlineStr">
        <is>
          <t>P2</t>
        </is>
      </c>
    </row>
    <row r="11">
      <c r="A11" t="inlineStr">
        <is>
          <t>Sterol</t>
        </is>
      </c>
      <c r="B11" t="inlineStr">
        <is>
          <t>Sterol/sterol derivative</t>
        </is>
      </c>
      <c r="C11">
        <v>5</v>
      </c>
      <c r="D11">
        <v>5</v>
      </c>
      <c r="E11">
        <v>0</v>
      </c>
      <c r="F11">
        <v>0</v>
      </c>
      <c r="G11">
        <v>5</v>
      </c>
      <c r="H11">
        <v>5</v>
      </c>
      <c r="I11">
        <v>5</v>
      </c>
      <c r="J11">
        <v>5</v>
      </c>
      <c r="K11" t="inlineStr">
        <is>
          <t>pKa_if_relevant</t>
        </is>
      </c>
      <c r="L11" t="inlineStr">
        <is>
          <t>P2</t>
        </is>
      </c>
    </row>
    <row r="12">
      <c r="A12" t="inlineStr">
        <is>
          <t>Surfactant</t>
        </is>
      </c>
      <c r="B12" t="inlineStr">
        <is>
          <t>Ionic surfactant</t>
        </is>
      </c>
      <c r="C12">
        <v>2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0</v>
      </c>
      <c r="K12" t="inlineStr">
        <is>
          <t>cloud_point_C; Krafft_point_C; melting_point_C</t>
        </is>
      </c>
      <c r="L12" t="inlineStr">
        <is>
          <t>P2</t>
        </is>
      </c>
    </row>
    <row r="13">
      <c r="A13" t="inlineStr">
        <is>
          <t>Surfactant</t>
        </is>
      </c>
      <c r="B13" t="inlineStr">
        <is>
          <t>Nonionic surfactant</t>
        </is>
      </c>
      <c r="C13">
        <v>53</v>
      </c>
      <c r="D13">
        <v>53</v>
      </c>
      <c r="E13">
        <v>53</v>
      </c>
      <c r="F13">
        <v>53</v>
      </c>
      <c r="G13">
        <v>53</v>
      </c>
      <c r="H13">
        <v>53</v>
      </c>
      <c r="I13">
        <v>52</v>
      </c>
      <c r="J13">
        <v>7</v>
      </c>
      <c r="K13" t="inlineStr">
        <is>
          <t>CMC_mM; cloud_point_C; Krafft_point_C; melting_point_C</t>
        </is>
      </c>
      <c r="L13" t="inlineStr">
        <is>
          <t>P2</t>
        </is>
      </c>
    </row>
  </sheetData>
  <autoFilter ref="A1:L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872"/>
  <sheetViews>
    <sheetView workbookViewId="0">
      <pane ySplit="1" topLeftCell="A2" activePane="bottomLeft" state="frozen"/>
    </sheetView>
  </sheetViews>
  <cols>
    <col min="1" max="1" width="34" customWidth="1"/>
    <col min="2" max="2" width="22" customWidth="1"/>
    <col min="3" max="3" width="32" customWidth="1"/>
    <col min="4" max="4" width="20" customWidth="1"/>
    <col min="5" max="5" width="66" customWidth="1"/>
    <col min="6" max="6" width="30" customWidth="1"/>
    <col min="7" max="7" width="12" customWidth="1"/>
  </cols>
  <sheetData>
    <row r="1">
      <c r="A1" t="inlineStr" s="1">
        <is>
          <t>material_name</t>
        </is>
      </c>
      <c r="B1" t="inlineStr" s="1">
        <is>
          <t>material_type</t>
        </is>
      </c>
      <c r="C1" t="inlineStr" s="1">
        <is>
          <t>missing_property</t>
        </is>
      </c>
      <c r="D1" t="inlineStr" s="1">
        <is>
          <t>importance</t>
        </is>
      </c>
      <c r="E1" t="inlineStr" s="1">
        <is>
          <t>suggested_source</t>
        </is>
      </c>
      <c r="F1" t="inlineStr" s="1">
        <is>
          <t>whether_estimation_is_allowed</t>
        </is>
      </c>
      <c r="G1" t="inlineStr" s="1">
        <is>
          <t>priority</t>
        </is>
      </c>
    </row>
    <row r="2">
      <c r="A2" t="inlineStr">
        <is>
          <t>Dexamethasone</t>
        </is>
      </c>
      <c r="B2" t="inlineStr">
        <is>
          <t>API</t>
        </is>
      </c>
      <c r="C2" t="inlineStr">
        <is>
          <t>LogD_7_4</t>
        </is>
      </c>
      <c r="D2" t="inlineStr">
        <is>
          <t>high for pH-dependent partitioning</t>
        </is>
      </c>
      <c r="E2" t="inlineStr">
        <is>
          <t>shake-flask/HPLC pH 7.4 or curated database</t>
        </is>
      </c>
      <c r="F2" t="inlineStr">
        <is>
          <t>yes_screening_only</t>
        </is>
      </c>
      <c r="G2" t="inlineStr">
        <is>
          <t>P3</t>
        </is>
      </c>
    </row>
    <row r="3">
      <c r="A3" t="inlineStr">
        <is>
          <t>Dexamethasone</t>
        </is>
      </c>
      <c r="B3" t="inlineStr">
        <is>
          <t>API</t>
        </is>
      </c>
      <c r="C3" t="inlineStr">
        <is>
          <t>pKa_acid</t>
        </is>
      </c>
      <c r="D3" t="inlineStr">
        <is>
          <t>high if ionizable</t>
        </is>
      </c>
      <c r="E3" t="inlineStr">
        <is>
          <t>supplier CoA, pharmacopeial monograph, PubChem/LIPID MAPS, or targeted literature curation</t>
        </is>
      </c>
      <c r="F3" t="inlineStr">
        <is>
          <t>prefer_experimental_or_supplier</t>
        </is>
      </c>
      <c r="G3" t="inlineStr">
        <is>
          <t>P1</t>
        </is>
      </c>
    </row>
    <row r="4">
      <c r="A4" t="inlineStr">
        <is>
          <t>Dexamethasone</t>
        </is>
      </c>
      <c r="B4" t="inlineStr">
        <is>
          <t>API</t>
        </is>
      </c>
      <c r="C4" t="inlineStr">
        <is>
          <t>pKa_base</t>
        </is>
      </c>
      <c r="D4" t="inlineStr">
        <is>
          <t>high if ionizable</t>
        </is>
      </c>
      <c r="E4" t="inlineStr">
        <is>
          <t>supplier CoA, pharmacopeial monograph, PubChem/LIPID MAPS, or targeted literature curation</t>
        </is>
      </c>
      <c r="F4" t="inlineStr">
        <is>
          <t>prefer_experimental_or_supplier</t>
        </is>
      </c>
      <c r="G4" t="inlineStr">
        <is>
          <t>P1</t>
        </is>
      </c>
    </row>
    <row r="5">
      <c r="A5" t="inlineStr">
        <is>
          <t>Budesonide</t>
        </is>
      </c>
      <c r="B5" t="inlineStr">
        <is>
          <t>API</t>
        </is>
      </c>
      <c r="C5" t="inlineStr">
        <is>
          <t>LogD_7_4</t>
        </is>
      </c>
      <c r="D5" t="inlineStr">
        <is>
          <t>high for pH-dependent partitioning</t>
        </is>
      </c>
      <c r="E5" t="inlineStr">
        <is>
          <t>shake-flask/HPLC pH 7.4 or curated database</t>
        </is>
      </c>
      <c r="F5" t="inlineStr">
        <is>
          <t>yes_screening_only</t>
        </is>
      </c>
      <c r="G5" t="inlineStr">
        <is>
          <t>P3</t>
        </is>
      </c>
    </row>
    <row r="6">
      <c r="A6" t="inlineStr">
        <is>
          <t>Budesonide</t>
        </is>
      </c>
      <c r="B6" t="inlineStr">
        <is>
          <t>API</t>
        </is>
      </c>
      <c r="C6" t="inlineStr">
        <is>
          <t>pKa_acid</t>
        </is>
      </c>
      <c r="D6" t="inlineStr">
        <is>
          <t>high if ionizable</t>
        </is>
      </c>
      <c r="E6" t="inlineStr">
        <is>
          <t>supplier CoA, pharmacopeial monograph, PubChem/LIPID MAPS, or targeted literature curation</t>
        </is>
      </c>
      <c r="F6" t="inlineStr">
        <is>
          <t>prefer_experimental_or_supplier</t>
        </is>
      </c>
      <c r="G6" t="inlineStr">
        <is>
          <t>P1</t>
        </is>
      </c>
    </row>
    <row r="7">
      <c r="A7" t="inlineStr">
        <is>
          <t>Budesonide</t>
        </is>
      </c>
      <c r="B7" t="inlineStr">
        <is>
          <t>API</t>
        </is>
      </c>
      <c r="C7" t="inlineStr">
        <is>
          <t>pKa_base</t>
        </is>
      </c>
      <c r="D7" t="inlineStr">
        <is>
          <t>high if ionizable</t>
        </is>
      </c>
      <c r="E7" t="inlineStr">
        <is>
          <t>supplier CoA, pharmacopeial monograph, PubChem/LIPID MAPS, or targeted literature curation</t>
        </is>
      </c>
      <c r="F7" t="inlineStr">
        <is>
          <t>prefer_experimental_or_supplier</t>
        </is>
      </c>
      <c r="G7" t="inlineStr">
        <is>
          <t>P1</t>
        </is>
      </c>
    </row>
    <row r="8">
      <c r="A8" t="inlineStr">
        <is>
          <t>Fluticasone propionate</t>
        </is>
      </c>
      <c r="B8" t="inlineStr">
        <is>
          <t>API</t>
        </is>
      </c>
      <c r="C8" t="inlineStr">
        <is>
          <t>LogD_7_4</t>
        </is>
      </c>
      <c r="D8" t="inlineStr">
        <is>
          <t>high for pH-dependent partitioning</t>
        </is>
      </c>
      <c r="E8" t="inlineStr">
        <is>
          <t>shake-flask/HPLC pH 7.4 or curated database</t>
        </is>
      </c>
      <c r="F8" t="inlineStr">
        <is>
          <t>yes_screening_only</t>
        </is>
      </c>
      <c r="G8" t="inlineStr">
        <is>
          <t>P3</t>
        </is>
      </c>
    </row>
    <row r="9">
      <c r="A9" t="inlineStr">
        <is>
          <t>Fluticasone propionate</t>
        </is>
      </c>
      <c r="B9" t="inlineStr">
        <is>
          <t>API</t>
        </is>
      </c>
      <c r="C9" t="inlineStr">
        <is>
          <t>pKa_acid</t>
        </is>
      </c>
      <c r="D9" t="inlineStr">
        <is>
          <t>high if ionizable</t>
        </is>
      </c>
      <c r="E9" t="inlineStr">
        <is>
          <t>supplier CoA, pharmacopeial monograph, PubChem/LIPID MAPS, or targeted literature curation</t>
        </is>
      </c>
      <c r="F9" t="inlineStr">
        <is>
          <t>prefer_experimental_or_supplier</t>
        </is>
      </c>
      <c r="G9" t="inlineStr">
        <is>
          <t>P1</t>
        </is>
      </c>
    </row>
    <row r="10">
      <c r="A10" t="inlineStr">
        <is>
          <t>Fluticasone propionate</t>
        </is>
      </c>
      <c r="B10" t="inlineStr">
        <is>
          <t>API</t>
        </is>
      </c>
      <c r="C10" t="inlineStr">
        <is>
          <t>pKa_base</t>
        </is>
      </c>
      <c r="D10" t="inlineStr">
        <is>
          <t>high if ionizable</t>
        </is>
      </c>
      <c r="E10" t="inlineStr">
        <is>
          <t>supplier CoA, pharmacopeial monograph, PubChem/LIPID MAPS, or targeted literature curation</t>
        </is>
      </c>
      <c r="F10" t="inlineStr">
        <is>
          <t>prefer_experimental_or_supplier</t>
        </is>
      </c>
      <c r="G10" t="inlineStr">
        <is>
          <t>P1</t>
        </is>
      </c>
    </row>
    <row r="11">
      <c r="A11" t="inlineStr">
        <is>
          <t>Beclomethasone dipropionate</t>
        </is>
      </c>
      <c r="B11" t="inlineStr">
        <is>
          <t>API</t>
        </is>
      </c>
      <c r="C11" t="inlineStr">
        <is>
          <t>LogD_7_4</t>
        </is>
      </c>
      <c r="D11" t="inlineStr">
        <is>
          <t>high for pH-dependent partitioning</t>
        </is>
      </c>
      <c r="E11" t="inlineStr">
        <is>
          <t>shake-flask/HPLC pH 7.4 or curated database</t>
        </is>
      </c>
      <c r="F11" t="inlineStr">
        <is>
          <t>yes_screening_only</t>
        </is>
      </c>
      <c r="G11" t="inlineStr">
        <is>
          <t>P3</t>
        </is>
      </c>
    </row>
    <row r="12">
      <c r="A12" t="inlineStr">
        <is>
          <t>Beclomethasone dipropionate</t>
        </is>
      </c>
      <c r="B12" t="inlineStr">
        <is>
          <t>API</t>
        </is>
      </c>
      <c r="C12" t="inlineStr">
        <is>
          <t>pKa_acid</t>
        </is>
      </c>
      <c r="D12" t="inlineStr">
        <is>
          <t>high if ionizable</t>
        </is>
      </c>
      <c r="E12" t="inlineStr">
        <is>
          <t>supplier CoA, pharmacopeial monograph, PubChem/LIPID MAPS, or targeted literature curation</t>
        </is>
      </c>
      <c r="F12" t="inlineStr">
        <is>
          <t>prefer_experimental_or_supplier</t>
        </is>
      </c>
      <c r="G12" t="inlineStr">
        <is>
          <t>P1</t>
        </is>
      </c>
    </row>
    <row r="13">
      <c r="A13" t="inlineStr">
        <is>
          <t>Beclomethasone dipropionate</t>
        </is>
      </c>
      <c r="B13" t="inlineStr">
        <is>
          <t>API</t>
        </is>
      </c>
      <c r="C13" t="inlineStr">
        <is>
          <t>pKa_base</t>
        </is>
      </c>
      <c r="D13" t="inlineStr">
        <is>
          <t>high if ionizable</t>
        </is>
      </c>
      <c r="E13" t="inlineStr">
        <is>
          <t>supplier CoA, pharmacopeial monograph, PubChem/LIPID MAPS, or targeted literature curation</t>
        </is>
      </c>
      <c r="F13" t="inlineStr">
        <is>
          <t>prefer_experimental_or_supplier</t>
        </is>
      </c>
      <c r="G13" t="inlineStr">
        <is>
          <t>P1</t>
        </is>
      </c>
    </row>
    <row r="14">
      <c r="A14" t="inlineStr">
        <is>
          <t>Prednisolone</t>
        </is>
      </c>
      <c r="B14" t="inlineStr">
        <is>
          <t>API</t>
        </is>
      </c>
      <c r="C14" t="inlineStr">
        <is>
          <t>LogD_7_4</t>
        </is>
      </c>
      <c r="D14" t="inlineStr">
        <is>
          <t>high for pH-dependent partitioning</t>
        </is>
      </c>
      <c r="E14" t="inlineStr">
        <is>
          <t>shake-flask/HPLC pH 7.4 or curated database</t>
        </is>
      </c>
      <c r="F14" t="inlineStr">
        <is>
          <t>yes_screening_only</t>
        </is>
      </c>
      <c r="G14" t="inlineStr">
        <is>
          <t>P3</t>
        </is>
      </c>
    </row>
    <row r="15">
      <c r="A15" t="inlineStr">
        <is>
          <t>Prednisolone</t>
        </is>
      </c>
      <c r="B15" t="inlineStr">
        <is>
          <t>API</t>
        </is>
      </c>
      <c r="C15" t="inlineStr">
        <is>
          <t>pKa_acid</t>
        </is>
      </c>
      <c r="D15" t="inlineStr">
        <is>
          <t>high if ionizable</t>
        </is>
      </c>
      <c r="E15" t="inlineStr">
        <is>
          <t>supplier CoA, pharmacopeial monograph, PubChem/LIPID MAPS, or targeted literature curation</t>
        </is>
      </c>
      <c r="F15" t="inlineStr">
        <is>
          <t>prefer_experimental_or_supplier</t>
        </is>
      </c>
      <c r="G15" t="inlineStr">
        <is>
          <t>P1</t>
        </is>
      </c>
    </row>
    <row r="16">
      <c r="A16" t="inlineStr">
        <is>
          <t>Prednisolone</t>
        </is>
      </c>
      <c r="B16" t="inlineStr">
        <is>
          <t>API</t>
        </is>
      </c>
      <c r="C16" t="inlineStr">
        <is>
          <t>pKa_base</t>
        </is>
      </c>
      <c r="D16" t="inlineStr">
        <is>
          <t>high if ionizable</t>
        </is>
      </c>
      <c r="E16" t="inlineStr">
        <is>
          <t>supplier CoA, pharmacopeial monograph, PubChem/LIPID MAPS, or targeted literature curation</t>
        </is>
      </c>
      <c r="F16" t="inlineStr">
        <is>
          <t>prefer_experimental_or_supplier</t>
        </is>
      </c>
      <c r="G16" t="inlineStr">
        <is>
          <t>P1</t>
        </is>
      </c>
    </row>
    <row r="17">
      <c r="A17" t="inlineStr">
        <is>
          <t>Hydrocortisone</t>
        </is>
      </c>
      <c r="B17" t="inlineStr">
        <is>
          <t>API</t>
        </is>
      </c>
      <c r="C17" t="inlineStr">
        <is>
          <t>LogD_7_4</t>
        </is>
      </c>
      <c r="D17" t="inlineStr">
        <is>
          <t>high for pH-dependent partitioning</t>
        </is>
      </c>
      <c r="E17" t="inlineStr">
        <is>
          <t>shake-flask/HPLC pH 7.4 or curated database</t>
        </is>
      </c>
      <c r="F17" t="inlineStr">
        <is>
          <t>yes_screening_only</t>
        </is>
      </c>
      <c r="G17" t="inlineStr">
        <is>
          <t>P3</t>
        </is>
      </c>
    </row>
    <row r="18">
      <c r="A18" t="inlineStr">
        <is>
          <t>Hydrocortisone</t>
        </is>
      </c>
      <c r="B18" t="inlineStr">
        <is>
          <t>API</t>
        </is>
      </c>
      <c r="C18" t="inlineStr">
        <is>
          <t>pKa_acid</t>
        </is>
      </c>
      <c r="D18" t="inlineStr">
        <is>
          <t>high if ionizable</t>
        </is>
      </c>
      <c r="E18" t="inlineStr">
        <is>
          <t>supplier CoA, pharmacopeial monograph, PubChem/LIPID MAPS, or targeted literature curation</t>
        </is>
      </c>
      <c r="F18" t="inlineStr">
        <is>
          <t>prefer_experimental_or_supplier</t>
        </is>
      </c>
      <c r="G18" t="inlineStr">
        <is>
          <t>P1</t>
        </is>
      </c>
    </row>
    <row r="19">
      <c r="A19" t="inlineStr">
        <is>
          <t>Hydrocortisone</t>
        </is>
      </c>
      <c r="B19" t="inlineStr">
        <is>
          <t>API</t>
        </is>
      </c>
      <c r="C19" t="inlineStr">
        <is>
          <t>pKa_base</t>
        </is>
      </c>
      <c r="D19" t="inlineStr">
        <is>
          <t>high if ionizable</t>
        </is>
      </c>
      <c r="E19" t="inlineStr">
        <is>
          <t>supplier CoA, pharmacopeial monograph, PubChem/LIPID MAPS, or targeted literature curation</t>
        </is>
      </c>
      <c r="F19" t="inlineStr">
        <is>
          <t>prefer_experimental_or_supplier</t>
        </is>
      </c>
      <c r="G19" t="inlineStr">
        <is>
          <t>P1</t>
        </is>
      </c>
    </row>
    <row r="20">
      <c r="A20" t="inlineStr">
        <is>
          <t>Curcumin</t>
        </is>
      </c>
      <c r="B20" t="inlineStr">
        <is>
          <t>API</t>
        </is>
      </c>
      <c r="C20" t="inlineStr">
        <is>
          <t>LogD_7_4</t>
        </is>
      </c>
      <c r="D20" t="inlineStr">
        <is>
          <t>high for pH-dependent partitioning</t>
        </is>
      </c>
      <c r="E20" t="inlineStr">
        <is>
          <t>shake-flask/HPLC pH 7.4 or curated database</t>
        </is>
      </c>
      <c r="F20" t="inlineStr">
        <is>
          <t>yes_screening_only</t>
        </is>
      </c>
      <c r="G20" t="inlineStr">
        <is>
          <t>P3</t>
        </is>
      </c>
    </row>
    <row r="21">
      <c r="A21" t="inlineStr">
        <is>
          <t>Curcumin</t>
        </is>
      </c>
      <c r="B21" t="inlineStr">
        <is>
          <t>API</t>
        </is>
      </c>
      <c r="C21" t="inlineStr">
        <is>
          <t>pKa_base</t>
        </is>
      </c>
      <c r="D21" t="inlineStr">
        <is>
          <t>high if ionizable</t>
        </is>
      </c>
      <c r="E21" t="inlineStr">
        <is>
          <t>supplier CoA, pharmacopeial monograph, PubChem/LIPID MAPS, or targeted literature curation</t>
        </is>
      </c>
      <c r="F21" t="inlineStr">
        <is>
          <t>prefer_experimental_or_supplier</t>
        </is>
      </c>
      <c r="G21" t="inlineStr">
        <is>
          <t>P1</t>
        </is>
      </c>
    </row>
    <row r="22">
      <c r="A22" t="inlineStr">
        <is>
          <t>Quercetin</t>
        </is>
      </c>
      <c r="B22" t="inlineStr">
        <is>
          <t>API</t>
        </is>
      </c>
      <c r="C22" t="inlineStr">
        <is>
          <t>LogD_7_4</t>
        </is>
      </c>
      <c r="D22" t="inlineStr">
        <is>
          <t>high for pH-dependent partitioning</t>
        </is>
      </c>
      <c r="E22" t="inlineStr">
        <is>
          <t>shake-flask/HPLC pH 7.4 or curated database</t>
        </is>
      </c>
      <c r="F22" t="inlineStr">
        <is>
          <t>yes_screening_only</t>
        </is>
      </c>
      <c r="G22" t="inlineStr">
        <is>
          <t>P3</t>
        </is>
      </c>
    </row>
    <row r="23">
      <c r="A23" t="inlineStr">
        <is>
          <t>Quercetin</t>
        </is>
      </c>
      <c r="B23" t="inlineStr">
        <is>
          <t>API</t>
        </is>
      </c>
      <c r="C23" t="inlineStr">
        <is>
          <t>pKa_base</t>
        </is>
      </c>
      <c r="D23" t="inlineStr">
        <is>
          <t>high if ionizable</t>
        </is>
      </c>
      <c r="E23" t="inlineStr">
        <is>
          <t>supplier CoA, pharmacopeial monograph, PubChem/LIPID MAPS, or targeted literature curation</t>
        </is>
      </c>
      <c r="F23" t="inlineStr">
        <is>
          <t>prefer_experimental_or_supplier</t>
        </is>
      </c>
      <c r="G23" t="inlineStr">
        <is>
          <t>P1</t>
        </is>
      </c>
    </row>
    <row r="24">
      <c r="A24" t="inlineStr">
        <is>
          <t>Resveratrol</t>
        </is>
      </c>
      <c r="B24" t="inlineStr">
        <is>
          <t>API</t>
        </is>
      </c>
      <c r="C24" t="inlineStr">
        <is>
          <t>LogD_7_4</t>
        </is>
      </c>
      <c r="D24" t="inlineStr">
        <is>
          <t>high for pH-dependent partitioning</t>
        </is>
      </c>
      <c r="E24" t="inlineStr">
        <is>
          <t>shake-flask/HPLC pH 7.4 or curated database</t>
        </is>
      </c>
      <c r="F24" t="inlineStr">
        <is>
          <t>yes_screening_only</t>
        </is>
      </c>
      <c r="G24" t="inlineStr">
        <is>
          <t>P3</t>
        </is>
      </c>
    </row>
    <row r="25">
      <c r="A25" t="inlineStr">
        <is>
          <t>Resveratrol</t>
        </is>
      </c>
      <c r="B25" t="inlineStr">
        <is>
          <t>API</t>
        </is>
      </c>
      <c r="C25" t="inlineStr">
        <is>
          <t>pKa_base</t>
        </is>
      </c>
      <c r="D25" t="inlineStr">
        <is>
          <t>high if ionizable</t>
        </is>
      </c>
      <c r="E25" t="inlineStr">
        <is>
          <t>supplier CoA, pharmacopeial monograph, PubChem/LIPID MAPS, or targeted literature curation</t>
        </is>
      </c>
      <c r="F25" t="inlineStr">
        <is>
          <t>prefer_experimental_or_supplier</t>
        </is>
      </c>
      <c r="G25" t="inlineStr">
        <is>
          <t>P1</t>
        </is>
      </c>
    </row>
    <row r="26">
      <c r="A26" t="inlineStr">
        <is>
          <t>Ibuprofen</t>
        </is>
      </c>
      <c r="B26" t="inlineStr">
        <is>
          <t>API</t>
        </is>
      </c>
      <c r="C26" t="inlineStr">
        <is>
          <t>LogD_7_4</t>
        </is>
      </c>
      <c r="D26" t="inlineStr">
        <is>
          <t>high for pH-dependent partitioning</t>
        </is>
      </c>
      <c r="E26" t="inlineStr">
        <is>
          <t>shake-flask/HPLC pH 7.4 or curated database</t>
        </is>
      </c>
      <c r="F26" t="inlineStr">
        <is>
          <t>yes_screening_only</t>
        </is>
      </c>
      <c r="G26" t="inlineStr">
        <is>
          <t>P3</t>
        </is>
      </c>
    </row>
    <row r="27">
      <c r="A27" t="inlineStr">
        <is>
          <t>Ibuprofen</t>
        </is>
      </c>
      <c r="B27" t="inlineStr">
        <is>
          <t>API</t>
        </is>
      </c>
      <c r="C27" t="inlineStr">
        <is>
          <t>pKa_base</t>
        </is>
      </c>
      <c r="D27" t="inlineStr">
        <is>
          <t>high if ionizable</t>
        </is>
      </c>
      <c r="E27" t="inlineStr">
        <is>
          <t>supplier CoA, pharmacopeial monograph, PubChem/LIPID MAPS, or targeted literature curation</t>
        </is>
      </c>
      <c r="F27" t="inlineStr">
        <is>
          <t>prefer_experimental_or_supplier</t>
        </is>
      </c>
      <c r="G27" t="inlineStr">
        <is>
          <t>P1</t>
        </is>
      </c>
    </row>
    <row r="28">
      <c r="A28" t="inlineStr">
        <is>
          <t>Ketoprofen</t>
        </is>
      </c>
      <c r="B28" t="inlineStr">
        <is>
          <t>API</t>
        </is>
      </c>
      <c r="C28" t="inlineStr">
        <is>
          <t>LogD_7_4</t>
        </is>
      </c>
      <c r="D28" t="inlineStr">
        <is>
          <t>high for pH-dependent partitioning</t>
        </is>
      </c>
      <c r="E28" t="inlineStr">
        <is>
          <t>shake-flask/HPLC pH 7.4 or curated database</t>
        </is>
      </c>
      <c r="F28" t="inlineStr">
        <is>
          <t>yes_screening_only</t>
        </is>
      </c>
      <c r="G28" t="inlineStr">
        <is>
          <t>P3</t>
        </is>
      </c>
    </row>
    <row r="29">
      <c r="A29" t="inlineStr">
        <is>
          <t>Ketoprofen</t>
        </is>
      </c>
      <c r="B29" t="inlineStr">
        <is>
          <t>API</t>
        </is>
      </c>
      <c r="C29" t="inlineStr">
        <is>
          <t>pKa_base</t>
        </is>
      </c>
      <c r="D29" t="inlineStr">
        <is>
          <t>high if ionizable</t>
        </is>
      </c>
      <c r="E29" t="inlineStr">
        <is>
          <t>supplier CoA, pharmacopeial monograph, PubChem/LIPID MAPS, or targeted literature curation</t>
        </is>
      </c>
      <c r="F29" t="inlineStr">
        <is>
          <t>prefer_experimental_or_supplier</t>
        </is>
      </c>
      <c r="G29" t="inlineStr">
        <is>
          <t>P1</t>
        </is>
      </c>
    </row>
    <row r="30">
      <c r="A30" t="inlineStr">
        <is>
          <t>Diclofenac</t>
        </is>
      </c>
      <c r="B30" t="inlineStr">
        <is>
          <t>API</t>
        </is>
      </c>
      <c r="C30" t="inlineStr">
        <is>
          <t>LogD_7_4</t>
        </is>
      </c>
      <c r="D30" t="inlineStr">
        <is>
          <t>high for pH-dependent partitioning</t>
        </is>
      </c>
      <c r="E30" t="inlineStr">
        <is>
          <t>shake-flask/HPLC pH 7.4 or curated database</t>
        </is>
      </c>
      <c r="F30" t="inlineStr">
        <is>
          <t>yes_screening_only</t>
        </is>
      </c>
      <c r="G30" t="inlineStr">
        <is>
          <t>P3</t>
        </is>
      </c>
    </row>
    <row r="31">
      <c r="A31" t="inlineStr">
        <is>
          <t>Diclofenac</t>
        </is>
      </c>
      <c r="B31" t="inlineStr">
        <is>
          <t>API</t>
        </is>
      </c>
      <c r="C31" t="inlineStr">
        <is>
          <t>pKa_base</t>
        </is>
      </c>
      <c r="D31" t="inlineStr">
        <is>
          <t>high if ionizable</t>
        </is>
      </c>
      <c r="E31" t="inlineStr">
        <is>
          <t>supplier CoA, pharmacopeial monograph, PubChem/LIPID MAPS, or targeted literature curation</t>
        </is>
      </c>
      <c r="F31" t="inlineStr">
        <is>
          <t>prefer_experimental_or_supplier</t>
        </is>
      </c>
      <c r="G31" t="inlineStr">
        <is>
          <t>P1</t>
        </is>
      </c>
    </row>
    <row r="32">
      <c r="A32" t="inlineStr">
        <is>
          <t>Naproxen</t>
        </is>
      </c>
      <c r="B32" t="inlineStr">
        <is>
          <t>API</t>
        </is>
      </c>
      <c r="C32" t="inlineStr">
        <is>
          <t>LogD_7_4</t>
        </is>
      </c>
      <c r="D32" t="inlineStr">
        <is>
          <t>high for pH-dependent partitioning</t>
        </is>
      </c>
      <c r="E32" t="inlineStr">
        <is>
          <t>shake-flask/HPLC pH 7.4 or curated database</t>
        </is>
      </c>
      <c r="F32" t="inlineStr">
        <is>
          <t>yes_screening_only</t>
        </is>
      </c>
      <c r="G32" t="inlineStr">
        <is>
          <t>P3</t>
        </is>
      </c>
    </row>
    <row r="33">
      <c r="A33" t="inlineStr">
        <is>
          <t>Naproxen</t>
        </is>
      </c>
      <c r="B33" t="inlineStr">
        <is>
          <t>API</t>
        </is>
      </c>
      <c r="C33" t="inlineStr">
        <is>
          <t>pKa_base</t>
        </is>
      </c>
      <c r="D33" t="inlineStr">
        <is>
          <t>high if ionizable</t>
        </is>
      </c>
      <c r="E33" t="inlineStr">
        <is>
          <t>supplier CoA, pharmacopeial monograph, PubChem/LIPID MAPS, or targeted literature curation</t>
        </is>
      </c>
      <c r="F33" t="inlineStr">
        <is>
          <t>prefer_experimental_or_supplier</t>
        </is>
      </c>
      <c r="G33" t="inlineStr">
        <is>
          <t>P1</t>
        </is>
      </c>
    </row>
    <row r="34">
      <c r="A34" t="inlineStr">
        <is>
          <t>Indomethacin</t>
        </is>
      </c>
      <c r="B34" t="inlineStr">
        <is>
          <t>API</t>
        </is>
      </c>
      <c r="C34" t="inlineStr">
        <is>
          <t>LogD_7_4</t>
        </is>
      </c>
      <c r="D34" t="inlineStr">
        <is>
          <t>high for pH-dependent partitioning</t>
        </is>
      </c>
      <c r="E34" t="inlineStr">
        <is>
          <t>shake-flask/HPLC pH 7.4 or curated database</t>
        </is>
      </c>
      <c r="F34" t="inlineStr">
        <is>
          <t>yes_screening_only</t>
        </is>
      </c>
      <c r="G34" t="inlineStr">
        <is>
          <t>P3</t>
        </is>
      </c>
    </row>
    <row r="35">
      <c r="A35" t="inlineStr">
        <is>
          <t>Indomethacin</t>
        </is>
      </c>
      <c r="B35" t="inlineStr">
        <is>
          <t>API</t>
        </is>
      </c>
      <c r="C35" t="inlineStr">
        <is>
          <t>pKa_base</t>
        </is>
      </c>
      <c r="D35" t="inlineStr">
        <is>
          <t>high if ionizable</t>
        </is>
      </c>
      <c r="E35" t="inlineStr">
        <is>
          <t>supplier CoA, pharmacopeial monograph, PubChem/LIPID MAPS, or targeted literature curation</t>
        </is>
      </c>
      <c r="F35" t="inlineStr">
        <is>
          <t>prefer_experimental_or_supplier</t>
        </is>
      </c>
      <c r="G35" t="inlineStr">
        <is>
          <t>P1</t>
        </is>
      </c>
    </row>
    <row r="36">
      <c r="A36" t="inlineStr">
        <is>
          <t>Paclitaxel</t>
        </is>
      </c>
      <c r="B36" t="inlineStr">
        <is>
          <t>API</t>
        </is>
      </c>
      <c r="C36" t="inlineStr">
        <is>
          <t>LogD_7_4</t>
        </is>
      </c>
      <c r="D36" t="inlineStr">
        <is>
          <t>high for pH-dependent partitioning</t>
        </is>
      </c>
      <c r="E36" t="inlineStr">
        <is>
          <t>shake-flask/HPLC pH 7.4 or curated database</t>
        </is>
      </c>
      <c r="F36" t="inlineStr">
        <is>
          <t>yes_screening_only</t>
        </is>
      </c>
      <c r="G36" t="inlineStr">
        <is>
          <t>P3</t>
        </is>
      </c>
    </row>
    <row r="37">
      <c r="A37" t="inlineStr">
        <is>
          <t>Paclitaxel</t>
        </is>
      </c>
      <c r="B37" t="inlineStr">
        <is>
          <t>API</t>
        </is>
      </c>
      <c r="C37" t="inlineStr">
        <is>
          <t>pKa_acid</t>
        </is>
      </c>
      <c r="D37" t="inlineStr">
        <is>
          <t>high if ionizable</t>
        </is>
      </c>
      <c r="E37" t="inlineStr">
        <is>
          <t>supplier CoA, pharmacopeial monograph, PubChem/LIPID MAPS, or targeted literature curation</t>
        </is>
      </c>
      <c r="F37" t="inlineStr">
        <is>
          <t>prefer_experimental_or_supplier</t>
        </is>
      </c>
      <c r="G37" t="inlineStr">
        <is>
          <t>P1</t>
        </is>
      </c>
    </row>
    <row r="38">
      <c r="A38" t="inlineStr">
        <is>
          <t>Paclitaxel</t>
        </is>
      </c>
      <c r="B38" t="inlineStr">
        <is>
          <t>API</t>
        </is>
      </c>
      <c r="C38" t="inlineStr">
        <is>
          <t>pKa_base</t>
        </is>
      </c>
      <c r="D38" t="inlineStr">
        <is>
          <t>high if ionizable</t>
        </is>
      </c>
      <c r="E38" t="inlineStr">
        <is>
          <t>supplier CoA, pharmacopeial monograph, PubChem/LIPID MAPS, or targeted literature curation</t>
        </is>
      </c>
      <c r="F38" t="inlineStr">
        <is>
          <t>prefer_experimental_or_supplier</t>
        </is>
      </c>
      <c r="G38" t="inlineStr">
        <is>
          <t>P1</t>
        </is>
      </c>
    </row>
    <row r="39">
      <c r="A39" t="inlineStr">
        <is>
          <t>Docetaxel</t>
        </is>
      </c>
      <c r="B39" t="inlineStr">
        <is>
          <t>API</t>
        </is>
      </c>
      <c r="C39" t="inlineStr">
        <is>
          <t>LogD_7_4</t>
        </is>
      </c>
      <c r="D39" t="inlineStr">
        <is>
          <t>high for pH-dependent partitioning</t>
        </is>
      </c>
      <c r="E39" t="inlineStr">
        <is>
          <t>shake-flask/HPLC pH 7.4 or curated database</t>
        </is>
      </c>
      <c r="F39" t="inlineStr">
        <is>
          <t>yes_screening_only</t>
        </is>
      </c>
      <c r="G39" t="inlineStr">
        <is>
          <t>P3</t>
        </is>
      </c>
    </row>
    <row r="40">
      <c r="A40" t="inlineStr">
        <is>
          <t>Docetaxel</t>
        </is>
      </c>
      <c r="B40" t="inlineStr">
        <is>
          <t>API</t>
        </is>
      </c>
      <c r="C40" t="inlineStr">
        <is>
          <t>pKa_acid</t>
        </is>
      </c>
      <c r="D40" t="inlineStr">
        <is>
          <t>high if ionizable</t>
        </is>
      </c>
      <c r="E40" t="inlineStr">
        <is>
          <t>supplier CoA, pharmacopeial monograph, PubChem/LIPID MAPS, or targeted literature curation</t>
        </is>
      </c>
      <c r="F40" t="inlineStr">
        <is>
          <t>prefer_experimental_or_supplier</t>
        </is>
      </c>
      <c r="G40" t="inlineStr">
        <is>
          <t>P1</t>
        </is>
      </c>
    </row>
    <row r="41">
      <c r="A41" t="inlineStr">
        <is>
          <t>Docetaxel</t>
        </is>
      </c>
      <c r="B41" t="inlineStr">
        <is>
          <t>API</t>
        </is>
      </c>
      <c r="C41" t="inlineStr">
        <is>
          <t>pKa_base</t>
        </is>
      </c>
      <c r="D41" t="inlineStr">
        <is>
          <t>high if ionizable</t>
        </is>
      </c>
      <c r="E41" t="inlineStr">
        <is>
          <t>supplier CoA, pharmacopeial monograph, PubChem/LIPID MAPS, or targeted literature curation</t>
        </is>
      </c>
      <c r="F41" t="inlineStr">
        <is>
          <t>prefer_experimental_or_supplier</t>
        </is>
      </c>
      <c r="G41" t="inlineStr">
        <is>
          <t>P1</t>
        </is>
      </c>
    </row>
    <row r="42">
      <c r="A42" t="inlineStr">
        <is>
          <t>Doxorubicin</t>
        </is>
      </c>
      <c r="B42" t="inlineStr">
        <is>
          <t>API</t>
        </is>
      </c>
      <c r="C42" t="inlineStr">
        <is>
          <t>LogD_7_4</t>
        </is>
      </c>
      <c r="D42" t="inlineStr">
        <is>
          <t>high for pH-dependent partitioning</t>
        </is>
      </c>
      <c r="E42" t="inlineStr">
        <is>
          <t>shake-flask/HPLC pH 7.4 or curated database</t>
        </is>
      </c>
      <c r="F42" t="inlineStr">
        <is>
          <t>yes_screening_only</t>
        </is>
      </c>
      <c r="G42" t="inlineStr">
        <is>
          <t>P3</t>
        </is>
      </c>
    </row>
    <row r="43">
      <c r="A43" t="inlineStr">
        <is>
          <t>Doxorubicin</t>
        </is>
      </c>
      <c r="B43" t="inlineStr">
        <is>
          <t>API</t>
        </is>
      </c>
      <c r="C43" t="inlineStr">
        <is>
          <t>pKa_acid</t>
        </is>
      </c>
      <c r="D43" t="inlineStr">
        <is>
          <t>high if ionizable</t>
        </is>
      </c>
      <c r="E43" t="inlineStr">
        <is>
          <t>supplier CoA, pharmacopeial monograph, PubChem/LIPID MAPS, or targeted literature curation</t>
        </is>
      </c>
      <c r="F43" t="inlineStr">
        <is>
          <t>prefer_experimental_or_supplier</t>
        </is>
      </c>
      <c r="G43" t="inlineStr">
        <is>
          <t>P1</t>
        </is>
      </c>
    </row>
    <row r="44">
      <c r="A44" t="inlineStr">
        <is>
          <t>Cisplatin</t>
        </is>
      </c>
      <c r="B44" t="inlineStr">
        <is>
          <t>API</t>
        </is>
      </c>
      <c r="C44" t="inlineStr">
        <is>
          <t>LogD_7_4</t>
        </is>
      </c>
      <c r="D44" t="inlineStr">
        <is>
          <t>high for pH-dependent partitioning</t>
        </is>
      </c>
      <c r="E44" t="inlineStr">
        <is>
          <t>shake-flask/HPLC pH 7.4 or curated database</t>
        </is>
      </c>
      <c r="F44" t="inlineStr">
        <is>
          <t>yes_screening_only</t>
        </is>
      </c>
      <c r="G44" t="inlineStr">
        <is>
          <t>P3</t>
        </is>
      </c>
    </row>
    <row r="45">
      <c r="A45" t="inlineStr">
        <is>
          <t>Cisplatin</t>
        </is>
      </c>
      <c r="B45" t="inlineStr">
        <is>
          <t>API</t>
        </is>
      </c>
      <c r="C45" t="inlineStr">
        <is>
          <t>pKa_acid</t>
        </is>
      </c>
      <c r="D45" t="inlineStr">
        <is>
          <t>high if ionizable</t>
        </is>
      </c>
      <c r="E45" t="inlineStr">
        <is>
          <t>supplier CoA, pharmacopeial monograph, PubChem/LIPID MAPS, or targeted literature curation</t>
        </is>
      </c>
      <c r="F45" t="inlineStr">
        <is>
          <t>prefer_experimental_or_supplier</t>
        </is>
      </c>
      <c r="G45" t="inlineStr">
        <is>
          <t>P1</t>
        </is>
      </c>
    </row>
    <row r="46">
      <c r="A46" t="inlineStr">
        <is>
          <t>Cisplatin</t>
        </is>
      </c>
      <c r="B46" t="inlineStr">
        <is>
          <t>API</t>
        </is>
      </c>
      <c r="C46" t="inlineStr">
        <is>
          <t>pKa_base</t>
        </is>
      </c>
      <c r="D46" t="inlineStr">
        <is>
          <t>high if ionizable</t>
        </is>
      </c>
      <c r="E46" t="inlineStr">
        <is>
          <t>supplier CoA, pharmacopeial monograph, PubChem/LIPID MAPS, or targeted literature curation</t>
        </is>
      </c>
      <c r="F46" t="inlineStr">
        <is>
          <t>prefer_experimental_or_supplier</t>
        </is>
      </c>
      <c r="G46" t="inlineStr">
        <is>
          <t>P1</t>
        </is>
      </c>
    </row>
    <row r="47">
      <c r="A47" t="inlineStr">
        <is>
          <t>Acyclovir</t>
        </is>
      </c>
      <c r="B47" t="inlineStr">
        <is>
          <t>API</t>
        </is>
      </c>
      <c r="C47" t="inlineStr">
        <is>
          <t>LogD_7_4</t>
        </is>
      </c>
      <c r="D47" t="inlineStr">
        <is>
          <t>high for pH-dependent partitioning</t>
        </is>
      </c>
      <c r="E47" t="inlineStr">
        <is>
          <t>shake-flask/HPLC pH 7.4 or curated database</t>
        </is>
      </c>
      <c r="F47" t="inlineStr">
        <is>
          <t>yes_screening_only</t>
        </is>
      </c>
      <c r="G47" t="inlineStr">
        <is>
          <t>P3</t>
        </is>
      </c>
    </row>
    <row r="48">
      <c r="A48" t="inlineStr">
        <is>
          <t>Acyclovir</t>
        </is>
      </c>
      <c r="B48" t="inlineStr">
        <is>
          <t>API</t>
        </is>
      </c>
      <c r="C48" t="inlineStr">
        <is>
          <t>pKa_base</t>
        </is>
      </c>
      <c r="D48" t="inlineStr">
        <is>
          <t>high if ionizable</t>
        </is>
      </c>
      <c r="E48" t="inlineStr">
        <is>
          <t>supplier CoA, pharmacopeial monograph, PubChem/LIPID MAPS, or targeted literature curation</t>
        </is>
      </c>
      <c r="F48" t="inlineStr">
        <is>
          <t>prefer_experimental_or_supplier</t>
        </is>
      </c>
      <c r="G48" t="inlineStr">
        <is>
          <t>P1</t>
        </is>
      </c>
    </row>
    <row r="49">
      <c r="A49" t="inlineStr">
        <is>
          <t>Clotrimazole</t>
        </is>
      </c>
      <c r="B49" t="inlineStr">
        <is>
          <t>API</t>
        </is>
      </c>
      <c r="C49" t="inlineStr">
        <is>
          <t>LogD_7_4</t>
        </is>
      </c>
      <c r="D49" t="inlineStr">
        <is>
          <t>high for pH-dependent partitioning</t>
        </is>
      </c>
      <c r="E49" t="inlineStr">
        <is>
          <t>shake-flask/HPLC pH 7.4 or curated database</t>
        </is>
      </c>
      <c r="F49" t="inlineStr">
        <is>
          <t>yes_screening_only</t>
        </is>
      </c>
      <c r="G49" t="inlineStr">
        <is>
          <t>P3</t>
        </is>
      </c>
    </row>
    <row r="50">
      <c r="A50" t="inlineStr">
        <is>
          <t>Clotrimazole</t>
        </is>
      </c>
      <c r="B50" t="inlineStr">
        <is>
          <t>API</t>
        </is>
      </c>
      <c r="C50" t="inlineStr">
        <is>
          <t>pKa_acid</t>
        </is>
      </c>
      <c r="D50" t="inlineStr">
        <is>
          <t>high if ionizable</t>
        </is>
      </c>
      <c r="E50" t="inlineStr">
        <is>
          <t>supplier CoA, pharmacopeial monograph, PubChem/LIPID MAPS, or targeted literature curation</t>
        </is>
      </c>
      <c r="F50" t="inlineStr">
        <is>
          <t>prefer_experimental_or_supplier</t>
        </is>
      </c>
      <c r="G50" t="inlineStr">
        <is>
          <t>P1</t>
        </is>
      </c>
    </row>
    <row r="51">
      <c r="A51" t="inlineStr">
        <is>
          <t>Amphotericin B</t>
        </is>
      </c>
      <c r="B51" t="inlineStr">
        <is>
          <t>API</t>
        </is>
      </c>
      <c r="C51" t="inlineStr">
        <is>
          <t>LogD_7_4</t>
        </is>
      </c>
      <c r="D51" t="inlineStr">
        <is>
          <t>high for pH-dependent partitioning</t>
        </is>
      </c>
      <c r="E51" t="inlineStr">
        <is>
          <t>shake-flask/HPLC pH 7.4 or curated database</t>
        </is>
      </c>
      <c r="F51" t="inlineStr">
        <is>
          <t>yes_screening_only</t>
        </is>
      </c>
      <c r="G51" t="inlineStr">
        <is>
          <t>P3</t>
        </is>
      </c>
    </row>
    <row r="52">
      <c r="A52" t="inlineStr">
        <is>
          <t>Amphotericin B</t>
        </is>
      </c>
      <c r="B52" t="inlineStr">
        <is>
          <t>API</t>
        </is>
      </c>
      <c r="C52" t="inlineStr">
        <is>
          <t>pKa_base</t>
        </is>
      </c>
      <c r="D52" t="inlineStr">
        <is>
          <t>high if ionizable</t>
        </is>
      </c>
      <c r="E52" t="inlineStr">
        <is>
          <t>supplier CoA, pharmacopeial monograph, PubChem/LIPID MAPS, or targeted literature curation</t>
        </is>
      </c>
      <c r="F52" t="inlineStr">
        <is>
          <t>prefer_experimental_or_supplier</t>
        </is>
      </c>
      <c r="G52" t="inlineStr">
        <is>
          <t>P1</t>
        </is>
      </c>
    </row>
    <row r="53">
      <c r="A53" t="inlineStr">
        <is>
          <t>Doxycycline</t>
        </is>
      </c>
      <c r="B53" t="inlineStr">
        <is>
          <t>API</t>
        </is>
      </c>
      <c r="C53" t="inlineStr">
        <is>
          <t>LogD_7_4</t>
        </is>
      </c>
      <c r="D53" t="inlineStr">
        <is>
          <t>high for pH-dependent partitioning</t>
        </is>
      </c>
      <c r="E53" t="inlineStr">
        <is>
          <t>shake-flask/HPLC pH 7.4 or curated database</t>
        </is>
      </c>
      <c r="F53" t="inlineStr">
        <is>
          <t>yes_screening_only</t>
        </is>
      </c>
      <c r="G53" t="inlineStr">
        <is>
          <t>P3</t>
        </is>
      </c>
    </row>
    <row r="54">
      <c r="A54" t="inlineStr">
        <is>
          <t>Doxycycline</t>
        </is>
      </c>
      <c r="B54" t="inlineStr">
        <is>
          <t>API</t>
        </is>
      </c>
      <c r="C54" t="inlineStr">
        <is>
          <t>pKa_base</t>
        </is>
      </c>
      <c r="D54" t="inlineStr">
        <is>
          <t>high if ionizable</t>
        </is>
      </c>
      <c r="E54" t="inlineStr">
        <is>
          <t>supplier CoA, pharmacopeial monograph, PubChem/LIPID MAPS, or targeted literature curation</t>
        </is>
      </c>
      <c r="F54" t="inlineStr">
        <is>
          <t>prefer_experimental_or_supplier</t>
        </is>
      </c>
      <c r="G54" t="inlineStr">
        <is>
          <t>P1</t>
        </is>
      </c>
    </row>
    <row r="55">
      <c r="A55" t="inlineStr">
        <is>
          <t>Rifampicin</t>
        </is>
      </c>
      <c r="B55" t="inlineStr">
        <is>
          <t>API</t>
        </is>
      </c>
      <c r="C55" t="inlineStr">
        <is>
          <t>LogD_7_4</t>
        </is>
      </c>
      <c r="D55" t="inlineStr">
        <is>
          <t>high for pH-dependent partitioning</t>
        </is>
      </c>
      <c r="E55" t="inlineStr">
        <is>
          <t>shake-flask/HPLC pH 7.4 or curated database</t>
        </is>
      </c>
      <c r="F55" t="inlineStr">
        <is>
          <t>yes_screening_only</t>
        </is>
      </c>
      <c r="G55" t="inlineStr">
        <is>
          <t>P3</t>
        </is>
      </c>
    </row>
    <row r="56">
      <c r="A56" t="inlineStr">
        <is>
          <t>Rifampicin</t>
        </is>
      </c>
      <c r="B56" t="inlineStr">
        <is>
          <t>API</t>
        </is>
      </c>
      <c r="C56" t="inlineStr">
        <is>
          <t>pKa_base</t>
        </is>
      </c>
      <c r="D56" t="inlineStr">
        <is>
          <t>high if ionizable</t>
        </is>
      </c>
      <c r="E56" t="inlineStr">
        <is>
          <t>supplier CoA, pharmacopeial monograph, PubChem/LIPID MAPS, or targeted literature curation</t>
        </is>
      </c>
      <c r="F56" t="inlineStr">
        <is>
          <t>prefer_experimental_or_supplier</t>
        </is>
      </c>
      <c r="G56" t="inlineStr">
        <is>
          <t>P1</t>
        </is>
      </c>
    </row>
    <row r="57">
      <c r="A57" t="inlineStr">
        <is>
          <t>Cyclosporine A</t>
        </is>
      </c>
      <c r="B57" t="inlineStr">
        <is>
          <t>API</t>
        </is>
      </c>
      <c r="C57" t="inlineStr">
        <is>
          <t>LogD_7_4</t>
        </is>
      </c>
      <c r="D57" t="inlineStr">
        <is>
          <t>high for pH-dependent partitioning</t>
        </is>
      </c>
      <c r="E57" t="inlineStr">
        <is>
          <t>shake-flask/HPLC pH 7.4 or curated database</t>
        </is>
      </c>
      <c r="F57" t="inlineStr">
        <is>
          <t>yes_screening_only</t>
        </is>
      </c>
      <c r="G57" t="inlineStr">
        <is>
          <t>P3</t>
        </is>
      </c>
    </row>
    <row r="58">
      <c r="A58" t="inlineStr">
        <is>
          <t>Cyclosporine A</t>
        </is>
      </c>
      <c r="B58" t="inlineStr">
        <is>
          <t>API</t>
        </is>
      </c>
      <c r="C58" t="inlineStr">
        <is>
          <t>pKa_acid</t>
        </is>
      </c>
      <c r="D58" t="inlineStr">
        <is>
          <t>high if ionizable</t>
        </is>
      </c>
      <c r="E58" t="inlineStr">
        <is>
          <t>supplier CoA, pharmacopeial monograph, PubChem/LIPID MAPS, or targeted literature curation</t>
        </is>
      </c>
      <c r="F58" t="inlineStr">
        <is>
          <t>prefer_experimental_or_supplier</t>
        </is>
      </c>
      <c r="G58" t="inlineStr">
        <is>
          <t>P1</t>
        </is>
      </c>
    </row>
    <row r="59">
      <c r="A59" t="inlineStr">
        <is>
          <t>Cyclosporine A</t>
        </is>
      </c>
      <c r="B59" t="inlineStr">
        <is>
          <t>API</t>
        </is>
      </c>
      <c r="C59" t="inlineStr">
        <is>
          <t>pKa_base</t>
        </is>
      </c>
      <c r="D59" t="inlineStr">
        <is>
          <t>high if ionizable</t>
        </is>
      </c>
      <c r="E59" t="inlineStr">
        <is>
          <t>supplier CoA, pharmacopeial monograph, PubChem/LIPID MAPS, or targeted literature curation</t>
        </is>
      </c>
      <c r="F59" t="inlineStr">
        <is>
          <t>prefer_experimental_or_supplier</t>
        </is>
      </c>
      <c r="G59" t="inlineStr">
        <is>
          <t>P1</t>
        </is>
      </c>
    </row>
    <row r="60">
      <c r="A60" t="inlineStr">
        <is>
          <t>Tacrolimus</t>
        </is>
      </c>
      <c r="B60" t="inlineStr">
        <is>
          <t>API</t>
        </is>
      </c>
      <c r="C60" t="inlineStr">
        <is>
          <t>LogD_7_4</t>
        </is>
      </c>
      <c r="D60" t="inlineStr">
        <is>
          <t>high for pH-dependent partitioning</t>
        </is>
      </c>
      <c r="E60" t="inlineStr">
        <is>
          <t>shake-flask/HPLC pH 7.4 or curated database</t>
        </is>
      </c>
      <c r="F60" t="inlineStr">
        <is>
          <t>yes_screening_only</t>
        </is>
      </c>
      <c r="G60" t="inlineStr">
        <is>
          <t>P3</t>
        </is>
      </c>
    </row>
    <row r="61">
      <c r="A61" t="inlineStr">
        <is>
          <t>Tacrolimus</t>
        </is>
      </c>
      <c r="B61" t="inlineStr">
        <is>
          <t>API</t>
        </is>
      </c>
      <c r="C61" t="inlineStr">
        <is>
          <t>pKa_acid</t>
        </is>
      </c>
      <c r="D61" t="inlineStr">
        <is>
          <t>high if ionizable</t>
        </is>
      </c>
      <c r="E61" t="inlineStr">
        <is>
          <t>supplier CoA, pharmacopeial monograph, PubChem/LIPID MAPS, or targeted literature curation</t>
        </is>
      </c>
      <c r="F61" t="inlineStr">
        <is>
          <t>prefer_experimental_or_supplier</t>
        </is>
      </c>
      <c r="G61" t="inlineStr">
        <is>
          <t>P1</t>
        </is>
      </c>
    </row>
    <row r="62">
      <c r="A62" t="inlineStr">
        <is>
          <t>Tacrolimus</t>
        </is>
      </c>
      <c r="B62" t="inlineStr">
        <is>
          <t>API</t>
        </is>
      </c>
      <c r="C62" t="inlineStr">
        <is>
          <t>pKa_base</t>
        </is>
      </c>
      <c r="D62" t="inlineStr">
        <is>
          <t>high if ionizable</t>
        </is>
      </c>
      <c r="E62" t="inlineStr">
        <is>
          <t>supplier CoA, pharmacopeial monograph, PubChem/LIPID MAPS, or targeted literature curation</t>
        </is>
      </c>
      <c r="F62" t="inlineStr">
        <is>
          <t>prefer_experimental_or_supplier</t>
        </is>
      </c>
      <c r="G62" t="inlineStr">
        <is>
          <t>P1</t>
        </is>
      </c>
    </row>
    <row r="63">
      <c r="A63" t="inlineStr">
        <is>
          <t>Sirolimus</t>
        </is>
      </c>
      <c r="B63" t="inlineStr">
        <is>
          <t>API</t>
        </is>
      </c>
      <c r="C63" t="inlineStr">
        <is>
          <t>LogD_7_4</t>
        </is>
      </c>
      <c r="D63" t="inlineStr">
        <is>
          <t>high for pH-dependent partitioning</t>
        </is>
      </c>
      <c r="E63" t="inlineStr">
        <is>
          <t>shake-flask/HPLC pH 7.4 or curated database</t>
        </is>
      </c>
      <c r="F63" t="inlineStr">
        <is>
          <t>yes_screening_only</t>
        </is>
      </c>
      <c r="G63" t="inlineStr">
        <is>
          <t>P3</t>
        </is>
      </c>
    </row>
    <row r="64">
      <c r="A64" t="inlineStr">
        <is>
          <t>Sirolimus</t>
        </is>
      </c>
      <c r="B64" t="inlineStr">
        <is>
          <t>API</t>
        </is>
      </c>
      <c r="C64" t="inlineStr">
        <is>
          <t>pKa_acid</t>
        </is>
      </c>
      <c r="D64" t="inlineStr">
        <is>
          <t>high if ionizable</t>
        </is>
      </c>
      <c r="E64" t="inlineStr">
        <is>
          <t>supplier CoA, pharmacopeial monograph, PubChem/LIPID MAPS, or targeted literature curation</t>
        </is>
      </c>
      <c r="F64" t="inlineStr">
        <is>
          <t>prefer_experimental_or_supplier</t>
        </is>
      </c>
      <c r="G64" t="inlineStr">
        <is>
          <t>P1</t>
        </is>
      </c>
    </row>
    <row r="65">
      <c r="A65" t="inlineStr">
        <is>
          <t>Sirolimus</t>
        </is>
      </c>
      <c r="B65" t="inlineStr">
        <is>
          <t>API</t>
        </is>
      </c>
      <c r="C65" t="inlineStr">
        <is>
          <t>pKa_base</t>
        </is>
      </c>
      <c r="D65" t="inlineStr">
        <is>
          <t>high if ionizable</t>
        </is>
      </c>
      <c r="E65" t="inlineStr">
        <is>
          <t>supplier CoA, pharmacopeial monograph, PubChem/LIPID MAPS, or targeted literature curation</t>
        </is>
      </c>
      <c r="F65" t="inlineStr">
        <is>
          <t>prefer_experimental_or_supplier</t>
        </is>
      </c>
      <c r="G65" t="inlineStr">
        <is>
          <t>P1</t>
        </is>
      </c>
    </row>
    <row r="66">
      <c r="A66" t="inlineStr">
        <is>
          <t>Itraconazole</t>
        </is>
      </c>
      <c r="B66" t="inlineStr">
        <is>
          <t>API</t>
        </is>
      </c>
      <c r="C66" t="inlineStr">
        <is>
          <t>LogD_7_4</t>
        </is>
      </c>
      <c r="D66" t="inlineStr">
        <is>
          <t>high for pH-dependent partitioning</t>
        </is>
      </c>
      <c r="E66" t="inlineStr">
        <is>
          <t>shake-flask/HPLC pH 7.4 or curated database</t>
        </is>
      </c>
      <c r="F66" t="inlineStr">
        <is>
          <t>yes_screening_only</t>
        </is>
      </c>
      <c r="G66" t="inlineStr">
        <is>
          <t>P3</t>
        </is>
      </c>
    </row>
    <row r="67">
      <c r="A67" t="inlineStr">
        <is>
          <t>Itraconazole</t>
        </is>
      </c>
      <c r="B67" t="inlineStr">
        <is>
          <t>API</t>
        </is>
      </c>
      <c r="C67" t="inlineStr">
        <is>
          <t>pKa_acid</t>
        </is>
      </c>
      <c r="D67" t="inlineStr">
        <is>
          <t>high if ionizable</t>
        </is>
      </c>
      <c r="E67" t="inlineStr">
        <is>
          <t>supplier CoA, pharmacopeial monograph, PubChem/LIPID MAPS, or targeted literature curation</t>
        </is>
      </c>
      <c r="F67" t="inlineStr">
        <is>
          <t>prefer_experimental_or_supplier</t>
        </is>
      </c>
      <c r="G67" t="inlineStr">
        <is>
          <t>P1</t>
        </is>
      </c>
    </row>
    <row r="68">
      <c r="A68" t="inlineStr">
        <is>
          <t>Voriconazole</t>
        </is>
      </c>
      <c r="B68" t="inlineStr">
        <is>
          <t>API</t>
        </is>
      </c>
      <c r="C68" t="inlineStr">
        <is>
          <t>LogD_7_4</t>
        </is>
      </c>
      <c r="D68" t="inlineStr">
        <is>
          <t>high for pH-dependent partitioning</t>
        </is>
      </c>
      <c r="E68" t="inlineStr">
        <is>
          <t>shake-flask/HPLC pH 7.4 or curated database</t>
        </is>
      </c>
      <c r="F68" t="inlineStr">
        <is>
          <t>yes_screening_only</t>
        </is>
      </c>
      <c r="G68" t="inlineStr">
        <is>
          <t>P3</t>
        </is>
      </c>
    </row>
    <row r="69">
      <c r="A69" t="inlineStr">
        <is>
          <t>Voriconazole</t>
        </is>
      </c>
      <c r="B69" t="inlineStr">
        <is>
          <t>API</t>
        </is>
      </c>
      <c r="C69" t="inlineStr">
        <is>
          <t>pKa_acid</t>
        </is>
      </c>
      <c r="D69" t="inlineStr">
        <is>
          <t>high if ionizable</t>
        </is>
      </c>
      <c r="E69" t="inlineStr">
        <is>
          <t>supplier CoA, pharmacopeial monograph, PubChem/LIPID MAPS, or targeted literature curation</t>
        </is>
      </c>
      <c r="F69" t="inlineStr">
        <is>
          <t>prefer_experimental_or_supplier</t>
        </is>
      </c>
      <c r="G69" t="inlineStr">
        <is>
          <t>P1</t>
        </is>
      </c>
    </row>
    <row r="70">
      <c r="A70" t="inlineStr">
        <is>
          <t>Celecoxib</t>
        </is>
      </c>
      <c r="B70" t="inlineStr">
        <is>
          <t>API</t>
        </is>
      </c>
      <c r="C70" t="inlineStr">
        <is>
          <t>LogD_7_4</t>
        </is>
      </c>
      <c r="D70" t="inlineStr">
        <is>
          <t>high for pH-dependent partitioning</t>
        </is>
      </c>
      <c r="E70" t="inlineStr">
        <is>
          <t>shake-flask/HPLC pH 7.4 or curated database</t>
        </is>
      </c>
      <c r="F70" t="inlineStr">
        <is>
          <t>yes_screening_only</t>
        </is>
      </c>
      <c r="G70" t="inlineStr">
        <is>
          <t>P3</t>
        </is>
      </c>
    </row>
    <row r="71">
      <c r="A71" t="inlineStr">
        <is>
          <t>Celecoxib</t>
        </is>
      </c>
      <c r="B71" t="inlineStr">
        <is>
          <t>API</t>
        </is>
      </c>
      <c r="C71" t="inlineStr">
        <is>
          <t>pKa_base</t>
        </is>
      </c>
      <c r="D71" t="inlineStr">
        <is>
          <t>high if ionizable</t>
        </is>
      </c>
      <c r="E71" t="inlineStr">
        <is>
          <t>supplier CoA, pharmacopeial monograph, PubChem/LIPID MAPS, or targeted literature curation</t>
        </is>
      </c>
      <c r="F71" t="inlineStr">
        <is>
          <t>prefer_experimental_or_supplier</t>
        </is>
      </c>
      <c r="G71" t="inlineStr">
        <is>
          <t>P1</t>
        </is>
      </c>
    </row>
    <row r="72">
      <c r="A72" t="inlineStr">
        <is>
          <t>Nifedipine</t>
        </is>
      </c>
      <c r="B72" t="inlineStr">
        <is>
          <t>API</t>
        </is>
      </c>
      <c r="C72" t="inlineStr">
        <is>
          <t>LogD_7_4</t>
        </is>
      </c>
      <c r="D72" t="inlineStr">
        <is>
          <t>high for pH-dependent partitioning</t>
        </is>
      </c>
      <c r="E72" t="inlineStr">
        <is>
          <t>shake-flask/HPLC pH 7.4 or curated database</t>
        </is>
      </c>
      <c r="F72" t="inlineStr">
        <is>
          <t>yes_screening_only</t>
        </is>
      </c>
      <c r="G72" t="inlineStr">
        <is>
          <t>P3</t>
        </is>
      </c>
    </row>
    <row r="73">
      <c r="A73" t="inlineStr">
        <is>
          <t>Nifedipine</t>
        </is>
      </c>
      <c r="B73" t="inlineStr">
        <is>
          <t>API</t>
        </is>
      </c>
      <c r="C73" t="inlineStr">
        <is>
          <t>pKa_acid</t>
        </is>
      </c>
      <c r="D73" t="inlineStr">
        <is>
          <t>high if ionizable</t>
        </is>
      </c>
      <c r="E73" t="inlineStr">
        <is>
          <t>supplier CoA, pharmacopeial monograph, PubChem/LIPID MAPS, or targeted literature curation</t>
        </is>
      </c>
      <c r="F73" t="inlineStr">
        <is>
          <t>prefer_experimental_or_supplier</t>
        </is>
      </c>
      <c r="G73" t="inlineStr">
        <is>
          <t>P1</t>
        </is>
      </c>
    </row>
    <row r="74">
      <c r="A74" t="inlineStr">
        <is>
          <t>Nifedipine</t>
        </is>
      </c>
      <c r="B74" t="inlineStr">
        <is>
          <t>API</t>
        </is>
      </c>
      <c r="C74" t="inlineStr">
        <is>
          <t>pKa_base</t>
        </is>
      </c>
      <c r="D74" t="inlineStr">
        <is>
          <t>high if ionizable</t>
        </is>
      </c>
      <c r="E74" t="inlineStr">
        <is>
          <t>supplier CoA, pharmacopeial monograph, PubChem/LIPID MAPS, or targeted literature curation</t>
        </is>
      </c>
      <c r="F74" t="inlineStr">
        <is>
          <t>prefer_experimental_or_supplier</t>
        </is>
      </c>
      <c r="G74" t="inlineStr">
        <is>
          <t>P1</t>
        </is>
      </c>
    </row>
    <row r="75">
      <c r="A75" t="inlineStr">
        <is>
          <t>Felodipine</t>
        </is>
      </c>
      <c r="B75" t="inlineStr">
        <is>
          <t>API</t>
        </is>
      </c>
      <c r="C75" t="inlineStr">
        <is>
          <t>LogD_7_4</t>
        </is>
      </c>
      <c r="D75" t="inlineStr">
        <is>
          <t>high for pH-dependent partitioning</t>
        </is>
      </c>
      <c r="E75" t="inlineStr">
        <is>
          <t>shake-flask/HPLC pH 7.4 or curated database</t>
        </is>
      </c>
      <c r="F75" t="inlineStr">
        <is>
          <t>yes_screening_only</t>
        </is>
      </c>
      <c r="G75" t="inlineStr">
        <is>
          <t>P3</t>
        </is>
      </c>
    </row>
    <row r="76">
      <c r="A76" t="inlineStr">
        <is>
          <t>Felodipine</t>
        </is>
      </c>
      <c r="B76" t="inlineStr">
        <is>
          <t>API</t>
        </is>
      </c>
      <c r="C76" t="inlineStr">
        <is>
          <t>pKa_acid</t>
        </is>
      </c>
      <c r="D76" t="inlineStr">
        <is>
          <t>high if ionizable</t>
        </is>
      </c>
      <c r="E76" t="inlineStr">
        <is>
          <t>supplier CoA, pharmacopeial monograph, PubChem/LIPID MAPS, or targeted literature curation</t>
        </is>
      </c>
      <c r="F76" t="inlineStr">
        <is>
          <t>prefer_experimental_or_supplier</t>
        </is>
      </c>
      <c r="G76" t="inlineStr">
        <is>
          <t>P1</t>
        </is>
      </c>
    </row>
    <row r="77">
      <c r="A77" t="inlineStr">
        <is>
          <t>Felodipine</t>
        </is>
      </c>
      <c r="B77" t="inlineStr">
        <is>
          <t>API</t>
        </is>
      </c>
      <c r="C77" t="inlineStr">
        <is>
          <t>pKa_base</t>
        </is>
      </c>
      <c r="D77" t="inlineStr">
        <is>
          <t>high if ionizable</t>
        </is>
      </c>
      <c r="E77" t="inlineStr">
        <is>
          <t>supplier CoA, pharmacopeial monograph, PubChem/LIPID MAPS, or targeted literature curation</t>
        </is>
      </c>
      <c r="F77" t="inlineStr">
        <is>
          <t>prefer_experimental_or_supplier</t>
        </is>
      </c>
      <c r="G77" t="inlineStr">
        <is>
          <t>P1</t>
        </is>
      </c>
    </row>
    <row r="78">
      <c r="A78" t="inlineStr">
        <is>
          <t>Carvedilol</t>
        </is>
      </c>
      <c r="B78" t="inlineStr">
        <is>
          <t>API</t>
        </is>
      </c>
      <c r="C78" t="inlineStr">
        <is>
          <t>LogD_7_4</t>
        </is>
      </c>
      <c r="D78" t="inlineStr">
        <is>
          <t>high for pH-dependent partitioning</t>
        </is>
      </c>
      <c r="E78" t="inlineStr">
        <is>
          <t>shake-flask/HPLC pH 7.4 or curated database</t>
        </is>
      </c>
      <c r="F78" t="inlineStr">
        <is>
          <t>yes_screening_only</t>
        </is>
      </c>
      <c r="G78" t="inlineStr">
        <is>
          <t>P3</t>
        </is>
      </c>
    </row>
    <row r="79">
      <c r="A79" t="inlineStr">
        <is>
          <t>Carvedilol</t>
        </is>
      </c>
      <c r="B79" t="inlineStr">
        <is>
          <t>API</t>
        </is>
      </c>
      <c r="C79" t="inlineStr">
        <is>
          <t>pKa_acid</t>
        </is>
      </c>
      <c r="D79" t="inlineStr">
        <is>
          <t>high if ionizable</t>
        </is>
      </c>
      <c r="E79" t="inlineStr">
        <is>
          <t>supplier CoA, pharmacopeial monograph, PubChem/LIPID MAPS, or targeted literature curation</t>
        </is>
      </c>
      <c r="F79" t="inlineStr">
        <is>
          <t>prefer_experimental_or_supplier</t>
        </is>
      </c>
      <c r="G79" t="inlineStr">
        <is>
          <t>P1</t>
        </is>
      </c>
    </row>
    <row r="80">
      <c r="A80" t="inlineStr">
        <is>
          <t>Atorvastatin</t>
        </is>
      </c>
      <c r="B80" t="inlineStr">
        <is>
          <t>API</t>
        </is>
      </c>
      <c r="C80" t="inlineStr">
        <is>
          <t>LogD_7_4</t>
        </is>
      </c>
      <c r="D80" t="inlineStr">
        <is>
          <t>high for pH-dependent partitioning</t>
        </is>
      </c>
      <c r="E80" t="inlineStr">
        <is>
          <t>shake-flask/HPLC pH 7.4 or curated database</t>
        </is>
      </c>
      <c r="F80" t="inlineStr">
        <is>
          <t>yes_screening_only</t>
        </is>
      </c>
      <c r="G80" t="inlineStr">
        <is>
          <t>P3</t>
        </is>
      </c>
    </row>
    <row r="81">
      <c r="A81" t="inlineStr">
        <is>
          <t>Atorvastatin</t>
        </is>
      </c>
      <c r="B81" t="inlineStr">
        <is>
          <t>API</t>
        </is>
      </c>
      <c r="C81" t="inlineStr">
        <is>
          <t>pKa_base</t>
        </is>
      </c>
      <c r="D81" t="inlineStr">
        <is>
          <t>high if ionizable</t>
        </is>
      </c>
      <c r="E81" t="inlineStr">
        <is>
          <t>supplier CoA, pharmacopeial monograph, PubChem/LIPID MAPS, or targeted literature curation</t>
        </is>
      </c>
      <c r="F81" t="inlineStr">
        <is>
          <t>prefer_experimental_or_supplier</t>
        </is>
      </c>
      <c r="G81" t="inlineStr">
        <is>
          <t>P1</t>
        </is>
      </c>
    </row>
    <row r="82">
      <c r="A82" t="inlineStr">
        <is>
          <t>Simvastatin</t>
        </is>
      </c>
      <c r="B82" t="inlineStr">
        <is>
          <t>API</t>
        </is>
      </c>
      <c r="C82" t="inlineStr">
        <is>
          <t>LogD_7_4</t>
        </is>
      </c>
      <c r="D82" t="inlineStr">
        <is>
          <t>high for pH-dependent partitioning</t>
        </is>
      </c>
      <c r="E82" t="inlineStr">
        <is>
          <t>shake-flask/HPLC pH 7.4 or curated database</t>
        </is>
      </c>
      <c r="F82" t="inlineStr">
        <is>
          <t>yes_screening_only</t>
        </is>
      </c>
      <c r="G82" t="inlineStr">
        <is>
          <t>P3</t>
        </is>
      </c>
    </row>
    <row r="83">
      <c r="A83" t="inlineStr">
        <is>
          <t>Simvastatin</t>
        </is>
      </c>
      <c r="B83" t="inlineStr">
        <is>
          <t>API</t>
        </is>
      </c>
      <c r="C83" t="inlineStr">
        <is>
          <t>pKa_acid</t>
        </is>
      </c>
      <c r="D83" t="inlineStr">
        <is>
          <t>high if ionizable</t>
        </is>
      </c>
      <c r="E83" t="inlineStr">
        <is>
          <t>supplier CoA, pharmacopeial monograph, PubChem/LIPID MAPS, or targeted literature curation</t>
        </is>
      </c>
      <c r="F83" t="inlineStr">
        <is>
          <t>prefer_experimental_or_supplier</t>
        </is>
      </c>
      <c r="G83" t="inlineStr">
        <is>
          <t>P1</t>
        </is>
      </c>
    </row>
    <row r="84">
      <c r="A84" t="inlineStr">
        <is>
          <t>Simvastatin</t>
        </is>
      </c>
      <c r="B84" t="inlineStr">
        <is>
          <t>API</t>
        </is>
      </c>
      <c r="C84" t="inlineStr">
        <is>
          <t>pKa_base</t>
        </is>
      </c>
      <c r="D84" t="inlineStr">
        <is>
          <t>high if ionizable</t>
        </is>
      </c>
      <c r="E84" t="inlineStr">
        <is>
          <t>supplier CoA, pharmacopeial monograph, PubChem/LIPID MAPS, or targeted literature curation</t>
        </is>
      </c>
      <c r="F84" t="inlineStr">
        <is>
          <t>prefer_experimental_or_supplier</t>
        </is>
      </c>
      <c r="G84" t="inlineStr">
        <is>
          <t>P1</t>
        </is>
      </c>
    </row>
    <row r="85">
      <c r="A85" t="inlineStr">
        <is>
          <t>Fenofibrate</t>
        </is>
      </c>
      <c r="B85" t="inlineStr">
        <is>
          <t>API</t>
        </is>
      </c>
      <c r="C85" t="inlineStr">
        <is>
          <t>LogD_7_4</t>
        </is>
      </c>
      <c r="D85" t="inlineStr">
        <is>
          <t>high for pH-dependent partitioning</t>
        </is>
      </c>
      <c r="E85" t="inlineStr">
        <is>
          <t>shake-flask/HPLC pH 7.4 or curated database</t>
        </is>
      </c>
      <c r="F85" t="inlineStr">
        <is>
          <t>yes_screening_only</t>
        </is>
      </c>
      <c r="G85" t="inlineStr">
        <is>
          <t>P3</t>
        </is>
      </c>
    </row>
    <row r="86">
      <c r="A86" t="inlineStr">
        <is>
          <t>Fenofibrate</t>
        </is>
      </c>
      <c r="B86" t="inlineStr">
        <is>
          <t>API</t>
        </is>
      </c>
      <c r="C86" t="inlineStr">
        <is>
          <t>pKa_acid</t>
        </is>
      </c>
      <c r="D86" t="inlineStr">
        <is>
          <t>high if ionizable</t>
        </is>
      </c>
      <c r="E86" t="inlineStr">
        <is>
          <t>supplier CoA, pharmacopeial monograph, PubChem/LIPID MAPS, or targeted literature curation</t>
        </is>
      </c>
      <c r="F86" t="inlineStr">
        <is>
          <t>prefer_experimental_or_supplier</t>
        </is>
      </c>
      <c r="G86" t="inlineStr">
        <is>
          <t>P1</t>
        </is>
      </c>
    </row>
    <row r="87">
      <c r="A87" t="inlineStr">
        <is>
          <t>Fenofibrate</t>
        </is>
      </c>
      <c r="B87" t="inlineStr">
        <is>
          <t>API</t>
        </is>
      </c>
      <c r="C87" t="inlineStr">
        <is>
          <t>pKa_base</t>
        </is>
      </c>
      <c r="D87" t="inlineStr">
        <is>
          <t>high if ionizable</t>
        </is>
      </c>
      <c r="E87" t="inlineStr">
        <is>
          <t>supplier CoA, pharmacopeial monograph, PubChem/LIPID MAPS, or targeted literature curation</t>
        </is>
      </c>
      <c r="F87" t="inlineStr">
        <is>
          <t>prefer_experimental_or_supplier</t>
        </is>
      </c>
      <c r="G87" t="inlineStr">
        <is>
          <t>P1</t>
        </is>
      </c>
    </row>
    <row r="88">
      <c r="A88" t="inlineStr">
        <is>
          <t>siRNA duplex placeholder</t>
        </is>
      </c>
      <c r="B88" t="inlineStr">
        <is>
          <t>API</t>
        </is>
      </c>
      <c r="C88" t="inlineStr">
        <is>
          <t>molecular_weight_g_mol</t>
        </is>
      </c>
      <c r="D88" t="inlineStr">
        <is>
          <t>critical</t>
        </is>
      </c>
      <c r="E88" t="inlineStr">
        <is>
          <t>supplier CoA, pharmacopeial monograph, PubChem/LIPID MAPS, or targeted literature curation</t>
        </is>
      </c>
      <c r="F88" t="inlineStr">
        <is>
          <t>prefer_experimental_or_supplier</t>
        </is>
      </c>
      <c r="G88" t="inlineStr">
        <is>
          <t>P1</t>
        </is>
      </c>
    </row>
    <row r="89">
      <c r="A89" t="inlineStr">
        <is>
          <t>siRNA duplex placeholder</t>
        </is>
      </c>
      <c r="B89" t="inlineStr">
        <is>
          <t>API</t>
        </is>
      </c>
      <c r="C89" t="inlineStr">
        <is>
          <t>molecular_formula</t>
        </is>
      </c>
      <c r="D89" t="inlineStr">
        <is>
          <t>medium</t>
        </is>
      </c>
      <c r="E89" t="inlineStr">
        <is>
          <t>supplier CoA, pharmacopeial monograph, PubChem/LIPID MAPS, or targeted literature curation</t>
        </is>
      </c>
      <c r="F89" t="inlineStr">
        <is>
          <t>prefer_experimental_or_supplier</t>
        </is>
      </c>
      <c r="G89" t="inlineStr">
        <is>
          <t>P3</t>
        </is>
      </c>
    </row>
    <row r="90">
      <c r="A90" t="inlineStr">
        <is>
          <t>siRNA duplex placeholder</t>
        </is>
      </c>
      <c r="B90" t="inlineStr">
        <is>
          <t>API</t>
        </is>
      </c>
      <c r="C90" t="inlineStr">
        <is>
          <t>LogP</t>
        </is>
      </c>
      <c r="D90" t="inlineStr">
        <is>
          <t>medium</t>
        </is>
      </c>
      <c r="E90" t="inlineStr">
        <is>
          <t>supplier CoA, pharmacopeial monograph, PubChem/LIPID MAPS, or targeted literature curation</t>
        </is>
      </c>
      <c r="F90" t="inlineStr">
        <is>
          <t>prefer_experimental_or_supplier</t>
        </is>
      </c>
      <c r="G90" t="inlineStr">
        <is>
          <t>P3</t>
        </is>
      </c>
    </row>
    <row r="91">
      <c r="A91" t="inlineStr">
        <is>
          <t>siRNA duplex placeholder</t>
        </is>
      </c>
      <c r="B91" t="inlineStr">
        <is>
          <t>API</t>
        </is>
      </c>
      <c r="C91" t="inlineStr">
        <is>
          <t>LogD_7_4</t>
        </is>
      </c>
      <c r="D91" t="inlineStr">
        <is>
          <t>high for pH-dependent partitioning</t>
        </is>
      </c>
      <c r="E91" t="inlineStr">
        <is>
          <t>shake-flask/HPLC pH 7.4 or curated database</t>
        </is>
      </c>
      <c r="F91" t="inlineStr">
        <is>
          <t>yes_screening_only</t>
        </is>
      </c>
      <c r="G91" t="inlineStr">
        <is>
          <t>P3</t>
        </is>
      </c>
    </row>
    <row r="92">
      <c r="A92" t="inlineStr">
        <is>
          <t>siRNA duplex placeholder</t>
        </is>
      </c>
      <c r="B92" t="inlineStr">
        <is>
          <t>API</t>
        </is>
      </c>
      <c r="C92" t="inlineStr">
        <is>
          <t>pKa_acid</t>
        </is>
      </c>
      <c r="D92" t="inlineStr">
        <is>
          <t>high if ionizable</t>
        </is>
      </c>
      <c r="E92" t="inlineStr">
        <is>
          <t>supplier CoA, pharmacopeial monograph, PubChem/LIPID MAPS, or targeted literature curation</t>
        </is>
      </c>
      <c r="F92" t="inlineStr">
        <is>
          <t>prefer_experimental_or_supplier</t>
        </is>
      </c>
      <c r="G92" t="inlineStr">
        <is>
          <t>P1</t>
        </is>
      </c>
    </row>
    <row r="93">
      <c r="A93" t="inlineStr">
        <is>
          <t>siRNA duplex placeholder</t>
        </is>
      </c>
      <c r="B93" t="inlineStr">
        <is>
          <t>API</t>
        </is>
      </c>
      <c r="C93" t="inlineStr">
        <is>
          <t>pKa_base</t>
        </is>
      </c>
      <c r="D93" t="inlineStr">
        <is>
          <t>high if ionizable</t>
        </is>
      </c>
      <c r="E93" t="inlineStr">
        <is>
          <t>supplier CoA, pharmacopeial monograph, PubChem/LIPID MAPS, or targeted literature curation</t>
        </is>
      </c>
      <c r="F93" t="inlineStr">
        <is>
          <t>prefer_experimental_or_supplier</t>
        </is>
      </c>
      <c r="G93" t="inlineStr">
        <is>
          <t>P1</t>
        </is>
      </c>
    </row>
    <row r="94">
      <c r="A94" t="inlineStr">
        <is>
          <t>siRNA duplex placeholder</t>
        </is>
      </c>
      <c r="B94" t="inlineStr">
        <is>
          <t>API</t>
        </is>
      </c>
      <c r="C94" t="inlineStr">
        <is>
          <t>water_solubility_mg_ml</t>
        </is>
      </c>
      <c r="D94" t="inlineStr">
        <is>
          <t>high for API loading/release</t>
        </is>
      </c>
      <c r="E94" t="inlineStr">
        <is>
          <t>shake-flask pH-specific solubility or curated drug monograph</t>
        </is>
      </c>
      <c r="F94" t="inlineStr">
        <is>
          <t>prefer_experimental_or_supplier</t>
        </is>
      </c>
      <c r="G94" t="inlineStr">
        <is>
          <t>P1</t>
        </is>
      </c>
    </row>
    <row r="95">
      <c r="A95" t="inlineStr">
        <is>
          <t>siRNA duplex placeholder</t>
        </is>
      </c>
      <c r="B95" t="inlineStr">
        <is>
          <t>API</t>
        </is>
      </c>
      <c r="C95" t="inlineStr">
        <is>
          <t>melting_point_C</t>
        </is>
      </c>
      <c r="D95" t="inlineStr">
        <is>
          <t>high</t>
        </is>
      </c>
      <c r="E95" t="inlineStr">
        <is>
          <t>supplier CoA, pharmacopeial monograph, PubChem/LIPID MAPS, or targeted literature curation</t>
        </is>
      </c>
      <c r="F95" t="inlineStr">
        <is>
          <t>prefer_experimental_or_supplier</t>
        </is>
      </c>
      <c r="G95" t="inlineStr">
        <is>
          <t>P3</t>
        </is>
      </c>
    </row>
    <row r="96">
      <c r="A96" t="inlineStr">
        <is>
          <t>siRNA duplex placeholder</t>
        </is>
      </c>
      <c r="B96" t="inlineStr">
        <is>
          <t>API</t>
        </is>
      </c>
      <c r="C96" t="inlineStr">
        <is>
          <t>Hansen_delta_D</t>
        </is>
      </c>
      <c r="D96" t="inlineStr">
        <is>
          <t>high</t>
        </is>
      </c>
      <c r="E96" t="inlineStr">
        <is>
          <t>experimental HSP solubility sphere, IGC, inverse design literature, or HSPiP/literature</t>
        </is>
      </c>
      <c r="F96" t="inlineStr">
        <is>
          <t>yes_screening_only</t>
        </is>
      </c>
      <c r="G96" t="inlineStr">
        <is>
          <t>P2</t>
        </is>
      </c>
    </row>
    <row r="97">
      <c r="A97" t="inlineStr">
        <is>
          <t>siRNA duplex placeholder</t>
        </is>
      </c>
      <c r="B97" t="inlineStr">
        <is>
          <t>API</t>
        </is>
      </c>
      <c r="C97" t="inlineStr">
        <is>
          <t>Hansen_delta_P</t>
        </is>
      </c>
      <c r="D97" t="inlineStr">
        <is>
          <t>high</t>
        </is>
      </c>
      <c r="E97" t="inlineStr">
        <is>
          <t>experimental HSP solubility sphere, IGC, inverse design literature, or HSPiP/literature</t>
        </is>
      </c>
      <c r="F97" t="inlineStr">
        <is>
          <t>yes_screening_only</t>
        </is>
      </c>
      <c r="G97" t="inlineStr">
        <is>
          <t>P2</t>
        </is>
      </c>
    </row>
    <row r="98">
      <c r="A98" t="inlineStr">
        <is>
          <t>siRNA duplex placeholder</t>
        </is>
      </c>
      <c r="B98" t="inlineStr">
        <is>
          <t>API</t>
        </is>
      </c>
      <c r="C98" t="inlineStr">
        <is>
          <t>Hansen_delta_H</t>
        </is>
      </c>
      <c r="D98" t="inlineStr">
        <is>
          <t>high</t>
        </is>
      </c>
      <c r="E98" t="inlineStr">
        <is>
          <t>experimental HSP solubility sphere, IGC, inverse design literature, or HSPiP/literature</t>
        </is>
      </c>
      <c r="F98" t="inlineStr">
        <is>
          <t>yes_screening_only</t>
        </is>
      </c>
      <c r="G98" t="inlineStr">
        <is>
          <t>P2</t>
        </is>
      </c>
    </row>
    <row r="99">
      <c r="A99" t="inlineStr">
        <is>
          <t>siRNA duplex placeholder</t>
        </is>
      </c>
      <c r="B99" t="inlineStr">
        <is>
          <t>API</t>
        </is>
      </c>
      <c r="C99" t="inlineStr">
        <is>
          <t>HSP_radius_R0</t>
        </is>
      </c>
      <c r="D99" t="inlineStr">
        <is>
          <t>medium</t>
        </is>
      </c>
      <c r="E99" t="inlineStr">
        <is>
          <t>experimental solvent screen/RED fit</t>
        </is>
      </c>
      <c r="F99" t="inlineStr">
        <is>
          <t>yes_screening_only</t>
        </is>
      </c>
      <c r="G99" t="inlineStr">
        <is>
          <t>P3</t>
        </is>
      </c>
    </row>
    <row r="100">
      <c r="A100" t="inlineStr">
        <is>
          <t>siRNA duplex placeholder</t>
        </is>
      </c>
      <c r="B100" t="inlineStr">
        <is>
          <t>API</t>
        </is>
      </c>
      <c r="C100" t="inlineStr">
        <is>
          <t>Hildebrand_delta_T</t>
        </is>
      </c>
      <c r="D100" t="inlineStr">
        <is>
          <t>medium</t>
        </is>
      </c>
      <c r="E100" t="inlineStr">
        <is>
          <t>supplier CoA, pharmacopeial monograph, PubChem/LIPID MAPS, or targeted literature curation</t>
        </is>
      </c>
      <c r="F100" t="inlineStr">
        <is>
          <t>prefer_experimental_or_supplier</t>
        </is>
      </c>
      <c r="G100" t="inlineStr">
        <is>
          <t>P3</t>
        </is>
      </c>
    </row>
    <row r="101">
      <c r="A101" t="inlineStr">
        <is>
          <t>siRNA duplex placeholder</t>
        </is>
      </c>
      <c r="B101" t="inlineStr">
        <is>
          <t>API</t>
        </is>
      </c>
      <c r="C101" t="inlineStr">
        <is>
          <t>molar_volume_cm3_mol</t>
        </is>
      </c>
      <c r="D101" t="inlineStr">
        <is>
          <t>high</t>
        </is>
      </c>
      <c r="E101" t="inlineStr">
        <is>
          <t>density measurement or crystal/solution molar volume data</t>
        </is>
      </c>
      <c r="F101" t="inlineStr">
        <is>
          <t>yes_screening_only</t>
        </is>
      </c>
      <c r="G101" t="inlineStr">
        <is>
          <t>P2</t>
        </is>
      </c>
    </row>
    <row r="102">
      <c r="A102" t="inlineStr">
        <is>
          <t>siRNA duplex placeholder</t>
        </is>
      </c>
      <c r="B102" t="inlineStr">
        <is>
          <t>API</t>
        </is>
      </c>
      <c r="C102" t="inlineStr">
        <is>
          <t>TPSA</t>
        </is>
      </c>
      <c r="D102" t="inlineStr">
        <is>
          <t>medium</t>
        </is>
      </c>
      <c r="E102" t="inlineStr">
        <is>
          <t>supplier CoA, pharmacopeial monograph, PubChem/LIPID MAPS, or targeted literature curation</t>
        </is>
      </c>
      <c r="F102" t="inlineStr">
        <is>
          <t>prefer_experimental_or_supplier</t>
        </is>
      </c>
      <c r="G102" t="inlineStr">
        <is>
          <t>P3</t>
        </is>
      </c>
    </row>
    <row r="103">
      <c r="A103" t="inlineStr">
        <is>
          <t>siRNA duplex placeholder</t>
        </is>
      </c>
      <c r="B103" t="inlineStr">
        <is>
          <t>API</t>
        </is>
      </c>
      <c r="C103" t="inlineStr">
        <is>
          <t>HBD</t>
        </is>
      </c>
      <c r="D103" t="inlineStr">
        <is>
          <t>medium</t>
        </is>
      </c>
      <c r="E103" t="inlineStr">
        <is>
          <t>supplier CoA, pharmacopeial monograph, PubChem/LIPID MAPS, or targeted literature curation</t>
        </is>
      </c>
      <c r="F103" t="inlineStr">
        <is>
          <t>prefer_experimental_or_supplier</t>
        </is>
      </c>
      <c r="G103" t="inlineStr">
        <is>
          <t>P3</t>
        </is>
      </c>
    </row>
    <row r="104">
      <c r="A104" t="inlineStr">
        <is>
          <t>siRNA duplex placeholder</t>
        </is>
      </c>
      <c r="B104" t="inlineStr">
        <is>
          <t>API</t>
        </is>
      </c>
      <c r="C104" t="inlineStr">
        <is>
          <t>HBA</t>
        </is>
      </c>
      <c r="D104" t="inlineStr">
        <is>
          <t>medium</t>
        </is>
      </c>
      <c r="E104" t="inlineStr">
        <is>
          <t>supplier CoA, pharmacopeial monograph, PubChem/LIPID MAPS, or targeted literature curation</t>
        </is>
      </c>
      <c r="F104" t="inlineStr">
        <is>
          <t>prefer_experimental_or_supplier</t>
        </is>
      </c>
      <c r="G104" t="inlineStr">
        <is>
          <t>P3</t>
        </is>
      </c>
    </row>
    <row r="105">
      <c r="A105" t="inlineStr">
        <is>
          <t>siRNA duplex placeholder</t>
        </is>
      </c>
      <c r="B105" t="inlineStr">
        <is>
          <t>API</t>
        </is>
      </c>
      <c r="C105" t="inlineStr">
        <is>
          <t>rotatable_bonds</t>
        </is>
      </c>
      <c r="D105" t="inlineStr">
        <is>
          <t>medium</t>
        </is>
      </c>
      <c r="E105" t="inlineStr">
        <is>
          <t>supplier CoA, pharmacopeial monograph, PubChem/LIPID MAPS, or targeted literature curation</t>
        </is>
      </c>
      <c r="F105" t="inlineStr">
        <is>
          <t>prefer_experimental_or_supplier</t>
        </is>
      </c>
      <c r="G105" t="inlineStr">
        <is>
          <t>P3</t>
        </is>
      </c>
    </row>
    <row r="106">
      <c r="A106" t="inlineStr">
        <is>
          <t>siRNA duplex placeholder</t>
        </is>
      </c>
      <c r="B106" t="inlineStr">
        <is>
          <t>API</t>
        </is>
      </c>
      <c r="C106" t="inlineStr">
        <is>
          <t>aromatic_rings</t>
        </is>
      </c>
      <c r="D106" t="inlineStr">
        <is>
          <t>medium</t>
        </is>
      </c>
      <c r="E106" t="inlineStr">
        <is>
          <t>supplier CoA, pharmacopeial monograph, PubChem/LIPID MAPS, or targeted literature curation</t>
        </is>
      </c>
      <c r="F106" t="inlineStr">
        <is>
          <t>prefer_experimental_or_supplier</t>
        </is>
      </c>
      <c r="G106" t="inlineStr">
        <is>
          <t>P3</t>
        </is>
      </c>
    </row>
    <row r="107">
      <c r="A107" t="inlineStr">
        <is>
          <t>siRNA duplex placeholder</t>
        </is>
      </c>
      <c r="B107" t="inlineStr">
        <is>
          <t>API</t>
        </is>
      </c>
      <c r="C107" t="inlineStr">
        <is>
          <t>BCS_class</t>
        </is>
      </c>
      <c r="D107" t="inlineStr">
        <is>
          <t>medium</t>
        </is>
      </c>
      <c r="E107" t="inlineStr">
        <is>
          <t>supplier CoA, pharmacopeial monograph, PubChem/LIPID MAPS, or targeted literature curation</t>
        </is>
      </c>
      <c r="F107" t="inlineStr">
        <is>
          <t>prefer_experimental_or_supplier</t>
        </is>
      </c>
      <c r="G107" t="inlineStr">
        <is>
          <t>P3</t>
        </is>
      </c>
    </row>
    <row r="108">
      <c r="A108" t="inlineStr">
        <is>
          <t>siRNA duplex placeholder</t>
        </is>
      </c>
      <c r="B108" t="inlineStr">
        <is>
          <t>API</t>
        </is>
      </c>
      <c r="C108" t="inlineStr">
        <is>
          <t>therapeutic_class</t>
        </is>
      </c>
      <c r="D108" t="inlineStr">
        <is>
          <t>medium</t>
        </is>
      </c>
      <c r="E108" t="inlineStr">
        <is>
          <t>supplier CoA, pharmacopeial monograph, PubChem/LIPID MAPS, or targeted literature curation</t>
        </is>
      </c>
      <c r="F108" t="inlineStr">
        <is>
          <t>prefer_experimental_or_supplier</t>
        </is>
      </c>
      <c r="G108" t="inlineStr">
        <is>
          <t>P3</t>
        </is>
      </c>
    </row>
    <row r="109">
      <c r="A109" t="inlineStr">
        <is>
          <t>mRNA payload placeholder</t>
        </is>
      </c>
      <c r="B109" t="inlineStr">
        <is>
          <t>API</t>
        </is>
      </c>
      <c r="C109" t="inlineStr">
        <is>
          <t>molecular_weight_g_mol</t>
        </is>
      </c>
      <c r="D109" t="inlineStr">
        <is>
          <t>critical</t>
        </is>
      </c>
      <c r="E109" t="inlineStr">
        <is>
          <t>supplier CoA, pharmacopeial monograph, PubChem/LIPID MAPS, or targeted literature curation</t>
        </is>
      </c>
      <c r="F109" t="inlineStr">
        <is>
          <t>prefer_experimental_or_supplier</t>
        </is>
      </c>
      <c r="G109" t="inlineStr">
        <is>
          <t>P1</t>
        </is>
      </c>
    </row>
    <row r="110">
      <c r="A110" t="inlineStr">
        <is>
          <t>mRNA payload placeholder</t>
        </is>
      </c>
      <c r="B110" t="inlineStr">
        <is>
          <t>API</t>
        </is>
      </c>
      <c r="C110" t="inlineStr">
        <is>
          <t>molecular_formula</t>
        </is>
      </c>
      <c r="D110" t="inlineStr">
        <is>
          <t>medium</t>
        </is>
      </c>
      <c r="E110" t="inlineStr">
        <is>
          <t>supplier CoA, pharmacopeial monograph, PubChem/LIPID MAPS, or targeted literature curation</t>
        </is>
      </c>
      <c r="F110" t="inlineStr">
        <is>
          <t>prefer_experimental_or_supplier</t>
        </is>
      </c>
      <c r="G110" t="inlineStr">
        <is>
          <t>P3</t>
        </is>
      </c>
    </row>
    <row r="111">
      <c r="A111" t="inlineStr">
        <is>
          <t>mRNA payload placeholder</t>
        </is>
      </c>
      <c r="B111" t="inlineStr">
        <is>
          <t>API</t>
        </is>
      </c>
      <c r="C111" t="inlineStr">
        <is>
          <t>LogP</t>
        </is>
      </c>
      <c r="D111" t="inlineStr">
        <is>
          <t>medium</t>
        </is>
      </c>
      <c r="E111" t="inlineStr">
        <is>
          <t>supplier CoA, pharmacopeial monograph, PubChem/LIPID MAPS, or targeted literature curation</t>
        </is>
      </c>
      <c r="F111" t="inlineStr">
        <is>
          <t>prefer_experimental_or_supplier</t>
        </is>
      </c>
      <c r="G111" t="inlineStr">
        <is>
          <t>P3</t>
        </is>
      </c>
    </row>
    <row r="112">
      <c r="A112" t="inlineStr">
        <is>
          <t>mRNA payload placeholder</t>
        </is>
      </c>
      <c r="B112" t="inlineStr">
        <is>
          <t>API</t>
        </is>
      </c>
      <c r="C112" t="inlineStr">
        <is>
          <t>LogD_7_4</t>
        </is>
      </c>
      <c r="D112" t="inlineStr">
        <is>
          <t>high for pH-dependent partitioning</t>
        </is>
      </c>
      <c r="E112" t="inlineStr">
        <is>
          <t>shake-flask/HPLC pH 7.4 or curated database</t>
        </is>
      </c>
      <c r="F112" t="inlineStr">
        <is>
          <t>yes_screening_only</t>
        </is>
      </c>
      <c r="G112" t="inlineStr">
        <is>
          <t>P3</t>
        </is>
      </c>
    </row>
    <row r="113">
      <c r="A113" t="inlineStr">
        <is>
          <t>mRNA payload placeholder</t>
        </is>
      </c>
      <c r="B113" t="inlineStr">
        <is>
          <t>API</t>
        </is>
      </c>
      <c r="C113" t="inlineStr">
        <is>
          <t>pKa_acid</t>
        </is>
      </c>
      <c r="D113" t="inlineStr">
        <is>
          <t>high if ionizable</t>
        </is>
      </c>
      <c r="E113" t="inlineStr">
        <is>
          <t>supplier CoA, pharmacopeial monograph, PubChem/LIPID MAPS, or targeted literature curation</t>
        </is>
      </c>
      <c r="F113" t="inlineStr">
        <is>
          <t>prefer_experimental_or_supplier</t>
        </is>
      </c>
      <c r="G113" t="inlineStr">
        <is>
          <t>P1</t>
        </is>
      </c>
    </row>
    <row r="114">
      <c r="A114" t="inlineStr">
        <is>
          <t>mRNA payload placeholder</t>
        </is>
      </c>
      <c r="B114" t="inlineStr">
        <is>
          <t>API</t>
        </is>
      </c>
      <c r="C114" t="inlineStr">
        <is>
          <t>pKa_base</t>
        </is>
      </c>
      <c r="D114" t="inlineStr">
        <is>
          <t>high if ionizable</t>
        </is>
      </c>
      <c r="E114" t="inlineStr">
        <is>
          <t>supplier CoA, pharmacopeial monograph, PubChem/LIPID MAPS, or targeted literature curation</t>
        </is>
      </c>
      <c r="F114" t="inlineStr">
        <is>
          <t>prefer_experimental_or_supplier</t>
        </is>
      </c>
      <c r="G114" t="inlineStr">
        <is>
          <t>P1</t>
        </is>
      </c>
    </row>
    <row r="115">
      <c r="A115" t="inlineStr">
        <is>
          <t>mRNA payload placeholder</t>
        </is>
      </c>
      <c r="B115" t="inlineStr">
        <is>
          <t>API</t>
        </is>
      </c>
      <c r="C115" t="inlineStr">
        <is>
          <t>water_solubility_mg_ml</t>
        </is>
      </c>
      <c r="D115" t="inlineStr">
        <is>
          <t>high for API loading/release</t>
        </is>
      </c>
      <c r="E115" t="inlineStr">
        <is>
          <t>shake-flask pH-specific solubility or curated drug monograph</t>
        </is>
      </c>
      <c r="F115" t="inlineStr">
        <is>
          <t>prefer_experimental_or_supplier</t>
        </is>
      </c>
      <c r="G115" t="inlineStr">
        <is>
          <t>P1</t>
        </is>
      </c>
    </row>
    <row r="116">
      <c r="A116" t="inlineStr">
        <is>
          <t>mRNA payload placeholder</t>
        </is>
      </c>
      <c r="B116" t="inlineStr">
        <is>
          <t>API</t>
        </is>
      </c>
      <c r="C116" t="inlineStr">
        <is>
          <t>melting_point_C</t>
        </is>
      </c>
      <c r="D116" t="inlineStr">
        <is>
          <t>high</t>
        </is>
      </c>
      <c r="E116" t="inlineStr">
        <is>
          <t>supplier CoA, pharmacopeial monograph, PubChem/LIPID MAPS, or targeted literature curation</t>
        </is>
      </c>
      <c r="F116" t="inlineStr">
        <is>
          <t>prefer_experimental_or_supplier</t>
        </is>
      </c>
      <c r="G116" t="inlineStr">
        <is>
          <t>P3</t>
        </is>
      </c>
    </row>
    <row r="117">
      <c r="A117" t="inlineStr">
        <is>
          <t>mRNA payload placeholder</t>
        </is>
      </c>
      <c r="B117" t="inlineStr">
        <is>
          <t>API</t>
        </is>
      </c>
      <c r="C117" t="inlineStr">
        <is>
          <t>Hansen_delta_D</t>
        </is>
      </c>
      <c r="D117" t="inlineStr">
        <is>
          <t>high</t>
        </is>
      </c>
      <c r="E117" t="inlineStr">
        <is>
          <t>experimental HSP solubility sphere, IGC, inverse design literature, or HSPiP/literature</t>
        </is>
      </c>
      <c r="F117" t="inlineStr">
        <is>
          <t>yes_screening_only</t>
        </is>
      </c>
      <c r="G117" t="inlineStr">
        <is>
          <t>P2</t>
        </is>
      </c>
    </row>
    <row r="118">
      <c r="A118" t="inlineStr">
        <is>
          <t>mRNA payload placeholder</t>
        </is>
      </c>
      <c r="B118" t="inlineStr">
        <is>
          <t>API</t>
        </is>
      </c>
      <c r="C118" t="inlineStr">
        <is>
          <t>Hansen_delta_P</t>
        </is>
      </c>
      <c r="D118" t="inlineStr">
        <is>
          <t>high</t>
        </is>
      </c>
      <c r="E118" t="inlineStr">
        <is>
          <t>experimental HSP solubility sphere, IGC, inverse design literature, or HSPiP/literature</t>
        </is>
      </c>
      <c r="F118" t="inlineStr">
        <is>
          <t>yes_screening_only</t>
        </is>
      </c>
      <c r="G118" t="inlineStr">
        <is>
          <t>P2</t>
        </is>
      </c>
    </row>
    <row r="119">
      <c r="A119" t="inlineStr">
        <is>
          <t>mRNA payload placeholder</t>
        </is>
      </c>
      <c r="B119" t="inlineStr">
        <is>
          <t>API</t>
        </is>
      </c>
      <c r="C119" t="inlineStr">
        <is>
          <t>Hansen_delta_H</t>
        </is>
      </c>
      <c r="D119" t="inlineStr">
        <is>
          <t>high</t>
        </is>
      </c>
      <c r="E119" t="inlineStr">
        <is>
          <t>experimental HSP solubility sphere, IGC, inverse design literature, or HSPiP/literature</t>
        </is>
      </c>
      <c r="F119" t="inlineStr">
        <is>
          <t>yes_screening_only</t>
        </is>
      </c>
      <c r="G119" t="inlineStr">
        <is>
          <t>P2</t>
        </is>
      </c>
    </row>
    <row r="120">
      <c r="A120" t="inlineStr">
        <is>
          <t>mRNA payload placeholder</t>
        </is>
      </c>
      <c r="B120" t="inlineStr">
        <is>
          <t>API</t>
        </is>
      </c>
      <c r="C120" t="inlineStr">
        <is>
          <t>HSP_radius_R0</t>
        </is>
      </c>
      <c r="D120" t="inlineStr">
        <is>
          <t>medium</t>
        </is>
      </c>
      <c r="E120" t="inlineStr">
        <is>
          <t>experimental solvent screen/RED fit</t>
        </is>
      </c>
      <c r="F120" t="inlineStr">
        <is>
          <t>yes_screening_only</t>
        </is>
      </c>
      <c r="G120" t="inlineStr">
        <is>
          <t>P3</t>
        </is>
      </c>
    </row>
    <row r="121">
      <c r="A121" t="inlineStr">
        <is>
          <t>mRNA payload placeholder</t>
        </is>
      </c>
      <c r="B121" t="inlineStr">
        <is>
          <t>API</t>
        </is>
      </c>
      <c r="C121" t="inlineStr">
        <is>
          <t>Hildebrand_delta_T</t>
        </is>
      </c>
      <c r="D121" t="inlineStr">
        <is>
          <t>medium</t>
        </is>
      </c>
      <c r="E121" t="inlineStr">
        <is>
          <t>supplier CoA, pharmacopeial monograph, PubChem/LIPID MAPS, or targeted literature curation</t>
        </is>
      </c>
      <c r="F121" t="inlineStr">
        <is>
          <t>prefer_experimental_or_supplier</t>
        </is>
      </c>
      <c r="G121" t="inlineStr">
        <is>
          <t>P3</t>
        </is>
      </c>
    </row>
    <row r="122">
      <c r="A122" t="inlineStr">
        <is>
          <t>mRNA payload placeholder</t>
        </is>
      </c>
      <c r="B122" t="inlineStr">
        <is>
          <t>API</t>
        </is>
      </c>
      <c r="C122" t="inlineStr">
        <is>
          <t>molar_volume_cm3_mol</t>
        </is>
      </c>
      <c r="D122" t="inlineStr">
        <is>
          <t>high</t>
        </is>
      </c>
      <c r="E122" t="inlineStr">
        <is>
          <t>density measurement or crystal/solution molar volume data</t>
        </is>
      </c>
      <c r="F122" t="inlineStr">
        <is>
          <t>yes_screening_only</t>
        </is>
      </c>
      <c r="G122" t="inlineStr">
        <is>
          <t>P2</t>
        </is>
      </c>
    </row>
    <row r="123">
      <c r="A123" t="inlineStr">
        <is>
          <t>mRNA payload placeholder</t>
        </is>
      </c>
      <c r="B123" t="inlineStr">
        <is>
          <t>API</t>
        </is>
      </c>
      <c r="C123" t="inlineStr">
        <is>
          <t>TPSA</t>
        </is>
      </c>
      <c r="D123" t="inlineStr">
        <is>
          <t>medium</t>
        </is>
      </c>
      <c r="E123" t="inlineStr">
        <is>
          <t>supplier CoA, pharmacopeial monograph, PubChem/LIPID MAPS, or targeted literature curation</t>
        </is>
      </c>
      <c r="F123" t="inlineStr">
        <is>
          <t>prefer_experimental_or_supplier</t>
        </is>
      </c>
      <c r="G123" t="inlineStr">
        <is>
          <t>P3</t>
        </is>
      </c>
    </row>
    <row r="124">
      <c r="A124" t="inlineStr">
        <is>
          <t>mRNA payload placeholder</t>
        </is>
      </c>
      <c r="B124" t="inlineStr">
        <is>
          <t>API</t>
        </is>
      </c>
      <c r="C124" t="inlineStr">
        <is>
          <t>HBD</t>
        </is>
      </c>
      <c r="D124" t="inlineStr">
        <is>
          <t>medium</t>
        </is>
      </c>
      <c r="E124" t="inlineStr">
        <is>
          <t>supplier CoA, pharmacopeial monograph, PubChem/LIPID MAPS, or targeted literature curation</t>
        </is>
      </c>
      <c r="F124" t="inlineStr">
        <is>
          <t>prefer_experimental_or_supplier</t>
        </is>
      </c>
      <c r="G124" t="inlineStr">
        <is>
          <t>P3</t>
        </is>
      </c>
    </row>
    <row r="125">
      <c r="A125" t="inlineStr">
        <is>
          <t>mRNA payload placeholder</t>
        </is>
      </c>
      <c r="B125" t="inlineStr">
        <is>
          <t>API</t>
        </is>
      </c>
      <c r="C125" t="inlineStr">
        <is>
          <t>HBA</t>
        </is>
      </c>
      <c r="D125" t="inlineStr">
        <is>
          <t>medium</t>
        </is>
      </c>
      <c r="E125" t="inlineStr">
        <is>
          <t>supplier CoA, pharmacopeial monograph, PubChem/LIPID MAPS, or targeted literature curation</t>
        </is>
      </c>
      <c r="F125" t="inlineStr">
        <is>
          <t>prefer_experimental_or_supplier</t>
        </is>
      </c>
      <c r="G125" t="inlineStr">
        <is>
          <t>P3</t>
        </is>
      </c>
    </row>
    <row r="126">
      <c r="A126" t="inlineStr">
        <is>
          <t>mRNA payload placeholder</t>
        </is>
      </c>
      <c r="B126" t="inlineStr">
        <is>
          <t>API</t>
        </is>
      </c>
      <c r="C126" t="inlineStr">
        <is>
          <t>rotatable_bonds</t>
        </is>
      </c>
      <c r="D126" t="inlineStr">
        <is>
          <t>medium</t>
        </is>
      </c>
      <c r="E126" t="inlineStr">
        <is>
          <t>supplier CoA, pharmacopeial monograph, PubChem/LIPID MAPS, or targeted literature curation</t>
        </is>
      </c>
      <c r="F126" t="inlineStr">
        <is>
          <t>prefer_experimental_or_supplier</t>
        </is>
      </c>
      <c r="G126" t="inlineStr">
        <is>
          <t>P3</t>
        </is>
      </c>
    </row>
    <row r="127">
      <c r="A127" t="inlineStr">
        <is>
          <t>mRNA payload placeholder</t>
        </is>
      </c>
      <c r="B127" t="inlineStr">
        <is>
          <t>API</t>
        </is>
      </c>
      <c r="C127" t="inlineStr">
        <is>
          <t>aromatic_rings</t>
        </is>
      </c>
      <c r="D127" t="inlineStr">
        <is>
          <t>medium</t>
        </is>
      </c>
      <c r="E127" t="inlineStr">
        <is>
          <t>supplier CoA, pharmacopeial monograph, PubChem/LIPID MAPS, or targeted literature curation</t>
        </is>
      </c>
      <c r="F127" t="inlineStr">
        <is>
          <t>prefer_experimental_or_supplier</t>
        </is>
      </c>
      <c r="G127" t="inlineStr">
        <is>
          <t>P3</t>
        </is>
      </c>
    </row>
    <row r="128">
      <c r="A128" t="inlineStr">
        <is>
          <t>mRNA payload placeholder</t>
        </is>
      </c>
      <c r="B128" t="inlineStr">
        <is>
          <t>API</t>
        </is>
      </c>
      <c r="C128" t="inlineStr">
        <is>
          <t>BCS_class</t>
        </is>
      </c>
      <c r="D128" t="inlineStr">
        <is>
          <t>medium</t>
        </is>
      </c>
      <c r="E128" t="inlineStr">
        <is>
          <t>supplier CoA, pharmacopeial monograph, PubChem/LIPID MAPS, or targeted literature curation</t>
        </is>
      </c>
      <c r="F128" t="inlineStr">
        <is>
          <t>prefer_experimental_or_supplier</t>
        </is>
      </c>
      <c r="G128" t="inlineStr">
        <is>
          <t>P3</t>
        </is>
      </c>
    </row>
    <row r="129">
      <c r="A129" t="inlineStr">
        <is>
          <t>mRNA payload placeholder</t>
        </is>
      </c>
      <c r="B129" t="inlineStr">
        <is>
          <t>API</t>
        </is>
      </c>
      <c r="C129" t="inlineStr">
        <is>
          <t>therapeutic_class</t>
        </is>
      </c>
      <c r="D129" t="inlineStr">
        <is>
          <t>medium</t>
        </is>
      </c>
      <c r="E129" t="inlineStr">
        <is>
          <t>supplier CoA, pharmacopeial monograph, PubChem/LIPID MAPS, or targeted literature curation</t>
        </is>
      </c>
      <c r="F129" t="inlineStr">
        <is>
          <t>prefer_experimental_or_supplier</t>
        </is>
      </c>
      <c r="G129" t="inlineStr">
        <is>
          <t>P3</t>
        </is>
      </c>
    </row>
    <row r="130">
      <c r="A130" t="inlineStr">
        <is>
          <t>Peptide payload placeholder</t>
        </is>
      </c>
      <c r="B130" t="inlineStr">
        <is>
          <t>API</t>
        </is>
      </c>
      <c r="C130" t="inlineStr">
        <is>
          <t>molecular_weight_g_mol</t>
        </is>
      </c>
      <c r="D130" t="inlineStr">
        <is>
          <t>critical</t>
        </is>
      </c>
      <c r="E130" t="inlineStr">
        <is>
          <t>supplier CoA, pharmacopeial monograph, PubChem/LIPID MAPS, or targeted literature curation</t>
        </is>
      </c>
      <c r="F130" t="inlineStr">
        <is>
          <t>prefer_experimental_or_supplier</t>
        </is>
      </c>
      <c r="G130" t="inlineStr">
        <is>
          <t>P1</t>
        </is>
      </c>
    </row>
    <row r="131">
      <c r="A131" t="inlineStr">
        <is>
          <t>Peptide payload placeholder</t>
        </is>
      </c>
      <c r="B131" t="inlineStr">
        <is>
          <t>API</t>
        </is>
      </c>
      <c r="C131" t="inlineStr">
        <is>
          <t>molecular_formula</t>
        </is>
      </c>
      <c r="D131" t="inlineStr">
        <is>
          <t>medium</t>
        </is>
      </c>
      <c r="E131" t="inlineStr">
        <is>
          <t>supplier CoA, pharmacopeial monograph, PubChem/LIPID MAPS, or targeted literature curation</t>
        </is>
      </c>
      <c r="F131" t="inlineStr">
        <is>
          <t>prefer_experimental_or_supplier</t>
        </is>
      </c>
      <c r="G131" t="inlineStr">
        <is>
          <t>P3</t>
        </is>
      </c>
    </row>
    <row r="132">
      <c r="A132" t="inlineStr">
        <is>
          <t>Peptide payload placeholder</t>
        </is>
      </c>
      <c r="B132" t="inlineStr">
        <is>
          <t>API</t>
        </is>
      </c>
      <c r="C132" t="inlineStr">
        <is>
          <t>LogP</t>
        </is>
      </c>
      <c r="D132" t="inlineStr">
        <is>
          <t>medium</t>
        </is>
      </c>
      <c r="E132" t="inlineStr">
        <is>
          <t>supplier CoA, pharmacopeial monograph, PubChem/LIPID MAPS, or targeted literature curation</t>
        </is>
      </c>
      <c r="F132" t="inlineStr">
        <is>
          <t>prefer_experimental_or_supplier</t>
        </is>
      </c>
      <c r="G132" t="inlineStr">
        <is>
          <t>P3</t>
        </is>
      </c>
    </row>
    <row r="133">
      <c r="A133" t="inlineStr">
        <is>
          <t>Peptide payload placeholder</t>
        </is>
      </c>
      <c r="B133" t="inlineStr">
        <is>
          <t>API</t>
        </is>
      </c>
      <c r="C133" t="inlineStr">
        <is>
          <t>LogD_7_4</t>
        </is>
      </c>
      <c r="D133" t="inlineStr">
        <is>
          <t>high for pH-dependent partitioning</t>
        </is>
      </c>
      <c r="E133" t="inlineStr">
        <is>
          <t>shake-flask/HPLC pH 7.4 or curated database</t>
        </is>
      </c>
      <c r="F133" t="inlineStr">
        <is>
          <t>yes_screening_only</t>
        </is>
      </c>
      <c r="G133" t="inlineStr">
        <is>
          <t>P3</t>
        </is>
      </c>
    </row>
    <row r="134">
      <c r="A134" t="inlineStr">
        <is>
          <t>Peptide payload placeholder</t>
        </is>
      </c>
      <c r="B134" t="inlineStr">
        <is>
          <t>API</t>
        </is>
      </c>
      <c r="C134" t="inlineStr">
        <is>
          <t>pKa_acid</t>
        </is>
      </c>
      <c r="D134" t="inlineStr">
        <is>
          <t>high if ionizable</t>
        </is>
      </c>
      <c r="E134" t="inlineStr">
        <is>
          <t>supplier CoA, pharmacopeial monograph, PubChem/LIPID MAPS, or targeted literature curation</t>
        </is>
      </c>
      <c r="F134" t="inlineStr">
        <is>
          <t>prefer_experimental_or_supplier</t>
        </is>
      </c>
      <c r="G134" t="inlineStr">
        <is>
          <t>P1</t>
        </is>
      </c>
    </row>
    <row r="135">
      <c r="A135" t="inlineStr">
        <is>
          <t>Peptide payload placeholder</t>
        </is>
      </c>
      <c r="B135" t="inlineStr">
        <is>
          <t>API</t>
        </is>
      </c>
      <c r="C135" t="inlineStr">
        <is>
          <t>pKa_base</t>
        </is>
      </c>
      <c r="D135" t="inlineStr">
        <is>
          <t>high if ionizable</t>
        </is>
      </c>
      <c r="E135" t="inlineStr">
        <is>
          <t>supplier CoA, pharmacopeial monograph, PubChem/LIPID MAPS, or targeted literature curation</t>
        </is>
      </c>
      <c r="F135" t="inlineStr">
        <is>
          <t>prefer_experimental_or_supplier</t>
        </is>
      </c>
      <c r="G135" t="inlineStr">
        <is>
          <t>P1</t>
        </is>
      </c>
    </row>
    <row r="136">
      <c r="A136" t="inlineStr">
        <is>
          <t>Peptide payload placeholder</t>
        </is>
      </c>
      <c r="B136" t="inlineStr">
        <is>
          <t>API</t>
        </is>
      </c>
      <c r="C136" t="inlineStr">
        <is>
          <t>water_solubility_mg_ml</t>
        </is>
      </c>
      <c r="D136" t="inlineStr">
        <is>
          <t>high for API loading/release</t>
        </is>
      </c>
      <c r="E136" t="inlineStr">
        <is>
          <t>shake-flask pH-specific solubility or curated drug monograph</t>
        </is>
      </c>
      <c r="F136" t="inlineStr">
        <is>
          <t>prefer_experimental_or_supplier</t>
        </is>
      </c>
      <c r="G136" t="inlineStr">
        <is>
          <t>P1</t>
        </is>
      </c>
    </row>
    <row r="137">
      <c r="A137" t="inlineStr">
        <is>
          <t>Peptide payload placeholder</t>
        </is>
      </c>
      <c r="B137" t="inlineStr">
        <is>
          <t>API</t>
        </is>
      </c>
      <c r="C137" t="inlineStr">
        <is>
          <t>melting_point_C</t>
        </is>
      </c>
      <c r="D137" t="inlineStr">
        <is>
          <t>high</t>
        </is>
      </c>
      <c r="E137" t="inlineStr">
        <is>
          <t>supplier CoA, pharmacopeial monograph, PubChem/LIPID MAPS, or targeted literature curation</t>
        </is>
      </c>
      <c r="F137" t="inlineStr">
        <is>
          <t>prefer_experimental_or_supplier</t>
        </is>
      </c>
      <c r="G137" t="inlineStr">
        <is>
          <t>P3</t>
        </is>
      </c>
    </row>
    <row r="138">
      <c r="A138" t="inlineStr">
        <is>
          <t>Peptide payload placeholder</t>
        </is>
      </c>
      <c r="B138" t="inlineStr">
        <is>
          <t>API</t>
        </is>
      </c>
      <c r="C138" t="inlineStr">
        <is>
          <t>Hansen_delta_D</t>
        </is>
      </c>
      <c r="D138" t="inlineStr">
        <is>
          <t>high</t>
        </is>
      </c>
      <c r="E138" t="inlineStr">
        <is>
          <t>experimental HSP solubility sphere, IGC, inverse design literature, or HSPiP/literature</t>
        </is>
      </c>
      <c r="F138" t="inlineStr">
        <is>
          <t>yes_screening_only</t>
        </is>
      </c>
      <c r="G138" t="inlineStr">
        <is>
          <t>P2</t>
        </is>
      </c>
    </row>
    <row r="139">
      <c r="A139" t="inlineStr">
        <is>
          <t>Peptide payload placeholder</t>
        </is>
      </c>
      <c r="B139" t="inlineStr">
        <is>
          <t>API</t>
        </is>
      </c>
      <c r="C139" t="inlineStr">
        <is>
          <t>Hansen_delta_P</t>
        </is>
      </c>
      <c r="D139" t="inlineStr">
        <is>
          <t>high</t>
        </is>
      </c>
      <c r="E139" t="inlineStr">
        <is>
          <t>experimental HSP solubility sphere, IGC, inverse design literature, or HSPiP/literature</t>
        </is>
      </c>
      <c r="F139" t="inlineStr">
        <is>
          <t>yes_screening_only</t>
        </is>
      </c>
      <c r="G139" t="inlineStr">
        <is>
          <t>P2</t>
        </is>
      </c>
    </row>
    <row r="140">
      <c r="A140" t="inlineStr">
        <is>
          <t>Peptide payload placeholder</t>
        </is>
      </c>
      <c r="B140" t="inlineStr">
        <is>
          <t>API</t>
        </is>
      </c>
      <c r="C140" t="inlineStr">
        <is>
          <t>Hansen_delta_H</t>
        </is>
      </c>
      <c r="D140" t="inlineStr">
        <is>
          <t>high</t>
        </is>
      </c>
      <c r="E140" t="inlineStr">
        <is>
          <t>experimental HSP solubility sphere, IGC, inverse design literature, or HSPiP/literature</t>
        </is>
      </c>
      <c r="F140" t="inlineStr">
        <is>
          <t>yes_screening_only</t>
        </is>
      </c>
      <c r="G140" t="inlineStr">
        <is>
          <t>P2</t>
        </is>
      </c>
    </row>
    <row r="141">
      <c r="A141" t="inlineStr">
        <is>
          <t>Peptide payload placeholder</t>
        </is>
      </c>
      <c r="B141" t="inlineStr">
        <is>
          <t>API</t>
        </is>
      </c>
      <c r="C141" t="inlineStr">
        <is>
          <t>HSP_radius_R0</t>
        </is>
      </c>
      <c r="D141" t="inlineStr">
        <is>
          <t>medium</t>
        </is>
      </c>
      <c r="E141" t="inlineStr">
        <is>
          <t>experimental solvent screen/RED fit</t>
        </is>
      </c>
      <c r="F141" t="inlineStr">
        <is>
          <t>yes_screening_only</t>
        </is>
      </c>
      <c r="G141" t="inlineStr">
        <is>
          <t>P3</t>
        </is>
      </c>
    </row>
    <row r="142">
      <c r="A142" t="inlineStr">
        <is>
          <t>Peptide payload placeholder</t>
        </is>
      </c>
      <c r="B142" t="inlineStr">
        <is>
          <t>API</t>
        </is>
      </c>
      <c r="C142" t="inlineStr">
        <is>
          <t>Hildebrand_delta_T</t>
        </is>
      </c>
      <c r="D142" t="inlineStr">
        <is>
          <t>medium</t>
        </is>
      </c>
      <c r="E142" t="inlineStr">
        <is>
          <t>supplier CoA, pharmacopeial monograph, PubChem/LIPID MAPS, or targeted literature curation</t>
        </is>
      </c>
      <c r="F142" t="inlineStr">
        <is>
          <t>prefer_experimental_or_supplier</t>
        </is>
      </c>
      <c r="G142" t="inlineStr">
        <is>
          <t>P3</t>
        </is>
      </c>
    </row>
    <row r="143">
      <c r="A143" t="inlineStr">
        <is>
          <t>Peptide payload placeholder</t>
        </is>
      </c>
      <c r="B143" t="inlineStr">
        <is>
          <t>API</t>
        </is>
      </c>
      <c r="C143" t="inlineStr">
        <is>
          <t>molar_volume_cm3_mol</t>
        </is>
      </c>
      <c r="D143" t="inlineStr">
        <is>
          <t>high</t>
        </is>
      </c>
      <c r="E143" t="inlineStr">
        <is>
          <t>density measurement or crystal/solution molar volume data</t>
        </is>
      </c>
      <c r="F143" t="inlineStr">
        <is>
          <t>yes_screening_only</t>
        </is>
      </c>
      <c r="G143" t="inlineStr">
        <is>
          <t>P2</t>
        </is>
      </c>
    </row>
    <row r="144">
      <c r="A144" t="inlineStr">
        <is>
          <t>Peptide payload placeholder</t>
        </is>
      </c>
      <c r="B144" t="inlineStr">
        <is>
          <t>API</t>
        </is>
      </c>
      <c r="C144" t="inlineStr">
        <is>
          <t>TPSA</t>
        </is>
      </c>
      <c r="D144" t="inlineStr">
        <is>
          <t>medium</t>
        </is>
      </c>
      <c r="E144" t="inlineStr">
        <is>
          <t>supplier CoA, pharmacopeial monograph, PubChem/LIPID MAPS, or targeted literature curation</t>
        </is>
      </c>
      <c r="F144" t="inlineStr">
        <is>
          <t>prefer_experimental_or_supplier</t>
        </is>
      </c>
      <c r="G144" t="inlineStr">
        <is>
          <t>P3</t>
        </is>
      </c>
    </row>
    <row r="145">
      <c r="A145" t="inlineStr">
        <is>
          <t>Peptide payload placeholder</t>
        </is>
      </c>
      <c r="B145" t="inlineStr">
        <is>
          <t>API</t>
        </is>
      </c>
      <c r="C145" t="inlineStr">
        <is>
          <t>HBD</t>
        </is>
      </c>
      <c r="D145" t="inlineStr">
        <is>
          <t>medium</t>
        </is>
      </c>
      <c r="E145" t="inlineStr">
        <is>
          <t>supplier CoA, pharmacopeial monograph, PubChem/LIPID MAPS, or targeted literature curation</t>
        </is>
      </c>
      <c r="F145" t="inlineStr">
        <is>
          <t>prefer_experimental_or_supplier</t>
        </is>
      </c>
      <c r="G145" t="inlineStr">
        <is>
          <t>P3</t>
        </is>
      </c>
    </row>
    <row r="146">
      <c r="A146" t="inlineStr">
        <is>
          <t>Peptide payload placeholder</t>
        </is>
      </c>
      <c r="B146" t="inlineStr">
        <is>
          <t>API</t>
        </is>
      </c>
      <c r="C146" t="inlineStr">
        <is>
          <t>HBA</t>
        </is>
      </c>
      <c r="D146" t="inlineStr">
        <is>
          <t>medium</t>
        </is>
      </c>
      <c r="E146" t="inlineStr">
        <is>
          <t>supplier CoA, pharmacopeial monograph, PubChem/LIPID MAPS, or targeted literature curation</t>
        </is>
      </c>
      <c r="F146" t="inlineStr">
        <is>
          <t>prefer_experimental_or_supplier</t>
        </is>
      </c>
      <c r="G146" t="inlineStr">
        <is>
          <t>P3</t>
        </is>
      </c>
    </row>
    <row r="147">
      <c r="A147" t="inlineStr">
        <is>
          <t>Peptide payload placeholder</t>
        </is>
      </c>
      <c r="B147" t="inlineStr">
        <is>
          <t>API</t>
        </is>
      </c>
      <c r="C147" t="inlineStr">
        <is>
          <t>rotatable_bonds</t>
        </is>
      </c>
      <c r="D147" t="inlineStr">
        <is>
          <t>medium</t>
        </is>
      </c>
      <c r="E147" t="inlineStr">
        <is>
          <t>supplier CoA, pharmacopeial monograph, PubChem/LIPID MAPS, or targeted literature curation</t>
        </is>
      </c>
      <c r="F147" t="inlineStr">
        <is>
          <t>prefer_experimental_or_supplier</t>
        </is>
      </c>
      <c r="G147" t="inlineStr">
        <is>
          <t>P3</t>
        </is>
      </c>
    </row>
    <row r="148">
      <c r="A148" t="inlineStr">
        <is>
          <t>Peptide payload placeholder</t>
        </is>
      </c>
      <c r="B148" t="inlineStr">
        <is>
          <t>API</t>
        </is>
      </c>
      <c r="C148" t="inlineStr">
        <is>
          <t>aromatic_rings</t>
        </is>
      </c>
      <c r="D148" t="inlineStr">
        <is>
          <t>medium</t>
        </is>
      </c>
      <c r="E148" t="inlineStr">
        <is>
          <t>supplier CoA, pharmacopeial monograph, PubChem/LIPID MAPS, or targeted literature curation</t>
        </is>
      </c>
      <c r="F148" t="inlineStr">
        <is>
          <t>prefer_experimental_or_supplier</t>
        </is>
      </c>
      <c r="G148" t="inlineStr">
        <is>
          <t>P3</t>
        </is>
      </c>
    </row>
    <row r="149">
      <c r="A149" t="inlineStr">
        <is>
          <t>Peptide payload placeholder</t>
        </is>
      </c>
      <c r="B149" t="inlineStr">
        <is>
          <t>API</t>
        </is>
      </c>
      <c r="C149" t="inlineStr">
        <is>
          <t>BCS_class</t>
        </is>
      </c>
      <c r="D149" t="inlineStr">
        <is>
          <t>medium</t>
        </is>
      </c>
      <c r="E149" t="inlineStr">
        <is>
          <t>supplier CoA, pharmacopeial monograph, PubChem/LIPID MAPS, or targeted literature curation</t>
        </is>
      </c>
      <c r="F149" t="inlineStr">
        <is>
          <t>prefer_experimental_or_supplier</t>
        </is>
      </c>
      <c r="G149" t="inlineStr">
        <is>
          <t>P3</t>
        </is>
      </c>
    </row>
    <row r="150">
      <c r="A150" t="inlineStr">
        <is>
          <t>Peptide payload placeholder</t>
        </is>
      </c>
      <c r="B150" t="inlineStr">
        <is>
          <t>API</t>
        </is>
      </c>
      <c r="C150" t="inlineStr">
        <is>
          <t>therapeutic_class</t>
        </is>
      </c>
      <c r="D150" t="inlineStr">
        <is>
          <t>medium</t>
        </is>
      </c>
      <c r="E150" t="inlineStr">
        <is>
          <t>supplier CoA, pharmacopeial monograph, PubChem/LIPID MAPS, or targeted literature curation</t>
        </is>
      </c>
      <c r="F150" t="inlineStr">
        <is>
          <t>prefer_experimental_or_supplier</t>
        </is>
      </c>
      <c r="G150" t="inlineStr">
        <is>
          <t>P3</t>
        </is>
      </c>
    </row>
    <row r="151">
      <c r="A151" t="inlineStr">
        <is>
          <t>Span 20</t>
        </is>
      </c>
      <c r="B151" t="inlineStr">
        <is>
          <t>Surfactant</t>
        </is>
      </c>
      <c r="C151" t="inlineStr">
        <is>
          <t>CMC_mM</t>
        </is>
      </c>
      <c r="D151" t="inlineStr">
        <is>
          <t>medium/high</t>
        </is>
      </c>
      <c r="E151" t="inlineStr">
        <is>
          <t>surfactant monograph or experimentally measured CMC under formulation ionic strength</t>
        </is>
      </c>
      <c r="F151" t="inlineStr">
        <is>
          <t>prefer_experimental_or_supplier</t>
        </is>
      </c>
      <c r="G151" t="inlineStr">
        <is>
          <t>P3</t>
        </is>
      </c>
    </row>
    <row r="152">
      <c r="A152" t="inlineStr">
        <is>
          <t>Span 20</t>
        </is>
      </c>
      <c r="B152" t="inlineStr">
        <is>
          <t>Surfactant</t>
        </is>
      </c>
      <c r="C152" t="inlineStr">
        <is>
          <t>cloud_point_C</t>
        </is>
      </c>
      <c r="D152" t="inlineStr">
        <is>
          <t>medium</t>
        </is>
      </c>
      <c r="E152" t="inlineStr">
        <is>
          <t>supplier technical data sheet at defined concentration</t>
        </is>
      </c>
      <c r="F152" t="inlineStr">
        <is>
          <t>prefer_experimental_or_supplier</t>
        </is>
      </c>
      <c r="G152" t="inlineStr">
        <is>
          <t>P3</t>
        </is>
      </c>
    </row>
    <row r="153">
      <c r="A153" t="inlineStr">
        <is>
          <t>Span 20</t>
        </is>
      </c>
      <c r="B153" t="inlineStr">
        <is>
          <t>Surfactant</t>
        </is>
      </c>
      <c r="C153" t="inlineStr">
        <is>
          <t>Krafft_point_C</t>
        </is>
      </c>
      <c r="D153" t="inlineStr">
        <is>
          <t>medium</t>
        </is>
      </c>
      <c r="E153" t="inlineStr">
        <is>
          <t>surfactant handbook or temperature-solubility experiment</t>
        </is>
      </c>
      <c r="F153" t="inlineStr">
        <is>
          <t>prefer_experimental_or_supplier</t>
        </is>
      </c>
      <c r="G153" t="inlineStr">
        <is>
          <t>P3</t>
        </is>
      </c>
    </row>
    <row r="154">
      <c r="A154" t="inlineStr">
        <is>
          <t>Span 20</t>
        </is>
      </c>
      <c r="B154" t="inlineStr">
        <is>
          <t>Surfactant</t>
        </is>
      </c>
      <c r="C154" t="inlineStr">
        <is>
          <t>pKa_if_relevant</t>
        </is>
      </c>
      <c r="D154" t="inlineStr">
        <is>
          <t>medium</t>
        </is>
      </c>
      <c r="E154" t="inlineStr">
        <is>
          <t>supplier CoA, pharmacopeial monograph, PubChem/LIPID MAPS, or targeted literature curation</t>
        </is>
      </c>
      <c r="F154" t="inlineStr">
        <is>
          <t>prefer_experimental_or_supplier</t>
        </is>
      </c>
      <c r="G154" t="inlineStr">
        <is>
          <t>P3</t>
        </is>
      </c>
    </row>
    <row r="155">
      <c r="A155" t="inlineStr">
        <is>
          <t>Span 40</t>
        </is>
      </c>
      <c r="B155" t="inlineStr">
        <is>
          <t>Surfactant</t>
        </is>
      </c>
      <c r="C155" t="inlineStr">
        <is>
          <t>CMC_mM</t>
        </is>
      </c>
      <c r="D155" t="inlineStr">
        <is>
          <t>medium/high</t>
        </is>
      </c>
      <c r="E155" t="inlineStr">
        <is>
          <t>surfactant monograph or experimentally measured CMC under formulation ionic strength</t>
        </is>
      </c>
      <c r="F155" t="inlineStr">
        <is>
          <t>prefer_experimental_or_supplier</t>
        </is>
      </c>
      <c r="G155" t="inlineStr">
        <is>
          <t>P3</t>
        </is>
      </c>
    </row>
    <row r="156">
      <c r="A156" t="inlineStr">
        <is>
          <t>Span 40</t>
        </is>
      </c>
      <c r="B156" t="inlineStr">
        <is>
          <t>Surfactant</t>
        </is>
      </c>
      <c r="C156" t="inlineStr">
        <is>
          <t>cloud_point_C</t>
        </is>
      </c>
      <c r="D156" t="inlineStr">
        <is>
          <t>medium</t>
        </is>
      </c>
      <c r="E156" t="inlineStr">
        <is>
          <t>supplier technical data sheet at defined concentration</t>
        </is>
      </c>
      <c r="F156" t="inlineStr">
        <is>
          <t>prefer_experimental_or_supplier</t>
        </is>
      </c>
      <c r="G156" t="inlineStr">
        <is>
          <t>P3</t>
        </is>
      </c>
    </row>
    <row r="157">
      <c r="A157" t="inlineStr">
        <is>
          <t>Span 40</t>
        </is>
      </c>
      <c r="B157" t="inlineStr">
        <is>
          <t>Surfactant</t>
        </is>
      </c>
      <c r="C157" t="inlineStr">
        <is>
          <t>Krafft_point_C</t>
        </is>
      </c>
      <c r="D157" t="inlineStr">
        <is>
          <t>medium</t>
        </is>
      </c>
      <c r="E157" t="inlineStr">
        <is>
          <t>surfactant handbook or temperature-solubility experiment</t>
        </is>
      </c>
      <c r="F157" t="inlineStr">
        <is>
          <t>prefer_experimental_or_supplier</t>
        </is>
      </c>
      <c r="G157" t="inlineStr">
        <is>
          <t>P3</t>
        </is>
      </c>
    </row>
    <row r="158">
      <c r="A158" t="inlineStr">
        <is>
          <t>Span 40</t>
        </is>
      </c>
      <c r="B158" t="inlineStr">
        <is>
          <t>Surfactant</t>
        </is>
      </c>
      <c r="C158" t="inlineStr">
        <is>
          <t>pKa_if_relevant</t>
        </is>
      </c>
      <c r="D158" t="inlineStr">
        <is>
          <t>medium</t>
        </is>
      </c>
      <c r="E158" t="inlineStr">
        <is>
          <t>supplier CoA, pharmacopeial monograph, PubChem/LIPID MAPS, or targeted literature curation</t>
        </is>
      </c>
      <c r="F158" t="inlineStr">
        <is>
          <t>prefer_experimental_or_supplier</t>
        </is>
      </c>
      <c r="G158" t="inlineStr">
        <is>
          <t>P3</t>
        </is>
      </c>
    </row>
    <row r="159">
      <c r="A159" t="inlineStr">
        <is>
          <t>Span 60</t>
        </is>
      </c>
      <c r="B159" t="inlineStr">
        <is>
          <t>Surfactant</t>
        </is>
      </c>
      <c r="C159" t="inlineStr">
        <is>
          <t>CMC_mM</t>
        </is>
      </c>
      <c r="D159" t="inlineStr">
        <is>
          <t>medium/high</t>
        </is>
      </c>
      <c r="E159" t="inlineStr">
        <is>
          <t>surfactant monograph or experimentally measured CMC under formulation ionic strength</t>
        </is>
      </c>
      <c r="F159" t="inlineStr">
        <is>
          <t>prefer_experimental_or_supplier</t>
        </is>
      </c>
      <c r="G159" t="inlineStr">
        <is>
          <t>P3</t>
        </is>
      </c>
    </row>
    <row r="160">
      <c r="A160" t="inlineStr">
        <is>
          <t>Span 60</t>
        </is>
      </c>
      <c r="B160" t="inlineStr">
        <is>
          <t>Surfactant</t>
        </is>
      </c>
      <c r="C160" t="inlineStr">
        <is>
          <t>cloud_point_C</t>
        </is>
      </c>
      <c r="D160" t="inlineStr">
        <is>
          <t>medium</t>
        </is>
      </c>
      <c r="E160" t="inlineStr">
        <is>
          <t>supplier technical data sheet at defined concentration</t>
        </is>
      </c>
      <c r="F160" t="inlineStr">
        <is>
          <t>prefer_experimental_or_supplier</t>
        </is>
      </c>
      <c r="G160" t="inlineStr">
        <is>
          <t>P3</t>
        </is>
      </c>
    </row>
    <row r="161">
      <c r="A161" t="inlineStr">
        <is>
          <t>Span 60</t>
        </is>
      </c>
      <c r="B161" t="inlineStr">
        <is>
          <t>Surfactant</t>
        </is>
      </c>
      <c r="C161" t="inlineStr">
        <is>
          <t>Krafft_point_C</t>
        </is>
      </c>
      <c r="D161" t="inlineStr">
        <is>
          <t>medium</t>
        </is>
      </c>
      <c r="E161" t="inlineStr">
        <is>
          <t>surfactant handbook or temperature-solubility experiment</t>
        </is>
      </c>
      <c r="F161" t="inlineStr">
        <is>
          <t>prefer_experimental_or_supplier</t>
        </is>
      </c>
      <c r="G161" t="inlineStr">
        <is>
          <t>P3</t>
        </is>
      </c>
    </row>
    <row r="162">
      <c r="A162" t="inlineStr">
        <is>
          <t>Span 60</t>
        </is>
      </c>
      <c r="B162" t="inlineStr">
        <is>
          <t>Surfactant</t>
        </is>
      </c>
      <c r="C162" t="inlineStr">
        <is>
          <t>pKa_if_relevant</t>
        </is>
      </c>
      <c r="D162" t="inlineStr">
        <is>
          <t>medium</t>
        </is>
      </c>
      <c r="E162" t="inlineStr">
        <is>
          <t>supplier CoA, pharmacopeial monograph, PubChem/LIPID MAPS, or targeted literature curation</t>
        </is>
      </c>
      <c r="F162" t="inlineStr">
        <is>
          <t>prefer_experimental_or_supplier</t>
        </is>
      </c>
      <c r="G162" t="inlineStr">
        <is>
          <t>P3</t>
        </is>
      </c>
    </row>
    <row r="163">
      <c r="A163" t="inlineStr">
        <is>
          <t>Span 65</t>
        </is>
      </c>
      <c r="B163" t="inlineStr">
        <is>
          <t>Surfactant</t>
        </is>
      </c>
      <c r="C163" t="inlineStr">
        <is>
          <t>CMC_mM</t>
        </is>
      </c>
      <c r="D163" t="inlineStr">
        <is>
          <t>medium/high</t>
        </is>
      </c>
      <c r="E163" t="inlineStr">
        <is>
          <t>surfactant monograph or experimentally measured CMC under formulation ionic strength</t>
        </is>
      </c>
      <c r="F163" t="inlineStr">
        <is>
          <t>prefer_experimental_or_supplier</t>
        </is>
      </c>
      <c r="G163" t="inlineStr">
        <is>
          <t>P3</t>
        </is>
      </c>
    </row>
    <row r="164">
      <c r="A164" t="inlineStr">
        <is>
          <t>Span 65</t>
        </is>
      </c>
      <c r="B164" t="inlineStr">
        <is>
          <t>Surfactant</t>
        </is>
      </c>
      <c r="C164" t="inlineStr">
        <is>
          <t>cloud_point_C</t>
        </is>
      </c>
      <c r="D164" t="inlineStr">
        <is>
          <t>medium</t>
        </is>
      </c>
      <c r="E164" t="inlineStr">
        <is>
          <t>supplier technical data sheet at defined concentration</t>
        </is>
      </c>
      <c r="F164" t="inlineStr">
        <is>
          <t>prefer_experimental_or_supplier</t>
        </is>
      </c>
      <c r="G164" t="inlineStr">
        <is>
          <t>P3</t>
        </is>
      </c>
    </row>
    <row r="165">
      <c r="A165" t="inlineStr">
        <is>
          <t>Span 65</t>
        </is>
      </c>
      <c r="B165" t="inlineStr">
        <is>
          <t>Surfactant</t>
        </is>
      </c>
      <c r="C165" t="inlineStr">
        <is>
          <t>Krafft_point_C</t>
        </is>
      </c>
      <c r="D165" t="inlineStr">
        <is>
          <t>medium</t>
        </is>
      </c>
      <c r="E165" t="inlineStr">
        <is>
          <t>surfactant handbook or temperature-solubility experiment</t>
        </is>
      </c>
      <c r="F165" t="inlineStr">
        <is>
          <t>prefer_experimental_or_supplier</t>
        </is>
      </c>
      <c r="G165" t="inlineStr">
        <is>
          <t>P3</t>
        </is>
      </c>
    </row>
    <row r="166">
      <c r="A166" t="inlineStr">
        <is>
          <t>Span 65</t>
        </is>
      </c>
      <c r="B166" t="inlineStr">
        <is>
          <t>Surfactant</t>
        </is>
      </c>
      <c r="C166" t="inlineStr">
        <is>
          <t>pKa_if_relevant</t>
        </is>
      </c>
      <c r="D166" t="inlineStr">
        <is>
          <t>medium</t>
        </is>
      </c>
      <c r="E166" t="inlineStr">
        <is>
          <t>supplier CoA, pharmacopeial monograph, PubChem/LIPID MAPS, or targeted literature curation</t>
        </is>
      </c>
      <c r="F166" t="inlineStr">
        <is>
          <t>prefer_experimental_or_supplier</t>
        </is>
      </c>
      <c r="G166" t="inlineStr">
        <is>
          <t>P3</t>
        </is>
      </c>
    </row>
    <row r="167">
      <c r="A167" t="inlineStr">
        <is>
          <t>Span 80</t>
        </is>
      </c>
      <c r="B167" t="inlineStr">
        <is>
          <t>Surfactant</t>
        </is>
      </c>
      <c r="C167" t="inlineStr">
        <is>
          <t>CMC_mM</t>
        </is>
      </c>
      <c r="D167" t="inlineStr">
        <is>
          <t>medium/high</t>
        </is>
      </c>
      <c r="E167" t="inlineStr">
        <is>
          <t>surfactant monograph or experimentally measured CMC under formulation ionic strength</t>
        </is>
      </c>
      <c r="F167" t="inlineStr">
        <is>
          <t>prefer_experimental_or_supplier</t>
        </is>
      </c>
      <c r="G167" t="inlineStr">
        <is>
          <t>P3</t>
        </is>
      </c>
    </row>
    <row r="168">
      <c r="A168" t="inlineStr">
        <is>
          <t>Span 80</t>
        </is>
      </c>
      <c r="B168" t="inlineStr">
        <is>
          <t>Surfactant</t>
        </is>
      </c>
      <c r="C168" t="inlineStr">
        <is>
          <t>cloud_point_C</t>
        </is>
      </c>
      <c r="D168" t="inlineStr">
        <is>
          <t>medium</t>
        </is>
      </c>
      <c r="E168" t="inlineStr">
        <is>
          <t>supplier technical data sheet at defined concentration</t>
        </is>
      </c>
      <c r="F168" t="inlineStr">
        <is>
          <t>prefer_experimental_or_supplier</t>
        </is>
      </c>
      <c r="G168" t="inlineStr">
        <is>
          <t>P3</t>
        </is>
      </c>
    </row>
    <row r="169">
      <c r="A169" t="inlineStr">
        <is>
          <t>Span 80</t>
        </is>
      </c>
      <c r="B169" t="inlineStr">
        <is>
          <t>Surfactant</t>
        </is>
      </c>
      <c r="C169" t="inlineStr">
        <is>
          <t>Krafft_point_C</t>
        </is>
      </c>
      <c r="D169" t="inlineStr">
        <is>
          <t>medium</t>
        </is>
      </c>
      <c r="E169" t="inlineStr">
        <is>
          <t>surfactant handbook or temperature-solubility experiment</t>
        </is>
      </c>
      <c r="F169" t="inlineStr">
        <is>
          <t>prefer_experimental_or_supplier</t>
        </is>
      </c>
      <c r="G169" t="inlineStr">
        <is>
          <t>P3</t>
        </is>
      </c>
    </row>
    <row r="170">
      <c r="A170" t="inlineStr">
        <is>
          <t>Span 80</t>
        </is>
      </c>
      <c r="B170" t="inlineStr">
        <is>
          <t>Surfactant</t>
        </is>
      </c>
      <c r="C170" t="inlineStr">
        <is>
          <t>melting_point_C</t>
        </is>
      </c>
      <c r="D170" t="inlineStr">
        <is>
          <t>high</t>
        </is>
      </c>
      <c r="E170" t="inlineStr">
        <is>
          <t>supplier CoA, pharmacopeial monograph, PubChem/LIPID MAPS, or targeted literature curation</t>
        </is>
      </c>
      <c r="F170" t="inlineStr">
        <is>
          <t>prefer_experimental_or_supplier</t>
        </is>
      </c>
      <c r="G170" t="inlineStr">
        <is>
          <t>P3</t>
        </is>
      </c>
    </row>
    <row r="171">
      <c r="A171" t="inlineStr">
        <is>
          <t>Span 80</t>
        </is>
      </c>
      <c r="B171" t="inlineStr">
        <is>
          <t>Surfactant</t>
        </is>
      </c>
      <c r="C171" t="inlineStr">
        <is>
          <t>pKa_if_relevant</t>
        </is>
      </c>
      <c r="D171" t="inlineStr">
        <is>
          <t>medium</t>
        </is>
      </c>
      <c r="E171" t="inlineStr">
        <is>
          <t>supplier CoA, pharmacopeial monograph, PubChem/LIPID MAPS, or targeted literature curation</t>
        </is>
      </c>
      <c r="F171" t="inlineStr">
        <is>
          <t>prefer_experimental_or_supplier</t>
        </is>
      </c>
      <c r="G171" t="inlineStr">
        <is>
          <t>P3</t>
        </is>
      </c>
    </row>
    <row r="172">
      <c r="A172" t="inlineStr">
        <is>
          <t>Span 85</t>
        </is>
      </c>
      <c r="B172" t="inlineStr">
        <is>
          <t>Surfactant</t>
        </is>
      </c>
      <c r="C172" t="inlineStr">
        <is>
          <t>CMC_mM</t>
        </is>
      </c>
      <c r="D172" t="inlineStr">
        <is>
          <t>medium/high</t>
        </is>
      </c>
      <c r="E172" t="inlineStr">
        <is>
          <t>surfactant monograph or experimentally measured CMC under formulation ionic strength</t>
        </is>
      </c>
      <c r="F172" t="inlineStr">
        <is>
          <t>prefer_experimental_or_supplier</t>
        </is>
      </c>
      <c r="G172" t="inlineStr">
        <is>
          <t>P3</t>
        </is>
      </c>
    </row>
    <row r="173">
      <c r="A173" t="inlineStr">
        <is>
          <t>Span 85</t>
        </is>
      </c>
      <c r="B173" t="inlineStr">
        <is>
          <t>Surfactant</t>
        </is>
      </c>
      <c r="C173" t="inlineStr">
        <is>
          <t>cloud_point_C</t>
        </is>
      </c>
      <c r="D173" t="inlineStr">
        <is>
          <t>medium</t>
        </is>
      </c>
      <c r="E173" t="inlineStr">
        <is>
          <t>supplier technical data sheet at defined concentration</t>
        </is>
      </c>
      <c r="F173" t="inlineStr">
        <is>
          <t>prefer_experimental_or_supplier</t>
        </is>
      </c>
      <c r="G173" t="inlineStr">
        <is>
          <t>P3</t>
        </is>
      </c>
    </row>
    <row r="174">
      <c r="A174" t="inlineStr">
        <is>
          <t>Span 85</t>
        </is>
      </c>
      <c r="B174" t="inlineStr">
        <is>
          <t>Surfactant</t>
        </is>
      </c>
      <c r="C174" t="inlineStr">
        <is>
          <t>Krafft_point_C</t>
        </is>
      </c>
      <c r="D174" t="inlineStr">
        <is>
          <t>medium</t>
        </is>
      </c>
      <c r="E174" t="inlineStr">
        <is>
          <t>surfactant handbook or temperature-solubility experiment</t>
        </is>
      </c>
      <c r="F174" t="inlineStr">
        <is>
          <t>prefer_experimental_or_supplier</t>
        </is>
      </c>
      <c r="G174" t="inlineStr">
        <is>
          <t>P3</t>
        </is>
      </c>
    </row>
    <row r="175">
      <c r="A175" t="inlineStr">
        <is>
          <t>Span 85</t>
        </is>
      </c>
      <c r="B175" t="inlineStr">
        <is>
          <t>Surfactant</t>
        </is>
      </c>
      <c r="C175" t="inlineStr">
        <is>
          <t>melting_point_C</t>
        </is>
      </c>
      <c r="D175" t="inlineStr">
        <is>
          <t>high</t>
        </is>
      </c>
      <c r="E175" t="inlineStr">
        <is>
          <t>supplier CoA, pharmacopeial monograph, PubChem/LIPID MAPS, or targeted literature curation</t>
        </is>
      </c>
      <c r="F175" t="inlineStr">
        <is>
          <t>prefer_experimental_or_supplier</t>
        </is>
      </c>
      <c r="G175" t="inlineStr">
        <is>
          <t>P3</t>
        </is>
      </c>
    </row>
    <row r="176">
      <c r="A176" t="inlineStr">
        <is>
          <t>Span 85</t>
        </is>
      </c>
      <c r="B176" t="inlineStr">
        <is>
          <t>Surfactant</t>
        </is>
      </c>
      <c r="C176" t="inlineStr">
        <is>
          <t>pKa_if_relevant</t>
        </is>
      </c>
      <c r="D176" t="inlineStr">
        <is>
          <t>medium</t>
        </is>
      </c>
      <c r="E176" t="inlineStr">
        <is>
          <t>supplier CoA, pharmacopeial monograph, PubChem/LIPID MAPS, or targeted literature curation</t>
        </is>
      </c>
      <c r="F176" t="inlineStr">
        <is>
          <t>prefer_experimental_or_supplier</t>
        </is>
      </c>
      <c r="G176" t="inlineStr">
        <is>
          <t>P3</t>
        </is>
      </c>
    </row>
    <row r="177">
      <c r="A177" t="inlineStr">
        <is>
          <t>Tween 20</t>
        </is>
      </c>
      <c r="B177" t="inlineStr">
        <is>
          <t>Surfactant</t>
        </is>
      </c>
      <c r="C177" t="inlineStr">
        <is>
          <t>CMC_mM</t>
        </is>
      </c>
      <c r="D177" t="inlineStr">
        <is>
          <t>medium/high</t>
        </is>
      </c>
      <c r="E177" t="inlineStr">
        <is>
          <t>surfactant monograph or experimentally measured CMC under formulation ionic strength</t>
        </is>
      </c>
      <c r="F177" t="inlineStr">
        <is>
          <t>prefer_experimental_or_supplier</t>
        </is>
      </c>
      <c r="G177" t="inlineStr">
        <is>
          <t>P3</t>
        </is>
      </c>
    </row>
    <row r="178">
      <c r="A178" t="inlineStr">
        <is>
          <t>Tween 20</t>
        </is>
      </c>
      <c r="B178" t="inlineStr">
        <is>
          <t>Surfactant</t>
        </is>
      </c>
      <c r="C178" t="inlineStr">
        <is>
          <t>cloud_point_C</t>
        </is>
      </c>
      <c r="D178" t="inlineStr">
        <is>
          <t>medium</t>
        </is>
      </c>
      <c r="E178" t="inlineStr">
        <is>
          <t>supplier technical data sheet at defined concentration</t>
        </is>
      </c>
      <c r="F178" t="inlineStr">
        <is>
          <t>prefer_experimental_or_supplier</t>
        </is>
      </c>
      <c r="G178" t="inlineStr">
        <is>
          <t>P3</t>
        </is>
      </c>
    </row>
    <row r="179">
      <c r="A179" t="inlineStr">
        <is>
          <t>Tween 20</t>
        </is>
      </c>
      <c r="B179" t="inlineStr">
        <is>
          <t>Surfactant</t>
        </is>
      </c>
      <c r="C179" t="inlineStr">
        <is>
          <t>Krafft_point_C</t>
        </is>
      </c>
      <c r="D179" t="inlineStr">
        <is>
          <t>medium</t>
        </is>
      </c>
      <c r="E179" t="inlineStr">
        <is>
          <t>surfactant handbook or temperature-solubility experiment</t>
        </is>
      </c>
      <c r="F179" t="inlineStr">
        <is>
          <t>prefer_experimental_or_supplier</t>
        </is>
      </c>
      <c r="G179" t="inlineStr">
        <is>
          <t>P3</t>
        </is>
      </c>
    </row>
    <row r="180">
      <c r="A180" t="inlineStr">
        <is>
          <t>Tween 20</t>
        </is>
      </c>
      <c r="B180" t="inlineStr">
        <is>
          <t>Surfactant</t>
        </is>
      </c>
      <c r="C180" t="inlineStr">
        <is>
          <t>melting_point_C</t>
        </is>
      </c>
      <c r="D180" t="inlineStr">
        <is>
          <t>high</t>
        </is>
      </c>
      <c r="E180" t="inlineStr">
        <is>
          <t>supplier CoA, pharmacopeial monograph, PubChem/LIPID MAPS, or targeted literature curation</t>
        </is>
      </c>
      <c r="F180" t="inlineStr">
        <is>
          <t>prefer_experimental_or_supplier</t>
        </is>
      </c>
      <c r="G180" t="inlineStr">
        <is>
          <t>P3</t>
        </is>
      </c>
    </row>
    <row r="181">
      <c r="A181" t="inlineStr">
        <is>
          <t>Tween 20</t>
        </is>
      </c>
      <c r="B181" t="inlineStr">
        <is>
          <t>Surfactant</t>
        </is>
      </c>
      <c r="C181" t="inlineStr">
        <is>
          <t>pKa_if_relevant</t>
        </is>
      </c>
      <c r="D181" t="inlineStr">
        <is>
          <t>medium</t>
        </is>
      </c>
      <c r="E181" t="inlineStr">
        <is>
          <t>supplier CoA, pharmacopeial monograph, PubChem/LIPID MAPS, or targeted literature curation</t>
        </is>
      </c>
      <c r="F181" t="inlineStr">
        <is>
          <t>prefer_experimental_or_supplier</t>
        </is>
      </c>
      <c r="G181" t="inlineStr">
        <is>
          <t>P3</t>
        </is>
      </c>
    </row>
    <row r="182">
      <c r="A182" t="inlineStr">
        <is>
          <t>Tween 21</t>
        </is>
      </c>
      <c r="B182" t="inlineStr">
        <is>
          <t>Surfactant</t>
        </is>
      </c>
      <c r="C182" t="inlineStr">
        <is>
          <t>CMC_mM</t>
        </is>
      </c>
      <c r="D182" t="inlineStr">
        <is>
          <t>medium/high</t>
        </is>
      </c>
      <c r="E182" t="inlineStr">
        <is>
          <t>surfactant monograph or experimentally measured CMC under formulation ionic strength</t>
        </is>
      </c>
      <c r="F182" t="inlineStr">
        <is>
          <t>prefer_experimental_or_supplier</t>
        </is>
      </c>
      <c r="G182" t="inlineStr">
        <is>
          <t>P3</t>
        </is>
      </c>
    </row>
    <row r="183">
      <c r="A183" t="inlineStr">
        <is>
          <t>Tween 21</t>
        </is>
      </c>
      <c r="B183" t="inlineStr">
        <is>
          <t>Surfactant</t>
        </is>
      </c>
      <c r="C183" t="inlineStr">
        <is>
          <t>cloud_point_C</t>
        </is>
      </c>
      <c r="D183" t="inlineStr">
        <is>
          <t>medium</t>
        </is>
      </c>
      <c r="E183" t="inlineStr">
        <is>
          <t>supplier technical data sheet at defined concentration</t>
        </is>
      </c>
      <c r="F183" t="inlineStr">
        <is>
          <t>prefer_experimental_or_supplier</t>
        </is>
      </c>
      <c r="G183" t="inlineStr">
        <is>
          <t>P3</t>
        </is>
      </c>
    </row>
    <row r="184">
      <c r="A184" t="inlineStr">
        <is>
          <t>Tween 21</t>
        </is>
      </c>
      <c r="B184" t="inlineStr">
        <is>
          <t>Surfactant</t>
        </is>
      </c>
      <c r="C184" t="inlineStr">
        <is>
          <t>Krafft_point_C</t>
        </is>
      </c>
      <c r="D184" t="inlineStr">
        <is>
          <t>medium</t>
        </is>
      </c>
      <c r="E184" t="inlineStr">
        <is>
          <t>surfactant handbook or temperature-solubility experiment</t>
        </is>
      </c>
      <c r="F184" t="inlineStr">
        <is>
          <t>prefer_experimental_or_supplier</t>
        </is>
      </c>
      <c r="G184" t="inlineStr">
        <is>
          <t>P3</t>
        </is>
      </c>
    </row>
    <row r="185">
      <c r="A185" t="inlineStr">
        <is>
          <t>Tween 21</t>
        </is>
      </c>
      <c r="B185" t="inlineStr">
        <is>
          <t>Surfactant</t>
        </is>
      </c>
      <c r="C185" t="inlineStr">
        <is>
          <t>melting_point_C</t>
        </is>
      </c>
      <c r="D185" t="inlineStr">
        <is>
          <t>high</t>
        </is>
      </c>
      <c r="E185" t="inlineStr">
        <is>
          <t>supplier CoA, pharmacopeial monograph, PubChem/LIPID MAPS, or targeted literature curation</t>
        </is>
      </c>
      <c r="F185" t="inlineStr">
        <is>
          <t>prefer_experimental_or_supplier</t>
        </is>
      </c>
      <c r="G185" t="inlineStr">
        <is>
          <t>P3</t>
        </is>
      </c>
    </row>
    <row r="186">
      <c r="A186" t="inlineStr">
        <is>
          <t>Tween 21</t>
        </is>
      </c>
      <c r="B186" t="inlineStr">
        <is>
          <t>Surfactant</t>
        </is>
      </c>
      <c r="C186" t="inlineStr">
        <is>
          <t>pKa_if_relevant</t>
        </is>
      </c>
      <c r="D186" t="inlineStr">
        <is>
          <t>medium</t>
        </is>
      </c>
      <c r="E186" t="inlineStr">
        <is>
          <t>supplier CoA, pharmacopeial monograph, PubChem/LIPID MAPS, or targeted literature curation</t>
        </is>
      </c>
      <c r="F186" t="inlineStr">
        <is>
          <t>prefer_experimental_or_supplier</t>
        </is>
      </c>
      <c r="G186" t="inlineStr">
        <is>
          <t>P3</t>
        </is>
      </c>
    </row>
    <row r="187">
      <c r="A187" t="inlineStr">
        <is>
          <t>Tween 40</t>
        </is>
      </c>
      <c r="B187" t="inlineStr">
        <is>
          <t>Surfactant</t>
        </is>
      </c>
      <c r="C187" t="inlineStr">
        <is>
          <t>CMC_mM</t>
        </is>
      </c>
      <c r="D187" t="inlineStr">
        <is>
          <t>medium/high</t>
        </is>
      </c>
      <c r="E187" t="inlineStr">
        <is>
          <t>surfactant monograph or experimentally measured CMC under formulation ionic strength</t>
        </is>
      </c>
      <c r="F187" t="inlineStr">
        <is>
          <t>prefer_experimental_or_supplier</t>
        </is>
      </c>
      <c r="G187" t="inlineStr">
        <is>
          <t>P3</t>
        </is>
      </c>
    </row>
    <row r="188">
      <c r="A188" t="inlineStr">
        <is>
          <t>Tween 40</t>
        </is>
      </c>
      <c r="B188" t="inlineStr">
        <is>
          <t>Surfactant</t>
        </is>
      </c>
      <c r="C188" t="inlineStr">
        <is>
          <t>cloud_point_C</t>
        </is>
      </c>
      <c r="D188" t="inlineStr">
        <is>
          <t>medium</t>
        </is>
      </c>
      <c r="E188" t="inlineStr">
        <is>
          <t>supplier technical data sheet at defined concentration</t>
        </is>
      </c>
      <c r="F188" t="inlineStr">
        <is>
          <t>prefer_experimental_or_supplier</t>
        </is>
      </c>
      <c r="G188" t="inlineStr">
        <is>
          <t>P3</t>
        </is>
      </c>
    </row>
    <row r="189">
      <c r="A189" t="inlineStr">
        <is>
          <t>Tween 40</t>
        </is>
      </c>
      <c r="B189" t="inlineStr">
        <is>
          <t>Surfactant</t>
        </is>
      </c>
      <c r="C189" t="inlineStr">
        <is>
          <t>Krafft_point_C</t>
        </is>
      </c>
      <c r="D189" t="inlineStr">
        <is>
          <t>medium</t>
        </is>
      </c>
      <c r="E189" t="inlineStr">
        <is>
          <t>surfactant handbook or temperature-solubility experiment</t>
        </is>
      </c>
      <c r="F189" t="inlineStr">
        <is>
          <t>prefer_experimental_or_supplier</t>
        </is>
      </c>
      <c r="G189" t="inlineStr">
        <is>
          <t>P3</t>
        </is>
      </c>
    </row>
    <row r="190">
      <c r="A190" t="inlineStr">
        <is>
          <t>Tween 40</t>
        </is>
      </c>
      <c r="B190" t="inlineStr">
        <is>
          <t>Surfactant</t>
        </is>
      </c>
      <c r="C190" t="inlineStr">
        <is>
          <t>melting_point_C</t>
        </is>
      </c>
      <c r="D190" t="inlineStr">
        <is>
          <t>high</t>
        </is>
      </c>
      <c r="E190" t="inlineStr">
        <is>
          <t>supplier CoA, pharmacopeial monograph, PubChem/LIPID MAPS, or targeted literature curation</t>
        </is>
      </c>
      <c r="F190" t="inlineStr">
        <is>
          <t>prefer_experimental_or_supplier</t>
        </is>
      </c>
      <c r="G190" t="inlineStr">
        <is>
          <t>P3</t>
        </is>
      </c>
    </row>
    <row r="191">
      <c r="A191" t="inlineStr">
        <is>
          <t>Tween 40</t>
        </is>
      </c>
      <c r="B191" t="inlineStr">
        <is>
          <t>Surfactant</t>
        </is>
      </c>
      <c r="C191" t="inlineStr">
        <is>
          <t>pKa_if_relevant</t>
        </is>
      </c>
      <c r="D191" t="inlineStr">
        <is>
          <t>medium</t>
        </is>
      </c>
      <c r="E191" t="inlineStr">
        <is>
          <t>supplier CoA, pharmacopeial monograph, PubChem/LIPID MAPS, or targeted literature curation</t>
        </is>
      </c>
      <c r="F191" t="inlineStr">
        <is>
          <t>prefer_experimental_or_supplier</t>
        </is>
      </c>
      <c r="G191" t="inlineStr">
        <is>
          <t>P3</t>
        </is>
      </c>
    </row>
    <row r="192">
      <c r="A192" t="inlineStr">
        <is>
          <t>Tween 60</t>
        </is>
      </c>
      <c r="B192" t="inlineStr">
        <is>
          <t>Surfactant</t>
        </is>
      </c>
      <c r="C192" t="inlineStr">
        <is>
          <t>CMC_mM</t>
        </is>
      </c>
      <c r="D192" t="inlineStr">
        <is>
          <t>medium/high</t>
        </is>
      </c>
      <c r="E192" t="inlineStr">
        <is>
          <t>surfactant monograph or experimentally measured CMC under formulation ionic strength</t>
        </is>
      </c>
      <c r="F192" t="inlineStr">
        <is>
          <t>prefer_experimental_or_supplier</t>
        </is>
      </c>
      <c r="G192" t="inlineStr">
        <is>
          <t>P3</t>
        </is>
      </c>
    </row>
    <row r="193">
      <c r="A193" t="inlineStr">
        <is>
          <t>Tween 60</t>
        </is>
      </c>
      <c r="B193" t="inlineStr">
        <is>
          <t>Surfactant</t>
        </is>
      </c>
      <c r="C193" t="inlineStr">
        <is>
          <t>cloud_point_C</t>
        </is>
      </c>
      <c r="D193" t="inlineStr">
        <is>
          <t>medium</t>
        </is>
      </c>
      <c r="E193" t="inlineStr">
        <is>
          <t>supplier technical data sheet at defined concentration</t>
        </is>
      </c>
      <c r="F193" t="inlineStr">
        <is>
          <t>prefer_experimental_or_supplier</t>
        </is>
      </c>
      <c r="G193" t="inlineStr">
        <is>
          <t>P3</t>
        </is>
      </c>
    </row>
    <row r="194">
      <c r="A194" t="inlineStr">
        <is>
          <t>Tween 60</t>
        </is>
      </c>
      <c r="B194" t="inlineStr">
        <is>
          <t>Surfactant</t>
        </is>
      </c>
      <c r="C194" t="inlineStr">
        <is>
          <t>Krafft_point_C</t>
        </is>
      </c>
      <c r="D194" t="inlineStr">
        <is>
          <t>medium</t>
        </is>
      </c>
      <c r="E194" t="inlineStr">
        <is>
          <t>surfactant handbook or temperature-solubility experiment</t>
        </is>
      </c>
      <c r="F194" t="inlineStr">
        <is>
          <t>prefer_experimental_or_supplier</t>
        </is>
      </c>
      <c r="G194" t="inlineStr">
        <is>
          <t>P3</t>
        </is>
      </c>
    </row>
    <row r="195">
      <c r="A195" t="inlineStr">
        <is>
          <t>Tween 60</t>
        </is>
      </c>
      <c r="B195" t="inlineStr">
        <is>
          <t>Surfactant</t>
        </is>
      </c>
      <c r="C195" t="inlineStr">
        <is>
          <t>pKa_if_relevant</t>
        </is>
      </c>
      <c r="D195" t="inlineStr">
        <is>
          <t>medium</t>
        </is>
      </c>
      <c r="E195" t="inlineStr">
        <is>
          <t>supplier CoA, pharmacopeial monograph, PubChem/LIPID MAPS, or targeted literature curation</t>
        </is>
      </c>
      <c r="F195" t="inlineStr">
        <is>
          <t>prefer_experimental_or_supplier</t>
        </is>
      </c>
      <c r="G195" t="inlineStr">
        <is>
          <t>P3</t>
        </is>
      </c>
    </row>
    <row r="196">
      <c r="A196" t="inlineStr">
        <is>
          <t>Tween 61</t>
        </is>
      </c>
      <c r="B196" t="inlineStr">
        <is>
          <t>Surfactant</t>
        </is>
      </c>
      <c r="C196" t="inlineStr">
        <is>
          <t>CMC_mM</t>
        </is>
      </c>
      <c r="D196" t="inlineStr">
        <is>
          <t>medium/high</t>
        </is>
      </c>
      <c r="E196" t="inlineStr">
        <is>
          <t>surfactant monograph or experimentally measured CMC under formulation ionic strength</t>
        </is>
      </c>
      <c r="F196" t="inlineStr">
        <is>
          <t>prefer_experimental_or_supplier</t>
        </is>
      </c>
      <c r="G196" t="inlineStr">
        <is>
          <t>P3</t>
        </is>
      </c>
    </row>
    <row r="197">
      <c r="A197" t="inlineStr">
        <is>
          <t>Tween 61</t>
        </is>
      </c>
      <c r="B197" t="inlineStr">
        <is>
          <t>Surfactant</t>
        </is>
      </c>
      <c r="C197" t="inlineStr">
        <is>
          <t>cloud_point_C</t>
        </is>
      </c>
      <c r="D197" t="inlineStr">
        <is>
          <t>medium</t>
        </is>
      </c>
      <c r="E197" t="inlineStr">
        <is>
          <t>supplier technical data sheet at defined concentration</t>
        </is>
      </c>
      <c r="F197" t="inlineStr">
        <is>
          <t>prefer_experimental_or_supplier</t>
        </is>
      </c>
      <c r="G197" t="inlineStr">
        <is>
          <t>P3</t>
        </is>
      </c>
    </row>
    <row r="198">
      <c r="A198" t="inlineStr">
        <is>
          <t>Tween 61</t>
        </is>
      </c>
      <c r="B198" t="inlineStr">
        <is>
          <t>Surfactant</t>
        </is>
      </c>
      <c r="C198" t="inlineStr">
        <is>
          <t>Krafft_point_C</t>
        </is>
      </c>
      <c r="D198" t="inlineStr">
        <is>
          <t>medium</t>
        </is>
      </c>
      <c r="E198" t="inlineStr">
        <is>
          <t>surfactant handbook or temperature-solubility experiment</t>
        </is>
      </c>
      <c r="F198" t="inlineStr">
        <is>
          <t>prefer_experimental_or_supplier</t>
        </is>
      </c>
      <c r="G198" t="inlineStr">
        <is>
          <t>P3</t>
        </is>
      </c>
    </row>
    <row r="199">
      <c r="A199" t="inlineStr">
        <is>
          <t>Tween 61</t>
        </is>
      </c>
      <c r="B199" t="inlineStr">
        <is>
          <t>Surfactant</t>
        </is>
      </c>
      <c r="C199" t="inlineStr">
        <is>
          <t>pKa_if_relevant</t>
        </is>
      </c>
      <c r="D199" t="inlineStr">
        <is>
          <t>medium</t>
        </is>
      </c>
      <c r="E199" t="inlineStr">
        <is>
          <t>supplier CoA, pharmacopeial monograph, PubChem/LIPID MAPS, or targeted literature curation</t>
        </is>
      </c>
      <c r="F199" t="inlineStr">
        <is>
          <t>prefer_experimental_or_supplier</t>
        </is>
      </c>
      <c r="G199" t="inlineStr">
        <is>
          <t>P3</t>
        </is>
      </c>
    </row>
    <row r="200">
      <c r="A200" t="inlineStr">
        <is>
          <t>Tween 65</t>
        </is>
      </c>
      <c r="B200" t="inlineStr">
        <is>
          <t>Surfactant</t>
        </is>
      </c>
      <c r="C200" t="inlineStr">
        <is>
          <t>CMC_mM</t>
        </is>
      </c>
      <c r="D200" t="inlineStr">
        <is>
          <t>medium/high</t>
        </is>
      </c>
      <c r="E200" t="inlineStr">
        <is>
          <t>surfactant monograph or experimentally measured CMC under formulation ionic strength</t>
        </is>
      </c>
      <c r="F200" t="inlineStr">
        <is>
          <t>prefer_experimental_or_supplier</t>
        </is>
      </c>
      <c r="G200" t="inlineStr">
        <is>
          <t>P3</t>
        </is>
      </c>
    </row>
    <row r="201">
      <c r="A201" t="inlineStr">
        <is>
          <t>Tween 65</t>
        </is>
      </c>
      <c r="B201" t="inlineStr">
        <is>
          <t>Surfactant</t>
        </is>
      </c>
      <c r="C201" t="inlineStr">
        <is>
          <t>cloud_point_C</t>
        </is>
      </c>
      <c r="D201" t="inlineStr">
        <is>
          <t>medium</t>
        </is>
      </c>
      <c r="E201" t="inlineStr">
        <is>
          <t>supplier technical data sheet at defined concentration</t>
        </is>
      </c>
      <c r="F201" t="inlineStr">
        <is>
          <t>prefer_experimental_or_supplier</t>
        </is>
      </c>
      <c r="G201" t="inlineStr">
        <is>
          <t>P3</t>
        </is>
      </c>
    </row>
    <row r="202">
      <c r="A202" t="inlineStr">
        <is>
          <t>Tween 65</t>
        </is>
      </c>
      <c r="B202" t="inlineStr">
        <is>
          <t>Surfactant</t>
        </is>
      </c>
      <c r="C202" t="inlineStr">
        <is>
          <t>Krafft_point_C</t>
        </is>
      </c>
      <c r="D202" t="inlineStr">
        <is>
          <t>medium</t>
        </is>
      </c>
      <c r="E202" t="inlineStr">
        <is>
          <t>surfactant handbook or temperature-solubility experiment</t>
        </is>
      </c>
      <c r="F202" t="inlineStr">
        <is>
          <t>prefer_experimental_or_supplier</t>
        </is>
      </c>
      <c r="G202" t="inlineStr">
        <is>
          <t>P3</t>
        </is>
      </c>
    </row>
    <row r="203">
      <c r="A203" t="inlineStr">
        <is>
          <t>Tween 65</t>
        </is>
      </c>
      <c r="B203" t="inlineStr">
        <is>
          <t>Surfactant</t>
        </is>
      </c>
      <c r="C203" t="inlineStr">
        <is>
          <t>pKa_if_relevant</t>
        </is>
      </c>
      <c r="D203" t="inlineStr">
        <is>
          <t>medium</t>
        </is>
      </c>
      <c r="E203" t="inlineStr">
        <is>
          <t>supplier CoA, pharmacopeial monograph, PubChem/LIPID MAPS, or targeted literature curation</t>
        </is>
      </c>
      <c r="F203" t="inlineStr">
        <is>
          <t>prefer_experimental_or_supplier</t>
        </is>
      </c>
      <c r="G203" t="inlineStr">
        <is>
          <t>P3</t>
        </is>
      </c>
    </row>
    <row r="204">
      <c r="A204" t="inlineStr">
        <is>
          <t>Tween 80</t>
        </is>
      </c>
      <c r="B204" t="inlineStr">
        <is>
          <t>Surfactant</t>
        </is>
      </c>
      <c r="C204" t="inlineStr">
        <is>
          <t>CMC_mM</t>
        </is>
      </c>
      <c r="D204" t="inlineStr">
        <is>
          <t>medium/high</t>
        </is>
      </c>
      <c r="E204" t="inlineStr">
        <is>
          <t>surfactant monograph or experimentally measured CMC under formulation ionic strength</t>
        </is>
      </c>
      <c r="F204" t="inlineStr">
        <is>
          <t>prefer_experimental_or_supplier</t>
        </is>
      </c>
      <c r="G204" t="inlineStr">
        <is>
          <t>P3</t>
        </is>
      </c>
    </row>
    <row r="205">
      <c r="A205" t="inlineStr">
        <is>
          <t>Tween 80</t>
        </is>
      </c>
      <c r="B205" t="inlineStr">
        <is>
          <t>Surfactant</t>
        </is>
      </c>
      <c r="C205" t="inlineStr">
        <is>
          <t>cloud_point_C</t>
        </is>
      </c>
      <c r="D205" t="inlineStr">
        <is>
          <t>medium</t>
        </is>
      </c>
      <c r="E205" t="inlineStr">
        <is>
          <t>supplier technical data sheet at defined concentration</t>
        </is>
      </c>
      <c r="F205" t="inlineStr">
        <is>
          <t>prefer_experimental_or_supplier</t>
        </is>
      </c>
      <c r="G205" t="inlineStr">
        <is>
          <t>P3</t>
        </is>
      </c>
    </row>
    <row r="206">
      <c r="A206" t="inlineStr">
        <is>
          <t>Tween 80</t>
        </is>
      </c>
      <c r="B206" t="inlineStr">
        <is>
          <t>Surfactant</t>
        </is>
      </c>
      <c r="C206" t="inlineStr">
        <is>
          <t>Krafft_point_C</t>
        </is>
      </c>
      <c r="D206" t="inlineStr">
        <is>
          <t>medium</t>
        </is>
      </c>
      <c r="E206" t="inlineStr">
        <is>
          <t>surfactant handbook or temperature-solubility experiment</t>
        </is>
      </c>
      <c r="F206" t="inlineStr">
        <is>
          <t>prefer_experimental_or_supplier</t>
        </is>
      </c>
      <c r="G206" t="inlineStr">
        <is>
          <t>P3</t>
        </is>
      </c>
    </row>
    <row r="207">
      <c r="A207" t="inlineStr">
        <is>
          <t>Tween 80</t>
        </is>
      </c>
      <c r="B207" t="inlineStr">
        <is>
          <t>Surfactant</t>
        </is>
      </c>
      <c r="C207" t="inlineStr">
        <is>
          <t>melting_point_C</t>
        </is>
      </c>
      <c r="D207" t="inlineStr">
        <is>
          <t>high</t>
        </is>
      </c>
      <c r="E207" t="inlineStr">
        <is>
          <t>supplier CoA, pharmacopeial monograph, PubChem/LIPID MAPS, or targeted literature curation</t>
        </is>
      </c>
      <c r="F207" t="inlineStr">
        <is>
          <t>prefer_experimental_or_supplier</t>
        </is>
      </c>
      <c r="G207" t="inlineStr">
        <is>
          <t>P3</t>
        </is>
      </c>
    </row>
    <row r="208">
      <c r="A208" t="inlineStr">
        <is>
          <t>Tween 80</t>
        </is>
      </c>
      <c r="B208" t="inlineStr">
        <is>
          <t>Surfactant</t>
        </is>
      </c>
      <c r="C208" t="inlineStr">
        <is>
          <t>pKa_if_relevant</t>
        </is>
      </c>
      <c r="D208" t="inlineStr">
        <is>
          <t>medium</t>
        </is>
      </c>
      <c r="E208" t="inlineStr">
        <is>
          <t>supplier CoA, pharmacopeial monograph, PubChem/LIPID MAPS, or targeted literature curation</t>
        </is>
      </c>
      <c r="F208" t="inlineStr">
        <is>
          <t>prefer_experimental_or_supplier</t>
        </is>
      </c>
      <c r="G208" t="inlineStr">
        <is>
          <t>P3</t>
        </is>
      </c>
    </row>
    <row r="209">
      <c r="A209" t="inlineStr">
        <is>
          <t>Tween 81</t>
        </is>
      </c>
      <c r="B209" t="inlineStr">
        <is>
          <t>Surfactant</t>
        </is>
      </c>
      <c r="C209" t="inlineStr">
        <is>
          <t>CMC_mM</t>
        </is>
      </c>
      <c r="D209" t="inlineStr">
        <is>
          <t>medium/high</t>
        </is>
      </c>
      <c r="E209" t="inlineStr">
        <is>
          <t>surfactant monograph or experimentally measured CMC under formulation ionic strength</t>
        </is>
      </c>
      <c r="F209" t="inlineStr">
        <is>
          <t>prefer_experimental_or_supplier</t>
        </is>
      </c>
      <c r="G209" t="inlineStr">
        <is>
          <t>P3</t>
        </is>
      </c>
    </row>
    <row r="210">
      <c r="A210" t="inlineStr">
        <is>
          <t>Tween 81</t>
        </is>
      </c>
      <c r="B210" t="inlineStr">
        <is>
          <t>Surfactant</t>
        </is>
      </c>
      <c r="C210" t="inlineStr">
        <is>
          <t>cloud_point_C</t>
        </is>
      </c>
      <c r="D210" t="inlineStr">
        <is>
          <t>medium</t>
        </is>
      </c>
      <c r="E210" t="inlineStr">
        <is>
          <t>supplier technical data sheet at defined concentration</t>
        </is>
      </c>
      <c r="F210" t="inlineStr">
        <is>
          <t>prefer_experimental_or_supplier</t>
        </is>
      </c>
      <c r="G210" t="inlineStr">
        <is>
          <t>P3</t>
        </is>
      </c>
    </row>
    <row r="211">
      <c r="A211" t="inlineStr">
        <is>
          <t>Tween 81</t>
        </is>
      </c>
      <c r="B211" t="inlineStr">
        <is>
          <t>Surfactant</t>
        </is>
      </c>
      <c r="C211" t="inlineStr">
        <is>
          <t>Krafft_point_C</t>
        </is>
      </c>
      <c r="D211" t="inlineStr">
        <is>
          <t>medium</t>
        </is>
      </c>
      <c r="E211" t="inlineStr">
        <is>
          <t>surfactant handbook or temperature-solubility experiment</t>
        </is>
      </c>
      <c r="F211" t="inlineStr">
        <is>
          <t>prefer_experimental_or_supplier</t>
        </is>
      </c>
      <c r="G211" t="inlineStr">
        <is>
          <t>P3</t>
        </is>
      </c>
    </row>
    <row r="212">
      <c r="A212" t="inlineStr">
        <is>
          <t>Tween 81</t>
        </is>
      </c>
      <c r="B212" t="inlineStr">
        <is>
          <t>Surfactant</t>
        </is>
      </c>
      <c r="C212" t="inlineStr">
        <is>
          <t>melting_point_C</t>
        </is>
      </c>
      <c r="D212" t="inlineStr">
        <is>
          <t>high</t>
        </is>
      </c>
      <c r="E212" t="inlineStr">
        <is>
          <t>supplier CoA, pharmacopeial monograph, PubChem/LIPID MAPS, or targeted literature curation</t>
        </is>
      </c>
      <c r="F212" t="inlineStr">
        <is>
          <t>prefer_experimental_or_supplier</t>
        </is>
      </c>
      <c r="G212" t="inlineStr">
        <is>
          <t>P3</t>
        </is>
      </c>
    </row>
    <row r="213">
      <c r="A213" t="inlineStr">
        <is>
          <t>Tween 81</t>
        </is>
      </c>
      <c r="B213" t="inlineStr">
        <is>
          <t>Surfactant</t>
        </is>
      </c>
      <c r="C213" t="inlineStr">
        <is>
          <t>pKa_if_relevant</t>
        </is>
      </c>
      <c r="D213" t="inlineStr">
        <is>
          <t>medium</t>
        </is>
      </c>
      <c r="E213" t="inlineStr">
        <is>
          <t>supplier CoA, pharmacopeial monograph, PubChem/LIPID MAPS, or targeted literature curation</t>
        </is>
      </c>
      <c r="F213" t="inlineStr">
        <is>
          <t>prefer_experimental_or_supplier</t>
        </is>
      </c>
      <c r="G213" t="inlineStr">
        <is>
          <t>P3</t>
        </is>
      </c>
    </row>
    <row r="214">
      <c r="A214" t="inlineStr">
        <is>
          <t>Tween 85</t>
        </is>
      </c>
      <c r="B214" t="inlineStr">
        <is>
          <t>Surfactant</t>
        </is>
      </c>
      <c r="C214" t="inlineStr">
        <is>
          <t>CMC_mM</t>
        </is>
      </c>
      <c r="D214" t="inlineStr">
        <is>
          <t>medium/high</t>
        </is>
      </c>
      <c r="E214" t="inlineStr">
        <is>
          <t>surfactant monograph or experimentally measured CMC under formulation ionic strength</t>
        </is>
      </c>
      <c r="F214" t="inlineStr">
        <is>
          <t>prefer_experimental_or_supplier</t>
        </is>
      </c>
      <c r="G214" t="inlineStr">
        <is>
          <t>P3</t>
        </is>
      </c>
    </row>
    <row r="215">
      <c r="A215" t="inlineStr">
        <is>
          <t>Tween 85</t>
        </is>
      </c>
      <c r="B215" t="inlineStr">
        <is>
          <t>Surfactant</t>
        </is>
      </c>
      <c r="C215" t="inlineStr">
        <is>
          <t>cloud_point_C</t>
        </is>
      </c>
      <c r="D215" t="inlineStr">
        <is>
          <t>medium</t>
        </is>
      </c>
      <c r="E215" t="inlineStr">
        <is>
          <t>supplier technical data sheet at defined concentration</t>
        </is>
      </c>
      <c r="F215" t="inlineStr">
        <is>
          <t>prefer_experimental_or_supplier</t>
        </is>
      </c>
      <c r="G215" t="inlineStr">
        <is>
          <t>P3</t>
        </is>
      </c>
    </row>
    <row r="216">
      <c r="A216" t="inlineStr">
        <is>
          <t>Tween 85</t>
        </is>
      </c>
      <c r="B216" t="inlineStr">
        <is>
          <t>Surfactant</t>
        </is>
      </c>
      <c r="C216" t="inlineStr">
        <is>
          <t>Krafft_point_C</t>
        </is>
      </c>
      <c r="D216" t="inlineStr">
        <is>
          <t>medium</t>
        </is>
      </c>
      <c r="E216" t="inlineStr">
        <is>
          <t>surfactant handbook or temperature-solubility experiment</t>
        </is>
      </c>
      <c r="F216" t="inlineStr">
        <is>
          <t>prefer_experimental_or_supplier</t>
        </is>
      </c>
      <c r="G216" t="inlineStr">
        <is>
          <t>P3</t>
        </is>
      </c>
    </row>
    <row r="217">
      <c r="A217" t="inlineStr">
        <is>
          <t>Tween 85</t>
        </is>
      </c>
      <c r="B217" t="inlineStr">
        <is>
          <t>Surfactant</t>
        </is>
      </c>
      <c r="C217" t="inlineStr">
        <is>
          <t>melting_point_C</t>
        </is>
      </c>
      <c r="D217" t="inlineStr">
        <is>
          <t>high</t>
        </is>
      </c>
      <c r="E217" t="inlineStr">
        <is>
          <t>supplier CoA, pharmacopeial monograph, PubChem/LIPID MAPS, or targeted literature curation</t>
        </is>
      </c>
      <c r="F217" t="inlineStr">
        <is>
          <t>prefer_experimental_or_supplier</t>
        </is>
      </c>
      <c r="G217" t="inlineStr">
        <is>
          <t>P3</t>
        </is>
      </c>
    </row>
    <row r="218">
      <c r="A218" t="inlineStr">
        <is>
          <t>Tween 85</t>
        </is>
      </c>
      <c r="B218" t="inlineStr">
        <is>
          <t>Surfactant</t>
        </is>
      </c>
      <c r="C218" t="inlineStr">
        <is>
          <t>pKa_if_relevant</t>
        </is>
      </c>
      <c r="D218" t="inlineStr">
        <is>
          <t>medium</t>
        </is>
      </c>
      <c r="E218" t="inlineStr">
        <is>
          <t>supplier CoA, pharmacopeial monograph, PubChem/LIPID MAPS, or targeted literature curation</t>
        </is>
      </c>
      <c r="F218" t="inlineStr">
        <is>
          <t>prefer_experimental_or_supplier</t>
        </is>
      </c>
      <c r="G218" t="inlineStr">
        <is>
          <t>P3</t>
        </is>
      </c>
    </row>
    <row r="219">
      <c r="A219" t="inlineStr">
        <is>
          <t>Brij 30</t>
        </is>
      </c>
      <c r="B219" t="inlineStr">
        <is>
          <t>Surfactant</t>
        </is>
      </c>
      <c r="C219" t="inlineStr">
        <is>
          <t>CMC_mM</t>
        </is>
      </c>
      <c r="D219" t="inlineStr">
        <is>
          <t>medium/high</t>
        </is>
      </c>
      <c r="E219" t="inlineStr">
        <is>
          <t>surfactant monograph or experimentally measured CMC under formulation ionic strength</t>
        </is>
      </c>
      <c r="F219" t="inlineStr">
        <is>
          <t>prefer_experimental_or_supplier</t>
        </is>
      </c>
      <c r="G219" t="inlineStr">
        <is>
          <t>P3</t>
        </is>
      </c>
    </row>
    <row r="220">
      <c r="A220" t="inlineStr">
        <is>
          <t>Brij 30</t>
        </is>
      </c>
      <c r="B220" t="inlineStr">
        <is>
          <t>Surfactant</t>
        </is>
      </c>
      <c r="C220" t="inlineStr">
        <is>
          <t>cloud_point_C</t>
        </is>
      </c>
      <c r="D220" t="inlineStr">
        <is>
          <t>medium</t>
        </is>
      </c>
      <c r="E220" t="inlineStr">
        <is>
          <t>supplier technical data sheet at defined concentration</t>
        </is>
      </c>
      <c r="F220" t="inlineStr">
        <is>
          <t>prefer_experimental_or_supplier</t>
        </is>
      </c>
      <c r="G220" t="inlineStr">
        <is>
          <t>P3</t>
        </is>
      </c>
    </row>
    <row r="221">
      <c r="A221" t="inlineStr">
        <is>
          <t>Brij 30</t>
        </is>
      </c>
      <c r="B221" t="inlineStr">
        <is>
          <t>Surfactant</t>
        </is>
      </c>
      <c r="C221" t="inlineStr">
        <is>
          <t>Krafft_point_C</t>
        </is>
      </c>
      <c r="D221" t="inlineStr">
        <is>
          <t>medium</t>
        </is>
      </c>
      <c r="E221" t="inlineStr">
        <is>
          <t>surfactant handbook or temperature-solubility experiment</t>
        </is>
      </c>
      <c r="F221" t="inlineStr">
        <is>
          <t>prefer_experimental_or_supplier</t>
        </is>
      </c>
      <c r="G221" t="inlineStr">
        <is>
          <t>P3</t>
        </is>
      </c>
    </row>
    <row r="222">
      <c r="A222" t="inlineStr">
        <is>
          <t>Brij 30</t>
        </is>
      </c>
      <c r="B222" t="inlineStr">
        <is>
          <t>Surfactant</t>
        </is>
      </c>
      <c r="C222" t="inlineStr">
        <is>
          <t>melting_point_C</t>
        </is>
      </c>
      <c r="D222" t="inlineStr">
        <is>
          <t>high</t>
        </is>
      </c>
      <c r="E222" t="inlineStr">
        <is>
          <t>supplier CoA, pharmacopeial monograph, PubChem/LIPID MAPS, or targeted literature curation</t>
        </is>
      </c>
      <c r="F222" t="inlineStr">
        <is>
          <t>prefer_experimental_or_supplier</t>
        </is>
      </c>
      <c r="G222" t="inlineStr">
        <is>
          <t>P3</t>
        </is>
      </c>
    </row>
    <row r="223">
      <c r="A223" t="inlineStr">
        <is>
          <t>Brij 30</t>
        </is>
      </c>
      <c r="B223" t="inlineStr">
        <is>
          <t>Surfactant</t>
        </is>
      </c>
      <c r="C223" t="inlineStr">
        <is>
          <t>pKa_if_relevant</t>
        </is>
      </c>
      <c r="D223" t="inlineStr">
        <is>
          <t>medium</t>
        </is>
      </c>
      <c r="E223" t="inlineStr">
        <is>
          <t>supplier CoA, pharmacopeial monograph, PubChem/LIPID MAPS, or targeted literature curation</t>
        </is>
      </c>
      <c r="F223" t="inlineStr">
        <is>
          <t>prefer_experimental_or_supplier</t>
        </is>
      </c>
      <c r="G223" t="inlineStr">
        <is>
          <t>P3</t>
        </is>
      </c>
    </row>
    <row r="224">
      <c r="A224" t="inlineStr">
        <is>
          <t>Brij 35</t>
        </is>
      </c>
      <c r="B224" t="inlineStr">
        <is>
          <t>Surfactant</t>
        </is>
      </c>
      <c r="C224" t="inlineStr">
        <is>
          <t>CMC_mM</t>
        </is>
      </c>
      <c r="D224" t="inlineStr">
        <is>
          <t>medium/high</t>
        </is>
      </c>
      <c r="E224" t="inlineStr">
        <is>
          <t>surfactant monograph or experimentally measured CMC under formulation ionic strength</t>
        </is>
      </c>
      <c r="F224" t="inlineStr">
        <is>
          <t>prefer_experimental_or_supplier</t>
        </is>
      </c>
      <c r="G224" t="inlineStr">
        <is>
          <t>P3</t>
        </is>
      </c>
    </row>
    <row r="225">
      <c r="A225" t="inlineStr">
        <is>
          <t>Brij 35</t>
        </is>
      </c>
      <c r="B225" t="inlineStr">
        <is>
          <t>Surfactant</t>
        </is>
      </c>
      <c r="C225" t="inlineStr">
        <is>
          <t>cloud_point_C</t>
        </is>
      </c>
      <c r="D225" t="inlineStr">
        <is>
          <t>medium</t>
        </is>
      </c>
      <c r="E225" t="inlineStr">
        <is>
          <t>supplier technical data sheet at defined concentration</t>
        </is>
      </c>
      <c r="F225" t="inlineStr">
        <is>
          <t>prefer_experimental_or_supplier</t>
        </is>
      </c>
      <c r="G225" t="inlineStr">
        <is>
          <t>P3</t>
        </is>
      </c>
    </row>
    <row r="226">
      <c r="A226" t="inlineStr">
        <is>
          <t>Brij 35</t>
        </is>
      </c>
      <c r="B226" t="inlineStr">
        <is>
          <t>Surfactant</t>
        </is>
      </c>
      <c r="C226" t="inlineStr">
        <is>
          <t>Krafft_point_C</t>
        </is>
      </c>
      <c r="D226" t="inlineStr">
        <is>
          <t>medium</t>
        </is>
      </c>
      <c r="E226" t="inlineStr">
        <is>
          <t>surfactant handbook or temperature-solubility experiment</t>
        </is>
      </c>
      <c r="F226" t="inlineStr">
        <is>
          <t>prefer_experimental_or_supplier</t>
        </is>
      </c>
      <c r="G226" t="inlineStr">
        <is>
          <t>P3</t>
        </is>
      </c>
    </row>
    <row r="227">
      <c r="A227" t="inlineStr">
        <is>
          <t>Brij 35</t>
        </is>
      </c>
      <c r="B227" t="inlineStr">
        <is>
          <t>Surfactant</t>
        </is>
      </c>
      <c r="C227" t="inlineStr">
        <is>
          <t>melting_point_C</t>
        </is>
      </c>
      <c r="D227" t="inlineStr">
        <is>
          <t>high</t>
        </is>
      </c>
      <c r="E227" t="inlineStr">
        <is>
          <t>supplier CoA, pharmacopeial monograph, PubChem/LIPID MAPS, or targeted literature curation</t>
        </is>
      </c>
      <c r="F227" t="inlineStr">
        <is>
          <t>prefer_experimental_or_supplier</t>
        </is>
      </c>
      <c r="G227" t="inlineStr">
        <is>
          <t>P3</t>
        </is>
      </c>
    </row>
    <row r="228">
      <c r="A228" t="inlineStr">
        <is>
          <t>Brij 35</t>
        </is>
      </c>
      <c r="B228" t="inlineStr">
        <is>
          <t>Surfactant</t>
        </is>
      </c>
      <c r="C228" t="inlineStr">
        <is>
          <t>pKa_if_relevant</t>
        </is>
      </c>
      <c r="D228" t="inlineStr">
        <is>
          <t>medium</t>
        </is>
      </c>
      <c r="E228" t="inlineStr">
        <is>
          <t>supplier CoA, pharmacopeial monograph, PubChem/LIPID MAPS, or targeted literature curation</t>
        </is>
      </c>
      <c r="F228" t="inlineStr">
        <is>
          <t>prefer_experimental_or_supplier</t>
        </is>
      </c>
      <c r="G228" t="inlineStr">
        <is>
          <t>P3</t>
        </is>
      </c>
    </row>
    <row r="229">
      <c r="A229" t="inlineStr">
        <is>
          <t>Brij 52</t>
        </is>
      </c>
      <c r="B229" t="inlineStr">
        <is>
          <t>Surfactant</t>
        </is>
      </c>
      <c r="C229" t="inlineStr">
        <is>
          <t>CMC_mM</t>
        </is>
      </c>
      <c r="D229" t="inlineStr">
        <is>
          <t>medium/high</t>
        </is>
      </c>
      <c r="E229" t="inlineStr">
        <is>
          <t>surfactant monograph or experimentally measured CMC under formulation ionic strength</t>
        </is>
      </c>
      <c r="F229" t="inlineStr">
        <is>
          <t>prefer_experimental_or_supplier</t>
        </is>
      </c>
      <c r="G229" t="inlineStr">
        <is>
          <t>P3</t>
        </is>
      </c>
    </row>
    <row r="230">
      <c r="A230" t="inlineStr">
        <is>
          <t>Brij 52</t>
        </is>
      </c>
      <c r="B230" t="inlineStr">
        <is>
          <t>Surfactant</t>
        </is>
      </c>
      <c r="C230" t="inlineStr">
        <is>
          <t>cloud_point_C</t>
        </is>
      </c>
      <c r="D230" t="inlineStr">
        <is>
          <t>medium</t>
        </is>
      </c>
      <c r="E230" t="inlineStr">
        <is>
          <t>supplier technical data sheet at defined concentration</t>
        </is>
      </c>
      <c r="F230" t="inlineStr">
        <is>
          <t>prefer_experimental_or_supplier</t>
        </is>
      </c>
      <c r="G230" t="inlineStr">
        <is>
          <t>P3</t>
        </is>
      </c>
    </row>
    <row r="231">
      <c r="A231" t="inlineStr">
        <is>
          <t>Brij 52</t>
        </is>
      </c>
      <c r="B231" t="inlineStr">
        <is>
          <t>Surfactant</t>
        </is>
      </c>
      <c r="C231" t="inlineStr">
        <is>
          <t>Krafft_point_C</t>
        </is>
      </c>
      <c r="D231" t="inlineStr">
        <is>
          <t>medium</t>
        </is>
      </c>
      <c r="E231" t="inlineStr">
        <is>
          <t>surfactant handbook or temperature-solubility experiment</t>
        </is>
      </c>
      <c r="F231" t="inlineStr">
        <is>
          <t>prefer_experimental_or_supplier</t>
        </is>
      </c>
      <c r="G231" t="inlineStr">
        <is>
          <t>P3</t>
        </is>
      </c>
    </row>
    <row r="232">
      <c r="A232" t="inlineStr">
        <is>
          <t>Brij 52</t>
        </is>
      </c>
      <c r="B232" t="inlineStr">
        <is>
          <t>Surfactant</t>
        </is>
      </c>
      <c r="C232" t="inlineStr">
        <is>
          <t>melting_point_C</t>
        </is>
      </c>
      <c r="D232" t="inlineStr">
        <is>
          <t>high</t>
        </is>
      </c>
      <c r="E232" t="inlineStr">
        <is>
          <t>supplier CoA, pharmacopeial monograph, PubChem/LIPID MAPS, or targeted literature curation</t>
        </is>
      </c>
      <c r="F232" t="inlineStr">
        <is>
          <t>prefer_experimental_or_supplier</t>
        </is>
      </c>
      <c r="G232" t="inlineStr">
        <is>
          <t>P3</t>
        </is>
      </c>
    </row>
    <row r="233">
      <c r="A233" t="inlineStr">
        <is>
          <t>Brij 52</t>
        </is>
      </c>
      <c r="B233" t="inlineStr">
        <is>
          <t>Surfactant</t>
        </is>
      </c>
      <c r="C233" t="inlineStr">
        <is>
          <t>pKa_if_relevant</t>
        </is>
      </c>
      <c r="D233" t="inlineStr">
        <is>
          <t>medium</t>
        </is>
      </c>
      <c r="E233" t="inlineStr">
        <is>
          <t>supplier CoA, pharmacopeial monograph, PubChem/LIPID MAPS, or targeted literature curation</t>
        </is>
      </c>
      <c r="F233" t="inlineStr">
        <is>
          <t>prefer_experimental_or_supplier</t>
        </is>
      </c>
      <c r="G233" t="inlineStr">
        <is>
          <t>P3</t>
        </is>
      </c>
    </row>
    <row r="234">
      <c r="A234" t="inlineStr">
        <is>
          <t>Brij 56</t>
        </is>
      </c>
      <c r="B234" t="inlineStr">
        <is>
          <t>Surfactant</t>
        </is>
      </c>
      <c r="C234" t="inlineStr">
        <is>
          <t>CMC_mM</t>
        </is>
      </c>
      <c r="D234" t="inlineStr">
        <is>
          <t>medium/high</t>
        </is>
      </c>
      <c r="E234" t="inlineStr">
        <is>
          <t>surfactant monograph or experimentally measured CMC under formulation ionic strength</t>
        </is>
      </c>
      <c r="F234" t="inlineStr">
        <is>
          <t>prefer_experimental_or_supplier</t>
        </is>
      </c>
      <c r="G234" t="inlineStr">
        <is>
          <t>P3</t>
        </is>
      </c>
    </row>
    <row r="235">
      <c r="A235" t="inlineStr">
        <is>
          <t>Brij 56</t>
        </is>
      </c>
      <c r="B235" t="inlineStr">
        <is>
          <t>Surfactant</t>
        </is>
      </c>
      <c r="C235" t="inlineStr">
        <is>
          <t>cloud_point_C</t>
        </is>
      </c>
      <c r="D235" t="inlineStr">
        <is>
          <t>medium</t>
        </is>
      </c>
      <c r="E235" t="inlineStr">
        <is>
          <t>supplier technical data sheet at defined concentration</t>
        </is>
      </c>
      <c r="F235" t="inlineStr">
        <is>
          <t>prefer_experimental_or_supplier</t>
        </is>
      </c>
      <c r="G235" t="inlineStr">
        <is>
          <t>P3</t>
        </is>
      </c>
    </row>
    <row r="236">
      <c r="A236" t="inlineStr">
        <is>
          <t>Brij 56</t>
        </is>
      </c>
      <c r="B236" t="inlineStr">
        <is>
          <t>Surfactant</t>
        </is>
      </c>
      <c r="C236" t="inlineStr">
        <is>
          <t>Krafft_point_C</t>
        </is>
      </c>
      <c r="D236" t="inlineStr">
        <is>
          <t>medium</t>
        </is>
      </c>
      <c r="E236" t="inlineStr">
        <is>
          <t>surfactant handbook or temperature-solubility experiment</t>
        </is>
      </c>
      <c r="F236" t="inlineStr">
        <is>
          <t>prefer_experimental_or_supplier</t>
        </is>
      </c>
      <c r="G236" t="inlineStr">
        <is>
          <t>P3</t>
        </is>
      </c>
    </row>
    <row r="237">
      <c r="A237" t="inlineStr">
        <is>
          <t>Brij 56</t>
        </is>
      </c>
      <c r="B237" t="inlineStr">
        <is>
          <t>Surfactant</t>
        </is>
      </c>
      <c r="C237" t="inlineStr">
        <is>
          <t>melting_point_C</t>
        </is>
      </c>
      <c r="D237" t="inlineStr">
        <is>
          <t>high</t>
        </is>
      </c>
      <c r="E237" t="inlineStr">
        <is>
          <t>supplier CoA, pharmacopeial monograph, PubChem/LIPID MAPS, or targeted literature curation</t>
        </is>
      </c>
      <c r="F237" t="inlineStr">
        <is>
          <t>prefer_experimental_or_supplier</t>
        </is>
      </c>
      <c r="G237" t="inlineStr">
        <is>
          <t>P3</t>
        </is>
      </c>
    </row>
    <row r="238">
      <c r="A238" t="inlineStr">
        <is>
          <t>Brij 56</t>
        </is>
      </c>
      <c r="B238" t="inlineStr">
        <is>
          <t>Surfactant</t>
        </is>
      </c>
      <c r="C238" t="inlineStr">
        <is>
          <t>pKa_if_relevant</t>
        </is>
      </c>
      <c r="D238" t="inlineStr">
        <is>
          <t>medium</t>
        </is>
      </c>
      <c r="E238" t="inlineStr">
        <is>
          <t>supplier CoA, pharmacopeial monograph, PubChem/LIPID MAPS, or targeted literature curation</t>
        </is>
      </c>
      <c r="F238" t="inlineStr">
        <is>
          <t>prefer_experimental_or_supplier</t>
        </is>
      </c>
      <c r="G238" t="inlineStr">
        <is>
          <t>P3</t>
        </is>
      </c>
    </row>
    <row r="239">
      <c r="A239" t="inlineStr">
        <is>
          <t>Brij 58</t>
        </is>
      </c>
      <c r="B239" t="inlineStr">
        <is>
          <t>Surfactant</t>
        </is>
      </c>
      <c r="C239" t="inlineStr">
        <is>
          <t>CMC_mM</t>
        </is>
      </c>
      <c r="D239" t="inlineStr">
        <is>
          <t>medium/high</t>
        </is>
      </c>
      <c r="E239" t="inlineStr">
        <is>
          <t>surfactant monograph or experimentally measured CMC under formulation ionic strength</t>
        </is>
      </c>
      <c r="F239" t="inlineStr">
        <is>
          <t>prefer_experimental_or_supplier</t>
        </is>
      </c>
      <c r="G239" t="inlineStr">
        <is>
          <t>P3</t>
        </is>
      </c>
    </row>
    <row r="240">
      <c r="A240" t="inlineStr">
        <is>
          <t>Brij 58</t>
        </is>
      </c>
      <c r="B240" t="inlineStr">
        <is>
          <t>Surfactant</t>
        </is>
      </c>
      <c r="C240" t="inlineStr">
        <is>
          <t>cloud_point_C</t>
        </is>
      </c>
      <c r="D240" t="inlineStr">
        <is>
          <t>medium</t>
        </is>
      </c>
      <c r="E240" t="inlineStr">
        <is>
          <t>supplier technical data sheet at defined concentration</t>
        </is>
      </c>
      <c r="F240" t="inlineStr">
        <is>
          <t>prefer_experimental_or_supplier</t>
        </is>
      </c>
      <c r="G240" t="inlineStr">
        <is>
          <t>P3</t>
        </is>
      </c>
    </row>
    <row r="241">
      <c r="A241" t="inlineStr">
        <is>
          <t>Brij 58</t>
        </is>
      </c>
      <c r="B241" t="inlineStr">
        <is>
          <t>Surfactant</t>
        </is>
      </c>
      <c r="C241" t="inlineStr">
        <is>
          <t>Krafft_point_C</t>
        </is>
      </c>
      <c r="D241" t="inlineStr">
        <is>
          <t>medium</t>
        </is>
      </c>
      <c r="E241" t="inlineStr">
        <is>
          <t>surfactant handbook or temperature-solubility experiment</t>
        </is>
      </c>
      <c r="F241" t="inlineStr">
        <is>
          <t>prefer_experimental_or_supplier</t>
        </is>
      </c>
      <c r="G241" t="inlineStr">
        <is>
          <t>P3</t>
        </is>
      </c>
    </row>
    <row r="242">
      <c r="A242" t="inlineStr">
        <is>
          <t>Brij 58</t>
        </is>
      </c>
      <c r="B242" t="inlineStr">
        <is>
          <t>Surfactant</t>
        </is>
      </c>
      <c r="C242" t="inlineStr">
        <is>
          <t>melting_point_C</t>
        </is>
      </c>
      <c r="D242" t="inlineStr">
        <is>
          <t>high</t>
        </is>
      </c>
      <c r="E242" t="inlineStr">
        <is>
          <t>supplier CoA, pharmacopeial monograph, PubChem/LIPID MAPS, or targeted literature curation</t>
        </is>
      </c>
      <c r="F242" t="inlineStr">
        <is>
          <t>prefer_experimental_or_supplier</t>
        </is>
      </c>
      <c r="G242" t="inlineStr">
        <is>
          <t>P3</t>
        </is>
      </c>
    </row>
    <row r="243">
      <c r="A243" t="inlineStr">
        <is>
          <t>Brij 58</t>
        </is>
      </c>
      <c r="B243" t="inlineStr">
        <is>
          <t>Surfactant</t>
        </is>
      </c>
      <c r="C243" t="inlineStr">
        <is>
          <t>pKa_if_relevant</t>
        </is>
      </c>
      <c r="D243" t="inlineStr">
        <is>
          <t>medium</t>
        </is>
      </c>
      <c r="E243" t="inlineStr">
        <is>
          <t>supplier CoA, pharmacopeial monograph, PubChem/LIPID MAPS, or targeted literature curation</t>
        </is>
      </c>
      <c r="F243" t="inlineStr">
        <is>
          <t>prefer_experimental_or_supplier</t>
        </is>
      </c>
      <c r="G243" t="inlineStr">
        <is>
          <t>P3</t>
        </is>
      </c>
    </row>
    <row r="244">
      <c r="A244" t="inlineStr">
        <is>
          <t>Brij 72</t>
        </is>
      </c>
      <c r="B244" t="inlineStr">
        <is>
          <t>Surfactant</t>
        </is>
      </c>
      <c r="C244" t="inlineStr">
        <is>
          <t>CMC_mM</t>
        </is>
      </c>
      <c r="D244" t="inlineStr">
        <is>
          <t>medium/high</t>
        </is>
      </c>
      <c r="E244" t="inlineStr">
        <is>
          <t>surfactant monograph or experimentally measured CMC under formulation ionic strength</t>
        </is>
      </c>
      <c r="F244" t="inlineStr">
        <is>
          <t>prefer_experimental_or_supplier</t>
        </is>
      </c>
      <c r="G244" t="inlineStr">
        <is>
          <t>P3</t>
        </is>
      </c>
    </row>
    <row r="245">
      <c r="A245" t="inlineStr">
        <is>
          <t>Brij 72</t>
        </is>
      </c>
      <c r="B245" t="inlineStr">
        <is>
          <t>Surfactant</t>
        </is>
      </c>
      <c r="C245" t="inlineStr">
        <is>
          <t>cloud_point_C</t>
        </is>
      </c>
      <c r="D245" t="inlineStr">
        <is>
          <t>medium</t>
        </is>
      </c>
      <c r="E245" t="inlineStr">
        <is>
          <t>supplier technical data sheet at defined concentration</t>
        </is>
      </c>
      <c r="F245" t="inlineStr">
        <is>
          <t>prefer_experimental_or_supplier</t>
        </is>
      </c>
      <c r="G245" t="inlineStr">
        <is>
          <t>P3</t>
        </is>
      </c>
    </row>
    <row r="246">
      <c r="A246" t="inlineStr">
        <is>
          <t>Brij 72</t>
        </is>
      </c>
      <c r="B246" t="inlineStr">
        <is>
          <t>Surfactant</t>
        </is>
      </c>
      <c r="C246" t="inlineStr">
        <is>
          <t>Krafft_point_C</t>
        </is>
      </c>
      <c r="D246" t="inlineStr">
        <is>
          <t>medium</t>
        </is>
      </c>
      <c r="E246" t="inlineStr">
        <is>
          <t>surfactant handbook or temperature-solubility experiment</t>
        </is>
      </c>
      <c r="F246" t="inlineStr">
        <is>
          <t>prefer_experimental_or_supplier</t>
        </is>
      </c>
      <c r="G246" t="inlineStr">
        <is>
          <t>P3</t>
        </is>
      </c>
    </row>
    <row r="247">
      <c r="A247" t="inlineStr">
        <is>
          <t>Brij 72</t>
        </is>
      </c>
      <c r="B247" t="inlineStr">
        <is>
          <t>Surfactant</t>
        </is>
      </c>
      <c r="C247" t="inlineStr">
        <is>
          <t>melting_point_C</t>
        </is>
      </c>
      <c r="D247" t="inlineStr">
        <is>
          <t>high</t>
        </is>
      </c>
      <c r="E247" t="inlineStr">
        <is>
          <t>supplier CoA, pharmacopeial monograph, PubChem/LIPID MAPS, or targeted literature curation</t>
        </is>
      </c>
      <c r="F247" t="inlineStr">
        <is>
          <t>prefer_experimental_or_supplier</t>
        </is>
      </c>
      <c r="G247" t="inlineStr">
        <is>
          <t>P3</t>
        </is>
      </c>
    </row>
    <row r="248">
      <c r="A248" t="inlineStr">
        <is>
          <t>Brij 72</t>
        </is>
      </c>
      <c r="B248" t="inlineStr">
        <is>
          <t>Surfactant</t>
        </is>
      </c>
      <c r="C248" t="inlineStr">
        <is>
          <t>pKa_if_relevant</t>
        </is>
      </c>
      <c r="D248" t="inlineStr">
        <is>
          <t>medium</t>
        </is>
      </c>
      <c r="E248" t="inlineStr">
        <is>
          <t>supplier CoA, pharmacopeial monograph, PubChem/LIPID MAPS, or targeted literature curation</t>
        </is>
      </c>
      <c r="F248" t="inlineStr">
        <is>
          <t>prefer_experimental_or_supplier</t>
        </is>
      </c>
      <c r="G248" t="inlineStr">
        <is>
          <t>P3</t>
        </is>
      </c>
    </row>
    <row r="249">
      <c r="A249" t="inlineStr">
        <is>
          <t>Brij 76</t>
        </is>
      </c>
      <c r="B249" t="inlineStr">
        <is>
          <t>Surfactant</t>
        </is>
      </c>
      <c r="C249" t="inlineStr">
        <is>
          <t>CMC_mM</t>
        </is>
      </c>
      <c r="D249" t="inlineStr">
        <is>
          <t>medium/high</t>
        </is>
      </c>
      <c r="E249" t="inlineStr">
        <is>
          <t>surfactant monograph or experimentally measured CMC under formulation ionic strength</t>
        </is>
      </c>
      <c r="F249" t="inlineStr">
        <is>
          <t>prefer_experimental_or_supplier</t>
        </is>
      </c>
      <c r="G249" t="inlineStr">
        <is>
          <t>P3</t>
        </is>
      </c>
    </row>
    <row r="250">
      <c r="A250" t="inlineStr">
        <is>
          <t>Brij 76</t>
        </is>
      </c>
      <c r="B250" t="inlineStr">
        <is>
          <t>Surfactant</t>
        </is>
      </c>
      <c r="C250" t="inlineStr">
        <is>
          <t>cloud_point_C</t>
        </is>
      </c>
      <c r="D250" t="inlineStr">
        <is>
          <t>medium</t>
        </is>
      </c>
      <c r="E250" t="inlineStr">
        <is>
          <t>supplier technical data sheet at defined concentration</t>
        </is>
      </c>
      <c r="F250" t="inlineStr">
        <is>
          <t>prefer_experimental_or_supplier</t>
        </is>
      </c>
      <c r="G250" t="inlineStr">
        <is>
          <t>P3</t>
        </is>
      </c>
    </row>
    <row r="251">
      <c r="A251" t="inlineStr">
        <is>
          <t>Brij 76</t>
        </is>
      </c>
      <c r="B251" t="inlineStr">
        <is>
          <t>Surfactant</t>
        </is>
      </c>
      <c r="C251" t="inlineStr">
        <is>
          <t>Krafft_point_C</t>
        </is>
      </c>
      <c r="D251" t="inlineStr">
        <is>
          <t>medium</t>
        </is>
      </c>
      <c r="E251" t="inlineStr">
        <is>
          <t>surfactant handbook or temperature-solubility experiment</t>
        </is>
      </c>
      <c r="F251" t="inlineStr">
        <is>
          <t>prefer_experimental_or_supplier</t>
        </is>
      </c>
      <c r="G251" t="inlineStr">
        <is>
          <t>P3</t>
        </is>
      </c>
    </row>
    <row r="252">
      <c r="A252" t="inlineStr">
        <is>
          <t>Brij 76</t>
        </is>
      </c>
      <c r="B252" t="inlineStr">
        <is>
          <t>Surfactant</t>
        </is>
      </c>
      <c r="C252" t="inlineStr">
        <is>
          <t>melting_point_C</t>
        </is>
      </c>
      <c r="D252" t="inlineStr">
        <is>
          <t>high</t>
        </is>
      </c>
      <c r="E252" t="inlineStr">
        <is>
          <t>supplier CoA, pharmacopeial monograph, PubChem/LIPID MAPS, or targeted literature curation</t>
        </is>
      </c>
      <c r="F252" t="inlineStr">
        <is>
          <t>prefer_experimental_or_supplier</t>
        </is>
      </c>
      <c r="G252" t="inlineStr">
        <is>
          <t>P3</t>
        </is>
      </c>
    </row>
    <row r="253">
      <c r="A253" t="inlineStr">
        <is>
          <t>Brij 76</t>
        </is>
      </c>
      <c r="B253" t="inlineStr">
        <is>
          <t>Surfactant</t>
        </is>
      </c>
      <c r="C253" t="inlineStr">
        <is>
          <t>pKa_if_relevant</t>
        </is>
      </c>
      <c r="D253" t="inlineStr">
        <is>
          <t>medium</t>
        </is>
      </c>
      <c r="E253" t="inlineStr">
        <is>
          <t>supplier CoA, pharmacopeial monograph, PubChem/LIPID MAPS, or targeted literature curation</t>
        </is>
      </c>
      <c r="F253" t="inlineStr">
        <is>
          <t>prefer_experimental_or_supplier</t>
        </is>
      </c>
      <c r="G253" t="inlineStr">
        <is>
          <t>P3</t>
        </is>
      </c>
    </row>
    <row r="254">
      <c r="A254" t="inlineStr">
        <is>
          <t>Brij 78</t>
        </is>
      </c>
      <c r="B254" t="inlineStr">
        <is>
          <t>Surfactant</t>
        </is>
      </c>
      <c r="C254" t="inlineStr">
        <is>
          <t>CMC_mM</t>
        </is>
      </c>
      <c r="D254" t="inlineStr">
        <is>
          <t>medium/high</t>
        </is>
      </c>
      <c r="E254" t="inlineStr">
        <is>
          <t>surfactant monograph or experimentally measured CMC under formulation ionic strength</t>
        </is>
      </c>
      <c r="F254" t="inlineStr">
        <is>
          <t>prefer_experimental_or_supplier</t>
        </is>
      </c>
      <c r="G254" t="inlineStr">
        <is>
          <t>P3</t>
        </is>
      </c>
    </row>
    <row r="255">
      <c r="A255" t="inlineStr">
        <is>
          <t>Brij 78</t>
        </is>
      </c>
      <c r="B255" t="inlineStr">
        <is>
          <t>Surfactant</t>
        </is>
      </c>
      <c r="C255" t="inlineStr">
        <is>
          <t>cloud_point_C</t>
        </is>
      </c>
      <c r="D255" t="inlineStr">
        <is>
          <t>medium</t>
        </is>
      </c>
      <c r="E255" t="inlineStr">
        <is>
          <t>supplier technical data sheet at defined concentration</t>
        </is>
      </c>
      <c r="F255" t="inlineStr">
        <is>
          <t>prefer_experimental_or_supplier</t>
        </is>
      </c>
      <c r="G255" t="inlineStr">
        <is>
          <t>P3</t>
        </is>
      </c>
    </row>
    <row r="256">
      <c r="A256" t="inlineStr">
        <is>
          <t>Brij 78</t>
        </is>
      </c>
      <c r="B256" t="inlineStr">
        <is>
          <t>Surfactant</t>
        </is>
      </c>
      <c r="C256" t="inlineStr">
        <is>
          <t>Krafft_point_C</t>
        </is>
      </c>
      <c r="D256" t="inlineStr">
        <is>
          <t>medium</t>
        </is>
      </c>
      <c r="E256" t="inlineStr">
        <is>
          <t>surfactant handbook or temperature-solubility experiment</t>
        </is>
      </c>
      <c r="F256" t="inlineStr">
        <is>
          <t>prefer_experimental_or_supplier</t>
        </is>
      </c>
      <c r="G256" t="inlineStr">
        <is>
          <t>P3</t>
        </is>
      </c>
    </row>
    <row r="257">
      <c r="A257" t="inlineStr">
        <is>
          <t>Brij 78</t>
        </is>
      </c>
      <c r="B257" t="inlineStr">
        <is>
          <t>Surfactant</t>
        </is>
      </c>
      <c r="C257" t="inlineStr">
        <is>
          <t>melting_point_C</t>
        </is>
      </c>
      <c r="D257" t="inlineStr">
        <is>
          <t>high</t>
        </is>
      </c>
      <c r="E257" t="inlineStr">
        <is>
          <t>supplier CoA, pharmacopeial monograph, PubChem/LIPID MAPS, or targeted literature curation</t>
        </is>
      </c>
      <c r="F257" t="inlineStr">
        <is>
          <t>prefer_experimental_or_supplier</t>
        </is>
      </c>
      <c r="G257" t="inlineStr">
        <is>
          <t>P3</t>
        </is>
      </c>
    </row>
    <row r="258">
      <c r="A258" t="inlineStr">
        <is>
          <t>Brij 78</t>
        </is>
      </c>
      <c r="B258" t="inlineStr">
        <is>
          <t>Surfactant</t>
        </is>
      </c>
      <c r="C258" t="inlineStr">
        <is>
          <t>pKa_if_relevant</t>
        </is>
      </c>
      <c r="D258" t="inlineStr">
        <is>
          <t>medium</t>
        </is>
      </c>
      <c r="E258" t="inlineStr">
        <is>
          <t>supplier CoA, pharmacopeial monograph, PubChem/LIPID MAPS, or targeted literature curation</t>
        </is>
      </c>
      <c r="F258" t="inlineStr">
        <is>
          <t>prefer_experimental_or_supplier</t>
        </is>
      </c>
      <c r="G258" t="inlineStr">
        <is>
          <t>P3</t>
        </is>
      </c>
    </row>
    <row r="259">
      <c r="A259" t="inlineStr">
        <is>
          <t>Brij 92</t>
        </is>
      </c>
      <c r="B259" t="inlineStr">
        <is>
          <t>Surfactant</t>
        </is>
      </c>
      <c r="C259" t="inlineStr">
        <is>
          <t>CMC_mM</t>
        </is>
      </c>
      <c r="D259" t="inlineStr">
        <is>
          <t>medium/high</t>
        </is>
      </c>
      <c r="E259" t="inlineStr">
        <is>
          <t>surfactant monograph or experimentally measured CMC under formulation ionic strength</t>
        </is>
      </c>
      <c r="F259" t="inlineStr">
        <is>
          <t>prefer_experimental_or_supplier</t>
        </is>
      </c>
      <c r="G259" t="inlineStr">
        <is>
          <t>P3</t>
        </is>
      </c>
    </row>
    <row r="260">
      <c r="A260" t="inlineStr">
        <is>
          <t>Brij 92</t>
        </is>
      </c>
      <c r="B260" t="inlineStr">
        <is>
          <t>Surfactant</t>
        </is>
      </c>
      <c r="C260" t="inlineStr">
        <is>
          <t>cloud_point_C</t>
        </is>
      </c>
      <c r="D260" t="inlineStr">
        <is>
          <t>medium</t>
        </is>
      </c>
      <c r="E260" t="inlineStr">
        <is>
          <t>supplier technical data sheet at defined concentration</t>
        </is>
      </c>
      <c r="F260" t="inlineStr">
        <is>
          <t>prefer_experimental_or_supplier</t>
        </is>
      </c>
      <c r="G260" t="inlineStr">
        <is>
          <t>P3</t>
        </is>
      </c>
    </row>
    <row r="261">
      <c r="A261" t="inlineStr">
        <is>
          <t>Brij 92</t>
        </is>
      </c>
      <c r="B261" t="inlineStr">
        <is>
          <t>Surfactant</t>
        </is>
      </c>
      <c r="C261" t="inlineStr">
        <is>
          <t>Krafft_point_C</t>
        </is>
      </c>
      <c r="D261" t="inlineStr">
        <is>
          <t>medium</t>
        </is>
      </c>
      <c r="E261" t="inlineStr">
        <is>
          <t>surfactant handbook or temperature-solubility experiment</t>
        </is>
      </c>
      <c r="F261" t="inlineStr">
        <is>
          <t>prefer_experimental_or_supplier</t>
        </is>
      </c>
      <c r="G261" t="inlineStr">
        <is>
          <t>P3</t>
        </is>
      </c>
    </row>
    <row r="262">
      <c r="A262" t="inlineStr">
        <is>
          <t>Brij 92</t>
        </is>
      </c>
      <c r="B262" t="inlineStr">
        <is>
          <t>Surfactant</t>
        </is>
      </c>
      <c r="C262" t="inlineStr">
        <is>
          <t>melting_point_C</t>
        </is>
      </c>
      <c r="D262" t="inlineStr">
        <is>
          <t>high</t>
        </is>
      </c>
      <c r="E262" t="inlineStr">
        <is>
          <t>supplier CoA, pharmacopeial monograph, PubChem/LIPID MAPS, or targeted literature curation</t>
        </is>
      </c>
      <c r="F262" t="inlineStr">
        <is>
          <t>prefer_experimental_or_supplier</t>
        </is>
      </c>
      <c r="G262" t="inlineStr">
        <is>
          <t>P3</t>
        </is>
      </c>
    </row>
    <row r="263">
      <c r="A263" t="inlineStr">
        <is>
          <t>Brij 92</t>
        </is>
      </c>
      <c r="B263" t="inlineStr">
        <is>
          <t>Surfactant</t>
        </is>
      </c>
      <c r="C263" t="inlineStr">
        <is>
          <t>pKa_if_relevant</t>
        </is>
      </c>
      <c r="D263" t="inlineStr">
        <is>
          <t>medium</t>
        </is>
      </c>
      <c r="E263" t="inlineStr">
        <is>
          <t>supplier CoA, pharmacopeial monograph, PubChem/LIPID MAPS, or targeted literature curation</t>
        </is>
      </c>
      <c r="F263" t="inlineStr">
        <is>
          <t>prefer_experimental_or_supplier</t>
        </is>
      </c>
      <c r="G263" t="inlineStr">
        <is>
          <t>P3</t>
        </is>
      </c>
    </row>
    <row r="264">
      <c r="A264" t="inlineStr">
        <is>
          <t>Brij 96</t>
        </is>
      </c>
      <c r="B264" t="inlineStr">
        <is>
          <t>Surfactant</t>
        </is>
      </c>
      <c r="C264" t="inlineStr">
        <is>
          <t>CMC_mM</t>
        </is>
      </c>
      <c r="D264" t="inlineStr">
        <is>
          <t>medium/high</t>
        </is>
      </c>
      <c r="E264" t="inlineStr">
        <is>
          <t>surfactant monograph or experimentally measured CMC under formulation ionic strength</t>
        </is>
      </c>
      <c r="F264" t="inlineStr">
        <is>
          <t>prefer_experimental_or_supplier</t>
        </is>
      </c>
      <c r="G264" t="inlineStr">
        <is>
          <t>P3</t>
        </is>
      </c>
    </row>
    <row r="265">
      <c r="A265" t="inlineStr">
        <is>
          <t>Brij 96</t>
        </is>
      </c>
      <c r="B265" t="inlineStr">
        <is>
          <t>Surfactant</t>
        </is>
      </c>
      <c r="C265" t="inlineStr">
        <is>
          <t>cloud_point_C</t>
        </is>
      </c>
      <c r="D265" t="inlineStr">
        <is>
          <t>medium</t>
        </is>
      </c>
      <c r="E265" t="inlineStr">
        <is>
          <t>supplier technical data sheet at defined concentration</t>
        </is>
      </c>
      <c r="F265" t="inlineStr">
        <is>
          <t>prefer_experimental_or_supplier</t>
        </is>
      </c>
      <c r="G265" t="inlineStr">
        <is>
          <t>P3</t>
        </is>
      </c>
    </row>
    <row r="266">
      <c r="A266" t="inlineStr">
        <is>
          <t>Brij 96</t>
        </is>
      </c>
      <c r="B266" t="inlineStr">
        <is>
          <t>Surfactant</t>
        </is>
      </c>
      <c r="C266" t="inlineStr">
        <is>
          <t>Krafft_point_C</t>
        </is>
      </c>
      <c r="D266" t="inlineStr">
        <is>
          <t>medium</t>
        </is>
      </c>
      <c r="E266" t="inlineStr">
        <is>
          <t>surfactant handbook or temperature-solubility experiment</t>
        </is>
      </c>
      <c r="F266" t="inlineStr">
        <is>
          <t>prefer_experimental_or_supplier</t>
        </is>
      </c>
      <c r="G266" t="inlineStr">
        <is>
          <t>P3</t>
        </is>
      </c>
    </row>
    <row r="267">
      <c r="A267" t="inlineStr">
        <is>
          <t>Brij 96</t>
        </is>
      </c>
      <c r="B267" t="inlineStr">
        <is>
          <t>Surfactant</t>
        </is>
      </c>
      <c r="C267" t="inlineStr">
        <is>
          <t>melting_point_C</t>
        </is>
      </c>
      <c r="D267" t="inlineStr">
        <is>
          <t>high</t>
        </is>
      </c>
      <c r="E267" t="inlineStr">
        <is>
          <t>supplier CoA, pharmacopeial monograph, PubChem/LIPID MAPS, or targeted literature curation</t>
        </is>
      </c>
      <c r="F267" t="inlineStr">
        <is>
          <t>prefer_experimental_or_supplier</t>
        </is>
      </c>
      <c r="G267" t="inlineStr">
        <is>
          <t>P3</t>
        </is>
      </c>
    </row>
    <row r="268">
      <c r="A268" t="inlineStr">
        <is>
          <t>Brij 96</t>
        </is>
      </c>
      <c r="B268" t="inlineStr">
        <is>
          <t>Surfactant</t>
        </is>
      </c>
      <c r="C268" t="inlineStr">
        <is>
          <t>pKa_if_relevant</t>
        </is>
      </c>
      <c r="D268" t="inlineStr">
        <is>
          <t>medium</t>
        </is>
      </c>
      <c r="E268" t="inlineStr">
        <is>
          <t>supplier CoA, pharmacopeial monograph, PubChem/LIPID MAPS, or targeted literature curation</t>
        </is>
      </c>
      <c r="F268" t="inlineStr">
        <is>
          <t>prefer_experimental_or_supplier</t>
        </is>
      </c>
      <c r="G268" t="inlineStr">
        <is>
          <t>P3</t>
        </is>
      </c>
    </row>
    <row r="269">
      <c r="A269" t="inlineStr">
        <is>
          <t>Brij 98</t>
        </is>
      </c>
      <c r="B269" t="inlineStr">
        <is>
          <t>Surfactant</t>
        </is>
      </c>
      <c r="C269" t="inlineStr">
        <is>
          <t>CMC_mM</t>
        </is>
      </c>
      <c r="D269" t="inlineStr">
        <is>
          <t>medium/high</t>
        </is>
      </c>
      <c r="E269" t="inlineStr">
        <is>
          <t>surfactant monograph or experimentally measured CMC under formulation ionic strength</t>
        </is>
      </c>
      <c r="F269" t="inlineStr">
        <is>
          <t>prefer_experimental_or_supplier</t>
        </is>
      </c>
      <c r="G269" t="inlineStr">
        <is>
          <t>P3</t>
        </is>
      </c>
    </row>
    <row r="270">
      <c r="A270" t="inlineStr">
        <is>
          <t>Brij 98</t>
        </is>
      </c>
      <c r="B270" t="inlineStr">
        <is>
          <t>Surfactant</t>
        </is>
      </c>
      <c r="C270" t="inlineStr">
        <is>
          <t>cloud_point_C</t>
        </is>
      </c>
      <c r="D270" t="inlineStr">
        <is>
          <t>medium</t>
        </is>
      </c>
      <c r="E270" t="inlineStr">
        <is>
          <t>supplier technical data sheet at defined concentration</t>
        </is>
      </c>
      <c r="F270" t="inlineStr">
        <is>
          <t>prefer_experimental_or_supplier</t>
        </is>
      </c>
      <c r="G270" t="inlineStr">
        <is>
          <t>P3</t>
        </is>
      </c>
    </row>
    <row r="271">
      <c r="A271" t="inlineStr">
        <is>
          <t>Brij 98</t>
        </is>
      </c>
      <c r="B271" t="inlineStr">
        <is>
          <t>Surfactant</t>
        </is>
      </c>
      <c r="C271" t="inlineStr">
        <is>
          <t>Krafft_point_C</t>
        </is>
      </c>
      <c r="D271" t="inlineStr">
        <is>
          <t>medium</t>
        </is>
      </c>
      <c r="E271" t="inlineStr">
        <is>
          <t>surfactant handbook or temperature-solubility experiment</t>
        </is>
      </c>
      <c r="F271" t="inlineStr">
        <is>
          <t>prefer_experimental_or_supplier</t>
        </is>
      </c>
      <c r="G271" t="inlineStr">
        <is>
          <t>P3</t>
        </is>
      </c>
    </row>
    <row r="272">
      <c r="A272" t="inlineStr">
        <is>
          <t>Brij 98</t>
        </is>
      </c>
      <c r="B272" t="inlineStr">
        <is>
          <t>Surfactant</t>
        </is>
      </c>
      <c r="C272" t="inlineStr">
        <is>
          <t>melting_point_C</t>
        </is>
      </c>
      <c r="D272" t="inlineStr">
        <is>
          <t>high</t>
        </is>
      </c>
      <c r="E272" t="inlineStr">
        <is>
          <t>supplier CoA, pharmacopeial monograph, PubChem/LIPID MAPS, or targeted literature curation</t>
        </is>
      </c>
      <c r="F272" t="inlineStr">
        <is>
          <t>prefer_experimental_or_supplier</t>
        </is>
      </c>
      <c r="G272" t="inlineStr">
        <is>
          <t>P3</t>
        </is>
      </c>
    </row>
    <row r="273">
      <c r="A273" t="inlineStr">
        <is>
          <t>Brij 98</t>
        </is>
      </c>
      <c r="B273" t="inlineStr">
        <is>
          <t>Surfactant</t>
        </is>
      </c>
      <c r="C273" t="inlineStr">
        <is>
          <t>pKa_if_relevant</t>
        </is>
      </c>
      <c r="D273" t="inlineStr">
        <is>
          <t>medium</t>
        </is>
      </c>
      <c r="E273" t="inlineStr">
        <is>
          <t>supplier CoA, pharmacopeial monograph, PubChem/LIPID MAPS, or targeted literature curation</t>
        </is>
      </c>
      <c r="F273" t="inlineStr">
        <is>
          <t>prefer_experimental_or_supplier</t>
        </is>
      </c>
      <c r="G273" t="inlineStr">
        <is>
          <t>P3</t>
        </is>
      </c>
    </row>
    <row r="274">
      <c r="A274" t="inlineStr">
        <is>
          <t>Myrj 45</t>
        </is>
      </c>
      <c r="B274" t="inlineStr">
        <is>
          <t>Surfactant</t>
        </is>
      </c>
      <c r="C274" t="inlineStr">
        <is>
          <t>CMC_mM</t>
        </is>
      </c>
      <c r="D274" t="inlineStr">
        <is>
          <t>medium/high</t>
        </is>
      </c>
      <c r="E274" t="inlineStr">
        <is>
          <t>surfactant monograph or experimentally measured CMC under formulation ionic strength</t>
        </is>
      </c>
      <c r="F274" t="inlineStr">
        <is>
          <t>prefer_experimental_or_supplier</t>
        </is>
      </c>
      <c r="G274" t="inlineStr">
        <is>
          <t>P3</t>
        </is>
      </c>
    </row>
    <row r="275">
      <c r="A275" t="inlineStr">
        <is>
          <t>Myrj 45</t>
        </is>
      </c>
      <c r="B275" t="inlineStr">
        <is>
          <t>Surfactant</t>
        </is>
      </c>
      <c r="C275" t="inlineStr">
        <is>
          <t>cloud_point_C</t>
        </is>
      </c>
      <c r="D275" t="inlineStr">
        <is>
          <t>medium</t>
        </is>
      </c>
      <c r="E275" t="inlineStr">
        <is>
          <t>supplier technical data sheet at defined concentration</t>
        </is>
      </c>
      <c r="F275" t="inlineStr">
        <is>
          <t>prefer_experimental_or_supplier</t>
        </is>
      </c>
      <c r="G275" t="inlineStr">
        <is>
          <t>P3</t>
        </is>
      </c>
    </row>
    <row r="276">
      <c r="A276" t="inlineStr">
        <is>
          <t>Myrj 45</t>
        </is>
      </c>
      <c r="B276" t="inlineStr">
        <is>
          <t>Surfactant</t>
        </is>
      </c>
      <c r="C276" t="inlineStr">
        <is>
          <t>Krafft_point_C</t>
        </is>
      </c>
      <c r="D276" t="inlineStr">
        <is>
          <t>medium</t>
        </is>
      </c>
      <c r="E276" t="inlineStr">
        <is>
          <t>surfactant handbook or temperature-solubility experiment</t>
        </is>
      </c>
      <c r="F276" t="inlineStr">
        <is>
          <t>prefer_experimental_or_supplier</t>
        </is>
      </c>
      <c r="G276" t="inlineStr">
        <is>
          <t>P3</t>
        </is>
      </c>
    </row>
    <row r="277">
      <c r="A277" t="inlineStr">
        <is>
          <t>Myrj 45</t>
        </is>
      </c>
      <c r="B277" t="inlineStr">
        <is>
          <t>Surfactant</t>
        </is>
      </c>
      <c r="C277" t="inlineStr">
        <is>
          <t>melting_point_C</t>
        </is>
      </c>
      <c r="D277" t="inlineStr">
        <is>
          <t>high</t>
        </is>
      </c>
      <c r="E277" t="inlineStr">
        <is>
          <t>supplier CoA, pharmacopeial monograph, PubChem/LIPID MAPS, or targeted literature curation</t>
        </is>
      </c>
      <c r="F277" t="inlineStr">
        <is>
          <t>prefer_experimental_or_supplier</t>
        </is>
      </c>
      <c r="G277" t="inlineStr">
        <is>
          <t>P3</t>
        </is>
      </c>
    </row>
    <row r="278">
      <c r="A278" t="inlineStr">
        <is>
          <t>Myrj 45</t>
        </is>
      </c>
      <c r="B278" t="inlineStr">
        <is>
          <t>Surfactant</t>
        </is>
      </c>
      <c r="C278" t="inlineStr">
        <is>
          <t>pKa_if_relevant</t>
        </is>
      </c>
      <c r="D278" t="inlineStr">
        <is>
          <t>medium</t>
        </is>
      </c>
      <c r="E278" t="inlineStr">
        <is>
          <t>supplier CoA, pharmacopeial monograph, PubChem/LIPID MAPS, or targeted literature curation</t>
        </is>
      </c>
      <c r="F278" t="inlineStr">
        <is>
          <t>prefer_experimental_or_supplier</t>
        </is>
      </c>
      <c r="G278" t="inlineStr">
        <is>
          <t>P3</t>
        </is>
      </c>
    </row>
    <row r="279">
      <c r="A279" t="inlineStr">
        <is>
          <t>Myrj 49</t>
        </is>
      </c>
      <c r="B279" t="inlineStr">
        <is>
          <t>Surfactant</t>
        </is>
      </c>
      <c r="C279" t="inlineStr">
        <is>
          <t>CMC_mM</t>
        </is>
      </c>
      <c r="D279" t="inlineStr">
        <is>
          <t>medium/high</t>
        </is>
      </c>
      <c r="E279" t="inlineStr">
        <is>
          <t>surfactant monograph or experimentally measured CMC under formulation ionic strength</t>
        </is>
      </c>
      <c r="F279" t="inlineStr">
        <is>
          <t>prefer_experimental_or_supplier</t>
        </is>
      </c>
      <c r="G279" t="inlineStr">
        <is>
          <t>P3</t>
        </is>
      </c>
    </row>
    <row r="280">
      <c r="A280" t="inlineStr">
        <is>
          <t>Myrj 49</t>
        </is>
      </c>
      <c r="B280" t="inlineStr">
        <is>
          <t>Surfactant</t>
        </is>
      </c>
      <c r="C280" t="inlineStr">
        <is>
          <t>cloud_point_C</t>
        </is>
      </c>
      <c r="D280" t="inlineStr">
        <is>
          <t>medium</t>
        </is>
      </c>
      <c r="E280" t="inlineStr">
        <is>
          <t>supplier technical data sheet at defined concentration</t>
        </is>
      </c>
      <c r="F280" t="inlineStr">
        <is>
          <t>prefer_experimental_or_supplier</t>
        </is>
      </c>
      <c r="G280" t="inlineStr">
        <is>
          <t>P3</t>
        </is>
      </c>
    </row>
    <row r="281">
      <c r="A281" t="inlineStr">
        <is>
          <t>Myrj 49</t>
        </is>
      </c>
      <c r="B281" t="inlineStr">
        <is>
          <t>Surfactant</t>
        </is>
      </c>
      <c r="C281" t="inlineStr">
        <is>
          <t>Krafft_point_C</t>
        </is>
      </c>
      <c r="D281" t="inlineStr">
        <is>
          <t>medium</t>
        </is>
      </c>
      <c r="E281" t="inlineStr">
        <is>
          <t>surfactant handbook or temperature-solubility experiment</t>
        </is>
      </c>
      <c r="F281" t="inlineStr">
        <is>
          <t>prefer_experimental_or_supplier</t>
        </is>
      </c>
      <c r="G281" t="inlineStr">
        <is>
          <t>P3</t>
        </is>
      </c>
    </row>
    <row r="282">
      <c r="A282" t="inlineStr">
        <is>
          <t>Myrj 49</t>
        </is>
      </c>
      <c r="B282" t="inlineStr">
        <is>
          <t>Surfactant</t>
        </is>
      </c>
      <c r="C282" t="inlineStr">
        <is>
          <t>melting_point_C</t>
        </is>
      </c>
      <c r="D282" t="inlineStr">
        <is>
          <t>high</t>
        </is>
      </c>
      <c r="E282" t="inlineStr">
        <is>
          <t>supplier CoA, pharmacopeial monograph, PubChem/LIPID MAPS, or targeted literature curation</t>
        </is>
      </c>
      <c r="F282" t="inlineStr">
        <is>
          <t>prefer_experimental_or_supplier</t>
        </is>
      </c>
      <c r="G282" t="inlineStr">
        <is>
          <t>P3</t>
        </is>
      </c>
    </row>
    <row r="283">
      <c r="A283" t="inlineStr">
        <is>
          <t>Myrj 49</t>
        </is>
      </c>
      <c r="B283" t="inlineStr">
        <is>
          <t>Surfactant</t>
        </is>
      </c>
      <c r="C283" t="inlineStr">
        <is>
          <t>pKa_if_relevant</t>
        </is>
      </c>
      <c r="D283" t="inlineStr">
        <is>
          <t>medium</t>
        </is>
      </c>
      <c r="E283" t="inlineStr">
        <is>
          <t>supplier CoA, pharmacopeial monograph, PubChem/LIPID MAPS, or targeted literature curation</t>
        </is>
      </c>
      <c r="F283" t="inlineStr">
        <is>
          <t>prefer_experimental_or_supplier</t>
        </is>
      </c>
      <c r="G283" t="inlineStr">
        <is>
          <t>P3</t>
        </is>
      </c>
    </row>
    <row r="284">
      <c r="A284" t="inlineStr">
        <is>
          <t>Myrj 52</t>
        </is>
      </c>
      <c r="B284" t="inlineStr">
        <is>
          <t>Surfactant</t>
        </is>
      </c>
      <c r="C284" t="inlineStr">
        <is>
          <t>CMC_mM</t>
        </is>
      </c>
      <c r="D284" t="inlineStr">
        <is>
          <t>medium/high</t>
        </is>
      </c>
      <c r="E284" t="inlineStr">
        <is>
          <t>surfactant monograph or experimentally measured CMC under formulation ionic strength</t>
        </is>
      </c>
      <c r="F284" t="inlineStr">
        <is>
          <t>prefer_experimental_or_supplier</t>
        </is>
      </c>
      <c r="G284" t="inlineStr">
        <is>
          <t>P3</t>
        </is>
      </c>
    </row>
    <row r="285">
      <c r="A285" t="inlineStr">
        <is>
          <t>Myrj 52</t>
        </is>
      </c>
      <c r="B285" t="inlineStr">
        <is>
          <t>Surfactant</t>
        </is>
      </c>
      <c r="C285" t="inlineStr">
        <is>
          <t>cloud_point_C</t>
        </is>
      </c>
      <c r="D285" t="inlineStr">
        <is>
          <t>medium</t>
        </is>
      </c>
      <c r="E285" t="inlineStr">
        <is>
          <t>supplier technical data sheet at defined concentration</t>
        </is>
      </c>
      <c r="F285" t="inlineStr">
        <is>
          <t>prefer_experimental_or_supplier</t>
        </is>
      </c>
      <c r="G285" t="inlineStr">
        <is>
          <t>P3</t>
        </is>
      </c>
    </row>
    <row r="286">
      <c r="A286" t="inlineStr">
        <is>
          <t>Myrj 52</t>
        </is>
      </c>
      <c r="B286" t="inlineStr">
        <is>
          <t>Surfactant</t>
        </is>
      </c>
      <c r="C286" t="inlineStr">
        <is>
          <t>Krafft_point_C</t>
        </is>
      </c>
      <c r="D286" t="inlineStr">
        <is>
          <t>medium</t>
        </is>
      </c>
      <c r="E286" t="inlineStr">
        <is>
          <t>surfactant handbook or temperature-solubility experiment</t>
        </is>
      </c>
      <c r="F286" t="inlineStr">
        <is>
          <t>prefer_experimental_or_supplier</t>
        </is>
      </c>
      <c r="G286" t="inlineStr">
        <is>
          <t>P3</t>
        </is>
      </c>
    </row>
    <row r="287">
      <c r="A287" t="inlineStr">
        <is>
          <t>Myrj 52</t>
        </is>
      </c>
      <c r="B287" t="inlineStr">
        <is>
          <t>Surfactant</t>
        </is>
      </c>
      <c r="C287" t="inlineStr">
        <is>
          <t>melting_point_C</t>
        </is>
      </c>
      <c r="D287" t="inlineStr">
        <is>
          <t>high</t>
        </is>
      </c>
      <c r="E287" t="inlineStr">
        <is>
          <t>supplier CoA, pharmacopeial monograph, PubChem/LIPID MAPS, or targeted literature curation</t>
        </is>
      </c>
      <c r="F287" t="inlineStr">
        <is>
          <t>prefer_experimental_or_supplier</t>
        </is>
      </c>
      <c r="G287" t="inlineStr">
        <is>
          <t>P3</t>
        </is>
      </c>
    </row>
    <row r="288">
      <c r="A288" t="inlineStr">
        <is>
          <t>Myrj 52</t>
        </is>
      </c>
      <c r="B288" t="inlineStr">
        <is>
          <t>Surfactant</t>
        </is>
      </c>
      <c r="C288" t="inlineStr">
        <is>
          <t>pKa_if_relevant</t>
        </is>
      </c>
      <c r="D288" t="inlineStr">
        <is>
          <t>medium</t>
        </is>
      </c>
      <c r="E288" t="inlineStr">
        <is>
          <t>supplier CoA, pharmacopeial monograph, PubChem/LIPID MAPS, or targeted literature curation</t>
        </is>
      </c>
      <c r="F288" t="inlineStr">
        <is>
          <t>prefer_experimental_or_supplier</t>
        </is>
      </c>
      <c r="G288" t="inlineStr">
        <is>
          <t>P3</t>
        </is>
      </c>
    </row>
    <row r="289">
      <c r="A289" t="inlineStr">
        <is>
          <t>Myrj 53</t>
        </is>
      </c>
      <c r="B289" t="inlineStr">
        <is>
          <t>Surfactant</t>
        </is>
      </c>
      <c r="C289" t="inlineStr">
        <is>
          <t>CMC_mM</t>
        </is>
      </c>
      <c r="D289" t="inlineStr">
        <is>
          <t>medium/high</t>
        </is>
      </c>
      <c r="E289" t="inlineStr">
        <is>
          <t>surfactant monograph or experimentally measured CMC under formulation ionic strength</t>
        </is>
      </c>
      <c r="F289" t="inlineStr">
        <is>
          <t>prefer_experimental_or_supplier</t>
        </is>
      </c>
      <c r="G289" t="inlineStr">
        <is>
          <t>P3</t>
        </is>
      </c>
    </row>
    <row r="290">
      <c r="A290" t="inlineStr">
        <is>
          <t>Myrj 53</t>
        </is>
      </c>
      <c r="B290" t="inlineStr">
        <is>
          <t>Surfactant</t>
        </is>
      </c>
      <c r="C290" t="inlineStr">
        <is>
          <t>cloud_point_C</t>
        </is>
      </c>
      <c r="D290" t="inlineStr">
        <is>
          <t>medium</t>
        </is>
      </c>
      <c r="E290" t="inlineStr">
        <is>
          <t>supplier technical data sheet at defined concentration</t>
        </is>
      </c>
      <c r="F290" t="inlineStr">
        <is>
          <t>prefer_experimental_or_supplier</t>
        </is>
      </c>
      <c r="G290" t="inlineStr">
        <is>
          <t>P3</t>
        </is>
      </c>
    </row>
    <row r="291">
      <c r="A291" t="inlineStr">
        <is>
          <t>Myrj 53</t>
        </is>
      </c>
      <c r="B291" t="inlineStr">
        <is>
          <t>Surfactant</t>
        </is>
      </c>
      <c r="C291" t="inlineStr">
        <is>
          <t>Krafft_point_C</t>
        </is>
      </c>
      <c r="D291" t="inlineStr">
        <is>
          <t>medium</t>
        </is>
      </c>
      <c r="E291" t="inlineStr">
        <is>
          <t>surfactant handbook or temperature-solubility experiment</t>
        </is>
      </c>
      <c r="F291" t="inlineStr">
        <is>
          <t>prefer_experimental_or_supplier</t>
        </is>
      </c>
      <c r="G291" t="inlineStr">
        <is>
          <t>P3</t>
        </is>
      </c>
    </row>
    <row r="292">
      <c r="A292" t="inlineStr">
        <is>
          <t>Myrj 53</t>
        </is>
      </c>
      <c r="B292" t="inlineStr">
        <is>
          <t>Surfactant</t>
        </is>
      </c>
      <c r="C292" t="inlineStr">
        <is>
          <t>melting_point_C</t>
        </is>
      </c>
      <c r="D292" t="inlineStr">
        <is>
          <t>high</t>
        </is>
      </c>
      <c r="E292" t="inlineStr">
        <is>
          <t>supplier CoA, pharmacopeial monograph, PubChem/LIPID MAPS, or targeted literature curation</t>
        </is>
      </c>
      <c r="F292" t="inlineStr">
        <is>
          <t>prefer_experimental_or_supplier</t>
        </is>
      </c>
      <c r="G292" t="inlineStr">
        <is>
          <t>P3</t>
        </is>
      </c>
    </row>
    <row r="293">
      <c r="A293" t="inlineStr">
        <is>
          <t>Myrj 53</t>
        </is>
      </c>
      <c r="B293" t="inlineStr">
        <is>
          <t>Surfactant</t>
        </is>
      </c>
      <c r="C293" t="inlineStr">
        <is>
          <t>pKa_if_relevant</t>
        </is>
      </c>
      <c r="D293" t="inlineStr">
        <is>
          <t>medium</t>
        </is>
      </c>
      <c r="E293" t="inlineStr">
        <is>
          <t>supplier CoA, pharmacopeial monograph, PubChem/LIPID MAPS, or targeted literature curation</t>
        </is>
      </c>
      <c r="F293" t="inlineStr">
        <is>
          <t>prefer_experimental_or_supplier</t>
        </is>
      </c>
      <c r="G293" t="inlineStr">
        <is>
          <t>P3</t>
        </is>
      </c>
    </row>
    <row r="294">
      <c r="A294" t="inlineStr">
        <is>
          <t>Myrj 59</t>
        </is>
      </c>
      <c r="B294" t="inlineStr">
        <is>
          <t>Surfactant</t>
        </is>
      </c>
      <c r="C294" t="inlineStr">
        <is>
          <t>CMC_mM</t>
        </is>
      </c>
      <c r="D294" t="inlineStr">
        <is>
          <t>medium/high</t>
        </is>
      </c>
      <c r="E294" t="inlineStr">
        <is>
          <t>surfactant monograph or experimentally measured CMC under formulation ionic strength</t>
        </is>
      </c>
      <c r="F294" t="inlineStr">
        <is>
          <t>prefer_experimental_or_supplier</t>
        </is>
      </c>
      <c r="G294" t="inlineStr">
        <is>
          <t>P3</t>
        </is>
      </c>
    </row>
    <row r="295">
      <c r="A295" t="inlineStr">
        <is>
          <t>Myrj 59</t>
        </is>
      </c>
      <c r="B295" t="inlineStr">
        <is>
          <t>Surfactant</t>
        </is>
      </c>
      <c r="C295" t="inlineStr">
        <is>
          <t>cloud_point_C</t>
        </is>
      </c>
      <c r="D295" t="inlineStr">
        <is>
          <t>medium</t>
        </is>
      </c>
      <c r="E295" t="inlineStr">
        <is>
          <t>supplier technical data sheet at defined concentration</t>
        </is>
      </c>
      <c r="F295" t="inlineStr">
        <is>
          <t>prefer_experimental_or_supplier</t>
        </is>
      </c>
      <c r="G295" t="inlineStr">
        <is>
          <t>P3</t>
        </is>
      </c>
    </row>
    <row r="296">
      <c r="A296" t="inlineStr">
        <is>
          <t>Myrj 59</t>
        </is>
      </c>
      <c r="B296" t="inlineStr">
        <is>
          <t>Surfactant</t>
        </is>
      </c>
      <c r="C296" t="inlineStr">
        <is>
          <t>Krafft_point_C</t>
        </is>
      </c>
      <c r="D296" t="inlineStr">
        <is>
          <t>medium</t>
        </is>
      </c>
      <c r="E296" t="inlineStr">
        <is>
          <t>surfactant handbook or temperature-solubility experiment</t>
        </is>
      </c>
      <c r="F296" t="inlineStr">
        <is>
          <t>prefer_experimental_or_supplier</t>
        </is>
      </c>
      <c r="G296" t="inlineStr">
        <is>
          <t>P3</t>
        </is>
      </c>
    </row>
    <row r="297">
      <c r="A297" t="inlineStr">
        <is>
          <t>Myrj 59</t>
        </is>
      </c>
      <c r="B297" t="inlineStr">
        <is>
          <t>Surfactant</t>
        </is>
      </c>
      <c r="C297" t="inlineStr">
        <is>
          <t>melting_point_C</t>
        </is>
      </c>
      <c r="D297" t="inlineStr">
        <is>
          <t>high</t>
        </is>
      </c>
      <c r="E297" t="inlineStr">
        <is>
          <t>supplier CoA, pharmacopeial monograph, PubChem/LIPID MAPS, or targeted literature curation</t>
        </is>
      </c>
      <c r="F297" t="inlineStr">
        <is>
          <t>prefer_experimental_or_supplier</t>
        </is>
      </c>
      <c r="G297" t="inlineStr">
        <is>
          <t>P3</t>
        </is>
      </c>
    </row>
    <row r="298">
      <c r="A298" t="inlineStr">
        <is>
          <t>Myrj 59</t>
        </is>
      </c>
      <c r="B298" t="inlineStr">
        <is>
          <t>Surfactant</t>
        </is>
      </c>
      <c r="C298" t="inlineStr">
        <is>
          <t>pKa_if_relevant</t>
        </is>
      </c>
      <c r="D298" t="inlineStr">
        <is>
          <t>medium</t>
        </is>
      </c>
      <c r="E298" t="inlineStr">
        <is>
          <t>supplier CoA, pharmacopeial monograph, PubChem/LIPID MAPS, or targeted literature curation</t>
        </is>
      </c>
      <c r="F298" t="inlineStr">
        <is>
          <t>prefer_experimental_or_supplier</t>
        </is>
      </c>
      <c r="G298" t="inlineStr">
        <is>
          <t>P3</t>
        </is>
      </c>
    </row>
    <row r="299">
      <c r="A299" t="inlineStr">
        <is>
          <t>Poloxamer 124</t>
        </is>
      </c>
      <c r="B299" t="inlineStr">
        <is>
          <t>Surfactant</t>
        </is>
      </c>
      <c r="C299" t="inlineStr">
        <is>
          <t>CMC_mM</t>
        </is>
      </c>
      <c r="D299" t="inlineStr">
        <is>
          <t>medium/high</t>
        </is>
      </c>
      <c r="E299" t="inlineStr">
        <is>
          <t>surfactant monograph or experimentally measured CMC under formulation ionic strength</t>
        </is>
      </c>
      <c r="F299" t="inlineStr">
        <is>
          <t>prefer_experimental_or_supplier</t>
        </is>
      </c>
      <c r="G299" t="inlineStr">
        <is>
          <t>P3</t>
        </is>
      </c>
    </row>
    <row r="300">
      <c r="A300" t="inlineStr">
        <is>
          <t>Poloxamer 124</t>
        </is>
      </c>
      <c r="B300" t="inlineStr">
        <is>
          <t>Surfactant</t>
        </is>
      </c>
      <c r="C300" t="inlineStr">
        <is>
          <t>cloud_point_C</t>
        </is>
      </c>
      <c r="D300" t="inlineStr">
        <is>
          <t>medium</t>
        </is>
      </c>
      <c r="E300" t="inlineStr">
        <is>
          <t>supplier technical data sheet at defined concentration</t>
        </is>
      </c>
      <c r="F300" t="inlineStr">
        <is>
          <t>prefer_experimental_or_supplier</t>
        </is>
      </c>
      <c r="G300" t="inlineStr">
        <is>
          <t>P3</t>
        </is>
      </c>
    </row>
    <row r="301">
      <c r="A301" t="inlineStr">
        <is>
          <t>Poloxamer 124</t>
        </is>
      </c>
      <c r="B301" t="inlineStr">
        <is>
          <t>Surfactant</t>
        </is>
      </c>
      <c r="C301" t="inlineStr">
        <is>
          <t>Krafft_point_C</t>
        </is>
      </c>
      <c r="D301" t="inlineStr">
        <is>
          <t>medium</t>
        </is>
      </c>
      <c r="E301" t="inlineStr">
        <is>
          <t>surfactant handbook or temperature-solubility experiment</t>
        </is>
      </c>
      <c r="F301" t="inlineStr">
        <is>
          <t>prefer_experimental_or_supplier</t>
        </is>
      </c>
      <c r="G301" t="inlineStr">
        <is>
          <t>P3</t>
        </is>
      </c>
    </row>
    <row r="302">
      <c r="A302" t="inlineStr">
        <is>
          <t>Poloxamer 124</t>
        </is>
      </c>
      <c r="B302" t="inlineStr">
        <is>
          <t>Surfactant</t>
        </is>
      </c>
      <c r="C302" t="inlineStr">
        <is>
          <t>melting_point_C</t>
        </is>
      </c>
      <c r="D302" t="inlineStr">
        <is>
          <t>high</t>
        </is>
      </c>
      <c r="E302" t="inlineStr">
        <is>
          <t>supplier CoA, pharmacopeial monograph, PubChem/LIPID MAPS, or targeted literature curation</t>
        </is>
      </c>
      <c r="F302" t="inlineStr">
        <is>
          <t>prefer_experimental_or_supplier</t>
        </is>
      </c>
      <c r="G302" t="inlineStr">
        <is>
          <t>P3</t>
        </is>
      </c>
    </row>
    <row r="303">
      <c r="A303" t="inlineStr">
        <is>
          <t>Poloxamer 124</t>
        </is>
      </c>
      <c r="B303" t="inlineStr">
        <is>
          <t>Surfactant</t>
        </is>
      </c>
      <c r="C303" t="inlineStr">
        <is>
          <t>pKa_if_relevant</t>
        </is>
      </c>
      <c r="D303" t="inlineStr">
        <is>
          <t>medium</t>
        </is>
      </c>
      <c r="E303" t="inlineStr">
        <is>
          <t>supplier CoA, pharmacopeial monograph, PubChem/LIPID MAPS, or targeted literature curation</t>
        </is>
      </c>
      <c r="F303" t="inlineStr">
        <is>
          <t>prefer_experimental_or_supplier</t>
        </is>
      </c>
      <c r="G303" t="inlineStr">
        <is>
          <t>P3</t>
        </is>
      </c>
    </row>
    <row r="304">
      <c r="A304" t="inlineStr">
        <is>
          <t>Poloxamer 188</t>
        </is>
      </c>
      <c r="B304" t="inlineStr">
        <is>
          <t>Surfactant</t>
        </is>
      </c>
      <c r="C304" t="inlineStr">
        <is>
          <t>CMC_mM</t>
        </is>
      </c>
      <c r="D304" t="inlineStr">
        <is>
          <t>medium/high</t>
        </is>
      </c>
      <c r="E304" t="inlineStr">
        <is>
          <t>surfactant monograph or experimentally measured CMC under formulation ionic strength</t>
        </is>
      </c>
      <c r="F304" t="inlineStr">
        <is>
          <t>prefer_experimental_or_supplier</t>
        </is>
      </c>
      <c r="G304" t="inlineStr">
        <is>
          <t>P3</t>
        </is>
      </c>
    </row>
    <row r="305">
      <c r="A305" t="inlineStr">
        <is>
          <t>Poloxamer 188</t>
        </is>
      </c>
      <c r="B305" t="inlineStr">
        <is>
          <t>Surfactant</t>
        </is>
      </c>
      <c r="C305" t="inlineStr">
        <is>
          <t>Krafft_point_C</t>
        </is>
      </c>
      <c r="D305" t="inlineStr">
        <is>
          <t>medium</t>
        </is>
      </c>
      <c r="E305" t="inlineStr">
        <is>
          <t>surfactant handbook or temperature-solubility experiment</t>
        </is>
      </c>
      <c r="F305" t="inlineStr">
        <is>
          <t>prefer_experimental_or_supplier</t>
        </is>
      </c>
      <c r="G305" t="inlineStr">
        <is>
          <t>P3</t>
        </is>
      </c>
    </row>
    <row r="306">
      <c r="A306" t="inlineStr">
        <is>
          <t>Poloxamer 188</t>
        </is>
      </c>
      <c r="B306" t="inlineStr">
        <is>
          <t>Surfactant</t>
        </is>
      </c>
      <c r="C306" t="inlineStr">
        <is>
          <t>melting_point_C</t>
        </is>
      </c>
      <c r="D306" t="inlineStr">
        <is>
          <t>high</t>
        </is>
      </c>
      <c r="E306" t="inlineStr">
        <is>
          <t>supplier CoA, pharmacopeial monograph, PubChem/LIPID MAPS, or targeted literature curation</t>
        </is>
      </c>
      <c r="F306" t="inlineStr">
        <is>
          <t>prefer_experimental_or_supplier</t>
        </is>
      </c>
      <c r="G306" t="inlineStr">
        <is>
          <t>P3</t>
        </is>
      </c>
    </row>
    <row r="307">
      <c r="A307" t="inlineStr">
        <is>
          <t>Poloxamer 188</t>
        </is>
      </c>
      <c r="B307" t="inlineStr">
        <is>
          <t>Surfactant</t>
        </is>
      </c>
      <c r="C307" t="inlineStr">
        <is>
          <t>pKa_if_relevant</t>
        </is>
      </c>
      <c r="D307" t="inlineStr">
        <is>
          <t>medium</t>
        </is>
      </c>
      <c r="E307" t="inlineStr">
        <is>
          <t>supplier CoA, pharmacopeial monograph, PubChem/LIPID MAPS, or targeted literature curation</t>
        </is>
      </c>
      <c r="F307" t="inlineStr">
        <is>
          <t>prefer_experimental_or_supplier</t>
        </is>
      </c>
      <c r="G307" t="inlineStr">
        <is>
          <t>P3</t>
        </is>
      </c>
    </row>
    <row r="308">
      <c r="A308" t="inlineStr">
        <is>
          <t>Poloxamer 237</t>
        </is>
      </c>
      <c r="B308" t="inlineStr">
        <is>
          <t>Surfactant</t>
        </is>
      </c>
      <c r="C308" t="inlineStr">
        <is>
          <t>CMC_mM</t>
        </is>
      </c>
      <c r="D308" t="inlineStr">
        <is>
          <t>medium/high</t>
        </is>
      </c>
      <c r="E308" t="inlineStr">
        <is>
          <t>surfactant monograph or experimentally measured CMC under formulation ionic strength</t>
        </is>
      </c>
      <c r="F308" t="inlineStr">
        <is>
          <t>prefer_experimental_or_supplier</t>
        </is>
      </c>
      <c r="G308" t="inlineStr">
        <is>
          <t>P3</t>
        </is>
      </c>
    </row>
    <row r="309">
      <c r="A309" t="inlineStr">
        <is>
          <t>Poloxamer 237</t>
        </is>
      </c>
      <c r="B309" t="inlineStr">
        <is>
          <t>Surfactant</t>
        </is>
      </c>
      <c r="C309" t="inlineStr">
        <is>
          <t>Krafft_point_C</t>
        </is>
      </c>
      <c r="D309" t="inlineStr">
        <is>
          <t>medium</t>
        </is>
      </c>
      <c r="E309" t="inlineStr">
        <is>
          <t>surfactant handbook or temperature-solubility experiment</t>
        </is>
      </c>
      <c r="F309" t="inlineStr">
        <is>
          <t>prefer_experimental_or_supplier</t>
        </is>
      </c>
      <c r="G309" t="inlineStr">
        <is>
          <t>P3</t>
        </is>
      </c>
    </row>
    <row r="310">
      <c r="A310" t="inlineStr">
        <is>
          <t>Poloxamer 237</t>
        </is>
      </c>
      <c r="B310" t="inlineStr">
        <is>
          <t>Surfactant</t>
        </is>
      </c>
      <c r="C310" t="inlineStr">
        <is>
          <t>melting_point_C</t>
        </is>
      </c>
      <c r="D310" t="inlineStr">
        <is>
          <t>high</t>
        </is>
      </c>
      <c r="E310" t="inlineStr">
        <is>
          <t>supplier CoA, pharmacopeial monograph, PubChem/LIPID MAPS, or targeted literature curation</t>
        </is>
      </c>
      <c r="F310" t="inlineStr">
        <is>
          <t>prefer_experimental_or_supplier</t>
        </is>
      </c>
      <c r="G310" t="inlineStr">
        <is>
          <t>P3</t>
        </is>
      </c>
    </row>
    <row r="311">
      <c r="A311" t="inlineStr">
        <is>
          <t>Poloxamer 237</t>
        </is>
      </c>
      <c r="B311" t="inlineStr">
        <is>
          <t>Surfactant</t>
        </is>
      </c>
      <c r="C311" t="inlineStr">
        <is>
          <t>pKa_if_relevant</t>
        </is>
      </c>
      <c r="D311" t="inlineStr">
        <is>
          <t>medium</t>
        </is>
      </c>
      <c r="E311" t="inlineStr">
        <is>
          <t>supplier CoA, pharmacopeial monograph, PubChem/LIPID MAPS, or targeted literature curation</t>
        </is>
      </c>
      <c r="F311" t="inlineStr">
        <is>
          <t>prefer_experimental_or_supplier</t>
        </is>
      </c>
      <c r="G311" t="inlineStr">
        <is>
          <t>P3</t>
        </is>
      </c>
    </row>
    <row r="312">
      <c r="A312" t="inlineStr">
        <is>
          <t>Poloxamer 338</t>
        </is>
      </c>
      <c r="B312" t="inlineStr">
        <is>
          <t>Surfactant</t>
        </is>
      </c>
      <c r="C312" t="inlineStr">
        <is>
          <t>CMC_mM</t>
        </is>
      </c>
      <c r="D312" t="inlineStr">
        <is>
          <t>medium/high</t>
        </is>
      </c>
      <c r="E312" t="inlineStr">
        <is>
          <t>surfactant monograph or experimentally measured CMC under formulation ionic strength</t>
        </is>
      </c>
      <c r="F312" t="inlineStr">
        <is>
          <t>prefer_experimental_or_supplier</t>
        </is>
      </c>
      <c r="G312" t="inlineStr">
        <is>
          <t>P3</t>
        </is>
      </c>
    </row>
    <row r="313">
      <c r="A313" t="inlineStr">
        <is>
          <t>Poloxamer 338</t>
        </is>
      </c>
      <c r="B313" t="inlineStr">
        <is>
          <t>Surfactant</t>
        </is>
      </c>
      <c r="C313" t="inlineStr">
        <is>
          <t>Krafft_point_C</t>
        </is>
      </c>
      <c r="D313" t="inlineStr">
        <is>
          <t>medium</t>
        </is>
      </c>
      <c r="E313" t="inlineStr">
        <is>
          <t>surfactant handbook or temperature-solubility experiment</t>
        </is>
      </c>
      <c r="F313" t="inlineStr">
        <is>
          <t>prefer_experimental_or_supplier</t>
        </is>
      </c>
      <c r="G313" t="inlineStr">
        <is>
          <t>P3</t>
        </is>
      </c>
    </row>
    <row r="314">
      <c r="A314" t="inlineStr">
        <is>
          <t>Poloxamer 338</t>
        </is>
      </c>
      <c r="B314" t="inlineStr">
        <is>
          <t>Surfactant</t>
        </is>
      </c>
      <c r="C314" t="inlineStr">
        <is>
          <t>melting_point_C</t>
        </is>
      </c>
      <c r="D314" t="inlineStr">
        <is>
          <t>high</t>
        </is>
      </c>
      <c r="E314" t="inlineStr">
        <is>
          <t>supplier CoA, pharmacopeial monograph, PubChem/LIPID MAPS, or targeted literature curation</t>
        </is>
      </c>
      <c r="F314" t="inlineStr">
        <is>
          <t>prefer_experimental_or_supplier</t>
        </is>
      </c>
      <c r="G314" t="inlineStr">
        <is>
          <t>P3</t>
        </is>
      </c>
    </row>
    <row r="315">
      <c r="A315" t="inlineStr">
        <is>
          <t>Poloxamer 338</t>
        </is>
      </c>
      <c r="B315" t="inlineStr">
        <is>
          <t>Surfactant</t>
        </is>
      </c>
      <c r="C315" t="inlineStr">
        <is>
          <t>pKa_if_relevant</t>
        </is>
      </c>
      <c r="D315" t="inlineStr">
        <is>
          <t>medium</t>
        </is>
      </c>
      <c r="E315" t="inlineStr">
        <is>
          <t>supplier CoA, pharmacopeial monograph, PubChem/LIPID MAPS, or targeted literature curation</t>
        </is>
      </c>
      <c r="F315" t="inlineStr">
        <is>
          <t>prefer_experimental_or_supplier</t>
        </is>
      </c>
      <c r="G315" t="inlineStr">
        <is>
          <t>P3</t>
        </is>
      </c>
    </row>
    <row r="316">
      <c r="A316" t="inlineStr">
        <is>
          <t>Poloxamer 407</t>
        </is>
      </c>
      <c r="B316" t="inlineStr">
        <is>
          <t>Surfactant</t>
        </is>
      </c>
      <c r="C316" t="inlineStr">
        <is>
          <t>CMC_mM</t>
        </is>
      </c>
      <c r="D316" t="inlineStr">
        <is>
          <t>medium/high</t>
        </is>
      </c>
      <c r="E316" t="inlineStr">
        <is>
          <t>surfactant monograph or experimentally measured CMC under formulation ionic strength</t>
        </is>
      </c>
      <c r="F316" t="inlineStr">
        <is>
          <t>prefer_experimental_or_supplier</t>
        </is>
      </c>
      <c r="G316" t="inlineStr">
        <is>
          <t>P3</t>
        </is>
      </c>
    </row>
    <row r="317">
      <c r="A317" t="inlineStr">
        <is>
          <t>Poloxamer 407</t>
        </is>
      </c>
      <c r="B317" t="inlineStr">
        <is>
          <t>Surfactant</t>
        </is>
      </c>
      <c r="C317" t="inlineStr">
        <is>
          <t>Krafft_point_C</t>
        </is>
      </c>
      <c r="D317" t="inlineStr">
        <is>
          <t>medium</t>
        </is>
      </c>
      <c r="E317" t="inlineStr">
        <is>
          <t>surfactant handbook or temperature-solubility experiment</t>
        </is>
      </c>
      <c r="F317" t="inlineStr">
        <is>
          <t>prefer_experimental_or_supplier</t>
        </is>
      </c>
      <c r="G317" t="inlineStr">
        <is>
          <t>P3</t>
        </is>
      </c>
    </row>
    <row r="318">
      <c r="A318" t="inlineStr">
        <is>
          <t>Poloxamer 407</t>
        </is>
      </c>
      <c r="B318" t="inlineStr">
        <is>
          <t>Surfactant</t>
        </is>
      </c>
      <c r="C318" t="inlineStr">
        <is>
          <t>melting_point_C</t>
        </is>
      </c>
      <c r="D318" t="inlineStr">
        <is>
          <t>high</t>
        </is>
      </c>
      <c r="E318" t="inlineStr">
        <is>
          <t>supplier CoA, pharmacopeial monograph, PubChem/LIPID MAPS, or targeted literature curation</t>
        </is>
      </c>
      <c r="F318" t="inlineStr">
        <is>
          <t>prefer_experimental_or_supplier</t>
        </is>
      </c>
      <c r="G318" t="inlineStr">
        <is>
          <t>P3</t>
        </is>
      </c>
    </row>
    <row r="319">
      <c r="A319" t="inlineStr">
        <is>
          <t>Poloxamer 407</t>
        </is>
      </c>
      <c r="B319" t="inlineStr">
        <is>
          <t>Surfactant</t>
        </is>
      </c>
      <c r="C319" t="inlineStr">
        <is>
          <t>pKa_if_relevant</t>
        </is>
      </c>
      <c r="D319" t="inlineStr">
        <is>
          <t>medium</t>
        </is>
      </c>
      <c r="E319" t="inlineStr">
        <is>
          <t>supplier CoA, pharmacopeial monograph, PubChem/LIPID MAPS, or targeted literature curation</t>
        </is>
      </c>
      <c r="F319" t="inlineStr">
        <is>
          <t>prefer_experimental_or_supplier</t>
        </is>
      </c>
      <c r="G319" t="inlineStr">
        <is>
          <t>P3</t>
        </is>
      </c>
    </row>
    <row r="320">
      <c r="A320" t="inlineStr">
        <is>
          <t>Poloxamer P85</t>
        </is>
      </c>
      <c r="B320" t="inlineStr">
        <is>
          <t>Surfactant</t>
        </is>
      </c>
      <c r="C320" t="inlineStr">
        <is>
          <t>CMC_mM</t>
        </is>
      </c>
      <c r="D320" t="inlineStr">
        <is>
          <t>medium/high</t>
        </is>
      </c>
      <c r="E320" t="inlineStr">
        <is>
          <t>surfactant monograph or experimentally measured CMC under formulation ionic strength</t>
        </is>
      </c>
      <c r="F320" t="inlineStr">
        <is>
          <t>prefer_experimental_or_supplier</t>
        </is>
      </c>
      <c r="G320" t="inlineStr">
        <is>
          <t>P3</t>
        </is>
      </c>
    </row>
    <row r="321">
      <c r="A321" t="inlineStr">
        <is>
          <t>Poloxamer P85</t>
        </is>
      </c>
      <c r="B321" t="inlineStr">
        <is>
          <t>Surfactant</t>
        </is>
      </c>
      <c r="C321" t="inlineStr">
        <is>
          <t>cloud_point_C</t>
        </is>
      </c>
      <c r="D321" t="inlineStr">
        <is>
          <t>medium</t>
        </is>
      </c>
      <c r="E321" t="inlineStr">
        <is>
          <t>supplier technical data sheet at defined concentration</t>
        </is>
      </c>
      <c r="F321" t="inlineStr">
        <is>
          <t>prefer_experimental_or_supplier</t>
        </is>
      </c>
      <c r="G321" t="inlineStr">
        <is>
          <t>P3</t>
        </is>
      </c>
    </row>
    <row r="322">
      <c r="A322" t="inlineStr">
        <is>
          <t>Poloxamer P85</t>
        </is>
      </c>
      <c r="B322" t="inlineStr">
        <is>
          <t>Surfactant</t>
        </is>
      </c>
      <c r="C322" t="inlineStr">
        <is>
          <t>Krafft_point_C</t>
        </is>
      </c>
      <c r="D322" t="inlineStr">
        <is>
          <t>medium</t>
        </is>
      </c>
      <c r="E322" t="inlineStr">
        <is>
          <t>surfactant handbook or temperature-solubility experiment</t>
        </is>
      </c>
      <c r="F322" t="inlineStr">
        <is>
          <t>prefer_experimental_or_supplier</t>
        </is>
      </c>
      <c r="G322" t="inlineStr">
        <is>
          <t>P3</t>
        </is>
      </c>
    </row>
    <row r="323">
      <c r="A323" t="inlineStr">
        <is>
          <t>Poloxamer P85</t>
        </is>
      </c>
      <c r="B323" t="inlineStr">
        <is>
          <t>Surfactant</t>
        </is>
      </c>
      <c r="C323" t="inlineStr">
        <is>
          <t>melting_point_C</t>
        </is>
      </c>
      <c r="D323" t="inlineStr">
        <is>
          <t>high</t>
        </is>
      </c>
      <c r="E323" t="inlineStr">
        <is>
          <t>supplier CoA, pharmacopeial monograph, PubChem/LIPID MAPS, or targeted literature curation</t>
        </is>
      </c>
      <c r="F323" t="inlineStr">
        <is>
          <t>prefer_experimental_or_supplier</t>
        </is>
      </c>
      <c r="G323" t="inlineStr">
        <is>
          <t>P3</t>
        </is>
      </c>
    </row>
    <row r="324">
      <c r="A324" t="inlineStr">
        <is>
          <t>Poloxamer P85</t>
        </is>
      </c>
      <c r="B324" t="inlineStr">
        <is>
          <t>Surfactant</t>
        </is>
      </c>
      <c r="C324" t="inlineStr">
        <is>
          <t>pKa_if_relevant</t>
        </is>
      </c>
      <c r="D324" t="inlineStr">
        <is>
          <t>medium</t>
        </is>
      </c>
      <c r="E324" t="inlineStr">
        <is>
          <t>supplier CoA, pharmacopeial monograph, PubChem/LIPID MAPS, or targeted literature curation</t>
        </is>
      </c>
      <c r="F324" t="inlineStr">
        <is>
          <t>prefer_experimental_or_supplier</t>
        </is>
      </c>
      <c r="G324" t="inlineStr">
        <is>
          <t>P3</t>
        </is>
      </c>
    </row>
    <row r="325">
      <c r="A325" t="inlineStr">
        <is>
          <t>Poloxamer L64</t>
        </is>
      </c>
      <c r="B325" t="inlineStr">
        <is>
          <t>Surfactant</t>
        </is>
      </c>
      <c r="C325" t="inlineStr">
        <is>
          <t>CMC_mM</t>
        </is>
      </c>
      <c r="D325" t="inlineStr">
        <is>
          <t>medium/high</t>
        </is>
      </c>
      <c r="E325" t="inlineStr">
        <is>
          <t>surfactant monograph or experimentally measured CMC under formulation ionic strength</t>
        </is>
      </c>
      <c r="F325" t="inlineStr">
        <is>
          <t>prefer_experimental_or_supplier</t>
        </is>
      </c>
      <c r="G325" t="inlineStr">
        <is>
          <t>P3</t>
        </is>
      </c>
    </row>
    <row r="326">
      <c r="A326" t="inlineStr">
        <is>
          <t>Poloxamer L64</t>
        </is>
      </c>
      <c r="B326" t="inlineStr">
        <is>
          <t>Surfactant</t>
        </is>
      </c>
      <c r="C326" t="inlineStr">
        <is>
          <t>cloud_point_C</t>
        </is>
      </c>
      <c r="D326" t="inlineStr">
        <is>
          <t>medium</t>
        </is>
      </c>
      <c r="E326" t="inlineStr">
        <is>
          <t>supplier technical data sheet at defined concentration</t>
        </is>
      </c>
      <c r="F326" t="inlineStr">
        <is>
          <t>prefer_experimental_or_supplier</t>
        </is>
      </c>
      <c r="G326" t="inlineStr">
        <is>
          <t>P3</t>
        </is>
      </c>
    </row>
    <row r="327">
      <c r="A327" t="inlineStr">
        <is>
          <t>Poloxamer L64</t>
        </is>
      </c>
      <c r="B327" t="inlineStr">
        <is>
          <t>Surfactant</t>
        </is>
      </c>
      <c r="C327" t="inlineStr">
        <is>
          <t>Krafft_point_C</t>
        </is>
      </c>
      <c r="D327" t="inlineStr">
        <is>
          <t>medium</t>
        </is>
      </c>
      <c r="E327" t="inlineStr">
        <is>
          <t>surfactant handbook or temperature-solubility experiment</t>
        </is>
      </c>
      <c r="F327" t="inlineStr">
        <is>
          <t>prefer_experimental_or_supplier</t>
        </is>
      </c>
      <c r="G327" t="inlineStr">
        <is>
          <t>P3</t>
        </is>
      </c>
    </row>
    <row r="328">
      <c r="A328" t="inlineStr">
        <is>
          <t>Poloxamer L64</t>
        </is>
      </c>
      <c r="B328" t="inlineStr">
        <is>
          <t>Surfactant</t>
        </is>
      </c>
      <c r="C328" t="inlineStr">
        <is>
          <t>melting_point_C</t>
        </is>
      </c>
      <c r="D328" t="inlineStr">
        <is>
          <t>high</t>
        </is>
      </c>
      <c r="E328" t="inlineStr">
        <is>
          <t>supplier CoA, pharmacopeial monograph, PubChem/LIPID MAPS, or targeted literature curation</t>
        </is>
      </c>
      <c r="F328" t="inlineStr">
        <is>
          <t>prefer_experimental_or_supplier</t>
        </is>
      </c>
      <c r="G328" t="inlineStr">
        <is>
          <t>P3</t>
        </is>
      </c>
    </row>
    <row r="329">
      <c r="A329" t="inlineStr">
        <is>
          <t>Poloxamer L64</t>
        </is>
      </c>
      <c r="B329" t="inlineStr">
        <is>
          <t>Surfactant</t>
        </is>
      </c>
      <c r="C329" t="inlineStr">
        <is>
          <t>pKa_if_relevant</t>
        </is>
      </c>
      <c r="D329" t="inlineStr">
        <is>
          <t>medium</t>
        </is>
      </c>
      <c r="E329" t="inlineStr">
        <is>
          <t>supplier CoA, pharmacopeial monograph, PubChem/LIPID MAPS, or targeted literature curation</t>
        </is>
      </c>
      <c r="F329" t="inlineStr">
        <is>
          <t>prefer_experimental_or_supplier</t>
        </is>
      </c>
      <c r="G329" t="inlineStr">
        <is>
          <t>P3</t>
        </is>
      </c>
    </row>
    <row r="330">
      <c r="A330" t="inlineStr">
        <is>
          <t>Kolliphor P188</t>
        </is>
      </c>
      <c r="B330" t="inlineStr">
        <is>
          <t>Surfactant</t>
        </is>
      </c>
      <c r="C330" t="inlineStr">
        <is>
          <t>CMC_mM</t>
        </is>
      </c>
      <c r="D330" t="inlineStr">
        <is>
          <t>medium/high</t>
        </is>
      </c>
      <c r="E330" t="inlineStr">
        <is>
          <t>surfactant monograph or experimentally measured CMC under formulation ionic strength</t>
        </is>
      </c>
      <c r="F330" t="inlineStr">
        <is>
          <t>prefer_experimental_or_supplier</t>
        </is>
      </c>
      <c r="G330" t="inlineStr">
        <is>
          <t>P3</t>
        </is>
      </c>
    </row>
    <row r="331">
      <c r="A331" t="inlineStr">
        <is>
          <t>Kolliphor P188</t>
        </is>
      </c>
      <c r="B331" t="inlineStr">
        <is>
          <t>Surfactant</t>
        </is>
      </c>
      <c r="C331" t="inlineStr">
        <is>
          <t>Krafft_point_C</t>
        </is>
      </c>
      <c r="D331" t="inlineStr">
        <is>
          <t>medium</t>
        </is>
      </c>
      <c r="E331" t="inlineStr">
        <is>
          <t>surfactant handbook or temperature-solubility experiment</t>
        </is>
      </c>
      <c r="F331" t="inlineStr">
        <is>
          <t>prefer_experimental_or_supplier</t>
        </is>
      </c>
      <c r="G331" t="inlineStr">
        <is>
          <t>P3</t>
        </is>
      </c>
    </row>
    <row r="332">
      <c r="A332" t="inlineStr">
        <is>
          <t>Kolliphor P188</t>
        </is>
      </c>
      <c r="B332" t="inlineStr">
        <is>
          <t>Surfactant</t>
        </is>
      </c>
      <c r="C332" t="inlineStr">
        <is>
          <t>melting_point_C</t>
        </is>
      </c>
      <c r="D332" t="inlineStr">
        <is>
          <t>high</t>
        </is>
      </c>
      <c r="E332" t="inlineStr">
        <is>
          <t>supplier CoA, pharmacopeial monograph, PubChem/LIPID MAPS, or targeted literature curation</t>
        </is>
      </c>
      <c r="F332" t="inlineStr">
        <is>
          <t>prefer_experimental_or_supplier</t>
        </is>
      </c>
      <c r="G332" t="inlineStr">
        <is>
          <t>P3</t>
        </is>
      </c>
    </row>
    <row r="333">
      <c r="A333" t="inlineStr">
        <is>
          <t>Kolliphor P188</t>
        </is>
      </c>
      <c r="B333" t="inlineStr">
        <is>
          <t>Surfactant</t>
        </is>
      </c>
      <c r="C333" t="inlineStr">
        <is>
          <t>pKa_if_relevant</t>
        </is>
      </c>
      <c r="D333" t="inlineStr">
        <is>
          <t>medium</t>
        </is>
      </c>
      <c r="E333" t="inlineStr">
        <is>
          <t>supplier CoA, pharmacopeial monograph, PubChem/LIPID MAPS, or targeted literature curation</t>
        </is>
      </c>
      <c r="F333" t="inlineStr">
        <is>
          <t>prefer_experimental_or_supplier</t>
        </is>
      </c>
      <c r="G333" t="inlineStr">
        <is>
          <t>P3</t>
        </is>
      </c>
    </row>
    <row r="334">
      <c r="A334" t="inlineStr">
        <is>
          <t>Kolliphor P407</t>
        </is>
      </c>
      <c r="B334" t="inlineStr">
        <is>
          <t>Surfactant</t>
        </is>
      </c>
      <c r="C334" t="inlineStr">
        <is>
          <t>CMC_mM</t>
        </is>
      </c>
      <c r="D334" t="inlineStr">
        <is>
          <t>medium/high</t>
        </is>
      </c>
      <c r="E334" t="inlineStr">
        <is>
          <t>surfactant monograph or experimentally measured CMC under formulation ionic strength</t>
        </is>
      </c>
      <c r="F334" t="inlineStr">
        <is>
          <t>prefer_experimental_or_supplier</t>
        </is>
      </c>
      <c r="G334" t="inlineStr">
        <is>
          <t>P3</t>
        </is>
      </c>
    </row>
    <row r="335">
      <c r="A335" t="inlineStr">
        <is>
          <t>Kolliphor P407</t>
        </is>
      </c>
      <c r="B335" t="inlineStr">
        <is>
          <t>Surfactant</t>
        </is>
      </c>
      <c r="C335" t="inlineStr">
        <is>
          <t>Krafft_point_C</t>
        </is>
      </c>
      <c r="D335" t="inlineStr">
        <is>
          <t>medium</t>
        </is>
      </c>
      <c r="E335" t="inlineStr">
        <is>
          <t>surfactant handbook or temperature-solubility experiment</t>
        </is>
      </c>
      <c r="F335" t="inlineStr">
        <is>
          <t>prefer_experimental_or_supplier</t>
        </is>
      </c>
      <c r="G335" t="inlineStr">
        <is>
          <t>P3</t>
        </is>
      </c>
    </row>
    <row r="336">
      <c r="A336" t="inlineStr">
        <is>
          <t>Kolliphor P407</t>
        </is>
      </c>
      <c r="B336" t="inlineStr">
        <is>
          <t>Surfactant</t>
        </is>
      </c>
      <c r="C336" t="inlineStr">
        <is>
          <t>melting_point_C</t>
        </is>
      </c>
      <c r="D336" t="inlineStr">
        <is>
          <t>high</t>
        </is>
      </c>
      <c r="E336" t="inlineStr">
        <is>
          <t>supplier CoA, pharmacopeial monograph, PubChem/LIPID MAPS, or targeted literature curation</t>
        </is>
      </c>
      <c r="F336" t="inlineStr">
        <is>
          <t>prefer_experimental_or_supplier</t>
        </is>
      </c>
      <c r="G336" t="inlineStr">
        <is>
          <t>P3</t>
        </is>
      </c>
    </row>
    <row r="337">
      <c r="A337" t="inlineStr">
        <is>
          <t>Kolliphor P407</t>
        </is>
      </c>
      <c r="B337" t="inlineStr">
        <is>
          <t>Surfactant</t>
        </is>
      </c>
      <c r="C337" t="inlineStr">
        <is>
          <t>pKa_if_relevant</t>
        </is>
      </c>
      <c r="D337" t="inlineStr">
        <is>
          <t>medium</t>
        </is>
      </c>
      <c r="E337" t="inlineStr">
        <is>
          <t>supplier CoA, pharmacopeial monograph, PubChem/LIPID MAPS, or targeted literature curation</t>
        </is>
      </c>
      <c r="F337" t="inlineStr">
        <is>
          <t>prefer_experimental_or_supplier</t>
        </is>
      </c>
      <c r="G337" t="inlineStr">
        <is>
          <t>P3</t>
        </is>
      </c>
    </row>
    <row r="338">
      <c r="A338" t="inlineStr">
        <is>
          <t>Kolliphor HS15 / Solutol HS15</t>
        </is>
      </c>
      <c r="B338" t="inlineStr">
        <is>
          <t>Surfactant</t>
        </is>
      </c>
      <c r="C338" t="inlineStr">
        <is>
          <t>CMC_mM</t>
        </is>
      </c>
      <c r="D338" t="inlineStr">
        <is>
          <t>medium/high</t>
        </is>
      </c>
      <c r="E338" t="inlineStr">
        <is>
          <t>surfactant monograph or experimentally measured CMC under formulation ionic strength</t>
        </is>
      </c>
      <c r="F338" t="inlineStr">
        <is>
          <t>prefer_experimental_or_supplier</t>
        </is>
      </c>
      <c r="G338" t="inlineStr">
        <is>
          <t>P3</t>
        </is>
      </c>
    </row>
    <row r="339">
      <c r="A339" t="inlineStr">
        <is>
          <t>Kolliphor HS15 / Solutol HS15</t>
        </is>
      </c>
      <c r="B339" t="inlineStr">
        <is>
          <t>Surfactant</t>
        </is>
      </c>
      <c r="C339" t="inlineStr">
        <is>
          <t>cloud_point_C</t>
        </is>
      </c>
      <c r="D339" t="inlineStr">
        <is>
          <t>medium</t>
        </is>
      </c>
      <c r="E339" t="inlineStr">
        <is>
          <t>supplier technical data sheet at defined concentration</t>
        </is>
      </c>
      <c r="F339" t="inlineStr">
        <is>
          <t>prefer_experimental_or_supplier</t>
        </is>
      </c>
      <c r="G339" t="inlineStr">
        <is>
          <t>P3</t>
        </is>
      </c>
    </row>
    <row r="340">
      <c r="A340" t="inlineStr">
        <is>
          <t>Kolliphor HS15 / Solutol HS15</t>
        </is>
      </c>
      <c r="B340" t="inlineStr">
        <is>
          <t>Surfactant</t>
        </is>
      </c>
      <c r="C340" t="inlineStr">
        <is>
          <t>Krafft_point_C</t>
        </is>
      </c>
      <c r="D340" t="inlineStr">
        <is>
          <t>medium</t>
        </is>
      </c>
      <c r="E340" t="inlineStr">
        <is>
          <t>surfactant handbook or temperature-solubility experiment</t>
        </is>
      </c>
      <c r="F340" t="inlineStr">
        <is>
          <t>prefer_experimental_or_supplier</t>
        </is>
      </c>
      <c r="G340" t="inlineStr">
        <is>
          <t>P3</t>
        </is>
      </c>
    </row>
    <row r="341">
      <c r="A341" t="inlineStr">
        <is>
          <t>Kolliphor HS15 / Solutol HS15</t>
        </is>
      </c>
      <c r="B341" t="inlineStr">
        <is>
          <t>Surfactant</t>
        </is>
      </c>
      <c r="C341" t="inlineStr">
        <is>
          <t>melting_point_C</t>
        </is>
      </c>
      <c r="D341" t="inlineStr">
        <is>
          <t>high</t>
        </is>
      </c>
      <c r="E341" t="inlineStr">
        <is>
          <t>supplier CoA, pharmacopeial monograph, PubChem/LIPID MAPS, or targeted literature curation</t>
        </is>
      </c>
      <c r="F341" t="inlineStr">
        <is>
          <t>prefer_experimental_or_supplier</t>
        </is>
      </c>
      <c r="G341" t="inlineStr">
        <is>
          <t>P3</t>
        </is>
      </c>
    </row>
    <row r="342">
      <c r="A342" t="inlineStr">
        <is>
          <t>Kolliphor HS15 / Solutol HS15</t>
        </is>
      </c>
      <c r="B342" t="inlineStr">
        <is>
          <t>Surfactant</t>
        </is>
      </c>
      <c r="C342" t="inlineStr">
        <is>
          <t>pKa_if_relevant</t>
        </is>
      </c>
      <c r="D342" t="inlineStr">
        <is>
          <t>medium</t>
        </is>
      </c>
      <c r="E342" t="inlineStr">
        <is>
          <t>supplier CoA, pharmacopeial monograph, PubChem/LIPID MAPS, or targeted literature curation</t>
        </is>
      </c>
      <c r="F342" t="inlineStr">
        <is>
          <t>prefer_experimental_or_supplier</t>
        </is>
      </c>
      <c r="G342" t="inlineStr">
        <is>
          <t>P3</t>
        </is>
      </c>
    </row>
    <row r="343">
      <c r="A343" t="inlineStr">
        <is>
          <t>Kolliphor EL / Cremophor EL</t>
        </is>
      </c>
      <c r="B343" t="inlineStr">
        <is>
          <t>Surfactant</t>
        </is>
      </c>
      <c r="C343" t="inlineStr">
        <is>
          <t>CMC_mM</t>
        </is>
      </c>
      <c r="D343" t="inlineStr">
        <is>
          <t>medium/high</t>
        </is>
      </c>
      <c r="E343" t="inlineStr">
        <is>
          <t>surfactant monograph or experimentally measured CMC under formulation ionic strength</t>
        </is>
      </c>
      <c r="F343" t="inlineStr">
        <is>
          <t>prefer_experimental_or_supplier</t>
        </is>
      </c>
      <c r="G343" t="inlineStr">
        <is>
          <t>P3</t>
        </is>
      </c>
    </row>
    <row r="344">
      <c r="A344" t="inlineStr">
        <is>
          <t>Kolliphor EL / Cremophor EL</t>
        </is>
      </c>
      <c r="B344" t="inlineStr">
        <is>
          <t>Surfactant</t>
        </is>
      </c>
      <c r="C344" t="inlineStr">
        <is>
          <t>cloud_point_C</t>
        </is>
      </c>
      <c r="D344" t="inlineStr">
        <is>
          <t>medium</t>
        </is>
      </c>
      <c r="E344" t="inlineStr">
        <is>
          <t>supplier technical data sheet at defined concentration</t>
        </is>
      </c>
      <c r="F344" t="inlineStr">
        <is>
          <t>prefer_experimental_or_supplier</t>
        </is>
      </c>
      <c r="G344" t="inlineStr">
        <is>
          <t>P3</t>
        </is>
      </c>
    </row>
    <row r="345">
      <c r="A345" t="inlineStr">
        <is>
          <t>Kolliphor EL / Cremophor EL</t>
        </is>
      </c>
      <c r="B345" t="inlineStr">
        <is>
          <t>Surfactant</t>
        </is>
      </c>
      <c r="C345" t="inlineStr">
        <is>
          <t>Krafft_point_C</t>
        </is>
      </c>
      <c r="D345" t="inlineStr">
        <is>
          <t>medium</t>
        </is>
      </c>
      <c r="E345" t="inlineStr">
        <is>
          <t>surfactant handbook or temperature-solubility experiment</t>
        </is>
      </c>
      <c r="F345" t="inlineStr">
        <is>
          <t>prefer_experimental_or_supplier</t>
        </is>
      </c>
      <c r="G345" t="inlineStr">
        <is>
          <t>P3</t>
        </is>
      </c>
    </row>
    <row r="346">
      <c r="A346" t="inlineStr">
        <is>
          <t>Kolliphor EL / Cremophor EL</t>
        </is>
      </c>
      <c r="B346" t="inlineStr">
        <is>
          <t>Surfactant</t>
        </is>
      </c>
      <c r="C346" t="inlineStr">
        <is>
          <t>melting_point_C</t>
        </is>
      </c>
      <c r="D346" t="inlineStr">
        <is>
          <t>high</t>
        </is>
      </c>
      <c r="E346" t="inlineStr">
        <is>
          <t>supplier CoA, pharmacopeial monograph, PubChem/LIPID MAPS, or targeted literature curation</t>
        </is>
      </c>
      <c r="F346" t="inlineStr">
        <is>
          <t>prefer_experimental_or_supplier</t>
        </is>
      </c>
      <c r="G346" t="inlineStr">
        <is>
          <t>P3</t>
        </is>
      </c>
    </row>
    <row r="347">
      <c r="A347" t="inlineStr">
        <is>
          <t>Kolliphor EL / Cremophor EL</t>
        </is>
      </c>
      <c r="B347" t="inlineStr">
        <is>
          <t>Surfactant</t>
        </is>
      </c>
      <c r="C347" t="inlineStr">
        <is>
          <t>pKa_if_relevant</t>
        </is>
      </c>
      <c r="D347" t="inlineStr">
        <is>
          <t>medium</t>
        </is>
      </c>
      <c r="E347" t="inlineStr">
        <is>
          <t>supplier CoA, pharmacopeial monograph, PubChem/LIPID MAPS, or targeted literature curation</t>
        </is>
      </c>
      <c r="F347" t="inlineStr">
        <is>
          <t>prefer_experimental_or_supplier</t>
        </is>
      </c>
      <c r="G347" t="inlineStr">
        <is>
          <t>P3</t>
        </is>
      </c>
    </row>
    <row r="348">
      <c r="A348" t="inlineStr">
        <is>
          <t>Kolliphor RH40 / Cremophor RH40</t>
        </is>
      </c>
      <c r="B348" t="inlineStr">
        <is>
          <t>Surfactant</t>
        </is>
      </c>
      <c r="C348" t="inlineStr">
        <is>
          <t>CMC_mM</t>
        </is>
      </c>
      <c r="D348" t="inlineStr">
        <is>
          <t>medium/high</t>
        </is>
      </c>
      <c r="E348" t="inlineStr">
        <is>
          <t>surfactant monograph or experimentally measured CMC under formulation ionic strength</t>
        </is>
      </c>
      <c r="F348" t="inlineStr">
        <is>
          <t>prefer_experimental_or_supplier</t>
        </is>
      </c>
      <c r="G348" t="inlineStr">
        <is>
          <t>P3</t>
        </is>
      </c>
    </row>
    <row r="349">
      <c r="A349" t="inlineStr">
        <is>
          <t>Kolliphor RH40 / Cremophor RH40</t>
        </is>
      </c>
      <c r="B349" t="inlineStr">
        <is>
          <t>Surfactant</t>
        </is>
      </c>
      <c r="C349" t="inlineStr">
        <is>
          <t>cloud_point_C</t>
        </is>
      </c>
      <c r="D349" t="inlineStr">
        <is>
          <t>medium</t>
        </is>
      </c>
      <c r="E349" t="inlineStr">
        <is>
          <t>supplier technical data sheet at defined concentration</t>
        </is>
      </c>
      <c r="F349" t="inlineStr">
        <is>
          <t>prefer_experimental_or_supplier</t>
        </is>
      </c>
      <c r="G349" t="inlineStr">
        <is>
          <t>P3</t>
        </is>
      </c>
    </row>
    <row r="350">
      <c r="A350" t="inlineStr">
        <is>
          <t>Kolliphor RH40 / Cremophor RH40</t>
        </is>
      </c>
      <c r="B350" t="inlineStr">
        <is>
          <t>Surfactant</t>
        </is>
      </c>
      <c r="C350" t="inlineStr">
        <is>
          <t>Krafft_point_C</t>
        </is>
      </c>
      <c r="D350" t="inlineStr">
        <is>
          <t>medium</t>
        </is>
      </c>
      <c r="E350" t="inlineStr">
        <is>
          <t>surfactant handbook or temperature-solubility experiment</t>
        </is>
      </c>
      <c r="F350" t="inlineStr">
        <is>
          <t>prefer_experimental_or_supplier</t>
        </is>
      </c>
      <c r="G350" t="inlineStr">
        <is>
          <t>P3</t>
        </is>
      </c>
    </row>
    <row r="351">
      <c r="A351" t="inlineStr">
        <is>
          <t>Kolliphor RH40 / Cremophor RH40</t>
        </is>
      </c>
      <c r="B351" t="inlineStr">
        <is>
          <t>Surfactant</t>
        </is>
      </c>
      <c r="C351" t="inlineStr">
        <is>
          <t>melting_point_C</t>
        </is>
      </c>
      <c r="D351" t="inlineStr">
        <is>
          <t>high</t>
        </is>
      </c>
      <c r="E351" t="inlineStr">
        <is>
          <t>supplier CoA, pharmacopeial monograph, PubChem/LIPID MAPS, or targeted literature curation</t>
        </is>
      </c>
      <c r="F351" t="inlineStr">
        <is>
          <t>prefer_experimental_or_supplier</t>
        </is>
      </c>
      <c r="G351" t="inlineStr">
        <is>
          <t>P3</t>
        </is>
      </c>
    </row>
    <row r="352">
      <c r="A352" t="inlineStr">
        <is>
          <t>Kolliphor RH40 / Cremophor RH40</t>
        </is>
      </c>
      <c r="B352" t="inlineStr">
        <is>
          <t>Surfactant</t>
        </is>
      </c>
      <c r="C352" t="inlineStr">
        <is>
          <t>pKa_if_relevant</t>
        </is>
      </c>
      <c r="D352" t="inlineStr">
        <is>
          <t>medium</t>
        </is>
      </c>
      <c r="E352" t="inlineStr">
        <is>
          <t>supplier CoA, pharmacopeial monograph, PubChem/LIPID MAPS, or targeted literature curation</t>
        </is>
      </c>
      <c r="F352" t="inlineStr">
        <is>
          <t>prefer_experimental_or_supplier</t>
        </is>
      </c>
      <c r="G352" t="inlineStr">
        <is>
          <t>P3</t>
        </is>
      </c>
    </row>
    <row r="353">
      <c r="A353" t="inlineStr">
        <is>
          <t>Labrasol</t>
        </is>
      </c>
      <c r="B353" t="inlineStr">
        <is>
          <t>Surfactant</t>
        </is>
      </c>
      <c r="C353" t="inlineStr">
        <is>
          <t>CMC_mM</t>
        </is>
      </c>
      <c r="D353" t="inlineStr">
        <is>
          <t>medium/high</t>
        </is>
      </c>
      <c r="E353" t="inlineStr">
        <is>
          <t>surfactant monograph or experimentally measured CMC under formulation ionic strength</t>
        </is>
      </c>
      <c r="F353" t="inlineStr">
        <is>
          <t>prefer_experimental_or_supplier</t>
        </is>
      </c>
      <c r="G353" t="inlineStr">
        <is>
          <t>P3</t>
        </is>
      </c>
    </row>
    <row r="354">
      <c r="A354" t="inlineStr">
        <is>
          <t>Labrasol</t>
        </is>
      </c>
      <c r="B354" t="inlineStr">
        <is>
          <t>Surfactant</t>
        </is>
      </c>
      <c r="C354" t="inlineStr">
        <is>
          <t>cloud_point_C</t>
        </is>
      </c>
      <c r="D354" t="inlineStr">
        <is>
          <t>medium</t>
        </is>
      </c>
      <c r="E354" t="inlineStr">
        <is>
          <t>supplier technical data sheet at defined concentration</t>
        </is>
      </c>
      <c r="F354" t="inlineStr">
        <is>
          <t>prefer_experimental_or_supplier</t>
        </is>
      </c>
      <c r="G354" t="inlineStr">
        <is>
          <t>P3</t>
        </is>
      </c>
    </row>
    <row r="355">
      <c r="A355" t="inlineStr">
        <is>
          <t>Labrasol</t>
        </is>
      </c>
      <c r="B355" t="inlineStr">
        <is>
          <t>Surfactant</t>
        </is>
      </c>
      <c r="C355" t="inlineStr">
        <is>
          <t>Krafft_point_C</t>
        </is>
      </c>
      <c r="D355" t="inlineStr">
        <is>
          <t>medium</t>
        </is>
      </c>
      <c r="E355" t="inlineStr">
        <is>
          <t>surfactant handbook or temperature-solubility experiment</t>
        </is>
      </c>
      <c r="F355" t="inlineStr">
        <is>
          <t>prefer_experimental_or_supplier</t>
        </is>
      </c>
      <c r="G355" t="inlineStr">
        <is>
          <t>P3</t>
        </is>
      </c>
    </row>
    <row r="356">
      <c r="A356" t="inlineStr">
        <is>
          <t>Labrasol</t>
        </is>
      </c>
      <c r="B356" t="inlineStr">
        <is>
          <t>Surfactant</t>
        </is>
      </c>
      <c r="C356" t="inlineStr">
        <is>
          <t>melting_point_C</t>
        </is>
      </c>
      <c r="D356" t="inlineStr">
        <is>
          <t>high</t>
        </is>
      </c>
      <c r="E356" t="inlineStr">
        <is>
          <t>supplier CoA, pharmacopeial monograph, PubChem/LIPID MAPS, or targeted literature curation</t>
        </is>
      </c>
      <c r="F356" t="inlineStr">
        <is>
          <t>prefer_experimental_or_supplier</t>
        </is>
      </c>
      <c r="G356" t="inlineStr">
        <is>
          <t>P3</t>
        </is>
      </c>
    </row>
    <row r="357">
      <c r="A357" t="inlineStr">
        <is>
          <t>Labrasol</t>
        </is>
      </c>
      <c r="B357" t="inlineStr">
        <is>
          <t>Surfactant</t>
        </is>
      </c>
      <c r="C357" t="inlineStr">
        <is>
          <t>pKa_if_relevant</t>
        </is>
      </c>
      <c r="D357" t="inlineStr">
        <is>
          <t>medium</t>
        </is>
      </c>
      <c r="E357" t="inlineStr">
        <is>
          <t>supplier CoA, pharmacopeial monograph, PubChem/LIPID MAPS, or targeted literature curation</t>
        </is>
      </c>
      <c r="F357" t="inlineStr">
        <is>
          <t>prefer_experimental_or_supplier</t>
        </is>
      </c>
      <c r="G357" t="inlineStr">
        <is>
          <t>P3</t>
        </is>
      </c>
    </row>
    <row r="358">
      <c r="A358" t="inlineStr">
        <is>
          <t>Labrasol</t>
        </is>
      </c>
      <c r="B358" t="inlineStr">
        <is>
          <t>Surfactant</t>
        </is>
      </c>
      <c r="C358" t="inlineStr">
        <is>
          <t>molar_volume_cm3_mol</t>
        </is>
      </c>
      <c r="D358" t="inlineStr">
        <is>
          <t>high</t>
        </is>
      </c>
      <c r="E358" t="inlineStr">
        <is>
          <t>density measurement or crystal/solution molar volume data</t>
        </is>
      </c>
      <c r="F358" t="inlineStr">
        <is>
          <t>yes_screening_only</t>
        </is>
      </c>
      <c r="G358" t="inlineStr">
        <is>
          <t>P2</t>
        </is>
      </c>
    </row>
    <row r="359">
      <c r="A359" t="inlineStr">
        <is>
          <t>Transcutol P</t>
        </is>
      </c>
      <c r="B359" t="inlineStr">
        <is>
          <t>Surfactant</t>
        </is>
      </c>
      <c r="C359" t="inlineStr">
        <is>
          <t>CMC_mM</t>
        </is>
      </c>
      <c r="D359" t="inlineStr">
        <is>
          <t>medium/high</t>
        </is>
      </c>
      <c r="E359" t="inlineStr">
        <is>
          <t>surfactant monograph or experimentally measured CMC under formulation ionic strength</t>
        </is>
      </c>
      <c r="F359" t="inlineStr">
        <is>
          <t>prefer_experimental_or_supplier</t>
        </is>
      </c>
      <c r="G359" t="inlineStr">
        <is>
          <t>P3</t>
        </is>
      </c>
    </row>
    <row r="360">
      <c r="A360" t="inlineStr">
        <is>
          <t>Transcutol P</t>
        </is>
      </c>
      <c r="B360" t="inlineStr">
        <is>
          <t>Surfactant</t>
        </is>
      </c>
      <c r="C360" t="inlineStr">
        <is>
          <t>cloud_point_C</t>
        </is>
      </c>
      <c r="D360" t="inlineStr">
        <is>
          <t>medium</t>
        </is>
      </c>
      <c r="E360" t="inlineStr">
        <is>
          <t>supplier technical data sheet at defined concentration</t>
        </is>
      </c>
      <c r="F360" t="inlineStr">
        <is>
          <t>prefer_experimental_or_supplier</t>
        </is>
      </c>
      <c r="G360" t="inlineStr">
        <is>
          <t>P3</t>
        </is>
      </c>
    </row>
    <row r="361">
      <c r="A361" t="inlineStr">
        <is>
          <t>Transcutol P</t>
        </is>
      </c>
      <c r="B361" t="inlineStr">
        <is>
          <t>Surfactant</t>
        </is>
      </c>
      <c r="C361" t="inlineStr">
        <is>
          <t>Krafft_point_C</t>
        </is>
      </c>
      <c r="D361" t="inlineStr">
        <is>
          <t>medium</t>
        </is>
      </c>
      <c r="E361" t="inlineStr">
        <is>
          <t>surfactant handbook or temperature-solubility experiment</t>
        </is>
      </c>
      <c r="F361" t="inlineStr">
        <is>
          <t>prefer_experimental_or_supplier</t>
        </is>
      </c>
      <c r="G361" t="inlineStr">
        <is>
          <t>P3</t>
        </is>
      </c>
    </row>
    <row r="362">
      <c r="A362" t="inlineStr">
        <is>
          <t>Transcutol P</t>
        </is>
      </c>
      <c r="B362" t="inlineStr">
        <is>
          <t>Surfactant</t>
        </is>
      </c>
      <c r="C362" t="inlineStr">
        <is>
          <t>melting_point_C</t>
        </is>
      </c>
      <c r="D362" t="inlineStr">
        <is>
          <t>high</t>
        </is>
      </c>
      <c r="E362" t="inlineStr">
        <is>
          <t>supplier CoA, pharmacopeial monograph, PubChem/LIPID MAPS, or targeted literature curation</t>
        </is>
      </c>
      <c r="F362" t="inlineStr">
        <is>
          <t>prefer_experimental_or_supplier</t>
        </is>
      </c>
      <c r="G362" t="inlineStr">
        <is>
          <t>P3</t>
        </is>
      </c>
    </row>
    <row r="363">
      <c r="A363" t="inlineStr">
        <is>
          <t>Transcutol P</t>
        </is>
      </c>
      <c r="B363" t="inlineStr">
        <is>
          <t>Surfactant</t>
        </is>
      </c>
      <c r="C363" t="inlineStr">
        <is>
          <t>pKa_if_relevant</t>
        </is>
      </c>
      <c r="D363" t="inlineStr">
        <is>
          <t>medium</t>
        </is>
      </c>
      <c r="E363" t="inlineStr">
        <is>
          <t>supplier CoA, pharmacopeial monograph, PubChem/LIPID MAPS, or targeted literature curation</t>
        </is>
      </c>
      <c r="F363" t="inlineStr">
        <is>
          <t>prefer_experimental_or_supplier</t>
        </is>
      </c>
      <c r="G363" t="inlineStr">
        <is>
          <t>P3</t>
        </is>
      </c>
    </row>
    <row r="364">
      <c r="A364" t="inlineStr">
        <is>
          <t>Vitamin E TPGS</t>
        </is>
      </c>
      <c r="B364" t="inlineStr">
        <is>
          <t>Surfactant</t>
        </is>
      </c>
      <c r="C364" t="inlineStr">
        <is>
          <t>CMC_mM</t>
        </is>
      </c>
      <c r="D364" t="inlineStr">
        <is>
          <t>medium/high</t>
        </is>
      </c>
      <c r="E364" t="inlineStr">
        <is>
          <t>surfactant monograph or experimentally measured CMC under formulation ionic strength</t>
        </is>
      </c>
      <c r="F364" t="inlineStr">
        <is>
          <t>prefer_experimental_or_supplier</t>
        </is>
      </c>
      <c r="G364" t="inlineStr">
        <is>
          <t>P3</t>
        </is>
      </c>
    </row>
    <row r="365">
      <c r="A365" t="inlineStr">
        <is>
          <t>Vitamin E TPGS</t>
        </is>
      </c>
      <c r="B365" t="inlineStr">
        <is>
          <t>Surfactant</t>
        </is>
      </c>
      <c r="C365" t="inlineStr">
        <is>
          <t>cloud_point_C</t>
        </is>
      </c>
      <c r="D365" t="inlineStr">
        <is>
          <t>medium</t>
        </is>
      </c>
      <c r="E365" t="inlineStr">
        <is>
          <t>supplier technical data sheet at defined concentration</t>
        </is>
      </c>
      <c r="F365" t="inlineStr">
        <is>
          <t>prefer_experimental_or_supplier</t>
        </is>
      </c>
      <c r="G365" t="inlineStr">
        <is>
          <t>P3</t>
        </is>
      </c>
    </row>
    <row r="366">
      <c r="A366" t="inlineStr">
        <is>
          <t>Vitamin E TPGS</t>
        </is>
      </c>
      <c r="B366" t="inlineStr">
        <is>
          <t>Surfactant</t>
        </is>
      </c>
      <c r="C366" t="inlineStr">
        <is>
          <t>Krafft_point_C</t>
        </is>
      </c>
      <c r="D366" t="inlineStr">
        <is>
          <t>medium</t>
        </is>
      </c>
      <c r="E366" t="inlineStr">
        <is>
          <t>surfactant handbook or temperature-solubility experiment</t>
        </is>
      </c>
      <c r="F366" t="inlineStr">
        <is>
          <t>prefer_experimental_or_supplier</t>
        </is>
      </c>
      <c r="G366" t="inlineStr">
        <is>
          <t>P3</t>
        </is>
      </c>
    </row>
    <row r="367">
      <c r="A367" t="inlineStr">
        <is>
          <t>Vitamin E TPGS</t>
        </is>
      </c>
      <c r="B367" t="inlineStr">
        <is>
          <t>Surfactant</t>
        </is>
      </c>
      <c r="C367" t="inlineStr">
        <is>
          <t>melting_point_C</t>
        </is>
      </c>
      <c r="D367" t="inlineStr">
        <is>
          <t>high</t>
        </is>
      </c>
      <c r="E367" t="inlineStr">
        <is>
          <t>supplier CoA, pharmacopeial monograph, PubChem/LIPID MAPS, or targeted literature curation</t>
        </is>
      </c>
      <c r="F367" t="inlineStr">
        <is>
          <t>prefer_experimental_or_supplier</t>
        </is>
      </c>
      <c r="G367" t="inlineStr">
        <is>
          <t>P3</t>
        </is>
      </c>
    </row>
    <row r="368">
      <c r="A368" t="inlineStr">
        <is>
          <t>Vitamin E TPGS</t>
        </is>
      </c>
      <c r="B368" t="inlineStr">
        <is>
          <t>Surfactant</t>
        </is>
      </c>
      <c r="C368" t="inlineStr">
        <is>
          <t>pKa_if_relevant</t>
        </is>
      </c>
      <c r="D368" t="inlineStr">
        <is>
          <t>medium</t>
        </is>
      </c>
      <c r="E368" t="inlineStr">
        <is>
          <t>supplier CoA, pharmacopeial monograph, PubChem/LIPID MAPS, or targeted literature curation</t>
        </is>
      </c>
      <c r="F368" t="inlineStr">
        <is>
          <t>prefer_experimental_or_supplier</t>
        </is>
      </c>
      <c r="G368" t="inlineStr">
        <is>
          <t>P3</t>
        </is>
      </c>
    </row>
    <row r="369">
      <c r="A369" t="inlineStr">
        <is>
          <t>SLS / sodium lauryl sulfate</t>
        </is>
      </c>
      <c r="B369" t="inlineStr">
        <is>
          <t>Surfactant</t>
        </is>
      </c>
      <c r="C369" t="inlineStr">
        <is>
          <t>cloud_point_C</t>
        </is>
      </c>
      <c r="D369" t="inlineStr">
        <is>
          <t>medium</t>
        </is>
      </c>
      <c r="E369" t="inlineStr">
        <is>
          <t>supplier technical data sheet at defined concentration</t>
        </is>
      </c>
      <c r="F369" t="inlineStr">
        <is>
          <t>prefer_experimental_or_supplier</t>
        </is>
      </c>
      <c r="G369" t="inlineStr">
        <is>
          <t>P3</t>
        </is>
      </c>
    </row>
    <row r="370">
      <c r="A370" t="inlineStr">
        <is>
          <t>SLS / sodium lauryl sulfate</t>
        </is>
      </c>
      <c r="B370" t="inlineStr">
        <is>
          <t>Surfactant</t>
        </is>
      </c>
      <c r="C370" t="inlineStr">
        <is>
          <t>Krafft_point_C</t>
        </is>
      </c>
      <c r="D370" t="inlineStr">
        <is>
          <t>medium</t>
        </is>
      </c>
      <c r="E370" t="inlineStr">
        <is>
          <t>surfactant handbook or temperature-solubility experiment</t>
        </is>
      </c>
      <c r="F370" t="inlineStr">
        <is>
          <t>prefer_experimental_or_supplier</t>
        </is>
      </c>
      <c r="G370" t="inlineStr">
        <is>
          <t>P3</t>
        </is>
      </c>
    </row>
    <row r="371">
      <c r="A371" t="inlineStr">
        <is>
          <t>SLS / sodium lauryl sulfate</t>
        </is>
      </c>
      <c r="B371" t="inlineStr">
        <is>
          <t>Surfactant</t>
        </is>
      </c>
      <c r="C371" t="inlineStr">
        <is>
          <t>melting_point_C</t>
        </is>
      </c>
      <c r="D371" t="inlineStr">
        <is>
          <t>high</t>
        </is>
      </c>
      <c r="E371" t="inlineStr">
        <is>
          <t>supplier CoA, pharmacopeial monograph, PubChem/LIPID MAPS, or targeted literature curation</t>
        </is>
      </c>
      <c r="F371" t="inlineStr">
        <is>
          <t>prefer_experimental_or_supplier</t>
        </is>
      </c>
      <c r="G371" t="inlineStr">
        <is>
          <t>P3</t>
        </is>
      </c>
    </row>
    <row r="372">
      <c r="A372" t="inlineStr">
        <is>
          <t>SLS / sodium lauryl sulfate</t>
        </is>
      </c>
      <c r="B372" t="inlineStr">
        <is>
          <t>Surfactant</t>
        </is>
      </c>
      <c r="C372" t="inlineStr">
        <is>
          <t>pKa_if_relevant</t>
        </is>
      </c>
      <c r="D372" t="inlineStr">
        <is>
          <t>medium</t>
        </is>
      </c>
      <c r="E372" t="inlineStr">
        <is>
          <t>supplier CoA, pharmacopeial monograph, PubChem/LIPID MAPS, or targeted literature curation</t>
        </is>
      </c>
      <c r="F372" t="inlineStr">
        <is>
          <t>prefer_experimental_or_supplier</t>
        </is>
      </c>
      <c r="G372" t="inlineStr">
        <is>
          <t>P3</t>
        </is>
      </c>
    </row>
    <row r="373">
      <c r="A373" t="inlineStr">
        <is>
          <t>CTAB</t>
        </is>
      </c>
      <c r="B373" t="inlineStr">
        <is>
          <t>Surfactant</t>
        </is>
      </c>
      <c r="C373" t="inlineStr">
        <is>
          <t>cloud_point_C</t>
        </is>
      </c>
      <c r="D373" t="inlineStr">
        <is>
          <t>medium</t>
        </is>
      </c>
      <c r="E373" t="inlineStr">
        <is>
          <t>supplier technical data sheet at defined concentration</t>
        </is>
      </c>
      <c r="F373" t="inlineStr">
        <is>
          <t>prefer_experimental_or_supplier</t>
        </is>
      </c>
      <c r="G373" t="inlineStr">
        <is>
          <t>P3</t>
        </is>
      </c>
    </row>
    <row r="374">
      <c r="A374" t="inlineStr">
        <is>
          <t>CTAB</t>
        </is>
      </c>
      <c r="B374" t="inlineStr">
        <is>
          <t>Surfactant</t>
        </is>
      </c>
      <c r="C374" t="inlineStr">
        <is>
          <t>Krafft_point_C</t>
        </is>
      </c>
      <c r="D374" t="inlineStr">
        <is>
          <t>medium</t>
        </is>
      </c>
      <c r="E374" t="inlineStr">
        <is>
          <t>surfactant handbook or temperature-solubility experiment</t>
        </is>
      </c>
      <c r="F374" t="inlineStr">
        <is>
          <t>prefer_experimental_or_supplier</t>
        </is>
      </c>
      <c r="G374" t="inlineStr">
        <is>
          <t>P3</t>
        </is>
      </c>
    </row>
    <row r="375">
      <c r="A375" t="inlineStr">
        <is>
          <t>CTAB</t>
        </is>
      </c>
      <c r="B375" t="inlineStr">
        <is>
          <t>Surfactant</t>
        </is>
      </c>
      <c r="C375" t="inlineStr">
        <is>
          <t>melting_point_C</t>
        </is>
      </c>
      <c r="D375" t="inlineStr">
        <is>
          <t>high</t>
        </is>
      </c>
      <c r="E375" t="inlineStr">
        <is>
          <t>supplier CoA, pharmacopeial monograph, PubChem/LIPID MAPS, or targeted literature curation</t>
        </is>
      </c>
      <c r="F375" t="inlineStr">
        <is>
          <t>prefer_experimental_or_supplier</t>
        </is>
      </c>
      <c r="G375" t="inlineStr">
        <is>
          <t>P3</t>
        </is>
      </c>
    </row>
    <row r="376">
      <c r="A376" t="inlineStr">
        <is>
          <t>CTAB</t>
        </is>
      </c>
      <c r="B376" t="inlineStr">
        <is>
          <t>Surfactant</t>
        </is>
      </c>
      <c r="C376" t="inlineStr">
        <is>
          <t>pKa_if_relevant</t>
        </is>
      </c>
      <c r="D376" t="inlineStr">
        <is>
          <t>medium</t>
        </is>
      </c>
      <c r="E376" t="inlineStr">
        <is>
          <t>supplier CoA, pharmacopeial monograph, PubChem/LIPID MAPS, or targeted literature curation</t>
        </is>
      </c>
      <c r="F376" t="inlineStr">
        <is>
          <t>prefer_experimental_or_supplier</t>
        </is>
      </c>
      <c r="G376" t="inlineStr">
        <is>
          <t>P3</t>
        </is>
      </c>
    </row>
    <row r="377">
      <c r="A377" t="inlineStr">
        <is>
          <t>Sucrose monolaurate</t>
        </is>
      </c>
      <c r="B377" t="inlineStr">
        <is>
          <t>Surfactant</t>
        </is>
      </c>
      <c r="C377" t="inlineStr">
        <is>
          <t>CMC_mM</t>
        </is>
      </c>
      <c r="D377" t="inlineStr">
        <is>
          <t>medium/high</t>
        </is>
      </c>
      <c r="E377" t="inlineStr">
        <is>
          <t>surfactant monograph or experimentally measured CMC under formulation ionic strength</t>
        </is>
      </c>
      <c r="F377" t="inlineStr">
        <is>
          <t>prefer_experimental_or_supplier</t>
        </is>
      </c>
      <c r="G377" t="inlineStr">
        <is>
          <t>P3</t>
        </is>
      </c>
    </row>
    <row r="378">
      <c r="A378" t="inlineStr">
        <is>
          <t>Sucrose monolaurate</t>
        </is>
      </c>
      <c r="B378" t="inlineStr">
        <is>
          <t>Surfactant</t>
        </is>
      </c>
      <c r="C378" t="inlineStr">
        <is>
          <t>cloud_point_C</t>
        </is>
      </c>
      <c r="D378" t="inlineStr">
        <is>
          <t>medium</t>
        </is>
      </c>
      <c r="E378" t="inlineStr">
        <is>
          <t>supplier technical data sheet at defined concentration</t>
        </is>
      </c>
      <c r="F378" t="inlineStr">
        <is>
          <t>prefer_experimental_or_supplier</t>
        </is>
      </c>
      <c r="G378" t="inlineStr">
        <is>
          <t>P3</t>
        </is>
      </c>
    </row>
    <row r="379">
      <c r="A379" t="inlineStr">
        <is>
          <t>Sucrose monolaurate</t>
        </is>
      </c>
      <c r="B379" t="inlineStr">
        <is>
          <t>Surfactant</t>
        </is>
      </c>
      <c r="C379" t="inlineStr">
        <is>
          <t>Krafft_point_C</t>
        </is>
      </c>
      <c r="D379" t="inlineStr">
        <is>
          <t>medium</t>
        </is>
      </c>
      <c r="E379" t="inlineStr">
        <is>
          <t>surfactant handbook or temperature-solubility experiment</t>
        </is>
      </c>
      <c r="F379" t="inlineStr">
        <is>
          <t>prefer_experimental_or_supplier</t>
        </is>
      </c>
      <c r="G379" t="inlineStr">
        <is>
          <t>P3</t>
        </is>
      </c>
    </row>
    <row r="380">
      <c r="A380" t="inlineStr">
        <is>
          <t>Sucrose monolaurate</t>
        </is>
      </c>
      <c r="B380" t="inlineStr">
        <is>
          <t>Surfactant</t>
        </is>
      </c>
      <c r="C380" t="inlineStr">
        <is>
          <t>melting_point_C</t>
        </is>
      </c>
      <c r="D380" t="inlineStr">
        <is>
          <t>high</t>
        </is>
      </c>
      <c r="E380" t="inlineStr">
        <is>
          <t>supplier CoA, pharmacopeial monograph, PubChem/LIPID MAPS, or targeted literature curation</t>
        </is>
      </c>
      <c r="F380" t="inlineStr">
        <is>
          <t>prefer_experimental_or_supplier</t>
        </is>
      </c>
      <c r="G380" t="inlineStr">
        <is>
          <t>P3</t>
        </is>
      </c>
    </row>
    <row r="381">
      <c r="A381" t="inlineStr">
        <is>
          <t>Sucrose monolaurate</t>
        </is>
      </c>
      <c r="B381" t="inlineStr">
        <is>
          <t>Surfactant</t>
        </is>
      </c>
      <c r="C381" t="inlineStr">
        <is>
          <t>pKa_if_relevant</t>
        </is>
      </c>
      <c r="D381" t="inlineStr">
        <is>
          <t>medium</t>
        </is>
      </c>
      <c r="E381" t="inlineStr">
        <is>
          <t>supplier CoA, pharmacopeial monograph, PubChem/LIPID MAPS, or targeted literature curation</t>
        </is>
      </c>
      <c r="F381" t="inlineStr">
        <is>
          <t>prefer_experimental_or_supplier</t>
        </is>
      </c>
      <c r="G381" t="inlineStr">
        <is>
          <t>P3</t>
        </is>
      </c>
    </row>
    <row r="382">
      <c r="A382" t="inlineStr">
        <is>
          <t>Sucrose monopalmitate</t>
        </is>
      </c>
      <c r="B382" t="inlineStr">
        <is>
          <t>Surfactant</t>
        </is>
      </c>
      <c r="C382" t="inlineStr">
        <is>
          <t>CMC_mM</t>
        </is>
      </c>
      <c r="D382" t="inlineStr">
        <is>
          <t>medium/high</t>
        </is>
      </c>
      <c r="E382" t="inlineStr">
        <is>
          <t>surfactant monograph or experimentally measured CMC under formulation ionic strength</t>
        </is>
      </c>
      <c r="F382" t="inlineStr">
        <is>
          <t>prefer_experimental_or_supplier</t>
        </is>
      </c>
      <c r="G382" t="inlineStr">
        <is>
          <t>P3</t>
        </is>
      </c>
    </row>
    <row r="383">
      <c r="A383" t="inlineStr">
        <is>
          <t>Sucrose monopalmitate</t>
        </is>
      </c>
      <c r="B383" t="inlineStr">
        <is>
          <t>Surfactant</t>
        </is>
      </c>
      <c r="C383" t="inlineStr">
        <is>
          <t>cloud_point_C</t>
        </is>
      </c>
      <c r="D383" t="inlineStr">
        <is>
          <t>medium</t>
        </is>
      </c>
      <c r="E383" t="inlineStr">
        <is>
          <t>supplier technical data sheet at defined concentration</t>
        </is>
      </c>
      <c r="F383" t="inlineStr">
        <is>
          <t>prefer_experimental_or_supplier</t>
        </is>
      </c>
      <c r="G383" t="inlineStr">
        <is>
          <t>P3</t>
        </is>
      </c>
    </row>
    <row r="384">
      <c r="A384" t="inlineStr">
        <is>
          <t>Sucrose monopalmitate</t>
        </is>
      </c>
      <c r="B384" t="inlineStr">
        <is>
          <t>Surfactant</t>
        </is>
      </c>
      <c r="C384" t="inlineStr">
        <is>
          <t>Krafft_point_C</t>
        </is>
      </c>
      <c r="D384" t="inlineStr">
        <is>
          <t>medium</t>
        </is>
      </c>
      <c r="E384" t="inlineStr">
        <is>
          <t>surfactant handbook or temperature-solubility experiment</t>
        </is>
      </c>
      <c r="F384" t="inlineStr">
        <is>
          <t>prefer_experimental_or_supplier</t>
        </is>
      </c>
      <c r="G384" t="inlineStr">
        <is>
          <t>P3</t>
        </is>
      </c>
    </row>
    <row r="385">
      <c r="A385" t="inlineStr">
        <is>
          <t>Sucrose monopalmitate</t>
        </is>
      </c>
      <c r="B385" t="inlineStr">
        <is>
          <t>Surfactant</t>
        </is>
      </c>
      <c r="C385" t="inlineStr">
        <is>
          <t>melting_point_C</t>
        </is>
      </c>
      <c r="D385" t="inlineStr">
        <is>
          <t>high</t>
        </is>
      </c>
      <c r="E385" t="inlineStr">
        <is>
          <t>supplier CoA, pharmacopeial monograph, PubChem/LIPID MAPS, or targeted literature curation</t>
        </is>
      </c>
      <c r="F385" t="inlineStr">
        <is>
          <t>prefer_experimental_or_supplier</t>
        </is>
      </c>
      <c r="G385" t="inlineStr">
        <is>
          <t>P3</t>
        </is>
      </c>
    </row>
    <row r="386">
      <c r="A386" t="inlineStr">
        <is>
          <t>Sucrose monopalmitate</t>
        </is>
      </c>
      <c r="B386" t="inlineStr">
        <is>
          <t>Surfactant</t>
        </is>
      </c>
      <c r="C386" t="inlineStr">
        <is>
          <t>pKa_if_relevant</t>
        </is>
      </c>
      <c r="D386" t="inlineStr">
        <is>
          <t>medium</t>
        </is>
      </c>
      <c r="E386" t="inlineStr">
        <is>
          <t>supplier CoA, pharmacopeial monograph, PubChem/LIPID MAPS, or targeted literature curation</t>
        </is>
      </c>
      <c r="F386" t="inlineStr">
        <is>
          <t>prefer_experimental_or_supplier</t>
        </is>
      </c>
      <c r="G386" t="inlineStr">
        <is>
          <t>P3</t>
        </is>
      </c>
    </row>
    <row r="387">
      <c r="A387" t="inlineStr">
        <is>
          <t>Sucrose monostearate</t>
        </is>
      </c>
      <c r="B387" t="inlineStr">
        <is>
          <t>Surfactant</t>
        </is>
      </c>
      <c r="C387" t="inlineStr">
        <is>
          <t>CMC_mM</t>
        </is>
      </c>
      <c r="D387" t="inlineStr">
        <is>
          <t>medium/high</t>
        </is>
      </c>
      <c r="E387" t="inlineStr">
        <is>
          <t>surfactant monograph or experimentally measured CMC under formulation ionic strength</t>
        </is>
      </c>
      <c r="F387" t="inlineStr">
        <is>
          <t>prefer_experimental_or_supplier</t>
        </is>
      </c>
      <c r="G387" t="inlineStr">
        <is>
          <t>P3</t>
        </is>
      </c>
    </row>
    <row r="388">
      <c r="A388" t="inlineStr">
        <is>
          <t>Sucrose monostearate</t>
        </is>
      </c>
      <c r="B388" t="inlineStr">
        <is>
          <t>Surfactant</t>
        </is>
      </c>
      <c r="C388" t="inlineStr">
        <is>
          <t>cloud_point_C</t>
        </is>
      </c>
      <c r="D388" t="inlineStr">
        <is>
          <t>medium</t>
        </is>
      </c>
      <c r="E388" t="inlineStr">
        <is>
          <t>supplier technical data sheet at defined concentration</t>
        </is>
      </c>
      <c r="F388" t="inlineStr">
        <is>
          <t>prefer_experimental_or_supplier</t>
        </is>
      </c>
      <c r="G388" t="inlineStr">
        <is>
          <t>P3</t>
        </is>
      </c>
    </row>
    <row r="389">
      <c r="A389" t="inlineStr">
        <is>
          <t>Sucrose monostearate</t>
        </is>
      </c>
      <c r="B389" t="inlineStr">
        <is>
          <t>Surfactant</t>
        </is>
      </c>
      <c r="C389" t="inlineStr">
        <is>
          <t>Krafft_point_C</t>
        </is>
      </c>
      <c r="D389" t="inlineStr">
        <is>
          <t>medium</t>
        </is>
      </c>
      <c r="E389" t="inlineStr">
        <is>
          <t>surfactant handbook or temperature-solubility experiment</t>
        </is>
      </c>
      <c r="F389" t="inlineStr">
        <is>
          <t>prefer_experimental_or_supplier</t>
        </is>
      </c>
      <c r="G389" t="inlineStr">
        <is>
          <t>P3</t>
        </is>
      </c>
    </row>
    <row r="390">
      <c r="A390" t="inlineStr">
        <is>
          <t>Sucrose monostearate</t>
        </is>
      </c>
      <c r="B390" t="inlineStr">
        <is>
          <t>Surfactant</t>
        </is>
      </c>
      <c r="C390" t="inlineStr">
        <is>
          <t>melting_point_C</t>
        </is>
      </c>
      <c r="D390" t="inlineStr">
        <is>
          <t>high</t>
        </is>
      </c>
      <c r="E390" t="inlineStr">
        <is>
          <t>supplier CoA, pharmacopeial monograph, PubChem/LIPID MAPS, or targeted literature curation</t>
        </is>
      </c>
      <c r="F390" t="inlineStr">
        <is>
          <t>prefer_experimental_or_supplier</t>
        </is>
      </c>
      <c r="G390" t="inlineStr">
        <is>
          <t>P3</t>
        </is>
      </c>
    </row>
    <row r="391">
      <c r="A391" t="inlineStr">
        <is>
          <t>Sucrose monostearate</t>
        </is>
      </c>
      <c r="B391" t="inlineStr">
        <is>
          <t>Surfactant</t>
        </is>
      </c>
      <c r="C391" t="inlineStr">
        <is>
          <t>pKa_if_relevant</t>
        </is>
      </c>
      <c r="D391" t="inlineStr">
        <is>
          <t>medium</t>
        </is>
      </c>
      <c r="E391" t="inlineStr">
        <is>
          <t>supplier CoA, pharmacopeial monograph, PubChem/LIPID MAPS, or targeted literature curation</t>
        </is>
      </c>
      <c r="F391" t="inlineStr">
        <is>
          <t>prefer_experimental_or_supplier</t>
        </is>
      </c>
      <c r="G391" t="inlineStr">
        <is>
          <t>P3</t>
        </is>
      </c>
    </row>
    <row r="392">
      <c r="A392" t="inlineStr">
        <is>
          <t>Sucrose monooleate</t>
        </is>
      </c>
      <c r="B392" t="inlineStr">
        <is>
          <t>Surfactant</t>
        </is>
      </c>
      <c r="C392" t="inlineStr">
        <is>
          <t>CMC_mM</t>
        </is>
      </c>
      <c r="D392" t="inlineStr">
        <is>
          <t>medium/high</t>
        </is>
      </c>
      <c r="E392" t="inlineStr">
        <is>
          <t>surfactant monograph or experimentally measured CMC under formulation ionic strength</t>
        </is>
      </c>
      <c r="F392" t="inlineStr">
        <is>
          <t>prefer_experimental_or_supplier</t>
        </is>
      </c>
      <c r="G392" t="inlineStr">
        <is>
          <t>P3</t>
        </is>
      </c>
    </row>
    <row r="393">
      <c r="A393" t="inlineStr">
        <is>
          <t>Sucrose monooleate</t>
        </is>
      </c>
      <c r="B393" t="inlineStr">
        <is>
          <t>Surfactant</t>
        </is>
      </c>
      <c r="C393" t="inlineStr">
        <is>
          <t>cloud_point_C</t>
        </is>
      </c>
      <c r="D393" t="inlineStr">
        <is>
          <t>medium</t>
        </is>
      </c>
      <c r="E393" t="inlineStr">
        <is>
          <t>supplier technical data sheet at defined concentration</t>
        </is>
      </c>
      <c r="F393" t="inlineStr">
        <is>
          <t>prefer_experimental_or_supplier</t>
        </is>
      </c>
      <c r="G393" t="inlineStr">
        <is>
          <t>P3</t>
        </is>
      </c>
    </row>
    <row r="394">
      <c r="A394" t="inlineStr">
        <is>
          <t>Sucrose monooleate</t>
        </is>
      </c>
      <c r="B394" t="inlineStr">
        <is>
          <t>Surfactant</t>
        </is>
      </c>
      <c r="C394" t="inlineStr">
        <is>
          <t>Krafft_point_C</t>
        </is>
      </c>
      <c r="D394" t="inlineStr">
        <is>
          <t>medium</t>
        </is>
      </c>
      <c r="E394" t="inlineStr">
        <is>
          <t>surfactant handbook or temperature-solubility experiment</t>
        </is>
      </c>
      <c r="F394" t="inlineStr">
        <is>
          <t>prefer_experimental_or_supplier</t>
        </is>
      </c>
      <c r="G394" t="inlineStr">
        <is>
          <t>P3</t>
        </is>
      </c>
    </row>
    <row r="395">
      <c r="A395" t="inlineStr">
        <is>
          <t>Sucrose monooleate</t>
        </is>
      </c>
      <c r="B395" t="inlineStr">
        <is>
          <t>Surfactant</t>
        </is>
      </c>
      <c r="C395" t="inlineStr">
        <is>
          <t>melting_point_C</t>
        </is>
      </c>
      <c r="D395" t="inlineStr">
        <is>
          <t>high</t>
        </is>
      </c>
      <c r="E395" t="inlineStr">
        <is>
          <t>supplier CoA, pharmacopeial monograph, PubChem/LIPID MAPS, or targeted literature curation</t>
        </is>
      </c>
      <c r="F395" t="inlineStr">
        <is>
          <t>prefer_experimental_or_supplier</t>
        </is>
      </c>
      <c r="G395" t="inlineStr">
        <is>
          <t>P3</t>
        </is>
      </c>
    </row>
    <row r="396">
      <c r="A396" t="inlineStr">
        <is>
          <t>Sucrose monooleate</t>
        </is>
      </c>
      <c r="B396" t="inlineStr">
        <is>
          <t>Surfactant</t>
        </is>
      </c>
      <c r="C396" t="inlineStr">
        <is>
          <t>pKa_if_relevant</t>
        </is>
      </c>
      <c r="D396" t="inlineStr">
        <is>
          <t>medium</t>
        </is>
      </c>
      <c r="E396" t="inlineStr">
        <is>
          <t>supplier CoA, pharmacopeial monograph, PubChem/LIPID MAPS, or targeted literature curation</t>
        </is>
      </c>
      <c r="F396" t="inlineStr">
        <is>
          <t>prefer_experimental_or_supplier</t>
        </is>
      </c>
      <c r="G396" t="inlineStr">
        <is>
          <t>P3</t>
        </is>
      </c>
    </row>
    <row r="397">
      <c r="A397" t="inlineStr">
        <is>
          <t>Octyl glucoside</t>
        </is>
      </c>
      <c r="B397" t="inlineStr">
        <is>
          <t>Surfactant</t>
        </is>
      </c>
      <c r="C397" t="inlineStr">
        <is>
          <t>cloud_point_C</t>
        </is>
      </c>
      <c r="D397" t="inlineStr">
        <is>
          <t>medium</t>
        </is>
      </c>
      <c r="E397" t="inlineStr">
        <is>
          <t>supplier technical data sheet at defined concentration</t>
        </is>
      </c>
      <c r="F397" t="inlineStr">
        <is>
          <t>prefer_experimental_or_supplier</t>
        </is>
      </c>
      <c r="G397" t="inlineStr">
        <is>
          <t>P3</t>
        </is>
      </c>
    </row>
    <row r="398">
      <c r="A398" t="inlineStr">
        <is>
          <t>Octyl glucoside</t>
        </is>
      </c>
      <c r="B398" t="inlineStr">
        <is>
          <t>Surfactant</t>
        </is>
      </c>
      <c r="C398" t="inlineStr">
        <is>
          <t>Krafft_point_C</t>
        </is>
      </c>
      <c r="D398" t="inlineStr">
        <is>
          <t>medium</t>
        </is>
      </c>
      <c r="E398" t="inlineStr">
        <is>
          <t>surfactant handbook or temperature-solubility experiment</t>
        </is>
      </c>
      <c r="F398" t="inlineStr">
        <is>
          <t>prefer_experimental_or_supplier</t>
        </is>
      </c>
      <c r="G398" t="inlineStr">
        <is>
          <t>P3</t>
        </is>
      </c>
    </row>
    <row r="399">
      <c r="A399" t="inlineStr">
        <is>
          <t>Octyl glucoside</t>
        </is>
      </c>
      <c r="B399" t="inlineStr">
        <is>
          <t>Surfactant</t>
        </is>
      </c>
      <c r="C399" t="inlineStr">
        <is>
          <t>melting_point_C</t>
        </is>
      </c>
      <c r="D399" t="inlineStr">
        <is>
          <t>high</t>
        </is>
      </c>
      <c r="E399" t="inlineStr">
        <is>
          <t>supplier CoA, pharmacopeial monograph, PubChem/LIPID MAPS, or targeted literature curation</t>
        </is>
      </c>
      <c r="F399" t="inlineStr">
        <is>
          <t>prefer_experimental_or_supplier</t>
        </is>
      </c>
      <c r="G399" t="inlineStr">
        <is>
          <t>P3</t>
        </is>
      </c>
    </row>
    <row r="400">
      <c r="A400" t="inlineStr">
        <is>
          <t>Octyl glucoside</t>
        </is>
      </c>
      <c r="B400" t="inlineStr">
        <is>
          <t>Surfactant</t>
        </is>
      </c>
      <c r="C400" t="inlineStr">
        <is>
          <t>pKa_if_relevant</t>
        </is>
      </c>
      <c r="D400" t="inlineStr">
        <is>
          <t>medium</t>
        </is>
      </c>
      <c r="E400" t="inlineStr">
        <is>
          <t>supplier CoA, pharmacopeial monograph, PubChem/LIPID MAPS, or targeted literature curation</t>
        </is>
      </c>
      <c r="F400" t="inlineStr">
        <is>
          <t>prefer_experimental_or_supplier</t>
        </is>
      </c>
      <c r="G400" t="inlineStr">
        <is>
          <t>P3</t>
        </is>
      </c>
    </row>
    <row r="401">
      <c r="A401" t="inlineStr">
        <is>
          <t>Decyl maltoside</t>
        </is>
      </c>
      <c r="B401" t="inlineStr">
        <is>
          <t>Surfactant</t>
        </is>
      </c>
      <c r="C401" t="inlineStr">
        <is>
          <t>cloud_point_C</t>
        </is>
      </c>
      <c r="D401" t="inlineStr">
        <is>
          <t>medium</t>
        </is>
      </c>
      <c r="E401" t="inlineStr">
        <is>
          <t>supplier technical data sheet at defined concentration</t>
        </is>
      </c>
      <c r="F401" t="inlineStr">
        <is>
          <t>prefer_experimental_or_supplier</t>
        </is>
      </c>
      <c r="G401" t="inlineStr">
        <is>
          <t>P3</t>
        </is>
      </c>
    </row>
    <row r="402">
      <c r="A402" t="inlineStr">
        <is>
          <t>Decyl maltoside</t>
        </is>
      </c>
      <c r="B402" t="inlineStr">
        <is>
          <t>Surfactant</t>
        </is>
      </c>
      <c r="C402" t="inlineStr">
        <is>
          <t>Krafft_point_C</t>
        </is>
      </c>
      <c r="D402" t="inlineStr">
        <is>
          <t>medium</t>
        </is>
      </c>
      <c r="E402" t="inlineStr">
        <is>
          <t>surfactant handbook or temperature-solubility experiment</t>
        </is>
      </c>
      <c r="F402" t="inlineStr">
        <is>
          <t>prefer_experimental_or_supplier</t>
        </is>
      </c>
      <c r="G402" t="inlineStr">
        <is>
          <t>P3</t>
        </is>
      </c>
    </row>
    <row r="403">
      <c r="A403" t="inlineStr">
        <is>
          <t>Decyl maltoside</t>
        </is>
      </c>
      <c r="B403" t="inlineStr">
        <is>
          <t>Surfactant</t>
        </is>
      </c>
      <c r="C403" t="inlineStr">
        <is>
          <t>melting_point_C</t>
        </is>
      </c>
      <c r="D403" t="inlineStr">
        <is>
          <t>high</t>
        </is>
      </c>
      <c r="E403" t="inlineStr">
        <is>
          <t>supplier CoA, pharmacopeial monograph, PubChem/LIPID MAPS, or targeted literature curation</t>
        </is>
      </c>
      <c r="F403" t="inlineStr">
        <is>
          <t>prefer_experimental_or_supplier</t>
        </is>
      </c>
      <c r="G403" t="inlineStr">
        <is>
          <t>P3</t>
        </is>
      </c>
    </row>
    <row r="404">
      <c r="A404" t="inlineStr">
        <is>
          <t>Decyl maltoside</t>
        </is>
      </c>
      <c r="B404" t="inlineStr">
        <is>
          <t>Surfactant</t>
        </is>
      </c>
      <c r="C404" t="inlineStr">
        <is>
          <t>pKa_if_relevant</t>
        </is>
      </c>
      <c r="D404" t="inlineStr">
        <is>
          <t>medium</t>
        </is>
      </c>
      <c r="E404" t="inlineStr">
        <is>
          <t>supplier CoA, pharmacopeial monograph, PubChem/LIPID MAPS, or targeted literature curation</t>
        </is>
      </c>
      <c r="F404" t="inlineStr">
        <is>
          <t>prefer_experimental_or_supplier</t>
        </is>
      </c>
      <c r="G404" t="inlineStr">
        <is>
          <t>P3</t>
        </is>
      </c>
    </row>
    <row r="405">
      <c r="A405" t="inlineStr">
        <is>
          <t>Lauryl maltoside</t>
        </is>
      </c>
      <c r="B405" t="inlineStr">
        <is>
          <t>Surfactant</t>
        </is>
      </c>
      <c r="C405" t="inlineStr">
        <is>
          <t>cloud_point_C</t>
        </is>
      </c>
      <c r="D405" t="inlineStr">
        <is>
          <t>medium</t>
        </is>
      </c>
      <c r="E405" t="inlineStr">
        <is>
          <t>supplier technical data sheet at defined concentration</t>
        </is>
      </c>
      <c r="F405" t="inlineStr">
        <is>
          <t>prefer_experimental_or_supplier</t>
        </is>
      </c>
      <c r="G405" t="inlineStr">
        <is>
          <t>P3</t>
        </is>
      </c>
    </row>
    <row r="406">
      <c r="A406" t="inlineStr">
        <is>
          <t>Lauryl maltoside</t>
        </is>
      </c>
      <c r="B406" t="inlineStr">
        <is>
          <t>Surfactant</t>
        </is>
      </c>
      <c r="C406" t="inlineStr">
        <is>
          <t>Krafft_point_C</t>
        </is>
      </c>
      <c r="D406" t="inlineStr">
        <is>
          <t>medium</t>
        </is>
      </c>
      <c r="E406" t="inlineStr">
        <is>
          <t>surfactant handbook or temperature-solubility experiment</t>
        </is>
      </c>
      <c r="F406" t="inlineStr">
        <is>
          <t>prefer_experimental_or_supplier</t>
        </is>
      </c>
      <c r="G406" t="inlineStr">
        <is>
          <t>P3</t>
        </is>
      </c>
    </row>
    <row r="407">
      <c r="A407" t="inlineStr">
        <is>
          <t>Lauryl maltoside</t>
        </is>
      </c>
      <c r="B407" t="inlineStr">
        <is>
          <t>Surfactant</t>
        </is>
      </c>
      <c r="C407" t="inlineStr">
        <is>
          <t>melting_point_C</t>
        </is>
      </c>
      <c r="D407" t="inlineStr">
        <is>
          <t>high</t>
        </is>
      </c>
      <c r="E407" t="inlineStr">
        <is>
          <t>supplier CoA, pharmacopeial monograph, PubChem/LIPID MAPS, or targeted literature curation</t>
        </is>
      </c>
      <c r="F407" t="inlineStr">
        <is>
          <t>prefer_experimental_or_supplier</t>
        </is>
      </c>
      <c r="G407" t="inlineStr">
        <is>
          <t>P3</t>
        </is>
      </c>
    </row>
    <row r="408">
      <c r="A408" t="inlineStr">
        <is>
          <t>Lauryl maltoside</t>
        </is>
      </c>
      <c r="B408" t="inlineStr">
        <is>
          <t>Surfactant</t>
        </is>
      </c>
      <c r="C408" t="inlineStr">
        <is>
          <t>pKa_if_relevant</t>
        </is>
      </c>
      <c r="D408" t="inlineStr">
        <is>
          <t>medium</t>
        </is>
      </c>
      <c r="E408" t="inlineStr">
        <is>
          <t>supplier CoA, pharmacopeial monograph, PubChem/LIPID MAPS, or targeted literature curation</t>
        </is>
      </c>
      <c r="F408" t="inlineStr">
        <is>
          <t>prefer_experimental_or_supplier</t>
        </is>
      </c>
      <c r="G408" t="inlineStr">
        <is>
          <t>P3</t>
        </is>
      </c>
    </row>
    <row r="409">
      <c r="A409" t="inlineStr">
        <is>
          <t>Lecithin</t>
        </is>
      </c>
      <c r="B409" t="inlineStr">
        <is>
          <t>Lipid</t>
        </is>
      </c>
      <c r="C409" t="inlineStr">
        <is>
          <t>pKa_if_ionizable</t>
        </is>
      </c>
      <c r="D409" t="inlineStr">
        <is>
          <t>medium</t>
        </is>
      </c>
      <c r="E409" t="inlineStr">
        <is>
          <t>supplier CoA, pharmacopeial monograph, PubChem/LIPID MAPS, or targeted literature curation</t>
        </is>
      </c>
      <c r="F409" t="inlineStr">
        <is>
          <t>prefer_experimental_or_supplier</t>
        </is>
      </c>
      <c r="G409" t="inlineStr">
        <is>
          <t>P3</t>
        </is>
      </c>
    </row>
    <row r="410">
      <c r="A410" t="inlineStr">
        <is>
          <t>Lecithin</t>
        </is>
      </c>
      <c r="B410" t="inlineStr">
        <is>
          <t>Lipid</t>
        </is>
      </c>
      <c r="C410" t="inlineStr">
        <is>
          <t>phase_transition_temperature_C</t>
        </is>
      </c>
      <c r="D410" t="inlineStr">
        <is>
          <t>critical for lipids</t>
        </is>
      </c>
      <c r="E410" t="inlineStr">
        <is>
          <t>DSC at hydration/ionic conditions or Avanti/LIPIDAT</t>
        </is>
      </c>
      <c r="F410" t="inlineStr">
        <is>
          <t>prefer_experimental_or_supplier</t>
        </is>
      </c>
      <c r="G410" t="inlineStr">
        <is>
          <t>P1</t>
        </is>
      </c>
    </row>
    <row r="411">
      <c r="A411" t="inlineStr">
        <is>
          <t>Lecithin</t>
        </is>
      </c>
      <c r="B411" t="inlineStr">
        <is>
          <t>Lipid</t>
        </is>
      </c>
      <c r="C411" t="inlineStr">
        <is>
          <t>melting_point_C</t>
        </is>
      </c>
      <c r="D411" t="inlineStr">
        <is>
          <t>high</t>
        </is>
      </c>
      <c r="E411" t="inlineStr">
        <is>
          <t>supplier CoA, pharmacopeial monograph, PubChem/LIPID MAPS, or targeted literature curation</t>
        </is>
      </c>
      <c r="F411" t="inlineStr">
        <is>
          <t>prefer_experimental_or_supplier</t>
        </is>
      </c>
      <c r="G411" t="inlineStr">
        <is>
          <t>P3</t>
        </is>
      </c>
    </row>
    <row r="412">
      <c r="A412" t="inlineStr">
        <is>
          <t>Egg phosphatidylcholine / EPC</t>
        </is>
      </c>
      <c r="B412" t="inlineStr">
        <is>
          <t>Lipid</t>
        </is>
      </c>
      <c r="C412" t="inlineStr">
        <is>
          <t>pKa_if_ionizable</t>
        </is>
      </c>
      <c r="D412" t="inlineStr">
        <is>
          <t>medium</t>
        </is>
      </c>
      <c r="E412" t="inlineStr">
        <is>
          <t>supplier CoA, pharmacopeial monograph, PubChem/LIPID MAPS, or targeted literature curation</t>
        </is>
      </c>
      <c r="F412" t="inlineStr">
        <is>
          <t>prefer_experimental_or_supplier</t>
        </is>
      </c>
      <c r="G412" t="inlineStr">
        <is>
          <t>P3</t>
        </is>
      </c>
    </row>
    <row r="413">
      <c r="A413" t="inlineStr">
        <is>
          <t>Egg phosphatidylcholine / EPC</t>
        </is>
      </c>
      <c r="B413" t="inlineStr">
        <is>
          <t>Lipid</t>
        </is>
      </c>
      <c r="C413" t="inlineStr">
        <is>
          <t>melting_point_C</t>
        </is>
      </c>
      <c r="D413" t="inlineStr">
        <is>
          <t>high</t>
        </is>
      </c>
      <c r="E413" t="inlineStr">
        <is>
          <t>supplier CoA, pharmacopeial monograph, PubChem/LIPID MAPS, or targeted literature curation</t>
        </is>
      </c>
      <c r="F413" t="inlineStr">
        <is>
          <t>prefer_experimental_or_supplier</t>
        </is>
      </c>
      <c r="G413" t="inlineStr">
        <is>
          <t>P3</t>
        </is>
      </c>
    </row>
    <row r="414">
      <c r="A414" t="inlineStr">
        <is>
          <t>Soy phosphatidylcholine / SPC</t>
        </is>
      </c>
      <c r="B414" t="inlineStr">
        <is>
          <t>Lipid</t>
        </is>
      </c>
      <c r="C414" t="inlineStr">
        <is>
          <t>pKa_if_ionizable</t>
        </is>
      </c>
      <c r="D414" t="inlineStr">
        <is>
          <t>medium</t>
        </is>
      </c>
      <c r="E414" t="inlineStr">
        <is>
          <t>supplier CoA, pharmacopeial monograph, PubChem/LIPID MAPS, or targeted literature curation</t>
        </is>
      </c>
      <c r="F414" t="inlineStr">
        <is>
          <t>prefer_experimental_or_supplier</t>
        </is>
      </c>
      <c r="G414" t="inlineStr">
        <is>
          <t>P3</t>
        </is>
      </c>
    </row>
    <row r="415">
      <c r="A415" t="inlineStr">
        <is>
          <t>Soy phosphatidylcholine / SPC</t>
        </is>
      </c>
      <c r="B415" t="inlineStr">
        <is>
          <t>Lipid</t>
        </is>
      </c>
      <c r="C415" t="inlineStr">
        <is>
          <t>melting_point_C</t>
        </is>
      </c>
      <c r="D415" t="inlineStr">
        <is>
          <t>high</t>
        </is>
      </c>
      <c r="E415" t="inlineStr">
        <is>
          <t>supplier CoA, pharmacopeial monograph, PubChem/LIPID MAPS, or targeted literature curation</t>
        </is>
      </c>
      <c r="F415" t="inlineStr">
        <is>
          <t>prefer_experimental_or_supplier</t>
        </is>
      </c>
      <c r="G415" t="inlineStr">
        <is>
          <t>P3</t>
        </is>
      </c>
    </row>
    <row r="416">
      <c r="A416" t="inlineStr">
        <is>
          <t>Hydrogenated soy phosphatidylcholine / HSPC</t>
        </is>
      </c>
      <c r="B416" t="inlineStr">
        <is>
          <t>Lipid</t>
        </is>
      </c>
      <c r="C416" t="inlineStr">
        <is>
          <t>pKa_if_ionizable</t>
        </is>
      </c>
      <c r="D416" t="inlineStr">
        <is>
          <t>medium</t>
        </is>
      </c>
      <c r="E416" t="inlineStr">
        <is>
          <t>supplier CoA, pharmacopeial monograph, PubChem/LIPID MAPS, or targeted literature curation</t>
        </is>
      </c>
      <c r="F416" t="inlineStr">
        <is>
          <t>prefer_experimental_or_supplier</t>
        </is>
      </c>
      <c r="G416" t="inlineStr">
        <is>
          <t>P3</t>
        </is>
      </c>
    </row>
    <row r="417">
      <c r="A417" t="inlineStr">
        <is>
          <t>Hydrogenated soy phosphatidylcholine / HSPC</t>
        </is>
      </c>
      <c r="B417" t="inlineStr">
        <is>
          <t>Lipid</t>
        </is>
      </c>
      <c r="C417" t="inlineStr">
        <is>
          <t>melting_point_C</t>
        </is>
      </c>
      <c r="D417" t="inlineStr">
        <is>
          <t>high</t>
        </is>
      </c>
      <c r="E417" t="inlineStr">
        <is>
          <t>supplier CoA, pharmacopeial monograph, PubChem/LIPID MAPS, or targeted literature curation</t>
        </is>
      </c>
      <c r="F417" t="inlineStr">
        <is>
          <t>prefer_experimental_or_supplier</t>
        </is>
      </c>
      <c r="G417" t="inlineStr">
        <is>
          <t>P3</t>
        </is>
      </c>
    </row>
    <row r="418">
      <c r="A418" t="inlineStr">
        <is>
          <t>DLPC</t>
        </is>
      </c>
      <c r="B418" t="inlineStr">
        <is>
          <t>Lipid</t>
        </is>
      </c>
      <c r="C418" t="inlineStr">
        <is>
          <t>pKa_if_ionizable</t>
        </is>
      </c>
      <c r="D418" t="inlineStr">
        <is>
          <t>medium</t>
        </is>
      </c>
      <c r="E418" t="inlineStr">
        <is>
          <t>supplier CoA, pharmacopeial monograph, PubChem/LIPID MAPS, or targeted literature curation</t>
        </is>
      </c>
      <c r="F418" t="inlineStr">
        <is>
          <t>prefer_experimental_or_supplier</t>
        </is>
      </c>
      <c r="G418" t="inlineStr">
        <is>
          <t>P3</t>
        </is>
      </c>
    </row>
    <row r="419">
      <c r="A419" t="inlineStr">
        <is>
          <t>DLPC</t>
        </is>
      </c>
      <c r="B419" t="inlineStr">
        <is>
          <t>Lipid</t>
        </is>
      </c>
      <c r="C419" t="inlineStr">
        <is>
          <t>melting_point_C</t>
        </is>
      </c>
      <c r="D419" t="inlineStr">
        <is>
          <t>high</t>
        </is>
      </c>
      <c r="E419" t="inlineStr">
        <is>
          <t>supplier CoA, pharmacopeial monograph, PubChem/LIPID MAPS, or targeted literature curation</t>
        </is>
      </c>
      <c r="F419" t="inlineStr">
        <is>
          <t>prefer_experimental_or_supplier</t>
        </is>
      </c>
      <c r="G419" t="inlineStr">
        <is>
          <t>P3</t>
        </is>
      </c>
    </row>
    <row r="420">
      <c r="A420" t="inlineStr">
        <is>
          <t>DMPC</t>
        </is>
      </c>
      <c r="B420" t="inlineStr">
        <is>
          <t>Lipid</t>
        </is>
      </c>
      <c r="C420" t="inlineStr">
        <is>
          <t>pKa_if_ionizable</t>
        </is>
      </c>
      <c r="D420" t="inlineStr">
        <is>
          <t>medium</t>
        </is>
      </c>
      <c r="E420" t="inlineStr">
        <is>
          <t>supplier CoA, pharmacopeial monograph, PubChem/LIPID MAPS, or targeted literature curation</t>
        </is>
      </c>
      <c r="F420" t="inlineStr">
        <is>
          <t>prefer_experimental_or_supplier</t>
        </is>
      </c>
      <c r="G420" t="inlineStr">
        <is>
          <t>P3</t>
        </is>
      </c>
    </row>
    <row r="421">
      <c r="A421" t="inlineStr">
        <is>
          <t>DMPC</t>
        </is>
      </c>
      <c r="B421" t="inlineStr">
        <is>
          <t>Lipid</t>
        </is>
      </c>
      <c r="C421" t="inlineStr">
        <is>
          <t>melting_point_C</t>
        </is>
      </c>
      <c r="D421" t="inlineStr">
        <is>
          <t>high</t>
        </is>
      </c>
      <c r="E421" t="inlineStr">
        <is>
          <t>supplier CoA, pharmacopeial monograph, PubChem/LIPID MAPS, or targeted literature curation</t>
        </is>
      </c>
      <c r="F421" t="inlineStr">
        <is>
          <t>prefer_experimental_or_supplier</t>
        </is>
      </c>
      <c r="G421" t="inlineStr">
        <is>
          <t>P3</t>
        </is>
      </c>
    </row>
    <row r="422">
      <c r="A422" t="inlineStr">
        <is>
          <t>DPPC</t>
        </is>
      </c>
      <c r="B422" t="inlineStr">
        <is>
          <t>Lipid</t>
        </is>
      </c>
      <c r="C422" t="inlineStr">
        <is>
          <t>pKa_if_ionizable</t>
        </is>
      </c>
      <c r="D422" t="inlineStr">
        <is>
          <t>medium</t>
        </is>
      </c>
      <c r="E422" t="inlineStr">
        <is>
          <t>supplier CoA, pharmacopeial monograph, PubChem/LIPID MAPS, or targeted literature curation</t>
        </is>
      </c>
      <c r="F422" t="inlineStr">
        <is>
          <t>prefer_experimental_or_supplier</t>
        </is>
      </c>
      <c r="G422" t="inlineStr">
        <is>
          <t>P3</t>
        </is>
      </c>
    </row>
    <row r="423">
      <c r="A423" t="inlineStr">
        <is>
          <t>DPPC</t>
        </is>
      </c>
      <c r="B423" t="inlineStr">
        <is>
          <t>Lipid</t>
        </is>
      </c>
      <c r="C423" t="inlineStr">
        <is>
          <t>melting_point_C</t>
        </is>
      </c>
      <c r="D423" t="inlineStr">
        <is>
          <t>high</t>
        </is>
      </c>
      <c r="E423" t="inlineStr">
        <is>
          <t>supplier CoA, pharmacopeial monograph, PubChem/LIPID MAPS, or targeted literature curation</t>
        </is>
      </c>
      <c r="F423" t="inlineStr">
        <is>
          <t>prefer_experimental_or_supplier</t>
        </is>
      </c>
      <c r="G423" t="inlineStr">
        <is>
          <t>P3</t>
        </is>
      </c>
    </row>
    <row r="424">
      <c r="A424" t="inlineStr">
        <is>
          <t>DSPC</t>
        </is>
      </c>
      <c r="B424" t="inlineStr">
        <is>
          <t>Lipid</t>
        </is>
      </c>
      <c r="C424" t="inlineStr">
        <is>
          <t>pKa_if_ionizable</t>
        </is>
      </c>
      <c r="D424" t="inlineStr">
        <is>
          <t>medium</t>
        </is>
      </c>
      <c r="E424" t="inlineStr">
        <is>
          <t>supplier CoA, pharmacopeial monograph, PubChem/LIPID MAPS, or targeted literature curation</t>
        </is>
      </c>
      <c r="F424" t="inlineStr">
        <is>
          <t>prefer_experimental_or_supplier</t>
        </is>
      </c>
      <c r="G424" t="inlineStr">
        <is>
          <t>P3</t>
        </is>
      </c>
    </row>
    <row r="425">
      <c r="A425" t="inlineStr">
        <is>
          <t>DSPC</t>
        </is>
      </c>
      <c r="B425" t="inlineStr">
        <is>
          <t>Lipid</t>
        </is>
      </c>
      <c r="C425" t="inlineStr">
        <is>
          <t>melting_point_C</t>
        </is>
      </c>
      <c r="D425" t="inlineStr">
        <is>
          <t>high</t>
        </is>
      </c>
      <c r="E425" t="inlineStr">
        <is>
          <t>supplier CoA, pharmacopeial monograph, PubChem/LIPID MAPS, or targeted literature curation</t>
        </is>
      </c>
      <c r="F425" t="inlineStr">
        <is>
          <t>prefer_experimental_or_supplier</t>
        </is>
      </c>
      <c r="G425" t="inlineStr">
        <is>
          <t>P3</t>
        </is>
      </c>
    </row>
    <row r="426">
      <c r="A426" t="inlineStr">
        <is>
          <t>DOPC</t>
        </is>
      </c>
      <c r="B426" t="inlineStr">
        <is>
          <t>Lipid</t>
        </is>
      </c>
      <c r="C426" t="inlineStr">
        <is>
          <t>pKa_if_ionizable</t>
        </is>
      </c>
      <c r="D426" t="inlineStr">
        <is>
          <t>medium</t>
        </is>
      </c>
      <c r="E426" t="inlineStr">
        <is>
          <t>supplier CoA, pharmacopeial monograph, PubChem/LIPID MAPS, or targeted literature curation</t>
        </is>
      </c>
      <c r="F426" t="inlineStr">
        <is>
          <t>prefer_experimental_or_supplier</t>
        </is>
      </c>
      <c r="G426" t="inlineStr">
        <is>
          <t>P3</t>
        </is>
      </c>
    </row>
    <row r="427">
      <c r="A427" t="inlineStr">
        <is>
          <t>DOPC</t>
        </is>
      </c>
      <c r="B427" t="inlineStr">
        <is>
          <t>Lipid</t>
        </is>
      </c>
      <c r="C427" t="inlineStr">
        <is>
          <t>melting_point_C</t>
        </is>
      </c>
      <c r="D427" t="inlineStr">
        <is>
          <t>high</t>
        </is>
      </c>
      <c r="E427" t="inlineStr">
        <is>
          <t>supplier CoA, pharmacopeial monograph, PubChem/LIPID MAPS, or targeted literature curation</t>
        </is>
      </c>
      <c r="F427" t="inlineStr">
        <is>
          <t>prefer_experimental_or_supplier</t>
        </is>
      </c>
      <c r="G427" t="inlineStr">
        <is>
          <t>P3</t>
        </is>
      </c>
    </row>
    <row r="428">
      <c r="A428" t="inlineStr">
        <is>
          <t>POPC</t>
        </is>
      </c>
      <c r="B428" t="inlineStr">
        <is>
          <t>Lipid</t>
        </is>
      </c>
      <c r="C428" t="inlineStr">
        <is>
          <t>pKa_if_ionizable</t>
        </is>
      </c>
      <c r="D428" t="inlineStr">
        <is>
          <t>medium</t>
        </is>
      </c>
      <c r="E428" t="inlineStr">
        <is>
          <t>supplier CoA, pharmacopeial monograph, PubChem/LIPID MAPS, or targeted literature curation</t>
        </is>
      </c>
      <c r="F428" t="inlineStr">
        <is>
          <t>prefer_experimental_or_supplier</t>
        </is>
      </c>
      <c r="G428" t="inlineStr">
        <is>
          <t>P3</t>
        </is>
      </c>
    </row>
    <row r="429">
      <c r="A429" t="inlineStr">
        <is>
          <t>POPC</t>
        </is>
      </c>
      <c r="B429" t="inlineStr">
        <is>
          <t>Lipid</t>
        </is>
      </c>
      <c r="C429" t="inlineStr">
        <is>
          <t>melting_point_C</t>
        </is>
      </c>
      <c r="D429" t="inlineStr">
        <is>
          <t>high</t>
        </is>
      </c>
      <c r="E429" t="inlineStr">
        <is>
          <t>supplier CoA, pharmacopeial monograph, PubChem/LIPID MAPS, or targeted literature curation</t>
        </is>
      </c>
      <c r="F429" t="inlineStr">
        <is>
          <t>prefer_experimental_or_supplier</t>
        </is>
      </c>
      <c r="G429" t="inlineStr">
        <is>
          <t>P3</t>
        </is>
      </c>
    </row>
    <row r="430">
      <c r="A430" t="inlineStr">
        <is>
          <t>SOPC</t>
        </is>
      </c>
      <c r="B430" t="inlineStr">
        <is>
          <t>Lipid</t>
        </is>
      </c>
      <c r="C430" t="inlineStr">
        <is>
          <t>pKa_if_ionizable</t>
        </is>
      </c>
      <c r="D430" t="inlineStr">
        <is>
          <t>medium</t>
        </is>
      </c>
      <c r="E430" t="inlineStr">
        <is>
          <t>supplier CoA, pharmacopeial monograph, PubChem/LIPID MAPS, or targeted literature curation</t>
        </is>
      </c>
      <c r="F430" t="inlineStr">
        <is>
          <t>prefer_experimental_or_supplier</t>
        </is>
      </c>
      <c r="G430" t="inlineStr">
        <is>
          <t>P3</t>
        </is>
      </c>
    </row>
    <row r="431">
      <c r="A431" t="inlineStr">
        <is>
          <t>SOPC</t>
        </is>
      </c>
      <c r="B431" t="inlineStr">
        <is>
          <t>Lipid</t>
        </is>
      </c>
      <c r="C431" t="inlineStr">
        <is>
          <t>melting_point_C</t>
        </is>
      </c>
      <c r="D431" t="inlineStr">
        <is>
          <t>high</t>
        </is>
      </c>
      <c r="E431" t="inlineStr">
        <is>
          <t>supplier CoA, pharmacopeial monograph, PubChem/LIPID MAPS, or targeted literature curation</t>
        </is>
      </c>
      <c r="F431" t="inlineStr">
        <is>
          <t>prefer_experimental_or_supplier</t>
        </is>
      </c>
      <c r="G431" t="inlineStr">
        <is>
          <t>P3</t>
        </is>
      </c>
    </row>
    <row r="432">
      <c r="A432" t="inlineStr">
        <is>
          <t>DOPE</t>
        </is>
      </c>
      <c r="B432" t="inlineStr">
        <is>
          <t>Lipid</t>
        </is>
      </c>
      <c r="C432" t="inlineStr">
        <is>
          <t>pKa_if_ionizable</t>
        </is>
      </c>
      <c r="D432" t="inlineStr">
        <is>
          <t>medium</t>
        </is>
      </c>
      <c r="E432" t="inlineStr">
        <is>
          <t>supplier CoA, pharmacopeial monograph, PubChem/LIPID MAPS, or targeted literature curation</t>
        </is>
      </c>
      <c r="F432" t="inlineStr">
        <is>
          <t>prefer_experimental_or_supplier</t>
        </is>
      </c>
      <c r="G432" t="inlineStr">
        <is>
          <t>P3</t>
        </is>
      </c>
    </row>
    <row r="433">
      <c r="A433" t="inlineStr">
        <is>
          <t>DOPE</t>
        </is>
      </c>
      <c r="B433" t="inlineStr">
        <is>
          <t>Lipid</t>
        </is>
      </c>
      <c r="C433" t="inlineStr">
        <is>
          <t>melting_point_C</t>
        </is>
      </c>
      <c r="D433" t="inlineStr">
        <is>
          <t>high</t>
        </is>
      </c>
      <c r="E433" t="inlineStr">
        <is>
          <t>supplier CoA, pharmacopeial monograph, PubChem/LIPID MAPS, or targeted literature curation</t>
        </is>
      </c>
      <c r="F433" t="inlineStr">
        <is>
          <t>prefer_experimental_or_supplier</t>
        </is>
      </c>
      <c r="G433" t="inlineStr">
        <is>
          <t>P3</t>
        </is>
      </c>
    </row>
    <row r="434">
      <c r="A434" t="inlineStr">
        <is>
          <t>POPE</t>
        </is>
      </c>
      <c r="B434" t="inlineStr">
        <is>
          <t>Lipid</t>
        </is>
      </c>
      <c r="C434" t="inlineStr">
        <is>
          <t>pKa_if_ionizable</t>
        </is>
      </c>
      <c r="D434" t="inlineStr">
        <is>
          <t>medium</t>
        </is>
      </c>
      <c r="E434" t="inlineStr">
        <is>
          <t>supplier CoA, pharmacopeial monograph, PubChem/LIPID MAPS, or targeted literature curation</t>
        </is>
      </c>
      <c r="F434" t="inlineStr">
        <is>
          <t>prefer_experimental_or_supplier</t>
        </is>
      </c>
      <c r="G434" t="inlineStr">
        <is>
          <t>P3</t>
        </is>
      </c>
    </row>
    <row r="435">
      <c r="A435" t="inlineStr">
        <is>
          <t>POPE</t>
        </is>
      </c>
      <c r="B435" t="inlineStr">
        <is>
          <t>Lipid</t>
        </is>
      </c>
      <c r="C435" t="inlineStr">
        <is>
          <t>melting_point_C</t>
        </is>
      </c>
      <c r="D435" t="inlineStr">
        <is>
          <t>high</t>
        </is>
      </c>
      <c r="E435" t="inlineStr">
        <is>
          <t>supplier CoA, pharmacopeial monograph, PubChem/LIPID MAPS, or targeted literature curation</t>
        </is>
      </c>
      <c r="F435" t="inlineStr">
        <is>
          <t>prefer_experimental_or_supplier</t>
        </is>
      </c>
      <c r="G435" t="inlineStr">
        <is>
          <t>P3</t>
        </is>
      </c>
    </row>
    <row r="436">
      <c r="A436" t="inlineStr">
        <is>
          <t>DSPE</t>
        </is>
      </c>
      <c r="B436" t="inlineStr">
        <is>
          <t>Lipid</t>
        </is>
      </c>
      <c r="C436" t="inlineStr">
        <is>
          <t>pKa_if_ionizable</t>
        </is>
      </c>
      <c r="D436" t="inlineStr">
        <is>
          <t>medium</t>
        </is>
      </c>
      <c r="E436" t="inlineStr">
        <is>
          <t>supplier CoA, pharmacopeial monograph, PubChem/LIPID MAPS, or targeted literature curation</t>
        </is>
      </c>
      <c r="F436" t="inlineStr">
        <is>
          <t>prefer_experimental_or_supplier</t>
        </is>
      </c>
      <c r="G436" t="inlineStr">
        <is>
          <t>P3</t>
        </is>
      </c>
    </row>
    <row r="437">
      <c r="A437" t="inlineStr">
        <is>
          <t>DSPE</t>
        </is>
      </c>
      <c r="B437" t="inlineStr">
        <is>
          <t>Lipid</t>
        </is>
      </c>
      <c r="C437" t="inlineStr">
        <is>
          <t>melting_point_C</t>
        </is>
      </c>
      <c r="D437" t="inlineStr">
        <is>
          <t>high</t>
        </is>
      </c>
      <c r="E437" t="inlineStr">
        <is>
          <t>supplier CoA, pharmacopeial monograph, PubChem/LIPID MAPS, or targeted literature curation</t>
        </is>
      </c>
      <c r="F437" t="inlineStr">
        <is>
          <t>prefer_experimental_or_supplier</t>
        </is>
      </c>
      <c r="G437" t="inlineStr">
        <is>
          <t>P3</t>
        </is>
      </c>
    </row>
    <row r="438">
      <c r="A438" t="inlineStr">
        <is>
          <t>DPPE</t>
        </is>
      </c>
      <c r="B438" t="inlineStr">
        <is>
          <t>Lipid</t>
        </is>
      </c>
      <c r="C438" t="inlineStr">
        <is>
          <t>pKa_if_ionizable</t>
        </is>
      </c>
      <c r="D438" t="inlineStr">
        <is>
          <t>medium</t>
        </is>
      </c>
      <c r="E438" t="inlineStr">
        <is>
          <t>supplier CoA, pharmacopeial monograph, PubChem/LIPID MAPS, or targeted literature curation</t>
        </is>
      </c>
      <c r="F438" t="inlineStr">
        <is>
          <t>prefer_experimental_or_supplier</t>
        </is>
      </c>
      <c r="G438" t="inlineStr">
        <is>
          <t>P3</t>
        </is>
      </c>
    </row>
    <row r="439">
      <c r="A439" t="inlineStr">
        <is>
          <t>DPPE</t>
        </is>
      </c>
      <c r="B439" t="inlineStr">
        <is>
          <t>Lipid</t>
        </is>
      </c>
      <c r="C439" t="inlineStr">
        <is>
          <t>melting_point_C</t>
        </is>
      </c>
      <c r="D439" t="inlineStr">
        <is>
          <t>high</t>
        </is>
      </c>
      <c r="E439" t="inlineStr">
        <is>
          <t>supplier CoA, pharmacopeial monograph, PubChem/LIPID MAPS, or targeted literature curation</t>
        </is>
      </c>
      <c r="F439" t="inlineStr">
        <is>
          <t>prefer_experimental_or_supplier</t>
        </is>
      </c>
      <c r="G439" t="inlineStr">
        <is>
          <t>P3</t>
        </is>
      </c>
    </row>
    <row r="440">
      <c r="A440" t="inlineStr">
        <is>
          <t>DMPE</t>
        </is>
      </c>
      <c r="B440" t="inlineStr">
        <is>
          <t>Lipid</t>
        </is>
      </c>
      <c r="C440" t="inlineStr">
        <is>
          <t>pKa_if_ionizable</t>
        </is>
      </c>
      <c r="D440" t="inlineStr">
        <is>
          <t>medium</t>
        </is>
      </c>
      <c r="E440" t="inlineStr">
        <is>
          <t>supplier CoA, pharmacopeial monograph, PubChem/LIPID MAPS, or targeted literature curation</t>
        </is>
      </c>
      <c r="F440" t="inlineStr">
        <is>
          <t>prefer_experimental_or_supplier</t>
        </is>
      </c>
      <c r="G440" t="inlineStr">
        <is>
          <t>P3</t>
        </is>
      </c>
    </row>
    <row r="441">
      <c r="A441" t="inlineStr">
        <is>
          <t>DMPE</t>
        </is>
      </c>
      <c r="B441" t="inlineStr">
        <is>
          <t>Lipid</t>
        </is>
      </c>
      <c r="C441" t="inlineStr">
        <is>
          <t>melting_point_C</t>
        </is>
      </c>
      <c r="D441" t="inlineStr">
        <is>
          <t>high</t>
        </is>
      </c>
      <c r="E441" t="inlineStr">
        <is>
          <t>supplier CoA, pharmacopeial monograph, PubChem/LIPID MAPS, or targeted literature curation</t>
        </is>
      </c>
      <c r="F441" t="inlineStr">
        <is>
          <t>prefer_experimental_or_supplier</t>
        </is>
      </c>
      <c r="G441" t="inlineStr">
        <is>
          <t>P3</t>
        </is>
      </c>
    </row>
    <row r="442">
      <c r="A442" t="inlineStr">
        <is>
          <t>DPPG</t>
        </is>
      </c>
      <c r="B442" t="inlineStr">
        <is>
          <t>Lipid</t>
        </is>
      </c>
      <c r="C442" t="inlineStr">
        <is>
          <t>pKa_if_ionizable</t>
        </is>
      </c>
      <c r="D442" t="inlineStr">
        <is>
          <t>medium</t>
        </is>
      </c>
      <c r="E442" t="inlineStr">
        <is>
          <t>supplier CoA, pharmacopeial monograph, PubChem/LIPID MAPS, or targeted literature curation</t>
        </is>
      </c>
      <c r="F442" t="inlineStr">
        <is>
          <t>prefer_experimental_or_supplier</t>
        </is>
      </c>
      <c r="G442" t="inlineStr">
        <is>
          <t>P3</t>
        </is>
      </c>
    </row>
    <row r="443">
      <c r="A443" t="inlineStr">
        <is>
          <t>DPPG</t>
        </is>
      </c>
      <c r="B443" t="inlineStr">
        <is>
          <t>Lipid</t>
        </is>
      </c>
      <c r="C443" t="inlineStr">
        <is>
          <t>melting_point_C</t>
        </is>
      </c>
      <c r="D443" t="inlineStr">
        <is>
          <t>high</t>
        </is>
      </c>
      <c r="E443" t="inlineStr">
        <is>
          <t>supplier CoA, pharmacopeial monograph, PubChem/LIPID MAPS, or targeted literature curation</t>
        </is>
      </c>
      <c r="F443" t="inlineStr">
        <is>
          <t>prefer_experimental_or_supplier</t>
        </is>
      </c>
      <c r="G443" t="inlineStr">
        <is>
          <t>P3</t>
        </is>
      </c>
    </row>
    <row r="444">
      <c r="A444" t="inlineStr">
        <is>
          <t>DOPG</t>
        </is>
      </c>
      <c r="B444" t="inlineStr">
        <is>
          <t>Lipid</t>
        </is>
      </c>
      <c r="C444" t="inlineStr">
        <is>
          <t>pKa_if_ionizable</t>
        </is>
      </c>
      <c r="D444" t="inlineStr">
        <is>
          <t>medium</t>
        </is>
      </c>
      <c r="E444" t="inlineStr">
        <is>
          <t>supplier CoA, pharmacopeial monograph, PubChem/LIPID MAPS, or targeted literature curation</t>
        </is>
      </c>
      <c r="F444" t="inlineStr">
        <is>
          <t>prefer_experimental_or_supplier</t>
        </is>
      </c>
      <c r="G444" t="inlineStr">
        <is>
          <t>P3</t>
        </is>
      </c>
    </row>
    <row r="445">
      <c r="A445" t="inlineStr">
        <is>
          <t>DOPG</t>
        </is>
      </c>
      <c r="B445" t="inlineStr">
        <is>
          <t>Lipid</t>
        </is>
      </c>
      <c r="C445" t="inlineStr">
        <is>
          <t>melting_point_C</t>
        </is>
      </c>
      <c r="D445" t="inlineStr">
        <is>
          <t>high</t>
        </is>
      </c>
      <c r="E445" t="inlineStr">
        <is>
          <t>supplier CoA, pharmacopeial monograph, PubChem/LIPID MAPS, or targeted literature curation</t>
        </is>
      </c>
      <c r="F445" t="inlineStr">
        <is>
          <t>prefer_experimental_or_supplier</t>
        </is>
      </c>
      <c r="G445" t="inlineStr">
        <is>
          <t>P3</t>
        </is>
      </c>
    </row>
    <row r="446">
      <c r="A446" t="inlineStr">
        <is>
          <t>POPG</t>
        </is>
      </c>
      <c r="B446" t="inlineStr">
        <is>
          <t>Lipid</t>
        </is>
      </c>
      <c r="C446" t="inlineStr">
        <is>
          <t>pKa_if_ionizable</t>
        </is>
      </c>
      <c r="D446" t="inlineStr">
        <is>
          <t>medium</t>
        </is>
      </c>
      <c r="E446" t="inlineStr">
        <is>
          <t>supplier CoA, pharmacopeial monograph, PubChem/LIPID MAPS, or targeted literature curation</t>
        </is>
      </c>
      <c r="F446" t="inlineStr">
        <is>
          <t>prefer_experimental_or_supplier</t>
        </is>
      </c>
      <c r="G446" t="inlineStr">
        <is>
          <t>P3</t>
        </is>
      </c>
    </row>
    <row r="447">
      <c r="A447" t="inlineStr">
        <is>
          <t>POPG</t>
        </is>
      </c>
      <c r="B447" t="inlineStr">
        <is>
          <t>Lipid</t>
        </is>
      </c>
      <c r="C447" t="inlineStr">
        <is>
          <t>melting_point_C</t>
        </is>
      </c>
      <c r="D447" t="inlineStr">
        <is>
          <t>high</t>
        </is>
      </c>
      <c r="E447" t="inlineStr">
        <is>
          <t>supplier CoA, pharmacopeial monograph, PubChem/LIPID MAPS, or targeted literature curation</t>
        </is>
      </c>
      <c r="F447" t="inlineStr">
        <is>
          <t>prefer_experimental_or_supplier</t>
        </is>
      </c>
      <c r="G447" t="inlineStr">
        <is>
          <t>P3</t>
        </is>
      </c>
    </row>
    <row r="448">
      <c r="A448" t="inlineStr">
        <is>
          <t>DSPG</t>
        </is>
      </c>
      <c r="B448" t="inlineStr">
        <is>
          <t>Lipid</t>
        </is>
      </c>
      <c r="C448" t="inlineStr">
        <is>
          <t>pKa_if_ionizable</t>
        </is>
      </c>
      <c r="D448" t="inlineStr">
        <is>
          <t>medium</t>
        </is>
      </c>
      <c r="E448" t="inlineStr">
        <is>
          <t>supplier CoA, pharmacopeial monograph, PubChem/LIPID MAPS, or targeted literature curation</t>
        </is>
      </c>
      <c r="F448" t="inlineStr">
        <is>
          <t>prefer_experimental_or_supplier</t>
        </is>
      </c>
      <c r="G448" t="inlineStr">
        <is>
          <t>P3</t>
        </is>
      </c>
    </row>
    <row r="449">
      <c r="A449" t="inlineStr">
        <is>
          <t>DSPG</t>
        </is>
      </c>
      <c r="B449" t="inlineStr">
        <is>
          <t>Lipid</t>
        </is>
      </c>
      <c r="C449" t="inlineStr">
        <is>
          <t>melting_point_C</t>
        </is>
      </c>
      <c r="D449" t="inlineStr">
        <is>
          <t>high</t>
        </is>
      </c>
      <c r="E449" t="inlineStr">
        <is>
          <t>supplier CoA, pharmacopeial monograph, PubChem/LIPID MAPS, or targeted literature curation</t>
        </is>
      </c>
      <c r="F449" t="inlineStr">
        <is>
          <t>prefer_experimental_or_supplier</t>
        </is>
      </c>
      <c r="G449" t="inlineStr">
        <is>
          <t>P3</t>
        </is>
      </c>
    </row>
    <row r="450">
      <c r="A450" t="inlineStr">
        <is>
          <t>DOPS</t>
        </is>
      </c>
      <c r="B450" t="inlineStr">
        <is>
          <t>Lipid</t>
        </is>
      </c>
      <c r="C450" t="inlineStr">
        <is>
          <t>pKa_if_ionizable</t>
        </is>
      </c>
      <c r="D450" t="inlineStr">
        <is>
          <t>medium</t>
        </is>
      </c>
      <c r="E450" t="inlineStr">
        <is>
          <t>supplier CoA, pharmacopeial monograph, PubChem/LIPID MAPS, or targeted literature curation</t>
        </is>
      </c>
      <c r="F450" t="inlineStr">
        <is>
          <t>prefer_experimental_or_supplier</t>
        </is>
      </c>
      <c r="G450" t="inlineStr">
        <is>
          <t>P3</t>
        </is>
      </c>
    </row>
    <row r="451">
      <c r="A451" t="inlineStr">
        <is>
          <t>DOPS</t>
        </is>
      </c>
      <c r="B451" t="inlineStr">
        <is>
          <t>Lipid</t>
        </is>
      </c>
      <c r="C451" t="inlineStr">
        <is>
          <t>melting_point_C</t>
        </is>
      </c>
      <c r="D451" t="inlineStr">
        <is>
          <t>high</t>
        </is>
      </c>
      <c r="E451" t="inlineStr">
        <is>
          <t>supplier CoA, pharmacopeial monograph, PubChem/LIPID MAPS, or targeted literature curation</t>
        </is>
      </c>
      <c r="F451" t="inlineStr">
        <is>
          <t>prefer_experimental_or_supplier</t>
        </is>
      </c>
      <c r="G451" t="inlineStr">
        <is>
          <t>P3</t>
        </is>
      </c>
    </row>
    <row r="452">
      <c r="A452" t="inlineStr">
        <is>
          <t>DPPS</t>
        </is>
      </c>
      <c r="B452" t="inlineStr">
        <is>
          <t>Lipid</t>
        </is>
      </c>
      <c r="C452" t="inlineStr">
        <is>
          <t>pKa_if_ionizable</t>
        </is>
      </c>
      <c r="D452" t="inlineStr">
        <is>
          <t>medium</t>
        </is>
      </c>
      <c r="E452" t="inlineStr">
        <is>
          <t>supplier CoA, pharmacopeial monograph, PubChem/LIPID MAPS, or targeted literature curation</t>
        </is>
      </c>
      <c r="F452" t="inlineStr">
        <is>
          <t>prefer_experimental_or_supplier</t>
        </is>
      </c>
      <c r="G452" t="inlineStr">
        <is>
          <t>P3</t>
        </is>
      </c>
    </row>
    <row r="453">
      <c r="A453" t="inlineStr">
        <is>
          <t>DPPS</t>
        </is>
      </c>
      <c r="B453" t="inlineStr">
        <is>
          <t>Lipid</t>
        </is>
      </c>
      <c r="C453" t="inlineStr">
        <is>
          <t>melting_point_C</t>
        </is>
      </c>
      <c r="D453" t="inlineStr">
        <is>
          <t>high</t>
        </is>
      </c>
      <c r="E453" t="inlineStr">
        <is>
          <t>supplier CoA, pharmacopeial monograph, PubChem/LIPID MAPS, or targeted literature curation</t>
        </is>
      </c>
      <c r="F453" t="inlineStr">
        <is>
          <t>prefer_experimental_or_supplier</t>
        </is>
      </c>
      <c r="G453" t="inlineStr">
        <is>
          <t>P3</t>
        </is>
      </c>
    </row>
    <row r="454">
      <c r="A454" t="inlineStr">
        <is>
          <t>DOPA</t>
        </is>
      </c>
      <c r="B454" t="inlineStr">
        <is>
          <t>Lipid</t>
        </is>
      </c>
      <c r="C454" t="inlineStr">
        <is>
          <t>pKa_if_ionizable</t>
        </is>
      </c>
      <c r="D454" t="inlineStr">
        <is>
          <t>medium</t>
        </is>
      </c>
      <c r="E454" t="inlineStr">
        <is>
          <t>supplier CoA, pharmacopeial monograph, PubChem/LIPID MAPS, or targeted literature curation</t>
        </is>
      </c>
      <c r="F454" t="inlineStr">
        <is>
          <t>prefer_experimental_or_supplier</t>
        </is>
      </c>
      <c r="G454" t="inlineStr">
        <is>
          <t>P3</t>
        </is>
      </c>
    </row>
    <row r="455">
      <c r="A455" t="inlineStr">
        <is>
          <t>DOPA</t>
        </is>
      </c>
      <c r="B455" t="inlineStr">
        <is>
          <t>Lipid</t>
        </is>
      </c>
      <c r="C455" t="inlineStr">
        <is>
          <t>melting_point_C</t>
        </is>
      </c>
      <c r="D455" t="inlineStr">
        <is>
          <t>high</t>
        </is>
      </c>
      <c r="E455" t="inlineStr">
        <is>
          <t>supplier CoA, pharmacopeial monograph, PubChem/LIPID MAPS, or targeted literature curation</t>
        </is>
      </c>
      <c r="F455" t="inlineStr">
        <is>
          <t>prefer_experimental_or_supplier</t>
        </is>
      </c>
      <c r="G455" t="inlineStr">
        <is>
          <t>P3</t>
        </is>
      </c>
    </row>
    <row r="456">
      <c r="A456" t="inlineStr">
        <is>
          <t>DPPA</t>
        </is>
      </c>
      <c r="B456" t="inlineStr">
        <is>
          <t>Lipid</t>
        </is>
      </c>
      <c r="C456" t="inlineStr">
        <is>
          <t>pKa_if_ionizable</t>
        </is>
      </c>
      <c r="D456" t="inlineStr">
        <is>
          <t>medium</t>
        </is>
      </c>
      <c r="E456" t="inlineStr">
        <is>
          <t>supplier CoA, pharmacopeial monograph, PubChem/LIPID MAPS, or targeted literature curation</t>
        </is>
      </c>
      <c r="F456" t="inlineStr">
        <is>
          <t>prefer_experimental_or_supplier</t>
        </is>
      </c>
      <c r="G456" t="inlineStr">
        <is>
          <t>P3</t>
        </is>
      </c>
    </row>
    <row r="457">
      <c r="A457" t="inlineStr">
        <is>
          <t>DPPA</t>
        </is>
      </c>
      <c r="B457" t="inlineStr">
        <is>
          <t>Lipid</t>
        </is>
      </c>
      <c r="C457" t="inlineStr">
        <is>
          <t>melting_point_C</t>
        </is>
      </c>
      <c r="D457" t="inlineStr">
        <is>
          <t>high</t>
        </is>
      </c>
      <c r="E457" t="inlineStr">
        <is>
          <t>supplier CoA, pharmacopeial monograph, PubChem/LIPID MAPS, or targeted literature curation</t>
        </is>
      </c>
      <c r="F457" t="inlineStr">
        <is>
          <t>prefer_experimental_or_supplier</t>
        </is>
      </c>
      <c r="G457" t="inlineStr">
        <is>
          <t>P3</t>
        </is>
      </c>
    </row>
    <row r="458">
      <c r="A458" t="inlineStr">
        <is>
          <t>DSPE-PEG2000</t>
        </is>
      </c>
      <c r="B458" t="inlineStr">
        <is>
          <t>Lipid</t>
        </is>
      </c>
      <c r="C458" t="inlineStr">
        <is>
          <t>pKa_if_ionizable</t>
        </is>
      </c>
      <c r="D458" t="inlineStr">
        <is>
          <t>medium</t>
        </is>
      </c>
      <c r="E458" t="inlineStr">
        <is>
          <t>supplier CoA, pharmacopeial monograph, PubChem/LIPID MAPS, or targeted literature curation</t>
        </is>
      </c>
      <c r="F458" t="inlineStr">
        <is>
          <t>prefer_experimental_or_supplier</t>
        </is>
      </c>
      <c r="G458" t="inlineStr">
        <is>
          <t>P3</t>
        </is>
      </c>
    </row>
    <row r="459">
      <c r="A459" t="inlineStr">
        <is>
          <t>DSPE-PEG2000</t>
        </is>
      </c>
      <c r="B459" t="inlineStr">
        <is>
          <t>Lipid</t>
        </is>
      </c>
      <c r="C459" t="inlineStr">
        <is>
          <t>phase_transition_temperature_C</t>
        </is>
      </c>
      <c r="D459" t="inlineStr">
        <is>
          <t>critical for lipids</t>
        </is>
      </c>
      <c r="E459" t="inlineStr">
        <is>
          <t>DSC at hydration/ionic conditions or Avanti/LIPIDAT</t>
        </is>
      </c>
      <c r="F459" t="inlineStr">
        <is>
          <t>prefer_experimental_or_supplier</t>
        </is>
      </c>
      <c r="G459" t="inlineStr">
        <is>
          <t>P1</t>
        </is>
      </c>
    </row>
    <row r="460">
      <c r="A460" t="inlineStr">
        <is>
          <t>DSPE-PEG2000</t>
        </is>
      </c>
      <c r="B460" t="inlineStr">
        <is>
          <t>Lipid</t>
        </is>
      </c>
      <c r="C460" t="inlineStr">
        <is>
          <t>melting_point_C</t>
        </is>
      </c>
      <c r="D460" t="inlineStr">
        <is>
          <t>high</t>
        </is>
      </c>
      <c r="E460" t="inlineStr">
        <is>
          <t>supplier CoA, pharmacopeial monograph, PubChem/LIPID MAPS, or targeted literature curation</t>
        </is>
      </c>
      <c r="F460" t="inlineStr">
        <is>
          <t>prefer_experimental_or_supplier</t>
        </is>
      </c>
      <c r="G460" t="inlineStr">
        <is>
          <t>P3</t>
        </is>
      </c>
    </row>
    <row r="461">
      <c r="A461" t="inlineStr">
        <is>
          <t>DSPE-PEG5000</t>
        </is>
      </c>
      <c r="B461" t="inlineStr">
        <is>
          <t>Lipid</t>
        </is>
      </c>
      <c r="C461" t="inlineStr">
        <is>
          <t>pKa_if_ionizable</t>
        </is>
      </c>
      <c r="D461" t="inlineStr">
        <is>
          <t>medium</t>
        </is>
      </c>
      <c r="E461" t="inlineStr">
        <is>
          <t>supplier CoA, pharmacopeial monograph, PubChem/LIPID MAPS, or targeted literature curation</t>
        </is>
      </c>
      <c r="F461" t="inlineStr">
        <is>
          <t>prefer_experimental_or_supplier</t>
        </is>
      </c>
      <c r="G461" t="inlineStr">
        <is>
          <t>P3</t>
        </is>
      </c>
    </row>
    <row r="462">
      <c r="A462" t="inlineStr">
        <is>
          <t>DSPE-PEG5000</t>
        </is>
      </c>
      <c r="B462" t="inlineStr">
        <is>
          <t>Lipid</t>
        </is>
      </c>
      <c r="C462" t="inlineStr">
        <is>
          <t>phase_transition_temperature_C</t>
        </is>
      </c>
      <c r="D462" t="inlineStr">
        <is>
          <t>critical for lipids</t>
        </is>
      </c>
      <c r="E462" t="inlineStr">
        <is>
          <t>DSC at hydration/ionic conditions or Avanti/LIPIDAT</t>
        </is>
      </c>
      <c r="F462" t="inlineStr">
        <is>
          <t>prefer_experimental_or_supplier</t>
        </is>
      </c>
      <c r="G462" t="inlineStr">
        <is>
          <t>P1</t>
        </is>
      </c>
    </row>
    <row r="463">
      <c r="A463" t="inlineStr">
        <is>
          <t>DSPE-PEG5000</t>
        </is>
      </c>
      <c r="B463" t="inlineStr">
        <is>
          <t>Lipid</t>
        </is>
      </c>
      <c r="C463" t="inlineStr">
        <is>
          <t>melting_point_C</t>
        </is>
      </c>
      <c r="D463" t="inlineStr">
        <is>
          <t>high</t>
        </is>
      </c>
      <c r="E463" t="inlineStr">
        <is>
          <t>supplier CoA, pharmacopeial monograph, PubChem/LIPID MAPS, or targeted literature curation</t>
        </is>
      </c>
      <c r="F463" t="inlineStr">
        <is>
          <t>prefer_experimental_or_supplier</t>
        </is>
      </c>
      <c r="G463" t="inlineStr">
        <is>
          <t>P3</t>
        </is>
      </c>
    </row>
    <row r="464">
      <c r="A464" t="inlineStr">
        <is>
          <t>DMG-PEG2000</t>
        </is>
      </c>
      <c r="B464" t="inlineStr">
        <is>
          <t>Lipid</t>
        </is>
      </c>
      <c r="C464" t="inlineStr">
        <is>
          <t>pKa_if_ionizable</t>
        </is>
      </c>
      <c r="D464" t="inlineStr">
        <is>
          <t>medium</t>
        </is>
      </c>
      <c r="E464" t="inlineStr">
        <is>
          <t>supplier CoA, pharmacopeial monograph, PubChem/LIPID MAPS, or targeted literature curation</t>
        </is>
      </c>
      <c r="F464" t="inlineStr">
        <is>
          <t>prefer_experimental_or_supplier</t>
        </is>
      </c>
      <c r="G464" t="inlineStr">
        <is>
          <t>P3</t>
        </is>
      </c>
    </row>
    <row r="465">
      <c r="A465" t="inlineStr">
        <is>
          <t>DMG-PEG2000</t>
        </is>
      </c>
      <c r="B465" t="inlineStr">
        <is>
          <t>Lipid</t>
        </is>
      </c>
      <c r="C465" t="inlineStr">
        <is>
          <t>phase_transition_temperature_C</t>
        </is>
      </c>
      <c r="D465" t="inlineStr">
        <is>
          <t>critical for lipids</t>
        </is>
      </c>
      <c r="E465" t="inlineStr">
        <is>
          <t>DSC at hydration/ionic conditions or Avanti/LIPIDAT</t>
        </is>
      </c>
      <c r="F465" t="inlineStr">
        <is>
          <t>prefer_experimental_or_supplier</t>
        </is>
      </c>
      <c r="G465" t="inlineStr">
        <is>
          <t>P1</t>
        </is>
      </c>
    </row>
    <row r="466">
      <c r="A466" t="inlineStr">
        <is>
          <t>DMG-PEG2000</t>
        </is>
      </c>
      <c r="B466" t="inlineStr">
        <is>
          <t>Lipid</t>
        </is>
      </c>
      <c r="C466" t="inlineStr">
        <is>
          <t>melting_point_C</t>
        </is>
      </c>
      <c r="D466" t="inlineStr">
        <is>
          <t>high</t>
        </is>
      </c>
      <c r="E466" t="inlineStr">
        <is>
          <t>supplier CoA, pharmacopeial monograph, PubChem/LIPID MAPS, or targeted literature curation</t>
        </is>
      </c>
      <c r="F466" t="inlineStr">
        <is>
          <t>prefer_experimental_or_supplier</t>
        </is>
      </c>
      <c r="G466" t="inlineStr">
        <is>
          <t>P3</t>
        </is>
      </c>
    </row>
    <row r="467">
      <c r="A467" t="inlineStr">
        <is>
          <t>PEG-DMG</t>
        </is>
      </c>
      <c r="B467" t="inlineStr">
        <is>
          <t>Lipid</t>
        </is>
      </c>
      <c r="C467" t="inlineStr">
        <is>
          <t>pKa_if_ionizable</t>
        </is>
      </c>
      <c r="D467" t="inlineStr">
        <is>
          <t>medium</t>
        </is>
      </c>
      <c r="E467" t="inlineStr">
        <is>
          <t>supplier CoA, pharmacopeial monograph, PubChem/LIPID MAPS, or targeted literature curation</t>
        </is>
      </c>
      <c r="F467" t="inlineStr">
        <is>
          <t>prefer_experimental_or_supplier</t>
        </is>
      </c>
      <c r="G467" t="inlineStr">
        <is>
          <t>P3</t>
        </is>
      </c>
    </row>
    <row r="468">
      <c r="A468" t="inlineStr">
        <is>
          <t>PEG-DMG</t>
        </is>
      </c>
      <c r="B468" t="inlineStr">
        <is>
          <t>Lipid</t>
        </is>
      </c>
      <c r="C468" t="inlineStr">
        <is>
          <t>phase_transition_temperature_C</t>
        </is>
      </c>
      <c r="D468" t="inlineStr">
        <is>
          <t>critical for lipids</t>
        </is>
      </c>
      <c r="E468" t="inlineStr">
        <is>
          <t>DSC at hydration/ionic conditions or Avanti/LIPIDAT</t>
        </is>
      </c>
      <c r="F468" t="inlineStr">
        <is>
          <t>prefer_experimental_or_supplier</t>
        </is>
      </c>
      <c r="G468" t="inlineStr">
        <is>
          <t>P1</t>
        </is>
      </c>
    </row>
    <row r="469">
      <c r="A469" t="inlineStr">
        <is>
          <t>PEG-DMG</t>
        </is>
      </c>
      <c r="B469" t="inlineStr">
        <is>
          <t>Lipid</t>
        </is>
      </c>
      <c r="C469" t="inlineStr">
        <is>
          <t>melting_point_C</t>
        </is>
      </c>
      <c r="D469" t="inlineStr">
        <is>
          <t>high</t>
        </is>
      </c>
      <c r="E469" t="inlineStr">
        <is>
          <t>supplier CoA, pharmacopeial monograph, PubChem/LIPID MAPS, or targeted literature curation</t>
        </is>
      </c>
      <c r="F469" t="inlineStr">
        <is>
          <t>prefer_experimental_or_supplier</t>
        </is>
      </c>
      <c r="G469" t="inlineStr">
        <is>
          <t>P3</t>
        </is>
      </c>
    </row>
    <row r="470">
      <c r="A470" t="inlineStr">
        <is>
          <t>PEG-DSG</t>
        </is>
      </c>
      <c r="B470" t="inlineStr">
        <is>
          <t>Lipid</t>
        </is>
      </c>
      <c r="C470" t="inlineStr">
        <is>
          <t>pKa_if_ionizable</t>
        </is>
      </c>
      <c r="D470" t="inlineStr">
        <is>
          <t>medium</t>
        </is>
      </c>
      <c r="E470" t="inlineStr">
        <is>
          <t>supplier CoA, pharmacopeial monograph, PubChem/LIPID MAPS, or targeted literature curation</t>
        </is>
      </c>
      <c r="F470" t="inlineStr">
        <is>
          <t>prefer_experimental_or_supplier</t>
        </is>
      </c>
      <c r="G470" t="inlineStr">
        <is>
          <t>P3</t>
        </is>
      </c>
    </row>
    <row r="471">
      <c r="A471" t="inlineStr">
        <is>
          <t>PEG-DSG</t>
        </is>
      </c>
      <c r="B471" t="inlineStr">
        <is>
          <t>Lipid</t>
        </is>
      </c>
      <c r="C471" t="inlineStr">
        <is>
          <t>phase_transition_temperature_C</t>
        </is>
      </c>
      <c r="D471" t="inlineStr">
        <is>
          <t>critical for lipids</t>
        </is>
      </c>
      <c r="E471" t="inlineStr">
        <is>
          <t>DSC at hydration/ionic conditions or Avanti/LIPIDAT</t>
        </is>
      </c>
      <c r="F471" t="inlineStr">
        <is>
          <t>prefer_experimental_or_supplier</t>
        </is>
      </c>
      <c r="G471" t="inlineStr">
        <is>
          <t>P1</t>
        </is>
      </c>
    </row>
    <row r="472">
      <c r="A472" t="inlineStr">
        <is>
          <t>PEG-DSG</t>
        </is>
      </c>
      <c r="B472" t="inlineStr">
        <is>
          <t>Lipid</t>
        </is>
      </c>
      <c r="C472" t="inlineStr">
        <is>
          <t>melting_point_C</t>
        </is>
      </c>
      <c r="D472" t="inlineStr">
        <is>
          <t>high</t>
        </is>
      </c>
      <c r="E472" t="inlineStr">
        <is>
          <t>supplier CoA, pharmacopeial monograph, PubChem/LIPID MAPS, or targeted literature curation</t>
        </is>
      </c>
      <c r="F472" t="inlineStr">
        <is>
          <t>prefer_experimental_or_supplier</t>
        </is>
      </c>
      <c r="G472" t="inlineStr">
        <is>
          <t>P3</t>
        </is>
      </c>
    </row>
    <row r="473">
      <c r="A473" t="inlineStr">
        <is>
          <t>PEG-DPPE</t>
        </is>
      </c>
      <c r="B473" t="inlineStr">
        <is>
          <t>Lipid</t>
        </is>
      </c>
      <c r="C473" t="inlineStr">
        <is>
          <t>pKa_if_ionizable</t>
        </is>
      </c>
      <c r="D473" t="inlineStr">
        <is>
          <t>medium</t>
        </is>
      </c>
      <c r="E473" t="inlineStr">
        <is>
          <t>supplier CoA, pharmacopeial monograph, PubChem/LIPID MAPS, or targeted literature curation</t>
        </is>
      </c>
      <c r="F473" t="inlineStr">
        <is>
          <t>prefer_experimental_or_supplier</t>
        </is>
      </c>
      <c r="G473" t="inlineStr">
        <is>
          <t>P3</t>
        </is>
      </c>
    </row>
    <row r="474">
      <c r="A474" t="inlineStr">
        <is>
          <t>PEG-DPPE</t>
        </is>
      </c>
      <c r="B474" t="inlineStr">
        <is>
          <t>Lipid</t>
        </is>
      </c>
      <c r="C474" t="inlineStr">
        <is>
          <t>phase_transition_temperature_C</t>
        </is>
      </c>
      <c r="D474" t="inlineStr">
        <is>
          <t>critical for lipids</t>
        </is>
      </c>
      <c r="E474" t="inlineStr">
        <is>
          <t>DSC at hydration/ionic conditions or Avanti/LIPIDAT</t>
        </is>
      </c>
      <c r="F474" t="inlineStr">
        <is>
          <t>prefer_experimental_or_supplier</t>
        </is>
      </c>
      <c r="G474" t="inlineStr">
        <is>
          <t>P1</t>
        </is>
      </c>
    </row>
    <row r="475">
      <c r="A475" t="inlineStr">
        <is>
          <t>PEG-DPPE</t>
        </is>
      </c>
      <c r="B475" t="inlineStr">
        <is>
          <t>Lipid</t>
        </is>
      </c>
      <c r="C475" t="inlineStr">
        <is>
          <t>melting_point_C</t>
        </is>
      </c>
      <c r="D475" t="inlineStr">
        <is>
          <t>high</t>
        </is>
      </c>
      <c r="E475" t="inlineStr">
        <is>
          <t>supplier CoA, pharmacopeial monograph, PubChem/LIPID MAPS, or targeted literature curation</t>
        </is>
      </c>
      <c r="F475" t="inlineStr">
        <is>
          <t>prefer_experimental_or_supplier</t>
        </is>
      </c>
      <c r="G475" t="inlineStr">
        <is>
          <t>P3</t>
        </is>
      </c>
    </row>
    <row r="476">
      <c r="A476" t="inlineStr">
        <is>
          <t>DOTAP</t>
        </is>
      </c>
      <c r="B476" t="inlineStr">
        <is>
          <t>Lipid</t>
        </is>
      </c>
      <c r="C476" t="inlineStr">
        <is>
          <t>pKa_if_ionizable</t>
        </is>
      </c>
      <c r="D476" t="inlineStr">
        <is>
          <t>medium</t>
        </is>
      </c>
      <c r="E476" t="inlineStr">
        <is>
          <t>supplier CoA, pharmacopeial monograph, PubChem/LIPID MAPS, or targeted literature curation</t>
        </is>
      </c>
      <c r="F476" t="inlineStr">
        <is>
          <t>prefer_experimental_or_supplier</t>
        </is>
      </c>
      <c r="G476" t="inlineStr">
        <is>
          <t>P3</t>
        </is>
      </c>
    </row>
    <row r="477">
      <c r="A477" t="inlineStr">
        <is>
          <t>DOTAP</t>
        </is>
      </c>
      <c r="B477" t="inlineStr">
        <is>
          <t>Lipid</t>
        </is>
      </c>
      <c r="C477" t="inlineStr">
        <is>
          <t>phase_transition_temperature_C</t>
        </is>
      </c>
      <c r="D477" t="inlineStr">
        <is>
          <t>critical for lipids</t>
        </is>
      </c>
      <c r="E477" t="inlineStr">
        <is>
          <t>DSC at hydration/ionic conditions or Avanti/LIPIDAT</t>
        </is>
      </c>
      <c r="F477" t="inlineStr">
        <is>
          <t>prefer_experimental_or_supplier</t>
        </is>
      </c>
      <c r="G477" t="inlineStr">
        <is>
          <t>P1</t>
        </is>
      </c>
    </row>
    <row r="478">
      <c r="A478" t="inlineStr">
        <is>
          <t>DOTAP</t>
        </is>
      </c>
      <c r="B478" t="inlineStr">
        <is>
          <t>Lipid</t>
        </is>
      </c>
      <c r="C478" t="inlineStr">
        <is>
          <t>melting_point_C</t>
        </is>
      </c>
      <c r="D478" t="inlineStr">
        <is>
          <t>high</t>
        </is>
      </c>
      <c r="E478" t="inlineStr">
        <is>
          <t>supplier CoA, pharmacopeial monograph, PubChem/LIPID MAPS, or targeted literature curation</t>
        </is>
      </c>
      <c r="F478" t="inlineStr">
        <is>
          <t>prefer_experimental_or_supplier</t>
        </is>
      </c>
      <c r="G478" t="inlineStr">
        <is>
          <t>P3</t>
        </is>
      </c>
    </row>
    <row r="479">
      <c r="A479" t="inlineStr">
        <is>
          <t>DOTMA</t>
        </is>
      </c>
      <c r="B479" t="inlineStr">
        <is>
          <t>Lipid</t>
        </is>
      </c>
      <c r="C479" t="inlineStr">
        <is>
          <t>pKa_if_ionizable</t>
        </is>
      </c>
      <c r="D479" t="inlineStr">
        <is>
          <t>medium</t>
        </is>
      </c>
      <c r="E479" t="inlineStr">
        <is>
          <t>supplier CoA, pharmacopeial monograph, PubChem/LIPID MAPS, or targeted literature curation</t>
        </is>
      </c>
      <c r="F479" t="inlineStr">
        <is>
          <t>prefer_experimental_or_supplier</t>
        </is>
      </c>
      <c r="G479" t="inlineStr">
        <is>
          <t>P3</t>
        </is>
      </c>
    </row>
    <row r="480">
      <c r="A480" t="inlineStr">
        <is>
          <t>DOTMA</t>
        </is>
      </c>
      <c r="B480" t="inlineStr">
        <is>
          <t>Lipid</t>
        </is>
      </c>
      <c r="C480" t="inlineStr">
        <is>
          <t>phase_transition_temperature_C</t>
        </is>
      </c>
      <c r="D480" t="inlineStr">
        <is>
          <t>critical for lipids</t>
        </is>
      </c>
      <c r="E480" t="inlineStr">
        <is>
          <t>DSC at hydration/ionic conditions or Avanti/LIPIDAT</t>
        </is>
      </c>
      <c r="F480" t="inlineStr">
        <is>
          <t>prefer_experimental_or_supplier</t>
        </is>
      </c>
      <c r="G480" t="inlineStr">
        <is>
          <t>P1</t>
        </is>
      </c>
    </row>
    <row r="481">
      <c r="A481" t="inlineStr">
        <is>
          <t>DOTMA</t>
        </is>
      </c>
      <c r="B481" t="inlineStr">
        <is>
          <t>Lipid</t>
        </is>
      </c>
      <c r="C481" t="inlineStr">
        <is>
          <t>melting_point_C</t>
        </is>
      </c>
      <c r="D481" t="inlineStr">
        <is>
          <t>high</t>
        </is>
      </c>
      <c r="E481" t="inlineStr">
        <is>
          <t>supplier CoA, pharmacopeial monograph, PubChem/LIPID MAPS, or targeted literature curation</t>
        </is>
      </c>
      <c r="F481" t="inlineStr">
        <is>
          <t>prefer_experimental_or_supplier</t>
        </is>
      </c>
      <c r="G481" t="inlineStr">
        <is>
          <t>P3</t>
        </is>
      </c>
    </row>
    <row r="482">
      <c r="A482" t="inlineStr">
        <is>
          <t>DDAB</t>
        </is>
      </c>
      <c r="B482" t="inlineStr">
        <is>
          <t>Lipid</t>
        </is>
      </c>
      <c r="C482" t="inlineStr">
        <is>
          <t>pKa_if_ionizable</t>
        </is>
      </c>
      <c r="D482" t="inlineStr">
        <is>
          <t>medium</t>
        </is>
      </c>
      <c r="E482" t="inlineStr">
        <is>
          <t>supplier CoA, pharmacopeial monograph, PubChem/LIPID MAPS, or targeted literature curation</t>
        </is>
      </c>
      <c r="F482" t="inlineStr">
        <is>
          <t>prefer_experimental_or_supplier</t>
        </is>
      </c>
      <c r="G482" t="inlineStr">
        <is>
          <t>P3</t>
        </is>
      </c>
    </row>
    <row r="483">
      <c r="A483" t="inlineStr">
        <is>
          <t>DDAB</t>
        </is>
      </c>
      <c r="B483" t="inlineStr">
        <is>
          <t>Lipid</t>
        </is>
      </c>
      <c r="C483" t="inlineStr">
        <is>
          <t>phase_transition_temperature_C</t>
        </is>
      </c>
      <c r="D483" t="inlineStr">
        <is>
          <t>critical for lipids</t>
        </is>
      </c>
      <c r="E483" t="inlineStr">
        <is>
          <t>DSC at hydration/ionic conditions or Avanti/LIPIDAT</t>
        </is>
      </c>
      <c r="F483" t="inlineStr">
        <is>
          <t>prefer_experimental_or_supplier</t>
        </is>
      </c>
      <c r="G483" t="inlineStr">
        <is>
          <t>P1</t>
        </is>
      </c>
    </row>
    <row r="484">
      <c r="A484" t="inlineStr">
        <is>
          <t>DDAB</t>
        </is>
      </c>
      <c r="B484" t="inlineStr">
        <is>
          <t>Lipid</t>
        </is>
      </c>
      <c r="C484" t="inlineStr">
        <is>
          <t>melting_point_C</t>
        </is>
      </c>
      <c r="D484" t="inlineStr">
        <is>
          <t>high</t>
        </is>
      </c>
      <c r="E484" t="inlineStr">
        <is>
          <t>supplier CoA, pharmacopeial monograph, PubChem/LIPID MAPS, or targeted literature curation</t>
        </is>
      </c>
      <c r="F484" t="inlineStr">
        <is>
          <t>prefer_experimental_or_supplier</t>
        </is>
      </c>
      <c r="G484" t="inlineStr">
        <is>
          <t>P3</t>
        </is>
      </c>
    </row>
    <row r="485">
      <c r="A485" t="inlineStr">
        <is>
          <t>DC-Chol</t>
        </is>
      </c>
      <c r="B485" t="inlineStr">
        <is>
          <t>Lipid</t>
        </is>
      </c>
      <c r="C485" t="inlineStr">
        <is>
          <t>pKa_if_ionizable</t>
        </is>
      </c>
      <c r="D485" t="inlineStr">
        <is>
          <t>medium</t>
        </is>
      </c>
      <c r="E485" t="inlineStr">
        <is>
          <t>supplier CoA, pharmacopeial monograph, PubChem/LIPID MAPS, or targeted literature curation</t>
        </is>
      </c>
      <c r="F485" t="inlineStr">
        <is>
          <t>prefer_experimental_or_supplier</t>
        </is>
      </c>
      <c r="G485" t="inlineStr">
        <is>
          <t>P3</t>
        </is>
      </c>
    </row>
    <row r="486">
      <c r="A486" t="inlineStr">
        <is>
          <t>DC-Chol</t>
        </is>
      </c>
      <c r="B486" t="inlineStr">
        <is>
          <t>Lipid</t>
        </is>
      </c>
      <c r="C486" t="inlineStr">
        <is>
          <t>phase_transition_temperature_C</t>
        </is>
      </c>
      <c r="D486" t="inlineStr">
        <is>
          <t>critical for lipids</t>
        </is>
      </c>
      <c r="E486" t="inlineStr">
        <is>
          <t>DSC at hydration/ionic conditions or Avanti/LIPIDAT</t>
        </is>
      </c>
      <c r="F486" t="inlineStr">
        <is>
          <t>prefer_experimental_or_supplier</t>
        </is>
      </c>
      <c r="G486" t="inlineStr">
        <is>
          <t>P1</t>
        </is>
      </c>
    </row>
    <row r="487">
      <c r="A487" t="inlineStr">
        <is>
          <t>DC-Chol</t>
        </is>
      </c>
      <c r="B487" t="inlineStr">
        <is>
          <t>Lipid</t>
        </is>
      </c>
      <c r="C487" t="inlineStr">
        <is>
          <t>melting_point_C</t>
        </is>
      </c>
      <c r="D487" t="inlineStr">
        <is>
          <t>high</t>
        </is>
      </c>
      <c r="E487" t="inlineStr">
        <is>
          <t>supplier CoA, pharmacopeial monograph, PubChem/LIPID MAPS, or targeted literature curation</t>
        </is>
      </c>
      <c r="F487" t="inlineStr">
        <is>
          <t>prefer_experimental_or_supplier</t>
        </is>
      </c>
      <c r="G487" t="inlineStr">
        <is>
          <t>P3</t>
        </is>
      </c>
    </row>
    <row r="488">
      <c r="A488" t="inlineStr">
        <is>
          <t>DODAP</t>
        </is>
      </c>
      <c r="B488" t="inlineStr">
        <is>
          <t>Lipid</t>
        </is>
      </c>
      <c r="C488" t="inlineStr">
        <is>
          <t>phase_transition_temperature_C</t>
        </is>
      </c>
      <c r="D488" t="inlineStr">
        <is>
          <t>critical for lipids</t>
        </is>
      </c>
      <c r="E488" t="inlineStr">
        <is>
          <t>DSC at hydration/ionic conditions or Avanti/LIPIDAT</t>
        </is>
      </c>
      <c r="F488" t="inlineStr">
        <is>
          <t>prefer_experimental_or_supplier</t>
        </is>
      </c>
      <c r="G488" t="inlineStr">
        <is>
          <t>P1</t>
        </is>
      </c>
    </row>
    <row r="489">
      <c r="A489" t="inlineStr">
        <is>
          <t>DODAP</t>
        </is>
      </c>
      <c r="B489" t="inlineStr">
        <is>
          <t>Lipid</t>
        </is>
      </c>
      <c r="C489" t="inlineStr">
        <is>
          <t>melting_point_C</t>
        </is>
      </c>
      <c r="D489" t="inlineStr">
        <is>
          <t>high</t>
        </is>
      </c>
      <c r="E489" t="inlineStr">
        <is>
          <t>supplier CoA, pharmacopeial monograph, PubChem/LIPID MAPS, or targeted literature curation</t>
        </is>
      </c>
      <c r="F489" t="inlineStr">
        <is>
          <t>prefer_experimental_or_supplier</t>
        </is>
      </c>
      <c r="G489" t="inlineStr">
        <is>
          <t>P3</t>
        </is>
      </c>
    </row>
    <row r="490">
      <c r="A490" t="inlineStr">
        <is>
          <t>DLin-MC3-DMA</t>
        </is>
      </c>
      <c r="B490" t="inlineStr">
        <is>
          <t>Lipid</t>
        </is>
      </c>
      <c r="C490" t="inlineStr">
        <is>
          <t>phase_transition_temperature_C</t>
        </is>
      </c>
      <c r="D490" t="inlineStr">
        <is>
          <t>critical for lipids</t>
        </is>
      </c>
      <c r="E490" t="inlineStr">
        <is>
          <t>DSC at hydration/ionic conditions or Avanti/LIPIDAT</t>
        </is>
      </c>
      <c r="F490" t="inlineStr">
        <is>
          <t>prefer_experimental_or_supplier</t>
        </is>
      </c>
      <c r="G490" t="inlineStr">
        <is>
          <t>P1</t>
        </is>
      </c>
    </row>
    <row r="491">
      <c r="A491" t="inlineStr">
        <is>
          <t>DLin-MC3-DMA</t>
        </is>
      </c>
      <c r="B491" t="inlineStr">
        <is>
          <t>Lipid</t>
        </is>
      </c>
      <c r="C491" t="inlineStr">
        <is>
          <t>melting_point_C</t>
        </is>
      </c>
      <c r="D491" t="inlineStr">
        <is>
          <t>high</t>
        </is>
      </c>
      <c r="E491" t="inlineStr">
        <is>
          <t>supplier CoA, pharmacopeial monograph, PubChem/LIPID MAPS, or targeted literature curation</t>
        </is>
      </c>
      <c r="F491" t="inlineStr">
        <is>
          <t>prefer_experimental_or_supplier</t>
        </is>
      </c>
      <c r="G491" t="inlineStr">
        <is>
          <t>P3</t>
        </is>
      </c>
    </row>
    <row r="492">
      <c r="A492" t="inlineStr">
        <is>
          <t>SM-102</t>
        </is>
      </c>
      <c r="B492" t="inlineStr">
        <is>
          <t>Lipid</t>
        </is>
      </c>
      <c r="C492" t="inlineStr">
        <is>
          <t>phase_transition_temperature_C</t>
        </is>
      </c>
      <c r="D492" t="inlineStr">
        <is>
          <t>critical for lipids</t>
        </is>
      </c>
      <c r="E492" t="inlineStr">
        <is>
          <t>DSC at hydration/ionic conditions or Avanti/LIPIDAT</t>
        </is>
      </c>
      <c r="F492" t="inlineStr">
        <is>
          <t>prefer_experimental_or_supplier</t>
        </is>
      </c>
      <c r="G492" t="inlineStr">
        <is>
          <t>P1</t>
        </is>
      </c>
    </row>
    <row r="493">
      <c r="A493" t="inlineStr">
        <is>
          <t>SM-102</t>
        </is>
      </c>
      <c r="B493" t="inlineStr">
        <is>
          <t>Lipid</t>
        </is>
      </c>
      <c r="C493" t="inlineStr">
        <is>
          <t>melting_point_C</t>
        </is>
      </c>
      <c r="D493" t="inlineStr">
        <is>
          <t>high</t>
        </is>
      </c>
      <c r="E493" t="inlineStr">
        <is>
          <t>supplier CoA, pharmacopeial monograph, PubChem/LIPID MAPS, or targeted literature curation</t>
        </is>
      </c>
      <c r="F493" t="inlineStr">
        <is>
          <t>prefer_experimental_or_supplier</t>
        </is>
      </c>
      <c r="G493" t="inlineStr">
        <is>
          <t>P3</t>
        </is>
      </c>
    </row>
    <row r="494">
      <c r="A494" t="inlineStr">
        <is>
          <t>ALC-0315</t>
        </is>
      </c>
      <c r="B494" t="inlineStr">
        <is>
          <t>Lipid</t>
        </is>
      </c>
      <c r="C494" t="inlineStr">
        <is>
          <t>phase_transition_temperature_C</t>
        </is>
      </c>
      <c r="D494" t="inlineStr">
        <is>
          <t>critical for lipids</t>
        </is>
      </c>
      <c r="E494" t="inlineStr">
        <is>
          <t>DSC at hydration/ionic conditions or Avanti/LIPIDAT</t>
        </is>
      </c>
      <c r="F494" t="inlineStr">
        <is>
          <t>prefer_experimental_or_supplier</t>
        </is>
      </c>
      <c r="G494" t="inlineStr">
        <is>
          <t>P1</t>
        </is>
      </c>
    </row>
    <row r="495">
      <c r="A495" t="inlineStr">
        <is>
          <t>ALC-0315</t>
        </is>
      </c>
      <c r="B495" t="inlineStr">
        <is>
          <t>Lipid</t>
        </is>
      </c>
      <c r="C495" t="inlineStr">
        <is>
          <t>melting_point_C</t>
        </is>
      </c>
      <c r="D495" t="inlineStr">
        <is>
          <t>high</t>
        </is>
      </c>
      <c r="E495" t="inlineStr">
        <is>
          <t>supplier CoA, pharmacopeial monograph, PubChem/LIPID MAPS, or targeted literature curation</t>
        </is>
      </c>
      <c r="F495" t="inlineStr">
        <is>
          <t>prefer_experimental_or_supplier</t>
        </is>
      </c>
      <c r="G495" t="inlineStr">
        <is>
          <t>P3</t>
        </is>
      </c>
    </row>
    <row r="496">
      <c r="A496" t="inlineStr">
        <is>
          <t>Dlin-KC2-DMA</t>
        </is>
      </c>
      <c r="B496" t="inlineStr">
        <is>
          <t>Lipid</t>
        </is>
      </c>
      <c r="C496" t="inlineStr">
        <is>
          <t>phase_transition_temperature_C</t>
        </is>
      </c>
      <c r="D496" t="inlineStr">
        <is>
          <t>critical for lipids</t>
        </is>
      </c>
      <c r="E496" t="inlineStr">
        <is>
          <t>DSC at hydration/ionic conditions or Avanti/LIPIDAT</t>
        </is>
      </c>
      <c r="F496" t="inlineStr">
        <is>
          <t>prefer_experimental_or_supplier</t>
        </is>
      </c>
      <c r="G496" t="inlineStr">
        <is>
          <t>P1</t>
        </is>
      </c>
    </row>
    <row r="497">
      <c r="A497" t="inlineStr">
        <is>
          <t>Dlin-KC2-DMA</t>
        </is>
      </c>
      <c r="B497" t="inlineStr">
        <is>
          <t>Lipid</t>
        </is>
      </c>
      <c r="C497" t="inlineStr">
        <is>
          <t>melting_point_C</t>
        </is>
      </c>
      <c r="D497" t="inlineStr">
        <is>
          <t>high</t>
        </is>
      </c>
      <c r="E497" t="inlineStr">
        <is>
          <t>supplier CoA, pharmacopeial monograph, PubChem/LIPID MAPS, or targeted literature curation</t>
        </is>
      </c>
      <c r="F497" t="inlineStr">
        <is>
          <t>prefer_experimental_or_supplier</t>
        </is>
      </c>
      <c r="G497" t="inlineStr">
        <is>
          <t>P3</t>
        </is>
      </c>
    </row>
    <row r="498">
      <c r="A498" t="inlineStr">
        <is>
          <t>DODMA</t>
        </is>
      </c>
      <c r="B498" t="inlineStr">
        <is>
          <t>Lipid</t>
        </is>
      </c>
      <c r="C498" t="inlineStr">
        <is>
          <t>phase_transition_temperature_C</t>
        </is>
      </c>
      <c r="D498" t="inlineStr">
        <is>
          <t>critical for lipids</t>
        </is>
      </c>
      <c r="E498" t="inlineStr">
        <is>
          <t>DSC at hydration/ionic conditions or Avanti/LIPIDAT</t>
        </is>
      </c>
      <c r="F498" t="inlineStr">
        <is>
          <t>prefer_experimental_or_supplier</t>
        </is>
      </c>
      <c r="G498" t="inlineStr">
        <is>
          <t>P1</t>
        </is>
      </c>
    </row>
    <row r="499">
      <c r="A499" t="inlineStr">
        <is>
          <t>DODMA</t>
        </is>
      </c>
      <c r="B499" t="inlineStr">
        <is>
          <t>Lipid</t>
        </is>
      </c>
      <c r="C499" t="inlineStr">
        <is>
          <t>melting_point_C</t>
        </is>
      </c>
      <c r="D499" t="inlineStr">
        <is>
          <t>high</t>
        </is>
      </c>
      <c r="E499" t="inlineStr">
        <is>
          <t>supplier CoA, pharmacopeial monograph, PubChem/LIPID MAPS, or targeted literature curation</t>
        </is>
      </c>
      <c r="F499" t="inlineStr">
        <is>
          <t>prefer_experimental_or_supplier</t>
        </is>
      </c>
      <c r="G499" t="inlineStr">
        <is>
          <t>P3</t>
        </is>
      </c>
    </row>
    <row r="500">
      <c r="A500" t="inlineStr">
        <is>
          <t>Sphingomyelin</t>
        </is>
      </c>
      <c r="B500" t="inlineStr">
        <is>
          <t>Lipid</t>
        </is>
      </c>
      <c r="C500" t="inlineStr">
        <is>
          <t>pKa_if_ionizable</t>
        </is>
      </c>
      <c r="D500" t="inlineStr">
        <is>
          <t>medium</t>
        </is>
      </c>
      <c r="E500" t="inlineStr">
        <is>
          <t>supplier CoA, pharmacopeial monograph, PubChem/LIPID MAPS, or targeted literature curation</t>
        </is>
      </c>
      <c r="F500" t="inlineStr">
        <is>
          <t>prefer_experimental_or_supplier</t>
        </is>
      </c>
      <c r="G500" t="inlineStr">
        <is>
          <t>P3</t>
        </is>
      </c>
    </row>
    <row r="501">
      <c r="A501" t="inlineStr">
        <is>
          <t>Sphingomyelin</t>
        </is>
      </c>
      <c r="B501" t="inlineStr">
        <is>
          <t>Lipid</t>
        </is>
      </c>
      <c r="C501" t="inlineStr">
        <is>
          <t>melting_point_C</t>
        </is>
      </c>
      <c r="D501" t="inlineStr">
        <is>
          <t>high</t>
        </is>
      </c>
      <c r="E501" t="inlineStr">
        <is>
          <t>supplier CoA, pharmacopeial monograph, PubChem/LIPID MAPS, or targeted literature curation</t>
        </is>
      </c>
      <c r="F501" t="inlineStr">
        <is>
          <t>prefer_experimental_or_supplier</t>
        </is>
      </c>
      <c r="G501" t="inlineStr">
        <is>
          <t>P3</t>
        </is>
      </c>
    </row>
    <row r="502">
      <c r="A502" t="inlineStr">
        <is>
          <t>Ceramide</t>
        </is>
      </c>
      <c r="B502" t="inlineStr">
        <is>
          <t>Lipid</t>
        </is>
      </c>
      <c r="C502" t="inlineStr">
        <is>
          <t>pKa_if_ionizable</t>
        </is>
      </c>
      <c r="D502" t="inlineStr">
        <is>
          <t>medium</t>
        </is>
      </c>
      <c r="E502" t="inlineStr">
        <is>
          <t>supplier CoA, pharmacopeial monograph, PubChem/LIPID MAPS, or targeted literature curation</t>
        </is>
      </c>
      <c r="F502" t="inlineStr">
        <is>
          <t>prefer_experimental_or_supplier</t>
        </is>
      </c>
      <c r="G502" t="inlineStr">
        <is>
          <t>P3</t>
        </is>
      </c>
    </row>
    <row r="503">
      <c r="A503" t="inlineStr">
        <is>
          <t>Ceramide</t>
        </is>
      </c>
      <c r="B503" t="inlineStr">
        <is>
          <t>Lipid</t>
        </is>
      </c>
      <c r="C503" t="inlineStr">
        <is>
          <t>melting_point_C</t>
        </is>
      </c>
      <c r="D503" t="inlineStr">
        <is>
          <t>high</t>
        </is>
      </c>
      <c r="E503" t="inlineStr">
        <is>
          <t>supplier CoA, pharmacopeial monograph, PubChem/LIPID MAPS, or targeted literature curation</t>
        </is>
      </c>
      <c r="F503" t="inlineStr">
        <is>
          <t>prefer_experimental_or_supplier</t>
        </is>
      </c>
      <c r="G503" t="inlineStr">
        <is>
          <t>P3</t>
        </is>
      </c>
    </row>
    <row r="504">
      <c r="A504" t="inlineStr">
        <is>
          <t>Glucosylceramide</t>
        </is>
      </c>
      <c r="B504" t="inlineStr">
        <is>
          <t>Lipid</t>
        </is>
      </c>
      <c r="C504" t="inlineStr">
        <is>
          <t>pKa_if_ionizable</t>
        </is>
      </c>
      <c r="D504" t="inlineStr">
        <is>
          <t>medium</t>
        </is>
      </c>
      <c r="E504" t="inlineStr">
        <is>
          <t>supplier CoA, pharmacopeial monograph, PubChem/LIPID MAPS, or targeted literature curation</t>
        </is>
      </c>
      <c r="F504" t="inlineStr">
        <is>
          <t>prefer_experimental_or_supplier</t>
        </is>
      </c>
      <c r="G504" t="inlineStr">
        <is>
          <t>P3</t>
        </is>
      </c>
    </row>
    <row r="505">
      <c r="A505" t="inlineStr">
        <is>
          <t>Glucosylceramide</t>
        </is>
      </c>
      <c r="B505" t="inlineStr">
        <is>
          <t>Lipid</t>
        </is>
      </c>
      <c r="C505" t="inlineStr">
        <is>
          <t>melting_point_C</t>
        </is>
      </c>
      <c r="D505" t="inlineStr">
        <is>
          <t>high</t>
        </is>
      </c>
      <c r="E505" t="inlineStr">
        <is>
          <t>supplier CoA, pharmacopeial monograph, PubChem/LIPID MAPS, or targeted literature curation</t>
        </is>
      </c>
      <c r="F505" t="inlineStr">
        <is>
          <t>prefer_experimental_or_supplier</t>
        </is>
      </c>
      <c r="G505" t="inlineStr">
        <is>
          <t>P3</t>
        </is>
      </c>
    </row>
    <row r="506">
      <c r="A506" t="inlineStr">
        <is>
          <t>SAINT lipid placeholder</t>
        </is>
      </c>
      <c r="B506" t="inlineStr">
        <is>
          <t>Lipid</t>
        </is>
      </c>
      <c r="C506" t="inlineStr">
        <is>
          <t>pKa_if_ionizable</t>
        </is>
      </c>
      <c r="D506" t="inlineStr">
        <is>
          <t>medium</t>
        </is>
      </c>
      <c r="E506" t="inlineStr">
        <is>
          <t>supplier CoA, pharmacopeial monograph, PubChem/LIPID MAPS, or targeted literature curation</t>
        </is>
      </c>
      <c r="F506" t="inlineStr">
        <is>
          <t>prefer_experimental_or_supplier</t>
        </is>
      </c>
      <c r="G506" t="inlineStr">
        <is>
          <t>P3</t>
        </is>
      </c>
    </row>
    <row r="507">
      <c r="A507" t="inlineStr">
        <is>
          <t>SAINT lipid placeholder</t>
        </is>
      </c>
      <c r="B507" t="inlineStr">
        <is>
          <t>Lipid</t>
        </is>
      </c>
      <c r="C507" t="inlineStr">
        <is>
          <t>phase_transition_temperature_C</t>
        </is>
      </c>
      <c r="D507" t="inlineStr">
        <is>
          <t>critical for lipids</t>
        </is>
      </c>
      <c r="E507" t="inlineStr">
        <is>
          <t>DSC at hydration/ionic conditions or Avanti/LIPIDAT</t>
        </is>
      </c>
      <c r="F507" t="inlineStr">
        <is>
          <t>prefer_experimental_or_supplier</t>
        </is>
      </c>
      <c r="G507" t="inlineStr">
        <is>
          <t>P1</t>
        </is>
      </c>
    </row>
    <row r="508">
      <c r="A508" t="inlineStr">
        <is>
          <t>SAINT lipid placeholder</t>
        </is>
      </c>
      <c r="B508" t="inlineStr">
        <is>
          <t>Lipid</t>
        </is>
      </c>
      <c r="C508" t="inlineStr">
        <is>
          <t>melting_point_C</t>
        </is>
      </c>
      <c r="D508" t="inlineStr">
        <is>
          <t>high</t>
        </is>
      </c>
      <c r="E508" t="inlineStr">
        <is>
          <t>supplier CoA, pharmacopeial monograph, PubChem/LIPID MAPS, or targeted literature curation</t>
        </is>
      </c>
      <c r="F508" t="inlineStr">
        <is>
          <t>prefer_experimental_or_supplier</t>
        </is>
      </c>
      <c r="G508" t="inlineStr">
        <is>
          <t>P3</t>
        </is>
      </c>
    </row>
    <row r="509">
      <c r="A509" t="inlineStr">
        <is>
          <t>SAINT lipid placeholder</t>
        </is>
      </c>
      <c r="B509" t="inlineStr">
        <is>
          <t>Lipid</t>
        </is>
      </c>
      <c r="C509" t="inlineStr">
        <is>
          <t>molar_volume_cm3_mol</t>
        </is>
      </c>
      <c r="D509" t="inlineStr">
        <is>
          <t>high</t>
        </is>
      </c>
      <c r="E509" t="inlineStr">
        <is>
          <t>density measurement or crystal/solution molar volume data</t>
        </is>
      </c>
      <c r="F509" t="inlineStr">
        <is>
          <t>yes_screening_only</t>
        </is>
      </c>
      <c r="G509" t="inlineStr">
        <is>
          <t>P2</t>
        </is>
      </c>
    </row>
    <row r="510">
      <c r="A510" t="inlineStr">
        <is>
          <t>Cholesterol</t>
        </is>
      </c>
      <c r="B510" t="inlineStr">
        <is>
          <t>Sterol</t>
        </is>
      </c>
      <c r="C510" t="inlineStr">
        <is>
          <t>pKa_if_relevant</t>
        </is>
      </c>
      <c r="D510" t="inlineStr">
        <is>
          <t>medium</t>
        </is>
      </c>
      <c r="E510" t="inlineStr">
        <is>
          <t>supplier CoA, pharmacopeial monograph, PubChem/LIPID MAPS, or targeted literature curation</t>
        </is>
      </c>
      <c r="F510" t="inlineStr">
        <is>
          <t>prefer_experimental_or_supplier</t>
        </is>
      </c>
      <c r="G510" t="inlineStr">
        <is>
          <t>P3</t>
        </is>
      </c>
    </row>
    <row r="511">
      <c r="A511" t="inlineStr">
        <is>
          <t>Ergosterol</t>
        </is>
      </c>
      <c r="B511" t="inlineStr">
        <is>
          <t>Sterol</t>
        </is>
      </c>
      <c r="C511" t="inlineStr">
        <is>
          <t>pKa_if_relevant</t>
        </is>
      </c>
      <c r="D511" t="inlineStr">
        <is>
          <t>medium</t>
        </is>
      </c>
      <c r="E511" t="inlineStr">
        <is>
          <t>supplier CoA, pharmacopeial monograph, PubChem/LIPID MAPS, or targeted literature curation</t>
        </is>
      </c>
      <c r="F511" t="inlineStr">
        <is>
          <t>prefer_experimental_or_supplier</t>
        </is>
      </c>
      <c r="G511" t="inlineStr">
        <is>
          <t>P3</t>
        </is>
      </c>
    </row>
    <row r="512">
      <c r="A512" t="inlineStr">
        <is>
          <t>Beta-sitosterol</t>
        </is>
      </c>
      <c r="B512" t="inlineStr">
        <is>
          <t>Sterol</t>
        </is>
      </c>
      <c r="C512" t="inlineStr">
        <is>
          <t>pKa_if_relevant</t>
        </is>
      </c>
      <c r="D512" t="inlineStr">
        <is>
          <t>medium</t>
        </is>
      </c>
      <c r="E512" t="inlineStr">
        <is>
          <t>supplier CoA, pharmacopeial monograph, PubChem/LIPID MAPS, or targeted literature curation</t>
        </is>
      </c>
      <c r="F512" t="inlineStr">
        <is>
          <t>prefer_experimental_or_supplier</t>
        </is>
      </c>
      <c r="G512" t="inlineStr">
        <is>
          <t>P3</t>
        </is>
      </c>
    </row>
    <row r="513">
      <c r="A513" t="inlineStr">
        <is>
          <t>Lanosterol</t>
        </is>
      </c>
      <c r="B513" t="inlineStr">
        <is>
          <t>Sterol</t>
        </is>
      </c>
      <c r="C513" t="inlineStr">
        <is>
          <t>pKa_if_relevant</t>
        </is>
      </c>
      <c r="D513" t="inlineStr">
        <is>
          <t>medium</t>
        </is>
      </c>
      <c r="E513" t="inlineStr">
        <is>
          <t>supplier CoA, pharmacopeial monograph, PubChem/LIPID MAPS, or targeted literature curation</t>
        </is>
      </c>
      <c r="F513" t="inlineStr">
        <is>
          <t>prefer_experimental_or_supplier</t>
        </is>
      </c>
      <c r="G513" t="inlineStr">
        <is>
          <t>P3</t>
        </is>
      </c>
    </row>
    <row r="514">
      <c r="A514" t="inlineStr">
        <is>
          <t>Stearic acid</t>
        </is>
      </c>
      <c r="B514" t="inlineStr">
        <is>
          <t>Solid lipid/oil</t>
        </is>
      </c>
      <c r="C514" t="inlineStr">
        <is>
          <t>average_MW</t>
        </is>
      </c>
      <c r="D514" t="inlineStr">
        <is>
          <t>high</t>
        </is>
      </c>
      <c r="E514" t="inlineStr">
        <is>
          <t>supplier CoA, pharmacopeial monograph, PubChem/LIPID MAPS, or targeted literature curation</t>
        </is>
      </c>
      <c r="F514" t="inlineStr">
        <is>
          <t>prefer_experimental_or_supplier</t>
        </is>
      </c>
      <c r="G514" t="inlineStr">
        <is>
          <t>P3</t>
        </is>
      </c>
    </row>
    <row r="515">
      <c r="A515" t="inlineStr">
        <is>
          <t>Stearic acid</t>
        </is>
      </c>
      <c r="B515" t="inlineStr">
        <is>
          <t>Solid lipid/oil</t>
        </is>
      </c>
      <c r="C515" t="inlineStr">
        <is>
          <t>HLB_if_amphiphilic</t>
        </is>
      </c>
      <c r="D515" t="inlineStr">
        <is>
          <t>medium</t>
        </is>
      </c>
      <c r="E515" t="inlineStr">
        <is>
          <t>supplier CoA, pharmacopeial monograph, PubChem/LIPID MAPS, or targeted literature curation</t>
        </is>
      </c>
      <c r="F515" t="inlineStr">
        <is>
          <t>prefer_experimental_or_supplier</t>
        </is>
      </c>
      <c r="G515" t="inlineStr">
        <is>
          <t>P3</t>
        </is>
      </c>
    </row>
    <row r="516">
      <c r="A516" t="inlineStr">
        <is>
          <t>Stearic acid</t>
        </is>
      </c>
      <c r="B516" t="inlineStr">
        <is>
          <t>Solid lipid/oil</t>
        </is>
      </c>
      <c r="C516" t="inlineStr">
        <is>
          <t>saponification_or_acid_value_if_relevant</t>
        </is>
      </c>
      <c r="D516" t="inlineStr">
        <is>
          <t>medium</t>
        </is>
      </c>
      <c r="E516" t="inlineStr">
        <is>
          <t>supplier CoA, pharmacopeial monograph, PubChem/LIPID MAPS, or targeted literature curation</t>
        </is>
      </c>
      <c r="F516" t="inlineStr">
        <is>
          <t>prefer_experimental_or_supplier</t>
        </is>
      </c>
      <c r="G516" t="inlineStr">
        <is>
          <t>P3</t>
        </is>
      </c>
    </row>
    <row r="517">
      <c r="A517" t="inlineStr">
        <is>
          <t>Palmitic acid</t>
        </is>
      </c>
      <c r="B517" t="inlineStr">
        <is>
          <t>Solid lipid/oil</t>
        </is>
      </c>
      <c r="C517" t="inlineStr">
        <is>
          <t>average_MW</t>
        </is>
      </c>
      <c r="D517" t="inlineStr">
        <is>
          <t>high</t>
        </is>
      </c>
      <c r="E517" t="inlineStr">
        <is>
          <t>supplier CoA, pharmacopeial monograph, PubChem/LIPID MAPS, or targeted literature curation</t>
        </is>
      </c>
      <c r="F517" t="inlineStr">
        <is>
          <t>prefer_experimental_or_supplier</t>
        </is>
      </c>
      <c r="G517" t="inlineStr">
        <is>
          <t>P3</t>
        </is>
      </c>
    </row>
    <row r="518">
      <c r="A518" t="inlineStr">
        <is>
          <t>Palmitic acid</t>
        </is>
      </c>
      <c r="B518" t="inlineStr">
        <is>
          <t>Solid lipid/oil</t>
        </is>
      </c>
      <c r="C518" t="inlineStr">
        <is>
          <t>HLB_if_amphiphilic</t>
        </is>
      </c>
      <c r="D518" t="inlineStr">
        <is>
          <t>medium</t>
        </is>
      </c>
      <c r="E518" t="inlineStr">
        <is>
          <t>supplier CoA, pharmacopeial monograph, PubChem/LIPID MAPS, or targeted literature curation</t>
        </is>
      </c>
      <c r="F518" t="inlineStr">
        <is>
          <t>prefer_experimental_or_supplier</t>
        </is>
      </c>
      <c r="G518" t="inlineStr">
        <is>
          <t>P3</t>
        </is>
      </c>
    </row>
    <row r="519">
      <c r="A519" t="inlineStr">
        <is>
          <t>Palmitic acid</t>
        </is>
      </c>
      <c r="B519" t="inlineStr">
        <is>
          <t>Solid lipid/oil</t>
        </is>
      </c>
      <c r="C519" t="inlineStr">
        <is>
          <t>saponification_or_acid_value_if_relevant</t>
        </is>
      </c>
      <c r="D519" t="inlineStr">
        <is>
          <t>medium</t>
        </is>
      </c>
      <c r="E519" t="inlineStr">
        <is>
          <t>supplier CoA, pharmacopeial monograph, PubChem/LIPID MAPS, or targeted literature curation</t>
        </is>
      </c>
      <c r="F519" t="inlineStr">
        <is>
          <t>prefer_experimental_or_supplier</t>
        </is>
      </c>
      <c r="G519" t="inlineStr">
        <is>
          <t>P3</t>
        </is>
      </c>
    </row>
    <row r="520">
      <c r="A520" t="inlineStr">
        <is>
          <t>Oleic acid</t>
        </is>
      </c>
      <c r="B520" t="inlineStr">
        <is>
          <t>Solid lipid/oil</t>
        </is>
      </c>
      <c r="C520" t="inlineStr">
        <is>
          <t>average_MW</t>
        </is>
      </c>
      <c r="D520" t="inlineStr">
        <is>
          <t>high</t>
        </is>
      </c>
      <c r="E520" t="inlineStr">
        <is>
          <t>supplier CoA, pharmacopeial monograph, PubChem/LIPID MAPS, or targeted literature curation</t>
        </is>
      </c>
      <c r="F520" t="inlineStr">
        <is>
          <t>prefer_experimental_or_supplier</t>
        </is>
      </c>
      <c r="G520" t="inlineStr">
        <is>
          <t>P3</t>
        </is>
      </c>
    </row>
    <row r="521">
      <c r="A521" t="inlineStr">
        <is>
          <t>Oleic acid</t>
        </is>
      </c>
      <c r="B521" t="inlineStr">
        <is>
          <t>Solid lipid/oil</t>
        </is>
      </c>
      <c r="C521" t="inlineStr">
        <is>
          <t>saponification_or_acid_value_if_relevant</t>
        </is>
      </c>
      <c r="D521" t="inlineStr">
        <is>
          <t>medium</t>
        </is>
      </c>
      <c r="E521" t="inlineStr">
        <is>
          <t>supplier CoA, pharmacopeial monograph, PubChem/LIPID MAPS, or targeted literature curation</t>
        </is>
      </c>
      <c r="F521" t="inlineStr">
        <is>
          <t>prefer_experimental_or_supplier</t>
        </is>
      </c>
      <c r="G521" t="inlineStr">
        <is>
          <t>P3</t>
        </is>
      </c>
    </row>
    <row r="522">
      <c r="A522" t="inlineStr">
        <is>
          <t>Myristic acid</t>
        </is>
      </c>
      <c r="B522" t="inlineStr">
        <is>
          <t>Solid lipid/oil</t>
        </is>
      </c>
      <c r="C522" t="inlineStr">
        <is>
          <t>average_MW</t>
        </is>
      </c>
      <c r="D522" t="inlineStr">
        <is>
          <t>high</t>
        </is>
      </c>
      <c r="E522" t="inlineStr">
        <is>
          <t>supplier CoA, pharmacopeial monograph, PubChem/LIPID MAPS, or targeted literature curation</t>
        </is>
      </c>
      <c r="F522" t="inlineStr">
        <is>
          <t>prefer_experimental_or_supplier</t>
        </is>
      </c>
      <c r="G522" t="inlineStr">
        <is>
          <t>P3</t>
        </is>
      </c>
    </row>
    <row r="523">
      <c r="A523" t="inlineStr">
        <is>
          <t>Myristic acid</t>
        </is>
      </c>
      <c r="B523" t="inlineStr">
        <is>
          <t>Solid lipid/oil</t>
        </is>
      </c>
      <c r="C523" t="inlineStr">
        <is>
          <t>HLB_if_amphiphilic</t>
        </is>
      </c>
      <c r="D523" t="inlineStr">
        <is>
          <t>medium</t>
        </is>
      </c>
      <c r="E523" t="inlineStr">
        <is>
          <t>supplier CoA, pharmacopeial monograph, PubChem/LIPID MAPS, or targeted literature curation</t>
        </is>
      </c>
      <c r="F523" t="inlineStr">
        <is>
          <t>prefer_experimental_or_supplier</t>
        </is>
      </c>
      <c r="G523" t="inlineStr">
        <is>
          <t>P3</t>
        </is>
      </c>
    </row>
    <row r="524">
      <c r="A524" t="inlineStr">
        <is>
          <t>Myristic acid</t>
        </is>
      </c>
      <c r="B524" t="inlineStr">
        <is>
          <t>Solid lipid/oil</t>
        </is>
      </c>
      <c r="C524" t="inlineStr">
        <is>
          <t>saponification_or_acid_value_if_relevant</t>
        </is>
      </c>
      <c r="D524" t="inlineStr">
        <is>
          <t>medium</t>
        </is>
      </c>
      <c r="E524" t="inlineStr">
        <is>
          <t>supplier CoA, pharmacopeial monograph, PubChem/LIPID MAPS, or targeted literature curation</t>
        </is>
      </c>
      <c r="F524" t="inlineStr">
        <is>
          <t>prefer_experimental_or_supplier</t>
        </is>
      </c>
      <c r="G524" t="inlineStr">
        <is>
          <t>P3</t>
        </is>
      </c>
    </row>
    <row r="525">
      <c r="A525" t="inlineStr">
        <is>
          <t>Lauric acid</t>
        </is>
      </c>
      <c r="B525" t="inlineStr">
        <is>
          <t>Solid lipid/oil</t>
        </is>
      </c>
      <c r="C525" t="inlineStr">
        <is>
          <t>average_MW</t>
        </is>
      </c>
      <c r="D525" t="inlineStr">
        <is>
          <t>high</t>
        </is>
      </c>
      <c r="E525" t="inlineStr">
        <is>
          <t>supplier CoA, pharmacopeial monograph, PubChem/LIPID MAPS, or targeted literature curation</t>
        </is>
      </c>
      <c r="F525" t="inlineStr">
        <is>
          <t>prefer_experimental_or_supplier</t>
        </is>
      </c>
      <c r="G525" t="inlineStr">
        <is>
          <t>P3</t>
        </is>
      </c>
    </row>
    <row r="526">
      <c r="A526" t="inlineStr">
        <is>
          <t>Lauric acid</t>
        </is>
      </c>
      <c r="B526" t="inlineStr">
        <is>
          <t>Solid lipid/oil</t>
        </is>
      </c>
      <c r="C526" t="inlineStr">
        <is>
          <t>HLB_if_amphiphilic</t>
        </is>
      </c>
      <c r="D526" t="inlineStr">
        <is>
          <t>medium</t>
        </is>
      </c>
      <c r="E526" t="inlineStr">
        <is>
          <t>supplier CoA, pharmacopeial monograph, PubChem/LIPID MAPS, or targeted literature curation</t>
        </is>
      </c>
      <c r="F526" t="inlineStr">
        <is>
          <t>prefer_experimental_or_supplier</t>
        </is>
      </c>
      <c r="G526" t="inlineStr">
        <is>
          <t>P3</t>
        </is>
      </c>
    </row>
    <row r="527">
      <c r="A527" t="inlineStr">
        <is>
          <t>Lauric acid</t>
        </is>
      </c>
      <c r="B527" t="inlineStr">
        <is>
          <t>Solid lipid/oil</t>
        </is>
      </c>
      <c r="C527" t="inlineStr">
        <is>
          <t>saponification_or_acid_value_if_relevant</t>
        </is>
      </c>
      <c r="D527" t="inlineStr">
        <is>
          <t>medium</t>
        </is>
      </c>
      <c r="E527" t="inlineStr">
        <is>
          <t>supplier CoA, pharmacopeial monograph, PubChem/LIPID MAPS, or targeted literature curation</t>
        </is>
      </c>
      <c r="F527" t="inlineStr">
        <is>
          <t>prefer_experimental_or_supplier</t>
        </is>
      </c>
      <c r="G527" t="inlineStr">
        <is>
          <t>P3</t>
        </is>
      </c>
    </row>
    <row r="528">
      <c r="A528" t="inlineStr">
        <is>
          <t>Capric acid</t>
        </is>
      </c>
      <c r="B528" t="inlineStr">
        <is>
          <t>Solid lipid/oil</t>
        </is>
      </c>
      <c r="C528" t="inlineStr">
        <is>
          <t>average_MW</t>
        </is>
      </c>
      <c r="D528" t="inlineStr">
        <is>
          <t>high</t>
        </is>
      </c>
      <c r="E528" t="inlineStr">
        <is>
          <t>supplier CoA, pharmacopeial monograph, PubChem/LIPID MAPS, or targeted literature curation</t>
        </is>
      </c>
      <c r="F528" t="inlineStr">
        <is>
          <t>prefer_experimental_or_supplier</t>
        </is>
      </c>
      <c r="G528" t="inlineStr">
        <is>
          <t>P3</t>
        </is>
      </c>
    </row>
    <row r="529">
      <c r="A529" t="inlineStr">
        <is>
          <t>Capric acid</t>
        </is>
      </c>
      <c r="B529" t="inlineStr">
        <is>
          <t>Solid lipid/oil</t>
        </is>
      </c>
      <c r="C529" t="inlineStr">
        <is>
          <t>HLB_if_amphiphilic</t>
        </is>
      </c>
      <c r="D529" t="inlineStr">
        <is>
          <t>medium</t>
        </is>
      </c>
      <c r="E529" t="inlineStr">
        <is>
          <t>supplier CoA, pharmacopeial monograph, PubChem/LIPID MAPS, or targeted literature curation</t>
        </is>
      </c>
      <c r="F529" t="inlineStr">
        <is>
          <t>prefer_experimental_or_supplier</t>
        </is>
      </c>
      <c r="G529" t="inlineStr">
        <is>
          <t>P3</t>
        </is>
      </c>
    </row>
    <row r="530">
      <c r="A530" t="inlineStr">
        <is>
          <t>Capric acid</t>
        </is>
      </c>
      <c r="B530" t="inlineStr">
        <is>
          <t>Solid lipid/oil</t>
        </is>
      </c>
      <c r="C530" t="inlineStr">
        <is>
          <t>saponification_or_acid_value_if_relevant</t>
        </is>
      </c>
      <c r="D530" t="inlineStr">
        <is>
          <t>medium</t>
        </is>
      </c>
      <c r="E530" t="inlineStr">
        <is>
          <t>supplier CoA, pharmacopeial monograph, PubChem/LIPID MAPS, or targeted literature curation</t>
        </is>
      </c>
      <c r="F530" t="inlineStr">
        <is>
          <t>prefer_experimental_or_supplier</t>
        </is>
      </c>
      <c r="G530" t="inlineStr">
        <is>
          <t>P3</t>
        </is>
      </c>
    </row>
    <row r="531">
      <c r="A531" t="inlineStr">
        <is>
          <t>Caprylic acid</t>
        </is>
      </c>
      <c r="B531" t="inlineStr">
        <is>
          <t>Solid lipid/oil</t>
        </is>
      </c>
      <c r="C531" t="inlineStr">
        <is>
          <t>average_MW</t>
        </is>
      </c>
      <c r="D531" t="inlineStr">
        <is>
          <t>high</t>
        </is>
      </c>
      <c r="E531" t="inlineStr">
        <is>
          <t>supplier CoA, pharmacopeial monograph, PubChem/LIPID MAPS, or targeted literature curation</t>
        </is>
      </c>
      <c r="F531" t="inlineStr">
        <is>
          <t>prefer_experimental_or_supplier</t>
        </is>
      </c>
      <c r="G531" t="inlineStr">
        <is>
          <t>P3</t>
        </is>
      </c>
    </row>
    <row r="532">
      <c r="A532" t="inlineStr">
        <is>
          <t>Caprylic acid</t>
        </is>
      </c>
      <c r="B532" t="inlineStr">
        <is>
          <t>Solid lipid/oil</t>
        </is>
      </c>
      <c r="C532" t="inlineStr">
        <is>
          <t>HLB_if_amphiphilic</t>
        </is>
      </c>
      <c r="D532" t="inlineStr">
        <is>
          <t>medium</t>
        </is>
      </c>
      <c r="E532" t="inlineStr">
        <is>
          <t>supplier CoA, pharmacopeial monograph, PubChem/LIPID MAPS, or targeted literature curation</t>
        </is>
      </c>
      <c r="F532" t="inlineStr">
        <is>
          <t>prefer_experimental_or_supplier</t>
        </is>
      </c>
      <c r="G532" t="inlineStr">
        <is>
          <t>P3</t>
        </is>
      </c>
    </row>
    <row r="533">
      <c r="A533" t="inlineStr">
        <is>
          <t>Caprylic acid</t>
        </is>
      </c>
      <c r="B533" t="inlineStr">
        <is>
          <t>Solid lipid/oil</t>
        </is>
      </c>
      <c r="C533" t="inlineStr">
        <is>
          <t>saponification_or_acid_value_if_relevant</t>
        </is>
      </c>
      <c r="D533" t="inlineStr">
        <is>
          <t>medium</t>
        </is>
      </c>
      <c r="E533" t="inlineStr">
        <is>
          <t>supplier CoA, pharmacopeial monograph, PubChem/LIPID MAPS, or targeted literature curation</t>
        </is>
      </c>
      <c r="F533" t="inlineStr">
        <is>
          <t>prefer_experimental_or_supplier</t>
        </is>
      </c>
      <c r="G533" t="inlineStr">
        <is>
          <t>P3</t>
        </is>
      </c>
    </row>
    <row r="534">
      <c r="A534" t="inlineStr">
        <is>
          <t>Glyceryl monostearate</t>
        </is>
      </c>
      <c r="B534" t="inlineStr">
        <is>
          <t>Solid lipid/oil</t>
        </is>
      </c>
      <c r="C534" t="inlineStr">
        <is>
          <t>average_MW</t>
        </is>
      </c>
      <c r="D534" t="inlineStr">
        <is>
          <t>high</t>
        </is>
      </c>
      <c r="E534" t="inlineStr">
        <is>
          <t>supplier CoA, pharmacopeial monograph, PubChem/LIPID MAPS, or targeted literature curation</t>
        </is>
      </c>
      <c r="F534" t="inlineStr">
        <is>
          <t>prefer_experimental_or_supplier</t>
        </is>
      </c>
      <c r="G534" t="inlineStr">
        <is>
          <t>P3</t>
        </is>
      </c>
    </row>
    <row r="535">
      <c r="A535" t="inlineStr">
        <is>
          <t>Glyceryl monostearate</t>
        </is>
      </c>
      <c r="B535" t="inlineStr">
        <is>
          <t>Solid lipid/oil</t>
        </is>
      </c>
      <c r="C535" t="inlineStr">
        <is>
          <t>saponification_or_acid_value_if_relevant</t>
        </is>
      </c>
      <c r="D535" t="inlineStr">
        <is>
          <t>medium</t>
        </is>
      </c>
      <c r="E535" t="inlineStr">
        <is>
          <t>supplier CoA, pharmacopeial monograph, PubChem/LIPID MAPS, or targeted literature curation</t>
        </is>
      </c>
      <c r="F535" t="inlineStr">
        <is>
          <t>prefer_experimental_or_supplier</t>
        </is>
      </c>
      <c r="G535" t="inlineStr">
        <is>
          <t>P3</t>
        </is>
      </c>
    </row>
    <row r="536">
      <c r="A536" t="inlineStr">
        <is>
          <t>Glyceryl behenate / Compritol 888 ATO</t>
        </is>
      </c>
      <c r="B536" t="inlineStr">
        <is>
          <t>Solid lipid/oil</t>
        </is>
      </c>
      <c r="C536" t="inlineStr">
        <is>
          <t>molecular_weight_g_mol</t>
        </is>
      </c>
      <c r="D536" t="inlineStr">
        <is>
          <t>critical</t>
        </is>
      </c>
      <c r="E536" t="inlineStr">
        <is>
          <t>supplier CoA, pharmacopeial monograph, PubChem/LIPID MAPS, or targeted literature curation</t>
        </is>
      </c>
      <c r="F536" t="inlineStr">
        <is>
          <t>prefer_experimental_or_supplier</t>
        </is>
      </c>
      <c r="G536" t="inlineStr">
        <is>
          <t>P1</t>
        </is>
      </c>
    </row>
    <row r="537">
      <c r="A537" t="inlineStr">
        <is>
          <t>Glyceryl behenate / Compritol 888 ATO</t>
        </is>
      </c>
      <c r="B537" t="inlineStr">
        <is>
          <t>Solid lipid/oil</t>
        </is>
      </c>
      <c r="C537" t="inlineStr">
        <is>
          <t>saponification_or_acid_value_if_relevant</t>
        </is>
      </c>
      <c r="D537" t="inlineStr">
        <is>
          <t>medium</t>
        </is>
      </c>
      <c r="E537" t="inlineStr">
        <is>
          <t>supplier CoA, pharmacopeial monograph, PubChem/LIPID MAPS, or targeted literature curation</t>
        </is>
      </c>
      <c r="F537" t="inlineStr">
        <is>
          <t>prefer_experimental_or_supplier</t>
        </is>
      </c>
      <c r="G537" t="inlineStr">
        <is>
          <t>P3</t>
        </is>
      </c>
    </row>
    <row r="538">
      <c r="A538" t="inlineStr">
        <is>
          <t>Glyceryl palmitostearate / Precirol ATO 5</t>
        </is>
      </c>
      <c r="B538" t="inlineStr">
        <is>
          <t>Solid lipid/oil</t>
        </is>
      </c>
      <c r="C538" t="inlineStr">
        <is>
          <t>molecular_weight_g_mol</t>
        </is>
      </c>
      <c r="D538" t="inlineStr">
        <is>
          <t>critical</t>
        </is>
      </c>
      <c r="E538" t="inlineStr">
        <is>
          <t>supplier CoA, pharmacopeial monograph, PubChem/LIPID MAPS, or targeted literature curation</t>
        </is>
      </c>
      <c r="F538" t="inlineStr">
        <is>
          <t>prefer_experimental_or_supplier</t>
        </is>
      </c>
      <c r="G538" t="inlineStr">
        <is>
          <t>P1</t>
        </is>
      </c>
    </row>
    <row r="539">
      <c r="A539" t="inlineStr">
        <is>
          <t>Glyceryl palmitostearate / Precirol ATO 5</t>
        </is>
      </c>
      <c r="B539" t="inlineStr">
        <is>
          <t>Solid lipid/oil</t>
        </is>
      </c>
      <c r="C539" t="inlineStr">
        <is>
          <t>saponification_or_acid_value_if_relevant</t>
        </is>
      </c>
      <c r="D539" t="inlineStr">
        <is>
          <t>medium</t>
        </is>
      </c>
      <c r="E539" t="inlineStr">
        <is>
          <t>supplier CoA, pharmacopeial monograph, PubChem/LIPID MAPS, or targeted literature curation</t>
        </is>
      </c>
      <c r="F539" t="inlineStr">
        <is>
          <t>prefer_experimental_or_supplier</t>
        </is>
      </c>
      <c r="G539" t="inlineStr">
        <is>
          <t>P3</t>
        </is>
      </c>
    </row>
    <row r="540">
      <c r="A540" t="inlineStr">
        <is>
          <t>Trimyristin / Dynasan 114</t>
        </is>
      </c>
      <c r="B540" t="inlineStr">
        <is>
          <t>Solid lipid/oil</t>
        </is>
      </c>
      <c r="C540" t="inlineStr">
        <is>
          <t>average_MW</t>
        </is>
      </c>
      <c r="D540" t="inlineStr">
        <is>
          <t>high</t>
        </is>
      </c>
      <c r="E540" t="inlineStr">
        <is>
          <t>supplier CoA, pharmacopeial monograph, PubChem/LIPID MAPS, or targeted literature curation</t>
        </is>
      </c>
      <c r="F540" t="inlineStr">
        <is>
          <t>prefer_experimental_or_supplier</t>
        </is>
      </c>
      <c r="G540" t="inlineStr">
        <is>
          <t>P3</t>
        </is>
      </c>
    </row>
    <row r="541">
      <c r="A541" t="inlineStr">
        <is>
          <t>Trimyristin / Dynasan 114</t>
        </is>
      </c>
      <c r="B541" t="inlineStr">
        <is>
          <t>Solid lipid/oil</t>
        </is>
      </c>
      <c r="C541" t="inlineStr">
        <is>
          <t>HLB_if_amphiphilic</t>
        </is>
      </c>
      <c r="D541" t="inlineStr">
        <is>
          <t>medium</t>
        </is>
      </c>
      <c r="E541" t="inlineStr">
        <is>
          <t>supplier CoA, pharmacopeial monograph, PubChem/LIPID MAPS, or targeted literature curation</t>
        </is>
      </c>
      <c r="F541" t="inlineStr">
        <is>
          <t>prefer_experimental_or_supplier</t>
        </is>
      </c>
      <c r="G541" t="inlineStr">
        <is>
          <t>P3</t>
        </is>
      </c>
    </row>
    <row r="542">
      <c r="A542" t="inlineStr">
        <is>
          <t>Trimyristin / Dynasan 114</t>
        </is>
      </c>
      <c r="B542" t="inlineStr">
        <is>
          <t>Solid lipid/oil</t>
        </is>
      </c>
      <c r="C542" t="inlineStr">
        <is>
          <t>saponification_or_acid_value_if_relevant</t>
        </is>
      </c>
      <c r="D542" t="inlineStr">
        <is>
          <t>medium</t>
        </is>
      </c>
      <c r="E542" t="inlineStr">
        <is>
          <t>supplier CoA, pharmacopeial monograph, PubChem/LIPID MAPS, or targeted literature curation</t>
        </is>
      </c>
      <c r="F542" t="inlineStr">
        <is>
          <t>prefer_experimental_or_supplier</t>
        </is>
      </c>
      <c r="G542" t="inlineStr">
        <is>
          <t>P3</t>
        </is>
      </c>
    </row>
    <row r="543">
      <c r="A543" t="inlineStr">
        <is>
          <t>Tripalmitin / Dynasan 116</t>
        </is>
      </c>
      <c r="B543" t="inlineStr">
        <is>
          <t>Solid lipid/oil</t>
        </is>
      </c>
      <c r="C543" t="inlineStr">
        <is>
          <t>average_MW</t>
        </is>
      </c>
      <c r="D543" t="inlineStr">
        <is>
          <t>high</t>
        </is>
      </c>
      <c r="E543" t="inlineStr">
        <is>
          <t>supplier CoA, pharmacopeial monograph, PubChem/LIPID MAPS, or targeted literature curation</t>
        </is>
      </c>
      <c r="F543" t="inlineStr">
        <is>
          <t>prefer_experimental_or_supplier</t>
        </is>
      </c>
      <c r="G543" t="inlineStr">
        <is>
          <t>P3</t>
        </is>
      </c>
    </row>
    <row r="544">
      <c r="A544" t="inlineStr">
        <is>
          <t>Tripalmitin / Dynasan 116</t>
        </is>
      </c>
      <c r="B544" t="inlineStr">
        <is>
          <t>Solid lipid/oil</t>
        </is>
      </c>
      <c r="C544" t="inlineStr">
        <is>
          <t>HLB_if_amphiphilic</t>
        </is>
      </c>
      <c r="D544" t="inlineStr">
        <is>
          <t>medium</t>
        </is>
      </c>
      <c r="E544" t="inlineStr">
        <is>
          <t>supplier CoA, pharmacopeial monograph, PubChem/LIPID MAPS, or targeted literature curation</t>
        </is>
      </c>
      <c r="F544" t="inlineStr">
        <is>
          <t>prefer_experimental_or_supplier</t>
        </is>
      </c>
      <c r="G544" t="inlineStr">
        <is>
          <t>P3</t>
        </is>
      </c>
    </row>
    <row r="545">
      <c r="A545" t="inlineStr">
        <is>
          <t>Tripalmitin / Dynasan 116</t>
        </is>
      </c>
      <c r="B545" t="inlineStr">
        <is>
          <t>Solid lipid/oil</t>
        </is>
      </c>
      <c r="C545" t="inlineStr">
        <is>
          <t>saponification_or_acid_value_if_relevant</t>
        </is>
      </c>
      <c r="D545" t="inlineStr">
        <is>
          <t>medium</t>
        </is>
      </c>
      <c r="E545" t="inlineStr">
        <is>
          <t>supplier CoA, pharmacopeial monograph, PubChem/LIPID MAPS, or targeted literature curation</t>
        </is>
      </c>
      <c r="F545" t="inlineStr">
        <is>
          <t>prefer_experimental_or_supplier</t>
        </is>
      </c>
      <c r="G545" t="inlineStr">
        <is>
          <t>P3</t>
        </is>
      </c>
    </row>
    <row r="546">
      <c r="A546" t="inlineStr">
        <is>
          <t>Tristearin / Dynasan 118</t>
        </is>
      </c>
      <c r="B546" t="inlineStr">
        <is>
          <t>Solid lipid/oil</t>
        </is>
      </c>
      <c r="C546" t="inlineStr">
        <is>
          <t>average_MW</t>
        </is>
      </c>
      <c r="D546" t="inlineStr">
        <is>
          <t>high</t>
        </is>
      </c>
      <c r="E546" t="inlineStr">
        <is>
          <t>supplier CoA, pharmacopeial monograph, PubChem/LIPID MAPS, or targeted literature curation</t>
        </is>
      </c>
      <c r="F546" t="inlineStr">
        <is>
          <t>prefer_experimental_or_supplier</t>
        </is>
      </c>
      <c r="G546" t="inlineStr">
        <is>
          <t>P3</t>
        </is>
      </c>
    </row>
    <row r="547">
      <c r="A547" t="inlineStr">
        <is>
          <t>Tristearin / Dynasan 118</t>
        </is>
      </c>
      <c r="B547" t="inlineStr">
        <is>
          <t>Solid lipid/oil</t>
        </is>
      </c>
      <c r="C547" t="inlineStr">
        <is>
          <t>HLB_if_amphiphilic</t>
        </is>
      </c>
      <c r="D547" t="inlineStr">
        <is>
          <t>medium</t>
        </is>
      </c>
      <c r="E547" t="inlineStr">
        <is>
          <t>supplier CoA, pharmacopeial monograph, PubChem/LIPID MAPS, or targeted literature curation</t>
        </is>
      </c>
      <c r="F547" t="inlineStr">
        <is>
          <t>prefer_experimental_or_supplier</t>
        </is>
      </c>
      <c r="G547" t="inlineStr">
        <is>
          <t>P3</t>
        </is>
      </c>
    </row>
    <row r="548">
      <c r="A548" t="inlineStr">
        <is>
          <t>Tristearin / Dynasan 118</t>
        </is>
      </c>
      <c r="B548" t="inlineStr">
        <is>
          <t>Solid lipid/oil</t>
        </is>
      </c>
      <c r="C548" t="inlineStr">
        <is>
          <t>saponification_or_acid_value_if_relevant</t>
        </is>
      </c>
      <c r="D548" t="inlineStr">
        <is>
          <t>medium</t>
        </is>
      </c>
      <c r="E548" t="inlineStr">
        <is>
          <t>supplier CoA, pharmacopeial monograph, PubChem/LIPID MAPS, or targeted literature curation</t>
        </is>
      </c>
      <c r="F548" t="inlineStr">
        <is>
          <t>prefer_experimental_or_supplier</t>
        </is>
      </c>
      <c r="G548" t="inlineStr">
        <is>
          <t>P3</t>
        </is>
      </c>
    </row>
    <row r="549">
      <c r="A549" t="inlineStr">
        <is>
          <t>Cetyl palmitate</t>
        </is>
      </c>
      <c r="B549" t="inlineStr">
        <is>
          <t>Solid lipid/oil</t>
        </is>
      </c>
      <c r="C549" t="inlineStr">
        <is>
          <t>average_MW</t>
        </is>
      </c>
      <c r="D549" t="inlineStr">
        <is>
          <t>high</t>
        </is>
      </c>
      <c r="E549" t="inlineStr">
        <is>
          <t>supplier CoA, pharmacopeial monograph, PubChem/LIPID MAPS, or targeted literature curation</t>
        </is>
      </c>
      <c r="F549" t="inlineStr">
        <is>
          <t>prefer_experimental_or_supplier</t>
        </is>
      </c>
      <c r="G549" t="inlineStr">
        <is>
          <t>P3</t>
        </is>
      </c>
    </row>
    <row r="550">
      <c r="A550" t="inlineStr">
        <is>
          <t>Cetyl palmitate</t>
        </is>
      </c>
      <c r="B550" t="inlineStr">
        <is>
          <t>Solid lipid/oil</t>
        </is>
      </c>
      <c r="C550" t="inlineStr">
        <is>
          <t>HLB_if_amphiphilic</t>
        </is>
      </c>
      <c r="D550" t="inlineStr">
        <is>
          <t>medium</t>
        </is>
      </c>
      <c r="E550" t="inlineStr">
        <is>
          <t>supplier CoA, pharmacopeial monograph, PubChem/LIPID MAPS, or targeted literature curation</t>
        </is>
      </c>
      <c r="F550" t="inlineStr">
        <is>
          <t>prefer_experimental_or_supplier</t>
        </is>
      </c>
      <c r="G550" t="inlineStr">
        <is>
          <t>P3</t>
        </is>
      </c>
    </row>
    <row r="551">
      <c r="A551" t="inlineStr">
        <is>
          <t>Cetyl palmitate</t>
        </is>
      </c>
      <c r="B551" t="inlineStr">
        <is>
          <t>Solid lipid/oil</t>
        </is>
      </c>
      <c r="C551" t="inlineStr">
        <is>
          <t>saponification_or_acid_value_if_relevant</t>
        </is>
      </c>
      <c r="D551" t="inlineStr">
        <is>
          <t>medium</t>
        </is>
      </c>
      <c r="E551" t="inlineStr">
        <is>
          <t>supplier CoA, pharmacopeial monograph, PubChem/LIPID MAPS, or targeted literature curation</t>
        </is>
      </c>
      <c r="F551" t="inlineStr">
        <is>
          <t>prefer_experimental_or_supplier</t>
        </is>
      </c>
      <c r="G551" t="inlineStr">
        <is>
          <t>P3</t>
        </is>
      </c>
    </row>
    <row r="552">
      <c r="A552" t="inlineStr">
        <is>
          <t>Witepsol H15</t>
        </is>
      </c>
      <c r="B552" t="inlineStr">
        <is>
          <t>Solid lipid/oil</t>
        </is>
      </c>
      <c r="C552" t="inlineStr">
        <is>
          <t>molecular_weight_g_mol</t>
        </is>
      </c>
      <c r="D552" t="inlineStr">
        <is>
          <t>critical</t>
        </is>
      </c>
      <c r="E552" t="inlineStr">
        <is>
          <t>supplier CoA, pharmacopeial monograph, PubChem/LIPID MAPS, or targeted literature curation</t>
        </is>
      </c>
      <c r="F552" t="inlineStr">
        <is>
          <t>prefer_experimental_or_supplier</t>
        </is>
      </c>
      <c r="G552" t="inlineStr">
        <is>
          <t>P1</t>
        </is>
      </c>
    </row>
    <row r="553">
      <c r="A553" t="inlineStr">
        <is>
          <t>Witepsol H15</t>
        </is>
      </c>
      <c r="B553" t="inlineStr">
        <is>
          <t>Solid lipid/oil</t>
        </is>
      </c>
      <c r="C553" t="inlineStr">
        <is>
          <t>HLB_if_amphiphilic</t>
        </is>
      </c>
      <c r="D553" t="inlineStr">
        <is>
          <t>medium</t>
        </is>
      </c>
      <c r="E553" t="inlineStr">
        <is>
          <t>supplier CoA, pharmacopeial monograph, PubChem/LIPID MAPS, or targeted literature curation</t>
        </is>
      </c>
      <c r="F553" t="inlineStr">
        <is>
          <t>prefer_experimental_or_supplier</t>
        </is>
      </c>
      <c r="G553" t="inlineStr">
        <is>
          <t>P3</t>
        </is>
      </c>
    </row>
    <row r="554">
      <c r="A554" t="inlineStr">
        <is>
          <t>Witepsol H15</t>
        </is>
      </c>
      <c r="B554" t="inlineStr">
        <is>
          <t>Solid lipid/oil</t>
        </is>
      </c>
      <c r="C554" t="inlineStr">
        <is>
          <t>saponification_or_acid_value_if_relevant</t>
        </is>
      </c>
      <c r="D554" t="inlineStr">
        <is>
          <t>medium</t>
        </is>
      </c>
      <c r="E554" t="inlineStr">
        <is>
          <t>supplier CoA, pharmacopeial monograph, PubChem/LIPID MAPS, or targeted literature curation</t>
        </is>
      </c>
      <c r="F554" t="inlineStr">
        <is>
          <t>prefer_experimental_or_supplier</t>
        </is>
      </c>
      <c r="G554" t="inlineStr">
        <is>
          <t>P3</t>
        </is>
      </c>
    </row>
    <row r="555">
      <c r="A555" t="inlineStr">
        <is>
          <t>Witepsol W35</t>
        </is>
      </c>
      <c r="B555" t="inlineStr">
        <is>
          <t>Solid lipid/oil</t>
        </is>
      </c>
      <c r="C555" t="inlineStr">
        <is>
          <t>molecular_weight_g_mol</t>
        </is>
      </c>
      <c r="D555" t="inlineStr">
        <is>
          <t>critical</t>
        </is>
      </c>
      <c r="E555" t="inlineStr">
        <is>
          <t>supplier CoA, pharmacopeial monograph, PubChem/LIPID MAPS, or targeted literature curation</t>
        </is>
      </c>
      <c r="F555" t="inlineStr">
        <is>
          <t>prefer_experimental_or_supplier</t>
        </is>
      </c>
      <c r="G555" t="inlineStr">
        <is>
          <t>P1</t>
        </is>
      </c>
    </row>
    <row r="556">
      <c r="A556" t="inlineStr">
        <is>
          <t>Witepsol W35</t>
        </is>
      </c>
      <c r="B556" t="inlineStr">
        <is>
          <t>Solid lipid/oil</t>
        </is>
      </c>
      <c r="C556" t="inlineStr">
        <is>
          <t>HLB_if_amphiphilic</t>
        </is>
      </c>
      <c r="D556" t="inlineStr">
        <is>
          <t>medium</t>
        </is>
      </c>
      <c r="E556" t="inlineStr">
        <is>
          <t>supplier CoA, pharmacopeial monograph, PubChem/LIPID MAPS, or targeted literature curation</t>
        </is>
      </c>
      <c r="F556" t="inlineStr">
        <is>
          <t>prefer_experimental_or_supplier</t>
        </is>
      </c>
      <c r="G556" t="inlineStr">
        <is>
          <t>P3</t>
        </is>
      </c>
    </row>
    <row r="557">
      <c r="A557" t="inlineStr">
        <is>
          <t>Witepsol W35</t>
        </is>
      </c>
      <c r="B557" t="inlineStr">
        <is>
          <t>Solid lipid/oil</t>
        </is>
      </c>
      <c r="C557" t="inlineStr">
        <is>
          <t>saponification_or_acid_value_if_relevant</t>
        </is>
      </c>
      <c r="D557" t="inlineStr">
        <is>
          <t>medium</t>
        </is>
      </c>
      <c r="E557" t="inlineStr">
        <is>
          <t>supplier CoA, pharmacopeial monograph, PubChem/LIPID MAPS, or targeted literature curation</t>
        </is>
      </c>
      <c r="F557" t="inlineStr">
        <is>
          <t>prefer_experimental_or_supplier</t>
        </is>
      </c>
      <c r="G557" t="inlineStr">
        <is>
          <t>P3</t>
        </is>
      </c>
    </row>
    <row r="558">
      <c r="A558" t="inlineStr">
        <is>
          <t>Gelucire 44/14</t>
        </is>
      </c>
      <c r="B558" t="inlineStr">
        <is>
          <t>Solid lipid/oil</t>
        </is>
      </c>
      <c r="C558" t="inlineStr">
        <is>
          <t>molecular_weight_g_mol</t>
        </is>
      </c>
      <c r="D558" t="inlineStr">
        <is>
          <t>critical</t>
        </is>
      </c>
      <c r="E558" t="inlineStr">
        <is>
          <t>supplier CoA, pharmacopeial monograph, PubChem/LIPID MAPS, or targeted literature curation</t>
        </is>
      </c>
      <c r="F558" t="inlineStr">
        <is>
          <t>prefer_experimental_or_supplier</t>
        </is>
      </c>
      <c r="G558" t="inlineStr">
        <is>
          <t>P1</t>
        </is>
      </c>
    </row>
    <row r="559">
      <c r="A559" t="inlineStr">
        <is>
          <t>Gelucire 44/14</t>
        </is>
      </c>
      <c r="B559" t="inlineStr">
        <is>
          <t>Solid lipid/oil</t>
        </is>
      </c>
      <c r="C559" t="inlineStr">
        <is>
          <t>saponification_or_acid_value_if_relevant</t>
        </is>
      </c>
      <c r="D559" t="inlineStr">
        <is>
          <t>medium</t>
        </is>
      </c>
      <c r="E559" t="inlineStr">
        <is>
          <t>supplier CoA, pharmacopeial monograph, PubChem/LIPID MAPS, or targeted literature curation</t>
        </is>
      </c>
      <c r="F559" t="inlineStr">
        <is>
          <t>prefer_experimental_or_supplier</t>
        </is>
      </c>
      <c r="G559" t="inlineStr">
        <is>
          <t>P3</t>
        </is>
      </c>
    </row>
    <row r="560">
      <c r="A560" t="inlineStr">
        <is>
          <t>Gelucire 50/13</t>
        </is>
      </c>
      <c r="B560" t="inlineStr">
        <is>
          <t>Solid lipid/oil</t>
        </is>
      </c>
      <c r="C560" t="inlineStr">
        <is>
          <t>molecular_weight_g_mol</t>
        </is>
      </c>
      <c r="D560" t="inlineStr">
        <is>
          <t>critical</t>
        </is>
      </c>
      <c r="E560" t="inlineStr">
        <is>
          <t>supplier CoA, pharmacopeial monograph, PubChem/LIPID MAPS, or targeted literature curation</t>
        </is>
      </c>
      <c r="F560" t="inlineStr">
        <is>
          <t>prefer_experimental_or_supplier</t>
        </is>
      </c>
      <c r="G560" t="inlineStr">
        <is>
          <t>P1</t>
        </is>
      </c>
    </row>
    <row r="561">
      <c r="A561" t="inlineStr">
        <is>
          <t>Gelucire 50/13</t>
        </is>
      </c>
      <c r="B561" t="inlineStr">
        <is>
          <t>Solid lipid/oil</t>
        </is>
      </c>
      <c r="C561" t="inlineStr">
        <is>
          <t>saponification_or_acid_value_if_relevant</t>
        </is>
      </c>
      <c r="D561" t="inlineStr">
        <is>
          <t>medium</t>
        </is>
      </c>
      <c r="E561" t="inlineStr">
        <is>
          <t>supplier CoA, pharmacopeial monograph, PubChem/LIPID MAPS, or targeted literature curation</t>
        </is>
      </c>
      <c r="F561" t="inlineStr">
        <is>
          <t>prefer_experimental_or_supplier</t>
        </is>
      </c>
      <c r="G561" t="inlineStr">
        <is>
          <t>P3</t>
        </is>
      </c>
    </row>
    <row r="562">
      <c r="A562" t="inlineStr">
        <is>
          <t>Gelucire 43/01</t>
        </is>
      </c>
      <c r="B562" t="inlineStr">
        <is>
          <t>Solid lipid/oil</t>
        </is>
      </c>
      <c r="C562" t="inlineStr">
        <is>
          <t>molecular_weight_g_mol</t>
        </is>
      </c>
      <c r="D562" t="inlineStr">
        <is>
          <t>critical</t>
        </is>
      </c>
      <c r="E562" t="inlineStr">
        <is>
          <t>supplier CoA, pharmacopeial monograph, PubChem/LIPID MAPS, or targeted literature curation</t>
        </is>
      </c>
      <c r="F562" t="inlineStr">
        <is>
          <t>prefer_experimental_or_supplier</t>
        </is>
      </c>
      <c r="G562" t="inlineStr">
        <is>
          <t>P1</t>
        </is>
      </c>
    </row>
    <row r="563">
      <c r="A563" t="inlineStr">
        <is>
          <t>Gelucire 43/01</t>
        </is>
      </c>
      <c r="B563" t="inlineStr">
        <is>
          <t>Solid lipid/oil</t>
        </is>
      </c>
      <c r="C563" t="inlineStr">
        <is>
          <t>saponification_or_acid_value_if_relevant</t>
        </is>
      </c>
      <c r="D563" t="inlineStr">
        <is>
          <t>medium</t>
        </is>
      </c>
      <c r="E563" t="inlineStr">
        <is>
          <t>supplier CoA, pharmacopeial monograph, PubChem/LIPID MAPS, or targeted literature curation</t>
        </is>
      </c>
      <c r="F563" t="inlineStr">
        <is>
          <t>prefer_experimental_or_supplier</t>
        </is>
      </c>
      <c r="G563" t="inlineStr">
        <is>
          <t>P3</t>
        </is>
      </c>
    </row>
    <row r="564">
      <c r="A564" t="inlineStr">
        <is>
          <t>Ethyl oleate</t>
        </is>
      </c>
      <c r="B564" t="inlineStr">
        <is>
          <t>Solid lipid/oil</t>
        </is>
      </c>
      <c r="C564" t="inlineStr">
        <is>
          <t>average_MW</t>
        </is>
      </c>
      <c r="D564" t="inlineStr">
        <is>
          <t>high</t>
        </is>
      </c>
      <c r="E564" t="inlineStr">
        <is>
          <t>supplier CoA, pharmacopeial monograph, PubChem/LIPID MAPS, or targeted literature curation</t>
        </is>
      </c>
      <c r="F564" t="inlineStr">
        <is>
          <t>prefer_experimental_or_supplier</t>
        </is>
      </c>
      <c r="G564" t="inlineStr">
        <is>
          <t>P3</t>
        </is>
      </c>
    </row>
    <row r="565">
      <c r="A565" t="inlineStr">
        <is>
          <t>Ethyl oleate</t>
        </is>
      </c>
      <c r="B565" t="inlineStr">
        <is>
          <t>Solid lipid/oil</t>
        </is>
      </c>
      <c r="C565" t="inlineStr">
        <is>
          <t>HLB_if_amphiphilic</t>
        </is>
      </c>
      <c r="D565" t="inlineStr">
        <is>
          <t>medium</t>
        </is>
      </c>
      <c r="E565" t="inlineStr">
        <is>
          <t>supplier CoA, pharmacopeial monograph, PubChem/LIPID MAPS, or targeted literature curation</t>
        </is>
      </c>
      <c r="F565" t="inlineStr">
        <is>
          <t>prefer_experimental_or_supplier</t>
        </is>
      </c>
      <c r="G565" t="inlineStr">
        <is>
          <t>P3</t>
        </is>
      </c>
    </row>
    <row r="566">
      <c r="A566" t="inlineStr">
        <is>
          <t>Ethyl oleate</t>
        </is>
      </c>
      <c r="B566" t="inlineStr">
        <is>
          <t>Solid lipid/oil</t>
        </is>
      </c>
      <c r="C566" t="inlineStr">
        <is>
          <t>saponification_or_acid_value_if_relevant</t>
        </is>
      </c>
      <c r="D566" t="inlineStr">
        <is>
          <t>medium</t>
        </is>
      </c>
      <c r="E566" t="inlineStr">
        <is>
          <t>supplier CoA, pharmacopeial monograph, PubChem/LIPID MAPS, or targeted literature curation</t>
        </is>
      </c>
      <c r="F566" t="inlineStr">
        <is>
          <t>prefer_experimental_or_supplier</t>
        </is>
      </c>
      <c r="G566" t="inlineStr">
        <is>
          <t>P3</t>
        </is>
      </c>
    </row>
    <row r="567">
      <c r="A567" t="inlineStr">
        <is>
          <t>Medium-chain triglycerides</t>
        </is>
      </c>
      <c r="B567" t="inlineStr">
        <is>
          <t>Solid lipid/oil</t>
        </is>
      </c>
      <c r="C567" t="inlineStr">
        <is>
          <t>molecular_weight_g_mol</t>
        </is>
      </c>
      <c r="D567" t="inlineStr">
        <is>
          <t>critical</t>
        </is>
      </c>
      <c r="E567" t="inlineStr">
        <is>
          <t>supplier CoA, pharmacopeial monograph, PubChem/LIPID MAPS, or targeted literature curation</t>
        </is>
      </c>
      <c r="F567" t="inlineStr">
        <is>
          <t>prefer_experimental_or_supplier</t>
        </is>
      </c>
      <c r="G567" t="inlineStr">
        <is>
          <t>P1</t>
        </is>
      </c>
    </row>
    <row r="568">
      <c r="A568" t="inlineStr">
        <is>
          <t>Medium-chain triglycerides</t>
        </is>
      </c>
      <c r="B568" t="inlineStr">
        <is>
          <t>Solid lipid/oil</t>
        </is>
      </c>
      <c r="C568" t="inlineStr">
        <is>
          <t>HLB_if_amphiphilic</t>
        </is>
      </c>
      <c r="D568" t="inlineStr">
        <is>
          <t>medium</t>
        </is>
      </c>
      <c r="E568" t="inlineStr">
        <is>
          <t>supplier CoA, pharmacopeial monograph, PubChem/LIPID MAPS, or targeted literature curation</t>
        </is>
      </c>
      <c r="F568" t="inlineStr">
        <is>
          <t>prefer_experimental_or_supplier</t>
        </is>
      </c>
      <c r="G568" t="inlineStr">
        <is>
          <t>P3</t>
        </is>
      </c>
    </row>
    <row r="569">
      <c r="A569" t="inlineStr">
        <is>
          <t>Medium-chain triglycerides</t>
        </is>
      </c>
      <c r="B569" t="inlineStr">
        <is>
          <t>Solid lipid/oil</t>
        </is>
      </c>
      <c r="C569" t="inlineStr">
        <is>
          <t>saponification_or_acid_value_if_relevant</t>
        </is>
      </c>
      <c r="D569" t="inlineStr">
        <is>
          <t>medium</t>
        </is>
      </c>
      <c r="E569" t="inlineStr">
        <is>
          <t>supplier CoA, pharmacopeial monograph, PubChem/LIPID MAPS, or targeted literature curation</t>
        </is>
      </c>
      <c r="F569" t="inlineStr">
        <is>
          <t>prefer_experimental_or_supplier</t>
        </is>
      </c>
      <c r="G569" t="inlineStr">
        <is>
          <t>P3</t>
        </is>
      </c>
    </row>
    <row r="570">
      <c r="A570" t="inlineStr">
        <is>
          <t>Miglyol 812</t>
        </is>
      </c>
      <c r="B570" t="inlineStr">
        <is>
          <t>Solid lipid/oil</t>
        </is>
      </c>
      <c r="C570" t="inlineStr">
        <is>
          <t>molecular_weight_g_mol</t>
        </is>
      </c>
      <c r="D570" t="inlineStr">
        <is>
          <t>critical</t>
        </is>
      </c>
      <c r="E570" t="inlineStr">
        <is>
          <t>supplier CoA, pharmacopeial monograph, PubChem/LIPID MAPS, or targeted literature curation</t>
        </is>
      </c>
      <c r="F570" t="inlineStr">
        <is>
          <t>prefer_experimental_or_supplier</t>
        </is>
      </c>
      <c r="G570" t="inlineStr">
        <is>
          <t>P1</t>
        </is>
      </c>
    </row>
    <row r="571">
      <c r="A571" t="inlineStr">
        <is>
          <t>Miglyol 812</t>
        </is>
      </c>
      <c r="B571" t="inlineStr">
        <is>
          <t>Solid lipid/oil</t>
        </is>
      </c>
      <c r="C571" t="inlineStr">
        <is>
          <t>HLB_if_amphiphilic</t>
        </is>
      </c>
      <c r="D571" t="inlineStr">
        <is>
          <t>medium</t>
        </is>
      </c>
      <c r="E571" t="inlineStr">
        <is>
          <t>supplier CoA, pharmacopeial monograph, PubChem/LIPID MAPS, or targeted literature curation</t>
        </is>
      </c>
      <c r="F571" t="inlineStr">
        <is>
          <t>prefer_experimental_or_supplier</t>
        </is>
      </c>
      <c r="G571" t="inlineStr">
        <is>
          <t>P3</t>
        </is>
      </c>
    </row>
    <row r="572">
      <c r="A572" t="inlineStr">
        <is>
          <t>Miglyol 812</t>
        </is>
      </c>
      <c r="B572" t="inlineStr">
        <is>
          <t>Solid lipid/oil</t>
        </is>
      </c>
      <c r="C572" t="inlineStr">
        <is>
          <t>saponification_or_acid_value_if_relevant</t>
        </is>
      </c>
      <c r="D572" t="inlineStr">
        <is>
          <t>medium</t>
        </is>
      </c>
      <c r="E572" t="inlineStr">
        <is>
          <t>supplier CoA, pharmacopeial monograph, PubChem/LIPID MAPS, or targeted literature curation</t>
        </is>
      </c>
      <c r="F572" t="inlineStr">
        <is>
          <t>prefer_experimental_or_supplier</t>
        </is>
      </c>
      <c r="G572" t="inlineStr">
        <is>
          <t>P3</t>
        </is>
      </c>
    </row>
    <row r="573">
      <c r="A573" t="inlineStr">
        <is>
          <t>Miglyol 840</t>
        </is>
      </c>
      <c r="B573" t="inlineStr">
        <is>
          <t>Solid lipid/oil</t>
        </is>
      </c>
      <c r="C573" t="inlineStr">
        <is>
          <t>molecular_weight_g_mol</t>
        </is>
      </c>
      <c r="D573" t="inlineStr">
        <is>
          <t>critical</t>
        </is>
      </c>
      <c r="E573" t="inlineStr">
        <is>
          <t>supplier CoA, pharmacopeial monograph, PubChem/LIPID MAPS, or targeted literature curation</t>
        </is>
      </c>
      <c r="F573" t="inlineStr">
        <is>
          <t>prefer_experimental_or_supplier</t>
        </is>
      </c>
      <c r="G573" t="inlineStr">
        <is>
          <t>P1</t>
        </is>
      </c>
    </row>
    <row r="574">
      <c r="A574" t="inlineStr">
        <is>
          <t>Miglyol 840</t>
        </is>
      </c>
      <c r="B574" t="inlineStr">
        <is>
          <t>Solid lipid/oil</t>
        </is>
      </c>
      <c r="C574" t="inlineStr">
        <is>
          <t>HLB_if_amphiphilic</t>
        </is>
      </c>
      <c r="D574" t="inlineStr">
        <is>
          <t>medium</t>
        </is>
      </c>
      <c r="E574" t="inlineStr">
        <is>
          <t>supplier CoA, pharmacopeial monograph, PubChem/LIPID MAPS, or targeted literature curation</t>
        </is>
      </c>
      <c r="F574" t="inlineStr">
        <is>
          <t>prefer_experimental_or_supplier</t>
        </is>
      </c>
      <c r="G574" t="inlineStr">
        <is>
          <t>P3</t>
        </is>
      </c>
    </row>
    <row r="575">
      <c r="A575" t="inlineStr">
        <is>
          <t>Miglyol 840</t>
        </is>
      </c>
      <c r="B575" t="inlineStr">
        <is>
          <t>Solid lipid/oil</t>
        </is>
      </c>
      <c r="C575" t="inlineStr">
        <is>
          <t>saponification_or_acid_value_if_relevant</t>
        </is>
      </c>
      <c r="D575" t="inlineStr">
        <is>
          <t>medium</t>
        </is>
      </c>
      <c r="E575" t="inlineStr">
        <is>
          <t>supplier CoA, pharmacopeial monograph, PubChem/LIPID MAPS, or targeted literature curation</t>
        </is>
      </c>
      <c r="F575" t="inlineStr">
        <is>
          <t>prefer_experimental_or_supplier</t>
        </is>
      </c>
      <c r="G575" t="inlineStr">
        <is>
          <t>P3</t>
        </is>
      </c>
    </row>
    <row r="576">
      <c r="A576" t="inlineStr">
        <is>
          <t>Labrafac PG</t>
        </is>
      </c>
      <c r="B576" t="inlineStr">
        <is>
          <t>Solid lipid/oil</t>
        </is>
      </c>
      <c r="C576" t="inlineStr">
        <is>
          <t>molecular_weight_g_mol</t>
        </is>
      </c>
      <c r="D576" t="inlineStr">
        <is>
          <t>critical</t>
        </is>
      </c>
      <c r="E576" t="inlineStr">
        <is>
          <t>supplier CoA, pharmacopeial monograph, PubChem/LIPID MAPS, or targeted literature curation</t>
        </is>
      </c>
      <c r="F576" t="inlineStr">
        <is>
          <t>prefer_experimental_or_supplier</t>
        </is>
      </c>
      <c r="G576" t="inlineStr">
        <is>
          <t>P1</t>
        </is>
      </c>
    </row>
    <row r="577">
      <c r="A577" t="inlineStr">
        <is>
          <t>Labrafac PG</t>
        </is>
      </c>
      <c r="B577" t="inlineStr">
        <is>
          <t>Solid lipid/oil</t>
        </is>
      </c>
      <c r="C577" t="inlineStr">
        <is>
          <t>saponification_or_acid_value_if_relevant</t>
        </is>
      </c>
      <c r="D577" t="inlineStr">
        <is>
          <t>medium</t>
        </is>
      </c>
      <c r="E577" t="inlineStr">
        <is>
          <t>supplier CoA, pharmacopeial monograph, PubChem/LIPID MAPS, or targeted literature curation</t>
        </is>
      </c>
      <c r="F577" t="inlineStr">
        <is>
          <t>prefer_experimental_or_supplier</t>
        </is>
      </c>
      <c r="G577" t="inlineStr">
        <is>
          <t>P3</t>
        </is>
      </c>
    </row>
    <row r="578">
      <c r="A578" t="inlineStr">
        <is>
          <t>Capryol 90</t>
        </is>
      </c>
      <c r="B578" t="inlineStr">
        <is>
          <t>Solid lipid/oil</t>
        </is>
      </c>
      <c r="C578" t="inlineStr">
        <is>
          <t>molecular_weight_g_mol</t>
        </is>
      </c>
      <c r="D578" t="inlineStr">
        <is>
          <t>critical</t>
        </is>
      </c>
      <c r="E578" t="inlineStr">
        <is>
          <t>supplier CoA, pharmacopeial monograph, PubChem/LIPID MAPS, or targeted literature curation</t>
        </is>
      </c>
      <c r="F578" t="inlineStr">
        <is>
          <t>prefer_experimental_or_supplier</t>
        </is>
      </c>
      <c r="G578" t="inlineStr">
        <is>
          <t>P1</t>
        </is>
      </c>
    </row>
    <row r="579">
      <c r="A579" t="inlineStr">
        <is>
          <t>Capryol 90</t>
        </is>
      </c>
      <c r="B579" t="inlineStr">
        <is>
          <t>Solid lipid/oil</t>
        </is>
      </c>
      <c r="C579" t="inlineStr">
        <is>
          <t>saponification_or_acid_value_if_relevant</t>
        </is>
      </c>
      <c r="D579" t="inlineStr">
        <is>
          <t>medium</t>
        </is>
      </c>
      <c r="E579" t="inlineStr">
        <is>
          <t>supplier CoA, pharmacopeial monograph, PubChem/LIPID MAPS, or targeted literature curation</t>
        </is>
      </c>
      <c r="F579" t="inlineStr">
        <is>
          <t>prefer_experimental_or_supplier</t>
        </is>
      </c>
      <c r="G579" t="inlineStr">
        <is>
          <t>P3</t>
        </is>
      </c>
    </row>
    <row r="580">
      <c r="A580" t="inlineStr">
        <is>
          <t>Maisine CC</t>
        </is>
      </c>
      <c r="B580" t="inlineStr">
        <is>
          <t>Solid lipid/oil</t>
        </is>
      </c>
      <c r="C580" t="inlineStr">
        <is>
          <t>molecular_weight_g_mol</t>
        </is>
      </c>
      <c r="D580" t="inlineStr">
        <is>
          <t>critical</t>
        </is>
      </c>
      <c r="E580" t="inlineStr">
        <is>
          <t>supplier CoA, pharmacopeial monograph, PubChem/LIPID MAPS, or targeted literature curation</t>
        </is>
      </c>
      <c r="F580" t="inlineStr">
        <is>
          <t>prefer_experimental_or_supplier</t>
        </is>
      </c>
      <c r="G580" t="inlineStr">
        <is>
          <t>P1</t>
        </is>
      </c>
    </row>
    <row r="581">
      <c r="A581" t="inlineStr">
        <is>
          <t>Maisine CC</t>
        </is>
      </c>
      <c r="B581" t="inlineStr">
        <is>
          <t>Solid lipid/oil</t>
        </is>
      </c>
      <c r="C581" t="inlineStr">
        <is>
          <t>saponification_or_acid_value_if_relevant</t>
        </is>
      </c>
      <c r="D581" t="inlineStr">
        <is>
          <t>medium</t>
        </is>
      </c>
      <c r="E581" t="inlineStr">
        <is>
          <t>supplier CoA, pharmacopeial monograph, PubChem/LIPID MAPS, or targeted literature curation</t>
        </is>
      </c>
      <c r="F581" t="inlineStr">
        <is>
          <t>prefer_experimental_or_supplier</t>
        </is>
      </c>
      <c r="G581" t="inlineStr">
        <is>
          <t>P3</t>
        </is>
      </c>
    </row>
    <row r="582">
      <c r="A582" t="inlineStr">
        <is>
          <t>Peceol</t>
        </is>
      </c>
      <c r="B582" t="inlineStr">
        <is>
          <t>Solid lipid/oil</t>
        </is>
      </c>
      <c r="C582" t="inlineStr">
        <is>
          <t>molecular_weight_g_mol</t>
        </is>
      </c>
      <c r="D582" t="inlineStr">
        <is>
          <t>critical</t>
        </is>
      </c>
      <c r="E582" t="inlineStr">
        <is>
          <t>supplier CoA, pharmacopeial monograph, PubChem/LIPID MAPS, or targeted literature curation</t>
        </is>
      </c>
      <c r="F582" t="inlineStr">
        <is>
          <t>prefer_experimental_or_supplier</t>
        </is>
      </c>
      <c r="G582" t="inlineStr">
        <is>
          <t>P1</t>
        </is>
      </c>
    </row>
    <row r="583">
      <c r="A583" t="inlineStr">
        <is>
          <t>Peceol</t>
        </is>
      </c>
      <c r="B583" t="inlineStr">
        <is>
          <t>Solid lipid/oil</t>
        </is>
      </c>
      <c r="C583" t="inlineStr">
        <is>
          <t>saponification_or_acid_value_if_relevant</t>
        </is>
      </c>
      <c r="D583" t="inlineStr">
        <is>
          <t>medium</t>
        </is>
      </c>
      <c r="E583" t="inlineStr">
        <is>
          <t>supplier CoA, pharmacopeial monograph, PubChem/LIPID MAPS, or targeted literature curation</t>
        </is>
      </c>
      <c r="F583" t="inlineStr">
        <is>
          <t>prefer_experimental_or_supplier</t>
        </is>
      </c>
      <c r="G583" t="inlineStr">
        <is>
          <t>P3</t>
        </is>
      </c>
    </row>
    <row r="584">
      <c r="A584" t="inlineStr">
        <is>
          <t>Labrafil M1944CS</t>
        </is>
      </c>
      <c r="B584" t="inlineStr">
        <is>
          <t>Solid lipid/oil</t>
        </is>
      </c>
      <c r="C584" t="inlineStr">
        <is>
          <t>molecular_weight_g_mol</t>
        </is>
      </c>
      <c r="D584" t="inlineStr">
        <is>
          <t>critical</t>
        </is>
      </c>
      <c r="E584" t="inlineStr">
        <is>
          <t>supplier CoA, pharmacopeial monograph, PubChem/LIPID MAPS, or targeted literature curation</t>
        </is>
      </c>
      <c r="F584" t="inlineStr">
        <is>
          <t>prefer_experimental_or_supplier</t>
        </is>
      </c>
      <c r="G584" t="inlineStr">
        <is>
          <t>P1</t>
        </is>
      </c>
    </row>
    <row r="585">
      <c r="A585" t="inlineStr">
        <is>
          <t>Labrafil M1944CS</t>
        </is>
      </c>
      <c r="B585" t="inlineStr">
        <is>
          <t>Solid lipid/oil</t>
        </is>
      </c>
      <c r="C585" t="inlineStr">
        <is>
          <t>saponification_or_acid_value_if_relevant</t>
        </is>
      </c>
      <c r="D585" t="inlineStr">
        <is>
          <t>medium</t>
        </is>
      </c>
      <c r="E585" t="inlineStr">
        <is>
          <t>supplier CoA, pharmacopeial monograph, PubChem/LIPID MAPS, or targeted literature curation</t>
        </is>
      </c>
      <c r="F585" t="inlineStr">
        <is>
          <t>prefer_experimental_or_supplier</t>
        </is>
      </c>
      <c r="G585" t="inlineStr">
        <is>
          <t>P3</t>
        </is>
      </c>
    </row>
    <row r="586">
      <c r="A586" t="inlineStr">
        <is>
          <t>Labrafil M2125CS</t>
        </is>
      </c>
      <c r="B586" t="inlineStr">
        <is>
          <t>Solid lipid/oil</t>
        </is>
      </c>
      <c r="C586" t="inlineStr">
        <is>
          <t>molecular_weight_g_mol</t>
        </is>
      </c>
      <c r="D586" t="inlineStr">
        <is>
          <t>critical</t>
        </is>
      </c>
      <c r="E586" t="inlineStr">
        <is>
          <t>supplier CoA, pharmacopeial monograph, PubChem/LIPID MAPS, or targeted literature curation</t>
        </is>
      </c>
      <c r="F586" t="inlineStr">
        <is>
          <t>prefer_experimental_or_supplier</t>
        </is>
      </c>
      <c r="G586" t="inlineStr">
        <is>
          <t>P1</t>
        </is>
      </c>
    </row>
    <row r="587">
      <c r="A587" t="inlineStr">
        <is>
          <t>Labrafil M2125CS</t>
        </is>
      </c>
      <c r="B587" t="inlineStr">
        <is>
          <t>Solid lipid/oil</t>
        </is>
      </c>
      <c r="C587" t="inlineStr">
        <is>
          <t>saponification_or_acid_value_if_relevant</t>
        </is>
      </c>
      <c r="D587" t="inlineStr">
        <is>
          <t>medium</t>
        </is>
      </c>
      <c r="E587" t="inlineStr">
        <is>
          <t>supplier CoA, pharmacopeial monograph, PubChem/LIPID MAPS, or targeted literature curation</t>
        </is>
      </c>
      <c r="F587" t="inlineStr">
        <is>
          <t>prefer_experimental_or_supplier</t>
        </is>
      </c>
      <c r="G587" t="inlineStr">
        <is>
          <t>P3</t>
        </is>
      </c>
    </row>
    <row r="588">
      <c r="A588" t="inlineStr">
        <is>
          <t>Isopropyl myristate</t>
        </is>
      </c>
      <c r="B588" t="inlineStr">
        <is>
          <t>Solid lipid/oil</t>
        </is>
      </c>
      <c r="C588" t="inlineStr">
        <is>
          <t>average_MW</t>
        </is>
      </c>
      <c r="D588" t="inlineStr">
        <is>
          <t>high</t>
        </is>
      </c>
      <c r="E588" t="inlineStr">
        <is>
          <t>supplier CoA, pharmacopeial monograph, PubChem/LIPID MAPS, or targeted literature curation</t>
        </is>
      </c>
      <c r="F588" t="inlineStr">
        <is>
          <t>prefer_experimental_or_supplier</t>
        </is>
      </c>
      <c r="G588" t="inlineStr">
        <is>
          <t>P3</t>
        </is>
      </c>
    </row>
    <row r="589">
      <c r="A589" t="inlineStr">
        <is>
          <t>Isopropyl myristate</t>
        </is>
      </c>
      <c r="B589" t="inlineStr">
        <is>
          <t>Solid lipid/oil</t>
        </is>
      </c>
      <c r="C589" t="inlineStr">
        <is>
          <t>HLB_if_amphiphilic</t>
        </is>
      </c>
      <c r="D589" t="inlineStr">
        <is>
          <t>medium</t>
        </is>
      </c>
      <c r="E589" t="inlineStr">
        <is>
          <t>supplier CoA, pharmacopeial monograph, PubChem/LIPID MAPS, or targeted literature curation</t>
        </is>
      </c>
      <c r="F589" t="inlineStr">
        <is>
          <t>prefer_experimental_or_supplier</t>
        </is>
      </c>
      <c r="G589" t="inlineStr">
        <is>
          <t>P3</t>
        </is>
      </c>
    </row>
    <row r="590">
      <c r="A590" t="inlineStr">
        <is>
          <t>Isopropyl myristate</t>
        </is>
      </c>
      <c r="B590" t="inlineStr">
        <is>
          <t>Solid lipid/oil</t>
        </is>
      </c>
      <c r="C590" t="inlineStr">
        <is>
          <t>saponification_or_acid_value_if_relevant</t>
        </is>
      </c>
      <c r="D590" t="inlineStr">
        <is>
          <t>medium</t>
        </is>
      </c>
      <c r="E590" t="inlineStr">
        <is>
          <t>supplier CoA, pharmacopeial monograph, PubChem/LIPID MAPS, or targeted literature curation</t>
        </is>
      </c>
      <c r="F590" t="inlineStr">
        <is>
          <t>prefer_experimental_or_supplier</t>
        </is>
      </c>
      <c r="G590" t="inlineStr">
        <is>
          <t>P3</t>
        </is>
      </c>
    </row>
    <row r="591">
      <c r="A591" t="inlineStr">
        <is>
          <t>Castor oil</t>
        </is>
      </c>
      <c r="B591" t="inlineStr">
        <is>
          <t>Solid lipid/oil</t>
        </is>
      </c>
      <c r="C591" t="inlineStr">
        <is>
          <t>molecular_weight_g_mol</t>
        </is>
      </c>
      <c r="D591" t="inlineStr">
        <is>
          <t>critical</t>
        </is>
      </c>
      <c r="E591" t="inlineStr">
        <is>
          <t>supplier CoA, pharmacopeial monograph, PubChem/LIPID MAPS, or targeted literature curation</t>
        </is>
      </c>
      <c r="F591" t="inlineStr">
        <is>
          <t>prefer_experimental_or_supplier</t>
        </is>
      </c>
      <c r="G591" t="inlineStr">
        <is>
          <t>P1</t>
        </is>
      </c>
    </row>
    <row r="592">
      <c r="A592" t="inlineStr">
        <is>
          <t>Castor oil</t>
        </is>
      </c>
      <c r="B592" t="inlineStr">
        <is>
          <t>Solid lipid/oil</t>
        </is>
      </c>
      <c r="C592" t="inlineStr">
        <is>
          <t>HLB_if_amphiphilic</t>
        </is>
      </c>
      <c r="D592" t="inlineStr">
        <is>
          <t>medium</t>
        </is>
      </c>
      <c r="E592" t="inlineStr">
        <is>
          <t>supplier CoA, pharmacopeial monograph, PubChem/LIPID MAPS, or targeted literature curation</t>
        </is>
      </c>
      <c r="F592" t="inlineStr">
        <is>
          <t>prefer_experimental_or_supplier</t>
        </is>
      </c>
      <c r="G592" t="inlineStr">
        <is>
          <t>P3</t>
        </is>
      </c>
    </row>
    <row r="593">
      <c r="A593" t="inlineStr">
        <is>
          <t>Castor oil</t>
        </is>
      </c>
      <c r="B593" t="inlineStr">
        <is>
          <t>Solid lipid/oil</t>
        </is>
      </c>
      <c r="C593" t="inlineStr">
        <is>
          <t>saponification_or_acid_value_if_relevant</t>
        </is>
      </c>
      <c r="D593" t="inlineStr">
        <is>
          <t>medium</t>
        </is>
      </c>
      <c r="E593" t="inlineStr">
        <is>
          <t>supplier CoA, pharmacopeial monograph, PubChem/LIPID MAPS, or targeted literature curation</t>
        </is>
      </c>
      <c r="F593" t="inlineStr">
        <is>
          <t>prefer_experimental_or_supplier</t>
        </is>
      </c>
      <c r="G593" t="inlineStr">
        <is>
          <t>P3</t>
        </is>
      </c>
    </row>
    <row r="594">
      <c r="A594" t="inlineStr">
        <is>
          <t>Soybean oil</t>
        </is>
      </c>
      <c r="B594" t="inlineStr">
        <is>
          <t>Solid lipid/oil</t>
        </is>
      </c>
      <c r="C594" t="inlineStr">
        <is>
          <t>molecular_weight_g_mol</t>
        </is>
      </c>
      <c r="D594" t="inlineStr">
        <is>
          <t>critical</t>
        </is>
      </c>
      <c r="E594" t="inlineStr">
        <is>
          <t>supplier CoA, pharmacopeial monograph, PubChem/LIPID MAPS, or targeted literature curation</t>
        </is>
      </c>
      <c r="F594" t="inlineStr">
        <is>
          <t>prefer_experimental_or_supplier</t>
        </is>
      </c>
      <c r="G594" t="inlineStr">
        <is>
          <t>P1</t>
        </is>
      </c>
    </row>
    <row r="595">
      <c r="A595" t="inlineStr">
        <is>
          <t>Soybean oil</t>
        </is>
      </c>
      <c r="B595" t="inlineStr">
        <is>
          <t>Solid lipid/oil</t>
        </is>
      </c>
      <c r="C595" t="inlineStr">
        <is>
          <t>HLB_if_amphiphilic</t>
        </is>
      </c>
      <c r="D595" t="inlineStr">
        <is>
          <t>medium</t>
        </is>
      </c>
      <c r="E595" t="inlineStr">
        <is>
          <t>supplier CoA, pharmacopeial monograph, PubChem/LIPID MAPS, or targeted literature curation</t>
        </is>
      </c>
      <c r="F595" t="inlineStr">
        <is>
          <t>prefer_experimental_or_supplier</t>
        </is>
      </c>
      <c r="G595" t="inlineStr">
        <is>
          <t>P3</t>
        </is>
      </c>
    </row>
    <row r="596">
      <c r="A596" t="inlineStr">
        <is>
          <t>Soybean oil</t>
        </is>
      </c>
      <c r="B596" t="inlineStr">
        <is>
          <t>Solid lipid/oil</t>
        </is>
      </c>
      <c r="C596" t="inlineStr">
        <is>
          <t>saponification_or_acid_value_if_relevant</t>
        </is>
      </c>
      <c r="D596" t="inlineStr">
        <is>
          <t>medium</t>
        </is>
      </c>
      <c r="E596" t="inlineStr">
        <is>
          <t>supplier CoA, pharmacopeial monograph, PubChem/LIPID MAPS, or targeted literature curation</t>
        </is>
      </c>
      <c r="F596" t="inlineStr">
        <is>
          <t>prefer_experimental_or_supplier</t>
        </is>
      </c>
      <c r="G596" t="inlineStr">
        <is>
          <t>P3</t>
        </is>
      </c>
    </row>
    <row r="597">
      <c r="A597" t="inlineStr">
        <is>
          <t>Sesame oil</t>
        </is>
      </c>
      <c r="B597" t="inlineStr">
        <is>
          <t>Solid lipid/oil</t>
        </is>
      </c>
      <c r="C597" t="inlineStr">
        <is>
          <t>molecular_weight_g_mol</t>
        </is>
      </c>
      <c r="D597" t="inlineStr">
        <is>
          <t>critical</t>
        </is>
      </c>
      <c r="E597" t="inlineStr">
        <is>
          <t>supplier CoA, pharmacopeial monograph, PubChem/LIPID MAPS, or targeted literature curation</t>
        </is>
      </c>
      <c r="F597" t="inlineStr">
        <is>
          <t>prefer_experimental_or_supplier</t>
        </is>
      </c>
      <c r="G597" t="inlineStr">
        <is>
          <t>P1</t>
        </is>
      </c>
    </row>
    <row r="598">
      <c r="A598" t="inlineStr">
        <is>
          <t>Sesame oil</t>
        </is>
      </c>
      <c r="B598" t="inlineStr">
        <is>
          <t>Solid lipid/oil</t>
        </is>
      </c>
      <c r="C598" t="inlineStr">
        <is>
          <t>HLB_if_amphiphilic</t>
        </is>
      </c>
      <c r="D598" t="inlineStr">
        <is>
          <t>medium</t>
        </is>
      </c>
      <c r="E598" t="inlineStr">
        <is>
          <t>supplier CoA, pharmacopeial monograph, PubChem/LIPID MAPS, or targeted literature curation</t>
        </is>
      </c>
      <c r="F598" t="inlineStr">
        <is>
          <t>prefer_experimental_or_supplier</t>
        </is>
      </c>
      <c r="G598" t="inlineStr">
        <is>
          <t>P3</t>
        </is>
      </c>
    </row>
    <row r="599">
      <c r="A599" t="inlineStr">
        <is>
          <t>Sesame oil</t>
        </is>
      </c>
      <c r="B599" t="inlineStr">
        <is>
          <t>Solid lipid/oil</t>
        </is>
      </c>
      <c r="C599" t="inlineStr">
        <is>
          <t>saponification_or_acid_value_if_relevant</t>
        </is>
      </c>
      <c r="D599" t="inlineStr">
        <is>
          <t>medium</t>
        </is>
      </c>
      <c r="E599" t="inlineStr">
        <is>
          <t>supplier CoA, pharmacopeial monograph, PubChem/LIPID MAPS, or targeted literature curation</t>
        </is>
      </c>
      <c r="F599" t="inlineStr">
        <is>
          <t>prefer_experimental_or_supplier</t>
        </is>
      </c>
      <c r="G599" t="inlineStr">
        <is>
          <t>P3</t>
        </is>
      </c>
    </row>
    <row r="600">
      <c r="A600" t="inlineStr">
        <is>
          <t>Corn oil</t>
        </is>
      </c>
      <c r="B600" t="inlineStr">
        <is>
          <t>Solid lipid/oil</t>
        </is>
      </c>
      <c r="C600" t="inlineStr">
        <is>
          <t>molecular_weight_g_mol</t>
        </is>
      </c>
      <c r="D600" t="inlineStr">
        <is>
          <t>critical</t>
        </is>
      </c>
      <c r="E600" t="inlineStr">
        <is>
          <t>supplier CoA, pharmacopeial monograph, PubChem/LIPID MAPS, or targeted literature curation</t>
        </is>
      </c>
      <c r="F600" t="inlineStr">
        <is>
          <t>prefer_experimental_or_supplier</t>
        </is>
      </c>
      <c r="G600" t="inlineStr">
        <is>
          <t>P1</t>
        </is>
      </c>
    </row>
    <row r="601">
      <c r="A601" t="inlineStr">
        <is>
          <t>Corn oil</t>
        </is>
      </c>
      <c r="B601" t="inlineStr">
        <is>
          <t>Solid lipid/oil</t>
        </is>
      </c>
      <c r="C601" t="inlineStr">
        <is>
          <t>HLB_if_amphiphilic</t>
        </is>
      </c>
      <c r="D601" t="inlineStr">
        <is>
          <t>medium</t>
        </is>
      </c>
      <c r="E601" t="inlineStr">
        <is>
          <t>supplier CoA, pharmacopeial monograph, PubChem/LIPID MAPS, or targeted literature curation</t>
        </is>
      </c>
      <c r="F601" t="inlineStr">
        <is>
          <t>prefer_experimental_or_supplier</t>
        </is>
      </c>
      <c r="G601" t="inlineStr">
        <is>
          <t>P3</t>
        </is>
      </c>
    </row>
    <row r="602">
      <c r="A602" t="inlineStr">
        <is>
          <t>Corn oil</t>
        </is>
      </c>
      <c r="B602" t="inlineStr">
        <is>
          <t>Solid lipid/oil</t>
        </is>
      </c>
      <c r="C602" t="inlineStr">
        <is>
          <t>saponification_or_acid_value_if_relevant</t>
        </is>
      </c>
      <c r="D602" t="inlineStr">
        <is>
          <t>medium</t>
        </is>
      </c>
      <c r="E602" t="inlineStr">
        <is>
          <t>supplier CoA, pharmacopeial monograph, PubChem/LIPID MAPS, or targeted literature curation</t>
        </is>
      </c>
      <c r="F602" t="inlineStr">
        <is>
          <t>prefer_experimental_or_supplier</t>
        </is>
      </c>
      <c r="G602" t="inlineStr">
        <is>
          <t>P3</t>
        </is>
      </c>
    </row>
    <row r="603">
      <c r="A603" t="inlineStr">
        <is>
          <t>Olive oil</t>
        </is>
      </c>
      <c r="B603" t="inlineStr">
        <is>
          <t>Solid lipid/oil</t>
        </is>
      </c>
      <c r="C603" t="inlineStr">
        <is>
          <t>molecular_weight_g_mol</t>
        </is>
      </c>
      <c r="D603" t="inlineStr">
        <is>
          <t>critical</t>
        </is>
      </c>
      <c r="E603" t="inlineStr">
        <is>
          <t>supplier CoA, pharmacopeial monograph, PubChem/LIPID MAPS, or targeted literature curation</t>
        </is>
      </c>
      <c r="F603" t="inlineStr">
        <is>
          <t>prefer_experimental_or_supplier</t>
        </is>
      </c>
      <c r="G603" t="inlineStr">
        <is>
          <t>P1</t>
        </is>
      </c>
    </row>
    <row r="604">
      <c r="A604" t="inlineStr">
        <is>
          <t>Olive oil</t>
        </is>
      </c>
      <c r="B604" t="inlineStr">
        <is>
          <t>Solid lipid/oil</t>
        </is>
      </c>
      <c r="C604" t="inlineStr">
        <is>
          <t>HLB_if_amphiphilic</t>
        </is>
      </c>
      <c r="D604" t="inlineStr">
        <is>
          <t>medium</t>
        </is>
      </c>
      <c r="E604" t="inlineStr">
        <is>
          <t>supplier CoA, pharmacopeial monograph, PubChem/LIPID MAPS, or targeted literature curation</t>
        </is>
      </c>
      <c r="F604" t="inlineStr">
        <is>
          <t>prefer_experimental_or_supplier</t>
        </is>
      </c>
      <c r="G604" t="inlineStr">
        <is>
          <t>P3</t>
        </is>
      </c>
    </row>
    <row r="605">
      <c r="A605" t="inlineStr">
        <is>
          <t>Olive oil</t>
        </is>
      </c>
      <c r="B605" t="inlineStr">
        <is>
          <t>Solid lipid/oil</t>
        </is>
      </c>
      <c r="C605" t="inlineStr">
        <is>
          <t>saponification_or_acid_value_if_relevant</t>
        </is>
      </c>
      <c r="D605" t="inlineStr">
        <is>
          <t>medium</t>
        </is>
      </c>
      <c r="E605" t="inlineStr">
        <is>
          <t>supplier CoA, pharmacopeial monograph, PubChem/LIPID MAPS, or targeted literature curation</t>
        </is>
      </c>
      <c r="F605" t="inlineStr">
        <is>
          <t>prefer_experimental_or_supplier</t>
        </is>
      </c>
      <c r="G605" t="inlineStr">
        <is>
          <t>P3</t>
        </is>
      </c>
    </row>
    <row r="606">
      <c r="A606" t="inlineStr">
        <is>
          <t>Water</t>
        </is>
      </c>
      <c r="B606" t="inlineStr">
        <is>
          <t>Solvent</t>
        </is>
      </c>
      <c r="C606" t="inlineStr">
        <is>
          <t>permitted_daily_exposure_if_available</t>
        </is>
      </c>
      <c r="D606" t="inlineStr">
        <is>
          <t>medium</t>
        </is>
      </c>
      <c r="E606" t="inlineStr">
        <is>
          <t>supplier CoA, pharmacopeial monograph, PubChem/LIPID MAPS, or targeted literature curation</t>
        </is>
      </c>
      <c r="F606" t="inlineStr">
        <is>
          <t>prefer_experimental_or_supplier</t>
        </is>
      </c>
      <c r="G606" t="inlineStr">
        <is>
          <t>P3</t>
        </is>
      </c>
    </row>
    <row r="607">
      <c r="A607" t="inlineStr">
        <is>
          <t>PEG 400</t>
        </is>
      </c>
      <c r="B607" t="inlineStr">
        <is>
          <t>Solvent</t>
        </is>
      </c>
      <c r="C607" t="inlineStr">
        <is>
          <t>permitted_daily_exposure_if_available</t>
        </is>
      </c>
      <c r="D607" t="inlineStr">
        <is>
          <t>medium</t>
        </is>
      </c>
      <c r="E607" t="inlineStr">
        <is>
          <t>supplier CoA, pharmacopeial monograph, PubChem/LIPID MAPS, or targeted literature curation</t>
        </is>
      </c>
      <c r="F607" t="inlineStr">
        <is>
          <t>prefer_experimental_or_supplier</t>
        </is>
      </c>
      <c r="G607" t="inlineStr">
        <is>
          <t>P3</t>
        </is>
      </c>
    </row>
    <row r="608">
      <c r="A608" t="inlineStr">
        <is>
          <t>Glycerol</t>
        </is>
      </c>
      <c r="B608" t="inlineStr">
        <is>
          <t>Solvent</t>
        </is>
      </c>
      <c r="C608" t="inlineStr">
        <is>
          <t>permitted_daily_exposure_if_available</t>
        </is>
      </c>
      <c r="D608" t="inlineStr">
        <is>
          <t>medium</t>
        </is>
      </c>
      <c r="E608" t="inlineStr">
        <is>
          <t>supplier CoA, pharmacopeial monograph, PubChem/LIPID MAPS, or targeted literature curation</t>
        </is>
      </c>
      <c r="F608" t="inlineStr">
        <is>
          <t>prefer_experimental_or_supplier</t>
        </is>
      </c>
      <c r="G608" t="inlineStr">
        <is>
          <t>P3</t>
        </is>
      </c>
    </row>
    <row r="609">
      <c r="A609" t="inlineStr">
        <is>
          <t>Transcutol P</t>
        </is>
      </c>
      <c r="B609" t="inlineStr">
        <is>
          <t>Solvent</t>
        </is>
      </c>
      <c r="C609" t="inlineStr">
        <is>
          <t>permitted_daily_exposure_if_available</t>
        </is>
      </c>
      <c r="D609" t="inlineStr">
        <is>
          <t>medium</t>
        </is>
      </c>
      <c r="E609" t="inlineStr">
        <is>
          <t>supplier CoA, pharmacopeial monograph, PubChem/LIPID MAPS, or targeted literature curation</t>
        </is>
      </c>
      <c r="F609" t="inlineStr">
        <is>
          <t>prefer_experimental_or_supplier</t>
        </is>
      </c>
      <c r="G609" t="inlineStr">
        <is>
          <t>P3</t>
        </is>
      </c>
    </row>
    <row r="610">
      <c r="A610" t="inlineStr">
        <is>
          <t>Maltodextrin</t>
        </is>
      </c>
      <c r="B610" t="inlineStr">
        <is>
          <t>Carrier</t>
        </is>
      </c>
      <c r="C610" t="inlineStr">
        <is>
          <t>molecular_weight_g_mol</t>
        </is>
      </c>
      <c r="D610" t="inlineStr">
        <is>
          <t>critical</t>
        </is>
      </c>
      <c r="E610" t="inlineStr">
        <is>
          <t>supplier CoA, pharmacopeial monograph, PubChem/LIPID MAPS, or targeted literature curation</t>
        </is>
      </c>
      <c r="F610" t="inlineStr">
        <is>
          <t>prefer_experimental_or_supplier</t>
        </is>
      </c>
      <c r="G610" t="inlineStr">
        <is>
          <t>P1</t>
        </is>
      </c>
    </row>
    <row r="611">
      <c r="A611" t="inlineStr">
        <is>
          <t>Maltodextrin</t>
        </is>
      </c>
      <c r="B611" t="inlineStr">
        <is>
          <t>Carrier</t>
        </is>
      </c>
      <c r="C611" t="inlineStr">
        <is>
          <t>melting_point_C</t>
        </is>
      </c>
      <c r="D611" t="inlineStr">
        <is>
          <t>high</t>
        </is>
      </c>
      <c r="E611" t="inlineStr">
        <is>
          <t>supplier CoA, pharmacopeial monograph, PubChem/LIPID MAPS, or targeted literature curation</t>
        </is>
      </c>
      <c r="F611" t="inlineStr">
        <is>
          <t>prefer_experimental_or_supplier</t>
        </is>
      </c>
      <c r="G611" t="inlineStr">
        <is>
          <t>P3</t>
        </is>
      </c>
    </row>
    <row r="612">
      <c r="A612" t="inlineStr">
        <is>
          <t>Maltodextrin</t>
        </is>
      </c>
      <c r="B612" t="inlineStr">
        <is>
          <t>Carrier</t>
        </is>
      </c>
      <c r="C612" t="inlineStr">
        <is>
          <t>surface_area_m2_g</t>
        </is>
      </c>
      <c r="D612" t="inlineStr">
        <is>
          <t>high for proniosome carriers</t>
        </is>
      </c>
      <c r="E612" t="inlineStr">
        <is>
          <t>BET measurement or supplier CoA</t>
        </is>
      </c>
      <c r="F612" t="inlineStr">
        <is>
          <t>prefer_experimental_or_supplier</t>
        </is>
      </c>
      <c r="G612" t="inlineStr">
        <is>
          <t>P2</t>
        </is>
      </c>
    </row>
    <row r="613">
      <c r="A613" t="inlineStr">
        <is>
          <t>Maltodextrin</t>
        </is>
      </c>
      <c r="B613" t="inlineStr">
        <is>
          <t>Carrier</t>
        </is>
      </c>
      <c r="C613" t="inlineStr">
        <is>
          <t>porosity</t>
        </is>
      </c>
      <c r="D613" t="inlineStr">
        <is>
          <t>high for dry carriers</t>
        </is>
      </c>
      <c r="E613" t="inlineStr">
        <is>
          <t>mercury intrusion/BET/supplier powder characterization</t>
        </is>
      </c>
      <c r="F613" t="inlineStr">
        <is>
          <t>prefer_experimental_or_supplier</t>
        </is>
      </c>
      <c r="G613" t="inlineStr">
        <is>
          <t>P2</t>
        </is>
      </c>
    </row>
    <row r="614">
      <c r="A614" t="inlineStr">
        <is>
          <t>Mannitol</t>
        </is>
      </c>
      <c r="B614" t="inlineStr">
        <is>
          <t>Carrier</t>
        </is>
      </c>
      <c r="C614" t="inlineStr">
        <is>
          <t>average_MW</t>
        </is>
      </c>
      <c r="D614" t="inlineStr">
        <is>
          <t>high</t>
        </is>
      </c>
      <c r="E614" t="inlineStr">
        <is>
          <t>supplier CoA, pharmacopeial monograph, PubChem/LIPID MAPS, or targeted literature curation</t>
        </is>
      </c>
      <c r="F614" t="inlineStr">
        <is>
          <t>prefer_experimental_or_supplier</t>
        </is>
      </c>
      <c r="G614" t="inlineStr">
        <is>
          <t>P3</t>
        </is>
      </c>
    </row>
    <row r="615">
      <c r="A615" t="inlineStr">
        <is>
          <t>Mannitol</t>
        </is>
      </c>
      <c r="B615" t="inlineStr">
        <is>
          <t>Carrier</t>
        </is>
      </c>
      <c r="C615" t="inlineStr">
        <is>
          <t>glass_transition_temperature_C</t>
        </is>
      </c>
      <c r="D615" t="inlineStr">
        <is>
          <t>medium</t>
        </is>
      </c>
      <c r="E615" t="inlineStr">
        <is>
          <t>supplier CoA, pharmacopeial monograph, PubChem/LIPID MAPS, or targeted literature curation</t>
        </is>
      </c>
      <c r="F615" t="inlineStr">
        <is>
          <t>prefer_experimental_or_supplier</t>
        </is>
      </c>
      <c r="G615" t="inlineStr">
        <is>
          <t>P3</t>
        </is>
      </c>
    </row>
    <row r="616">
      <c r="A616" t="inlineStr">
        <is>
          <t>Mannitol</t>
        </is>
      </c>
      <c r="B616" t="inlineStr">
        <is>
          <t>Carrier</t>
        </is>
      </c>
      <c r="C616" t="inlineStr">
        <is>
          <t>surface_area_m2_g</t>
        </is>
      </c>
      <c r="D616" t="inlineStr">
        <is>
          <t>high for proniosome carriers</t>
        </is>
      </c>
      <c r="E616" t="inlineStr">
        <is>
          <t>BET measurement or supplier CoA</t>
        </is>
      </c>
      <c r="F616" t="inlineStr">
        <is>
          <t>prefer_experimental_or_supplier</t>
        </is>
      </c>
      <c r="G616" t="inlineStr">
        <is>
          <t>P2</t>
        </is>
      </c>
    </row>
    <row r="617">
      <c r="A617" t="inlineStr">
        <is>
          <t>Mannitol</t>
        </is>
      </c>
      <c r="B617" t="inlineStr">
        <is>
          <t>Carrier</t>
        </is>
      </c>
      <c r="C617" t="inlineStr">
        <is>
          <t>porosity</t>
        </is>
      </c>
      <c r="D617" t="inlineStr">
        <is>
          <t>high for dry carriers</t>
        </is>
      </c>
      <c r="E617" t="inlineStr">
        <is>
          <t>mercury intrusion/BET/supplier powder characterization</t>
        </is>
      </c>
      <c r="F617" t="inlineStr">
        <is>
          <t>prefer_experimental_or_supplier</t>
        </is>
      </c>
      <c r="G617" t="inlineStr">
        <is>
          <t>P2</t>
        </is>
      </c>
    </row>
    <row r="618">
      <c r="A618" t="inlineStr">
        <is>
          <t>Trehalose</t>
        </is>
      </c>
      <c r="B618" t="inlineStr">
        <is>
          <t>Carrier</t>
        </is>
      </c>
      <c r="C618" t="inlineStr">
        <is>
          <t>average_MW</t>
        </is>
      </c>
      <c r="D618" t="inlineStr">
        <is>
          <t>high</t>
        </is>
      </c>
      <c r="E618" t="inlineStr">
        <is>
          <t>supplier CoA, pharmacopeial monograph, PubChem/LIPID MAPS, or targeted literature curation</t>
        </is>
      </c>
      <c r="F618" t="inlineStr">
        <is>
          <t>prefer_experimental_or_supplier</t>
        </is>
      </c>
      <c r="G618" t="inlineStr">
        <is>
          <t>P3</t>
        </is>
      </c>
    </row>
    <row r="619">
      <c r="A619" t="inlineStr">
        <is>
          <t>Trehalose</t>
        </is>
      </c>
      <c r="B619" t="inlineStr">
        <is>
          <t>Carrier</t>
        </is>
      </c>
      <c r="C619" t="inlineStr">
        <is>
          <t>surface_area_m2_g</t>
        </is>
      </c>
      <c r="D619" t="inlineStr">
        <is>
          <t>high for proniosome carriers</t>
        </is>
      </c>
      <c r="E619" t="inlineStr">
        <is>
          <t>BET measurement or supplier CoA</t>
        </is>
      </c>
      <c r="F619" t="inlineStr">
        <is>
          <t>prefer_experimental_or_supplier</t>
        </is>
      </c>
      <c r="G619" t="inlineStr">
        <is>
          <t>P2</t>
        </is>
      </c>
    </row>
    <row r="620">
      <c r="A620" t="inlineStr">
        <is>
          <t>Trehalose</t>
        </is>
      </c>
      <c r="B620" t="inlineStr">
        <is>
          <t>Carrier</t>
        </is>
      </c>
      <c r="C620" t="inlineStr">
        <is>
          <t>porosity</t>
        </is>
      </c>
      <c r="D620" t="inlineStr">
        <is>
          <t>high for dry carriers</t>
        </is>
      </c>
      <c r="E620" t="inlineStr">
        <is>
          <t>mercury intrusion/BET/supplier powder characterization</t>
        </is>
      </c>
      <c r="F620" t="inlineStr">
        <is>
          <t>prefer_experimental_or_supplier</t>
        </is>
      </c>
      <c r="G620" t="inlineStr">
        <is>
          <t>P2</t>
        </is>
      </c>
    </row>
    <row r="621">
      <c r="A621" t="inlineStr">
        <is>
          <t>Trehalose</t>
        </is>
      </c>
      <c r="B621" t="inlineStr">
        <is>
          <t>Carrier</t>
        </is>
      </c>
      <c r="C621" t="inlineStr">
        <is>
          <t>particle_size_grade</t>
        </is>
      </c>
      <c r="D621" t="inlineStr">
        <is>
          <t>medium</t>
        </is>
      </c>
      <c r="E621" t="inlineStr">
        <is>
          <t>supplier CoA, pharmacopeial monograph, PubChem/LIPID MAPS, or targeted literature curation</t>
        </is>
      </c>
      <c r="F621" t="inlineStr">
        <is>
          <t>prefer_experimental_or_supplier</t>
        </is>
      </c>
      <c r="G621" t="inlineStr">
        <is>
          <t>P3</t>
        </is>
      </c>
    </row>
    <row r="622">
      <c r="A622" t="inlineStr">
        <is>
          <t>Sucrose</t>
        </is>
      </c>
      <c r="B622" t="inlineStr">
        <is>
          <t>Carrier</t>
        </is>
      </c>
      <c r="C622" t="inlineStr">
        <is>
          <t>average_MW</t>
        </is>
      </c>
      <c r="D622" t="inlineStr">
        <is>
          <t>high</t>
        </is>
      </c>
      <c r="E622" t="inlineStr">
        <is>
          <t>supplier CoA, pharmacopeial monograph, PubChem/LIPID MAPS, or targeted literature curation</t>
        </is>
      </c>
      <c r="F622" t="inlineStr">
        <is>
          <t>prefer_experimental_or_supplier</t>
        </is>
      </c>
      <c r="G622" t="inlineStr">
        <is>
          <t>P3</t>
        </is>
      </c>
    </row>
    <row r="623">
      <c r="A623" t="inlineStr">
        <is>
          <t>Sucrose</t>
        </is>
      </c>
      <c r="B623" t="inlineStr">
        <is>
          <t>Carrier</t>
        </is>
      </c>
      <c r="C623" t="inlineStr">
        <is>
          <t>surface_area_m2_g</t>
        </is>
      </c>
      <c r="D623" t="inlineStr">
        <is>
          <t>high for proniosome carriers</t>
        </is>
      </c>
      <c r="E623" t="inlineStr">
        <is>
          <t>BET measurement or supplier CoA</t>
        </is>
      </c>
      <c r="F623" t="inlineStr">
        <is>
          <t>prefer_experimental_or_supplier</t>
        </is>
      </c>
      <c r="G623" t="inlineStr">
        <is>
          <t>P2</t>
        </is>
      </c>
    </row>
    <row r="624">
      <c r="A624" t="inlineStr">
        <is>
          <t>Sucrose</t>
        </is>
      </c>
      <c r="B624" t="inlineStr">
        <is>
          <t>Carrier</t>
        </is>
      </c>
      <c r="C624" t="inlineStr">
        <is>
          <t>porosity</t>
        </is>
      </c>
      <c r="D624" t="inlineStr">
        <is>
          <t>high for dry carriers</t>
        </is>
      </c>
      <c r="E624" t="inlineStr">
        <is>
          <t>mercury intrusion/BET/supplier powder characterization</t>
        </is>
      </c>
      <c r="F624" t="inlineStr">
        <is>
          <t>prefer_experimental_or_supplier</t>
        </is>
      </c>
      <c r="G624" t="inlineStr">
        <is>
          <t>P2</t>
        </is>
      </c>
    </row>
    <row r="625">
      <c r="A625" t="inlineStr">
        <is>
          <t>Sucrose</t>
        </is>
      </c>
      <c r="B625" t="inlineStr">
        <is>
          <t>Carrier</t>
        </is>
      </c>
      <c r="C625" t="inlineStr">
        <is>
          <t>particle_size_grade</t>
        </is>
      </c>
      <c r="D625" t="inlineStr">
        <is>
          <t>medium</t>
        </is>
      </c>
      <c r="E625" t="inlineStr">
        <is>
          <t>supplier CoA, pharmacopeial monograph, PubChem/LIPID MAPS, or targeted literature curation</t>
        </is>
      </c>
      <c r="F625" t="inlineStr">
        <is>
          <t>prefer_experimental_or_supplier</t>
        </is>
      </c>
      <c r="G625" t="inlineStr">
        <is>
          <t>P3</t>
        </is>
      </c>
    </row>
    <row r="626">
      <c r="A626" t="inlineStr">
        <is>
          <t>Lactose</t>
        </is>
      </c>
      <c r="B626" t="inlineStr">
        <is>
          <t>Carrier</t>
        </is>
      </c>
      <c r="C626" t="inlineStr">
        <is>
          <t>average_MW</t>
        </is>
      </c>
      <c r="D626" t="inlineStr">
        <is>
          <t>high</t>
        </is>
      </c>
      <c r="E626" t="inlineStr">
        <is>
          <t>supplier CoA, pharmacopeial monograph, PubChem/LIPID MAPS, or targeted literature curation</t>
        </is>
      </c>
      <c r="F626" t="inlineStr">
        <is>
          <t>prefer_experimental_or_supplier</t>
        </is>
      </c>
      <c r="G626" t="inlineStr">
        <is>
          <t>P3</t>
        </is>
      </c>
    </row>
    <row r="627">
      <c r="A627" t="inlineStr">
        <is>
          <t>Lactose</t>
        </is>
      </c>
      <c r="B627" t="inlineStr">
        <is>
          <t>Carrier</t>
        </is>
      </c>
      <c r="C627" t="inlineStr">
        <is>
          <t>glass_transition_temperature_C</t>
        </is>
      </c>
      <c r="D627" t="inlineStr">
        <is>
          <t>medium</t>
        </is>
      </c>
      <c r="E627" t="inlineStr">
        <is>
          <t>supplier CoA, pharmacopeial monograph, PubChem/LIPID MAPS, or targeted literature curation</t>
        </is>
      </c>
      <c r="F627" t="inlineStr">
        <is>
          <t>prefer_experimental_or_supplier</t>
        </is>
      </c>
      <c r="G627" t="inlineStr">
        <is>
          <t>P3</t>
        </is>
      </c>
    </row>
    <row r="628">
      <c r="A628" t="inlineStr">
        <is>
          <t>Lactose</t>
        </is>
      </c>
      <c r="B628" t="inlineStr">
        <is>
          <t>Carrier</t>
        </is>
      </c>
      <c r="C628" t="inlineStr">
        <is>
          <t>surface_area_m2_g</t>
        </is>
      </c>
      <c r="D628" t="inlineStr">
        <is>
          <t>high for proniosome carriers</t>
        </is>
      </c>
      <c r="E628" t="inlineStr">
        <is>
          <t>BET measurement or supplier CoA</t>
        </is>
      </c>
      <c r="F628" t="inlineStr">
        <is>
          <t>prefer_experimental_or_supplier</t>
        </is>
      </c>
      <c r="G628" t="inlineStr">
        <is>
          <t>P2</t>
        </is>
      </c>
    </row>
    <row r="629">
      <c r="A629" t="inlineStr">
        <is>
          <t>Lactose</t>
        </is>
      </c>
      <c r="B629" t="inlineStr">
        <is>
          <t>Carrier</t>
        </is>
      </c>
      <c r="C629" t="inlineStr">
        <is>
          <t>porosity</t>
        </is>
      </c>
      <c r="D629" t="inlineStr">
        <is>
          <t>high for dry carriers</t>
        </is>
      </c>
      <c r="E629" t="inlineStr">
        <is>
          <t>mercury intrusion/BET/supplier powder characterization</t>
        </is>
      </c>
      <c r="F629" t="inlineStr">
        <is>
          <t>prefer_experimental_or_supplier</t>
        </is>
      </c>
      <c r="G629" t="inlineStr">
        <is>
          <t>P2</t>
        </is>
      </c>
    </row>
    <row r="630">
      <c r="A630" t="inlineStr">
        <is>
          <t>Glucose</t>
        </is>
      </c>
      <c r="B630" t="inlineStr">
        <is>
          <t>Carrier</t>
        </is>
      </c>
      <c r="C630" t="inlineStr">
        <is>
          <t>average_MW</t>
        </is>
      </c>
      <c r="D630" t="inlineStr">
        <is>
          <t>high</t>
        </is>
      </c>
      <c r="E630" t="inlineStr">
        <is>
          <t>supplier CoA, pharmacopeial monograph, PubChem/LIPID MAPS, or targeted literature curation</t>
        </is>
      </c>
      <c r="F630" t="inlineStr">
        <is>
          <t>prefer_experimental_or_supplier</t>
        </is>
      </c>
      <c r="G630" t="inlineStr">
        <is>
          <t>P3</t>
        </is>
      </c>
    </row>
    <row r="631">
      <c r="A631" t="inlineStr">
        <is>
          <t>Glucose</t>
        </is>
      </c>
      <c r="B631" t="inlineStr">
        <is>
          <t>Carrier</t>
        </is>
      </c>
      <c r="C631" t="inlineStr">
        <is>
          <t>glass_transition_temperature_C</t>
        </is>
      </c>
      <c r="D631" t="inlineStr">
        <is>
          <t>medium</t>
        </is>
      </c>
      <c r="E631" t="inlineStr">
        <is>
          <t>supplier CoA, pharmacopeial monograph, PubChem/LIPID MAPS, or targeted literature curation</t>
        </is>
      </c>
      <c r="F631" t="inlineStr">
        <is>
          <t>prefer_experimental_or_supplier</t>
        </is>
      </c>
      <c r="G631" t="inlineStr">
        <is>
          <t>P3</t>
        </is>
      </c>
    </row>
    <row r="632">
      <c r="A632" t="inlineStr">
        <is>
          <t>Glucose</t>
        </is>
      </c>
      <c r="B632" t="inlineStr">
        <is>
          <t>Carrier</t>
        </is>
      </c>
      <c r="C632" t="inlineStr">
        <is>
          <t>surface_area_m2_g</t>
        </is>
      </c>
      <c r="D632" t="inlineStr">
        <is>
          <t>high for proniosome carriers</t>
        </is>
      </c>
      <c r="E632" t="inlineStr">
        <is>
          <t>BET measurement or supplier CoA</t>
        </is>
      </c>
      <c r="F632" t="inlineStr">
        <is>
          <t>prefer_experimental_or_supplier</t>
        </is>
      </c>
      <c r="G632" t="inlineStr">
        <is>
          <t>P2</t>
        </is>
      </c>
    </row>
    <row r="633">
      <c r="A633" t="inlineStr">
        <is>
          <t>Glucose</t>
        </is>
      </c>
      <c r="B633" t="inlineStr">
        <is>
          <t>Carrier</t>
        </is>
      </c>
      <c r="C633" t="inlineStr">
        <is>
          <t>porosity</t>
        </is>
      </c>
      <c r="D633" t="inlineStr">
        <is>
          <t>high for dry carriers</t>
        </is>
      </c>
      <c r="E633" t="inlineStr">
        <is>
          <t>mercury intrusion/BET/supplier powder characterization</t>
        </is>
      </c>
      <c r="F633" t="inlineStr">
        <is>
          <t>prefer_experimental_or_supplier</t>
        </is>
      </c>
      <c r="G633" t="inlineStr">
        <is>
          <t>P2</t>
        </is>
      </c>
    </row>
    <row r="634">
      <c r="A634" t="inlineStr">
        <is>
          <t>Glucose</t>
        </is>
      </c>
      <c r="B634" t="inlineStr">
        <is>
          <t>Carrier</t>
        </is>
      </c>
      <c r="C634" t="inlineStr">
        <is>
          <t>particle_size_grade</t>
        </is>
      </c>
      <c r="D634" t="inlineStr">
        <is>
          <t>medium</t>
        </is>
      </c>
      <c r="E634" t="inlineStr">
        <is>
          <t>supplier CoA, pharmacopeial monograph, PubChem/LIPID MAPS, or targeted literature curation</t>
        </is>
      </c>
      <c r="F634" t="inlineStr">
        <is>
          <t>prefer_experimental_or_supplier</t>
        </is>
      </c>
      <c r="G634" t="inlineStr">
        <is>
          <t>P3</t>
        </is>
      </c>
    </row>
    <row r="635">
      <c r="A635" t="inlineStr">
        <is>
          <t>Sorbitol</t>
        </is>
      </c>
      <c r="B635" t="inlineStr">
        <is>
          <t>Carrier</t>
        </is>
      </c>
      <c r="C635" t="inlineStr">
        <is>
          <t>average_MW</t>
        </is>
      </c>
      <c r="D635" t="inlineStr">
        <is>
          <t>high</t>
        </is>
      </c>
      <c r="E635" t="inlineStr">
        <is>
          <t>supplier CoA, pharmacopeial monograph, PubChem/LIPID MAPS, or targeted literature curation</t>
        </is>
      </c>
      <c r="F635" t="inlineStr">
        <is>
          <t>prefer_experimental_or_supplier</t>
        </is>
      </c>
      <c r="G635" t="inlineStr">
        <is>
          <t>P3</t>
        </is>
      </c>
    </row>
    <row r="636">
      <c r="A636" t="inlineStr">
        <is>
          <t>Sorbitol</t>
        </is>
      </c>
      <c r="B636" t="inlineStr">
        <is>
          <t>Carrier</t>
        </is>
      </c>
      <c r="C636" t="inlineStr">
        <is>
          <t>glass_transition_temperature_C</t>
        </is>
      </c>
      <c r="D636" t="inlineStr">
        <is>
          <t>medium</t>
        </is>
      </c>
      <c r="E636" t="inlineStr">
        <is>
          <t>supplier CoA, pharmacopeial monograph, PubChem/LIPID MAPS, or targeted literature curation</t>
        </is>
      </c>
      <c r="F636" t="inlineStr">
        <is>
          <t>prefer_experimental_or_supplier</t>
        </is>
      </c>
      <c r="G636" t="inlineStr">
        <is>
          <t>P3</t>
        </is>
      </c>
    </row>
    <row r="637">
      <c r="A637" t="inlineStr">
        <is>
          <t>Sorbitol</t>
        </is>
      </c>
      <c r="B637" t="inlineStr">
        <is>
          <t>Carrier</t>
        </is>
      </c>
      <c r="C637" t="inlineStr">
        <is>
          <t>surface_area_m2_g</t>
        </is>
      </c>
      <c r="D637" t="inlineStr">
        <is>
          <t>high for proniosome carriers</t>
        </is>
      </c>
      <c r="E637" t="inlineStr">
        <is>
          <t>BET measurement or supplier CoA</t>
        </is>
      </c>
      <c r="F637" t="inlineStr">
        <is>
          <t>prefer_experimental_or_supplier</t>
        </is>
      </c>
      <c r="G637" t="inlineStr">
        <is>
          <t>P2</t>
        </is>
      </c>
    </row>
    <row r="638">
      <c r="A638" t="inlineStr">
        <is>
          <t>Sorbitol</t>
        </is>
      </c>
      <c r="B638" t="inlineStr">
        <is>
          <t>Carrier</t>
        </is>
      </c>
      <c r="C638" t="inlineStr">
        <is>
          <t>porosity</t>
        </is>
      </c>
      <c r="D638" t="inlineStr">
        <is>
          <t>high for dry carriers</t>
        </is>
      </c>
      <c r="E638" t="inlineStr">
        <is>
          <t>mercury intrusion/BET/supplier powder characterization</t>
        </is>
      </c>
      <c r="F638" t="inlineStr">
        <is>
          <t>prefer_experimental_or_supplier</t>
        </is>
      </c>
      <c r="G638" t="inlineStr">
        <is>
          <t>P2</t>
        </is>
      </c>
    </row>
    <row r="639">
      <c r="A639" t="inlineStr">
        <is>
          <t>Sorbitol</t>
        </is>
      </c>
      <c r="B639" t="inlineStr">
        <is>
          <t>Carrier</t>
        </is>
      </c>
      <c r="C639" t="inlineStr">
        <is>
          <t>particle_size_grade</t>
        </is>
      </c>
      <c r="D639" t="inlineStr">
        <is>
          <t>medium</t>
        </is>
      </c>
      <c r="E639" t="inlineStr">
        <is>
          <t>supplier CoA, pharmacopeial monograph, PubChem/LIPID MAPS, or targeted literature curation</t>
        </is>
      </c>
      <c r="F639" t="inlineStr">
        <is>
          <t>prefer_experimental_or_supplier</t>
        </is>
      </c>
      <c r="G639" t="inlineStr">
        <is>
          <t>P3</t>
        </is>
      </c>
    </row>
    <row r="640">
      <c r="A640" t="inlineStr">
        <is>
          <t>Xylitol</t>
        </is>
      </c>
      <c r="B640" t="inlineStr">
        <is>
          <t>Carrier</t>
        </is>
      </c>
      <c r="C640" t="inlineStr">
        <is>
          <t>average_MW</t>
        </is>
      </c>
      <c r="D640" t="inlineStr">
        <is>
          <t>high</t>
        </is>
      </c>
      <c r="E640" t="inlineStr">
        <is>
          <t>supplier CoA, pharmacopeial monograph, PubChem/LIPID MAPS, or targeted literature curation</t>
        </is>
      </c>
      <c r="F640" t="inlineStr">
        <is>
          <t>prefer_experimental_or_supplier</t>
        </is>
      </c>
      <c r="G640" t="inlineStr">
        <is>
          <t>P3</t>
        </is>
      </c>
    </row>
    <row r="641">
      <c r="A641" t="inlineStr">
        <is>
          <t>Xylitol</t>
        </is>
      </c>
      <c r="B641" t="inlineStr">
        <is>
          <t>Carrier</t>
        </is>
      </c>
      <c r="C641" t="inlineStr">
        <is>
          <t>glass_transition_temperature_C</t>
        </is>
      </c>
      <c r="D641" t="inlineStr">
        <is>
          <t>medium</t>
        </is>
      </c>
      <c r="E641" t="inlineStr">
        <is>
          <t>supplier CoA, pharmacopeial monograph, PubChem/LIPID MAPS, or targeted literature curation</t>
        </is>
      </c>
      <c r="F641" t="inlineStr">
        <is>
          <t>prefer_experimental_or_supplier</t>
        </is>
      </c>
      <c r="G641" t="inlineStr">
        <is>
          <t>P3</t>
        </is>
      </c>
    </row>
    <row r="642">
      <c r="A642" t="inlineStr">
        <is>
          <t>Xylitol</t>
        </is>
      </c>
      <c r="B642" t="inlineStr">
        <is>
          <t>Carrier</t>
        </is>
      </c>
      <c r="C642" t="inlineStr">
        <is>
          <t>surface_area_m2_g</t>
        </is>
      </c>
      <c r="D642" t="inlineStr">
        <is>
          <t>high for proniosome carriers</t>
        </is>
      </c>
      <c r="E642" t="inlineStr">
        <is>
          <t>BET measurement or supplier CoA</t>
        </is>
      </c>
      <c r="F642" t="inlineStr">
        <is>
          <t>prefer_experimental_or_supplier</t>
        </is>
      </c>
      <c r="G642" t="inlineStr">
        <is>
          <t>P2</t>
        </is>
      </c>
    </row>
    <row r="643">
      <c r="A643" t="inlineStr">
        <is>
          <t>Xylitol</t>
        </is>
      </c>
      <c r="B643" t="inlineStr">
        <is>
          <t>Carrier</t>
        </is>
      </c>
      <c r="C643" t="inlineStr">
        <is>
          <t>porosity</t>
        </is>
      </c>
      <c r="D643" t="inlineStr">
        <is>
          <t>high for dry carriers</t>
        </is>
      </c>
      <c r="E643" t="inlineStr">
        <is>
          <t>mercury intrusion/BET/supplier powder characterization</t>
        </is>
      </c>
      <c r="F643" t="inlineStr">
        <is>
          <t>prefer_experimental_or_supplier</t>
        </is>
      </c>
      <c r="G643" t="inlineStr">
        <is>
          <t>P2</t>
        </is>
      </c>
    </row>
    <row r="644">
      <c r="A644" t="inlineStr">
        <is>
          <t>Xylitol</t>
        </is>
      </c>
      <c r="B644" t="inlineStr">
        <is>
          <t>Carrier</t>
        </is>
      </c>
      <c r="C644" t="inlineStr">
        <is>
          <t>particle_size_grade</t>
        </is>
      </c>
      <c r="D644" t="inlineStr">
        <is>
          <t>medium</t>
        </is>
      </c>
      <c r="E644" t="inlineStr">
        <is>
          <t>supplier CoA, pharmacopeial monograph, PubChem/LIPID MAPS, or targeted literature curation</t>
        </is>
      </c>
      <c r="F644" t="inlineStr">
        <is>
          <t>prefer_experimental_or_supplier</t>
        </is>
      </c>
      <c r="G644" t="inlineStr">
        <is>
          <t>P3</t>
        </is>
      </c>
    </row>
    <row r="645">
      <c r="A645" t="inlineStr">
        <is>
          <t>Cyclodextrin</t>
        </is>
      </c>
      <c r="B645" t="inlineStr">
        <is>
          <t>Carrier</t>
        </is>
      </c>
      <c r="C645" t="inlineStr">
        <is>
          <t>molecular_weight_g_mol</t>
        </is>
      </c>
      <c r="D645" t="inlineStr">
        <is>
          <t>critical</t>
        </is>
      </c>
      <c r="E645" t="inlineStr">
        <is>
          <t>supplier CoA, pharmacopeial monograph, PubChem/LIPID MAPS, or targeted literature curation</t>
        </is>
      </c>
      <c r="F645" t="inlineStr">
        <is>
          <t>prefer_experimental_or_supplier</t>
        </is>
      </c>
      <c r="G645" t="inlineStr">
        <is>
          <t>P1</t>
        </is>
      </c>
    </row>
    <row r="646">
      <c r="A646" t="inlineStr">
        <is>
          <t>Cyclodextrin</t>
        </is>
      </c>
      <c r="B646" t="inlineStr">
        <is>
          <t>Carrier</t>
        </is>
      </c>
      <c r="C646" t="inlineStr">
        <is>
          <t>average_MW</t>
        </is>
      </c>
      <c r="D646" t="inlineStr">
        <is>
          <t>high</t>
        </is>
      </c>
      <c r="E646" t="inlineStr">
        <is>
          <t>supplier CoA, pharmacopeial monograph, PubChem/LIPID MAPS, or targeted literature curation</t>
        </is>
      </c>
      <c r="F646" t="inlineStr">
        <is>
          <t>prefer_experimental_or_supplier</t>
        </is>
      </c>
      <c r="G646" t="inlineStr">
        <is>
          <t>P3</t>
        </is>
      </c>
    </row>
    <row r="647">
      <c r="A647" t="inlineStr">
        <is>
          <t>Cyclodextrin</t>
        </is>
      </c>
      <c r="B647" t="inlineStr">
        <is>
          <t>Carrier</t>
        </is>
      </c>
      <c r="C647" t="inlineStr">
        <is>
          <t>glass_transition_temperature_C</t>
        </is>
      </c>
      <c r="D647" t="inlineStr">
        <is>
          <t>medium</t>
        </is>
      </c>
      <c r="E647" t="inlineStr">
        <is>
          <t>supplier CoA, pharmacopeial monograph, PubChem/LIPID MAPS, or targeted literature curation</t>
        </is>
      </c>
      <c r="F647" t="inlineStr">
        <is>
          <t>prefer_experimental_or_supplier</t>
        </is>
      </c>
      <c r="G647" t="inlineStr">
        <is>
          <t>P3</t>
        </is>
      </c>
    </row>
    <row r="648">
      <c r="A648" t="inlineStr">
        <is>
          <t>Cyclodextrin</t>
        </is>
      </c>
      <c r="B648" t="inlineStr">
        <is>
          <t>Carrier</t>
        </is>
      </c>
      <c r="C648" t="inlineStr">
        <is>
          <t>melting_point_C</t>
        </is>
      </c>
      <c r="D648" t="inlineStr">
        <is>
          <t>high</t>
        </is>
      </c>
      <c r="E648" t="inlineStr">
        <is>
          <t>supplier CoA, pharmacopeial monograph, PubChem/LIPID MAPS, or targeted literature curation</t>
        </is>
      </c>
      <c r="F648" t="inlineStr">
        <is>
          <t>prefer_experimental_or_supplier</t>
        </is>
      </c>
      <c r="G648" t="inlineStr">
        <is>
          <t>P3</t>
        </is>
      </c>
    </row>
    <row r="649">
      <c r="A649" t="inlineStr">
        <is>
          <t>Cyclodextrin</t>
        </is>
      </c>
      <c r="B649" t="inlineStr">
        <is>
          <t>Carrier</t>
        </is>
      </c>
      <c r="C649" t="inlineStr">
        <is>
          <t>bulk_density</t>
        </is>
      </c>
      <c r="D649" t="inlineStr">
        <is>
          <t>medium</t>
        </is>
      </c>
      <c r="E649" t="inlineStr">
        <is>
          <t>supplier CoA, pharmacopeial monograph, PubChem/LIPID MAPS, or targeted literature curation</t>
        </is>
      </c>
      <c r="F649" t="inlineStr">
        <is>
          <t>prefer_experimental_or_supplier</t>
        </is>
      </c>
      <c r="G649" t="inlineStr">
        <is>
          <t>P3</t>
        </is>
      </c>
    </row>
    <row r="650">
      <c r="A650" t="inlineStr">
        <is>
          <t>Cyclodextrin</t>
        </is>
      </c>
      <c r="B650" t="inlineStr">
        <is>
          <t>Carrier</t>
        </is>
      </c>
      <c r="C650" t="inlineStr">
        <is>
          <t>tapped_density</t>
        </is>
      </c>
      <c r="D650" t="inlineStr">
        <is>
          <t>medium</t>
        </is>
      </c>
      <c r="E650" t="inlineStr">
        <is>
          <t>supplier CoA, pharmacopeial monograph, PubChem/LIPID MAPS, or targeted literature curation</t>
        </is>
      </c>
      <c r="F650" t="inlineStr">
        <is>
          <t>prefer_experimental_or_supplier</t>
        </is>
      </c>
      <c r="G650" t="inlineStr">
        <is>
          <t>P3</t>
        </is>
      </c>
    </row>
    <row r="651">
      <c r="A651" t="inlineStr">
        <is>
          <t>Cyclodextrin</t>
        </is>
      </c>
      <c r="B651" t="inlineStr">
        <is>
          <t>Carrier</t>
        </is>
      </c>
      <c r="C651" t="inlineStr">
        <is>
          <t>surface_area_m2_g</t>
        </is>
      </c>
      <c r="D651" t="inlineStr">
        <is>
          <t>high for proniosome carriers</t>
        </is>
      </c>
      <c r="E651" t="inlineStr">
        <is>
          <t>BET measurement or supplier CoA</t>
        </is>
      </c>
      <c r="F651" t="inlineStr">
        <is>
          <t>prefer_experimental_or_supplier</t>
        </is>
      </c>
      <c r="G651" t="inlineStr">
        <is>
          <t>P2</t>
        </is>
      </c>
    </row>
    <row r="652">
      <c r="A652" t="inlineStr">
        <is>
          <t>Cyclodextrin</t>
        </is>
      </c>
      <c r="B652" t="inlineStr">
        <is>
          <t>Carrier</t>
        </is>
      </c>
      <c r="C652" t="inlineStr">
        <is>
          <t>porosity</t>
        </is>
      </c>
      <c r="D652" t="inlineStr">
        <is>
          <t>high for dry carriers</t>
        </is>
      </c>
      <c r="E652" t="inlineStr">
        <is>
          <t>mercury intrusion/BET/supplier powder characterization</t>
        </is>
      </c>
      <c r="F652" t="inlineStr">
        <is>
          <t>prefer_experimental_or_supplier</t>
        </is>
      </c>
      <c r="G652" t="inlineStr">
        <is>
          <t>P2</t>
        </is>
      </c>
    </row>
    <row r="653">
      <c r="A653" t="inlineStr">
        <is>
          <t>Beta-cyclodextrin</t>
        </is>
      </c>
      <c r="B653" t="inlineStr">
        <is>
          <t>Carrier</t>
        </is>
      </c>
      <c r="C653" t="inlineStr">
        <is>
          <t>average_MW</t>
        </is>
      </c>
      <c r="D653" t="inlineStr">
        <is>
          <t>high</t>
        </is>
      </c>
      <c r="E653" t="inlineStr">
        <is>
          <t>supplier CoA, pharmacopeial monograph, PubChem/LIPID MAPS, or targeted literature curation</t>
        </is>
      </c>
      <c r="F653" t="inlineStr">
        <is>
          <t>prefer_experimental_or_supplier</t>
        </is>
      </c>
      <c r="G653" t="inlineStr">
        <is>
          <t>P3</t>
        </is>
      </c>
    </row>
    <row r="654">
      <c r="A654" t="inlineStr">
        <is>
          <t>Beta-cyclodextrin</t>
        </is>
      </c>
      <c r="B654" t="inlineStr">
        <is>
          <t>Carrier</t>
        </is>
      </c>
      <c r="C654" t="inlineStr">
        <is>
          <t>glass_transition_temperature_C</t>
        </is>
      </c>
      <c r="D654" t="inlineStr">
        <is>
          <t>medium</t>
        </is>
      </c>
      <c r="E654" t="inlineStr">
        <is>
          <t>supplier CoA, pharmacopeial monograph, PubChem/LIPID MAPS, or targeted literature curation</t>
        </is>
      </c>
      <c r="F654" t="inlineStr">
        <is>
          <t>prefer_experimental_or_supplier</t>
        </is>
      </c>
      <c r="G654" t="inlineStr">
        <is>
          <t>P3</t>
        </is>
      </c>
    </row>
    <row r="655">
      <c r="A655" t="inlineStr">
        <is>
          <t>Beta-cyclodextrin</t>
        </is>
      </c>
      <c r="B655" t="inlineStr">
        <is>
          <t>Carrier</t>
        </is>
      </c>
      <c r="C655" t="inlineStr">
        <is>
          <t>surface_area_m2_g</t>
        </is>
      </c>
      <c r="D655" t="inlineStr">
        <is>
          <t>high for proniosome carriers</t>
        </is>
      </c>
      <c r="E655" t="inlineStr">
        <is>
          <t>BET measurement or supplier CoA</t>
        </is>
      </c>
      <c r="F655" t="inlineStr">
        <is>
          <t>prefer_experimental_or_supplier</t>
        </is>
      </c>
      <c r="G655" t="inlineStr">
        <is>
          <t>P2</t>
        </is>
      </c>
    </row>
    <row r="656">
      <c r="A656" t="inlineStr">
        <is>
          <t>Beta-cyclodextrin</t>
        </is>
      </c>
      <c r="B656" t="inlineStr">
        <is>
          <t>Carrier</t>
        </is>
      </c>
      <c r="C656" t="inlineStr">
        <is>
          <t>porosity</t>
        </is>
      </c>
      <c r="D656" t="inlineStr">
        <is>
          <t>high for dry carriers</t>
        </is>
      </c>
      <c r="E656" t="inlineStr">
        <is>
          <t>mercury intrusion/BET/supplier powder characterization</t>
        </is>
      </c>
      <c r="F656" t="inlineStr">
        <is>
          <t>prefer_experimental_or_supplier</t>
        </is>
      </c>
      <c r="G656" t="inlineStr">
        <is>
          <t>P2</t>
        </is>
      </c>
    </row>
    <row r="657">
      <c r="A657" t="inlineStr">
        <is>
          <t>Beta-cyclodextrin</t>
        </is>
      </c>
      <c r="B657" t="inlineStr">
        <is>
          <t>Carrier</t>
        </is>
      </c>
      <c r="C657" t="inlineStr">
        <is>
          <t>particle_size_grade</t>
        </is>
      </c>
      <c r="D657" t="inlineStr">
        <is>
          <t>medium</t>
        </is>
      </c>
      <c r="E657" t="inlineStr">
        <is>
          <t>supplier CoA, pharmacopeial monograph, PubChem/LIPID MAPS, or targeted literature curation</t>
        </is>
      </c>
      <c r="F657" t="inlineStr">
        <is>
          <t>prefer_experimental_or_supplier</t>
        </is>
      </c>
      <c r="G657" t="inlineStr">
        <is>
          <t>P3</t>
        </is>
      </c>
    </row>
    <row r="658">
      <c r="A658" t="inlineStr">
        <is>
          <t>Hydroxypropyl-beta-cyclodextrin</t>
        </is>
      </c>
      <c r="B658" t="inlineStr">
        <is>
          <t>Carrier</t>
        </is>
      </c>
      <c r="C658" t="inlineStr">
        <is>
          <t>molecular_weight_g_mol</t>
        </is>
      </c>
      <c r="D658" t="inlineStr">
        <is>
          <t>critical</t>
        </is>
      </c>
      <c r="E658" t="inlineStr">
        <is>
          <t>supplier CoA, pharmacopeial monograph, PubChem/LIPID MAPS, or targeted literature curation</t>
        </is>
      </c>
      <c r="F658" t="inlineStr">
        <is>
          <t>prefer_experimental_or_supplier</t>
        </is>
      </c>
      <c r="G658" t="inlineStr">
        <is>
          <t>P1</t>
        </is>
      </c>
    </row>
    <row r="659">
      <c r="A659" t="inlineStr">
        <is>
          <t>Hydroxypropyl-beta-cyclodextrin</t>
        </is>
      </c>
      <c r="B659" t="inlineStr">
        <is>
          <t>Carrier</t>
        </is>
      </c>
      <c r="C659" t="inlineStr">
        <is>
          <t>glass_transition_temperature_C</t>
        </is>
      </c>
      <c r="D659" t="inlineStr">
        <is>
          <t>medium</t>
        </is>
      </c>
      <c r="E659" t="inlineStr">
        <is>
          <t>supplier CoA, pharmacopeial monograph, PubChem/LIPID MAPS, or targeted literature curation</t>
        </is>
      </c>
      <c r="F659" t="inlineStr">
        <is>
          <t>prefer_experimental_or_supplier</t>
        </is>
      </c>
      <c r="G659" t="inlineStr">
        <is>
          <t>P3</t>
        </is>
      </c>
    </row>
    <row r="660">
      <c r="A660" t="inlineStr">
        <is>
          <t>Hydroxypropyl-beta-cyclodextrin</t>
        </is>
      </c>
      <c r="B660" t="inlineStr">
        <is>
          <t>Carrier</t>
        </is>
      </c>
      <c r="C660" t="inlineStr">
        <is>
          <t>melting_point_C</t>
        </is>
      </c>
      <c r="D660" t="inlineStr">
        <is>
          <t>high</t>
        </is>
      </c>
      <c r="E660" t="inlineStr">
        <is>
          <t>supplier CoA, pharmacopeial monograph, PubChem/LIPID MAPS, or targeted literature curation</t>
        </is>
      </c>
      <c r="F660" t="inlineStr">
        <is>
          <t>prefer_experimental_or_supplier</t>
        </is>
      </c>
      <c r="G660" t="inlineStr">
        <is>
          <t>P3</t>
        </is>
      </c>
    </row>
    <row r="661">
      <c r="A661" t="inlineStr">
        <is>
          <t>Hydroxypropyl-beta-cyclodextrin</t>
        </is>
      </c>
      <c r="B661" t="inlineStr">
        <is>
          <t>Carrier</t>
        </is>
      </c>
      <c r="C661" t="inlineStr">
        <is>
          <t>bulk_density</t>
        </is>
      </c>
      <c r="D661" t="inlineStr">
        <is>
          <t>medium</t>
        </is>
      </c>
      <c r="E661" t="inlineStr">
        <is>
          <t>supplier CoA, pharmacopeial monograph, PubChem/LIPID MAPS, or targeted literature curation</t>
        </is>
      </c>
      <c r="F661" t="inlineStr">
        <is>
          <t>prefer_experimental_or_supplier</t>
        </is>
      </c>
      <c r="G661" t="inlineStr">
        <is>
          <t>P3</t>
        </is>
      </c>
    </row>
    <row r="662">
      <c r="A662" t="inlineStr">
        <is>
          <t>Hydroxypropyl-beta-cyclodextrin</t>
        </is>
      </c>
      <c r="B662" t="inlineStr">
        <is>
          <t>Carrier</t>
        </is>
      </c>
      <c r="C662" t="inlineStr">
        <is>
          <t>tapped_density</t>
        </is>
      </c>
      <c r="D662" t="inlineStr">
        <is>
          <t>medium</t>
        </is>
      </c>
      <c r="E662" t="inlineStr">
        <is>
          <t>supplier CoA, pharmacopeial monograph, PubChem/LIPID MAPS, or targeted literature curation</t>
        </is>
      </c>
      <c r="F662" t="inlineStr">
        <is>
          <t>prefer_experimental_or_supplier</t>
        </is>
      </c>
      <c r="G662" t="inlineStr">
        <is>
          <t>P3</t>
        </is>
      </c>
    </row>
    <row r="663">
      <c r="A663" t="inlineStr">
        <is>
          <t>Hydroxypropyl-beta-cyclodextrin</t>
        </is>
      </c>
      <c r="B663" t="inlineStr">
        <is>
          <t>Carrier</t>
        </is>
      </c>
      <c r="C663" t="inlineStr">
        <is>
          <t>surface_area_m2_g</t>
        </is>
      </c>
      <c r="D663" t="inlineStr">
        <is>
          <t>high for proniosome carriers</t>
        </is>
      </c>
      <c r="E663" t="inlineStr">
        <is>
          <t>BET measurement or supplier CoA</t>
        </is>
      </c>
      <c r="F663" t="inlineStr">
        <is>
          <t>prefer_experimental_or_supplier</t>
        </is>
      </c>
      <c r="G663" t="inlineStr">
        <is>
          <t>P2</t>
        </is>
      </c>
    </row>
    <row r="664">
      <c r="A664" t="inlineStr">
        <is>
          <t>Hydroxypropyl-beta-cyclodextrin</t>
        </is>
      </c>
      <c r="B664" t="inlineStr">
        <is>
          <t>Carrier</t>
        </is>
      </c>
      <c r="C664" t="inlineStr">
        <is>
          <t>porosity</t>
        </is>
      </c>
      <c r="D664" t="inlineStr">
        <is>
          <t>high for dry carriers</t>
        </is>
      </c>
      <c r="E664" t="inlineStr">
        <is>
          <t>mercury intrusion/BET/supplier powder characterization</t>
        </is>
      </c>
      <c r="F664" t="inlineStr">
        <is>
          <t>prefer_experimental_or_supplier</t>
        </is>
      </c>
      <c r="G664" t="inlineStr">
        <is>
          <t>P2</t>
        </is>
      </c>
    </row>
    <row r="665">
      <c r="A665" t="inlineStr">
        <is>
          <t>Sulfobutylether-beta-cyclodextrin</t>
        </is>
      </c>
      <c r="B665" t="inlineStr">
        <is>
          <t>Carrier</t>
        </is>
      </c>
      <c r="C665" t="inlineStr">
        <is>
          <t>molecular_weight_g_mol</t>
        </is>
      </c>
      <c r="D665" t="inlineStr">
        <is>
          <t>critical</t>
        </is>
      </c>
      <c r="E665" t="inlineStr">
        <is>
          <t>supplier CoA, pharmacopeial monograph, PubChem/LIPID MAPS, or targeted literature curation</t>
        </is>
      </c>
      <c r="F665" t="inlineStr">
        <is>
          <t>prefer_experimental_or_supplier</t>
        </is>
      </c>
      <c r="G665" t="inlineStr">
        <is>
          <t>P1</t>
        </is>
      </c>
    </row>
    <row r="666">
      <c r="A666" t="inlineStr">
        <is>
          <t>Sulfobutylether-beta-cyclodextrin</t>
        </is>
      </c>
      <c r="B666" t="inlineStr">
        <is>
          <t>Carrier</t>
        </is>
      </c>
      <c r="C666" t="inlineStr">
        <is>
          <t>glass_transition_temperature_C</t>
        </is>
      </c>
      <c r="D666" t="inlineStr">
        <is>
          <t>medium</t>
        </is>
      </c>
      <c r="E666" t="inlineStr">
        <is>
          <t>supplier CoA, pharmacopeial monograph, PubChem/LIPID MAPS, or targeted literature curation</t>
        </is>
      </c>
      <c r="F666" t="inlineStr">
        <is>
          <t>prefer_experimental_or_supplier</t>
        </is>
      </c>
      <c r="G666" t="inlineStr">
        <is>
          <t>P3</t>
        </is>
      </c>
    </row>
    <row r="667">
      <c r="A667" t="inlineStr">
        <is>
          <t>Sulfobutylether-beta-cyclodextrin</t>
        </is>
      </c>
      <c r="B667" t="inlineStr">
        <is>
          <t>Carrier</t>
        </is>
      </c>
      <c r="C667" t="inlineStr">
        <is>
          <t>melting_point_C</t>
        </is>
      </c>
      <c r="D667" t="inlineStr">
        <is>
          <t>high</t>
        </is>
      </c>
      <c r="E667" t="inlineStr">
        <is>
          <t>supplier CoA, pharmacopeial monograph, PubChem/LIPID MAPS, or targeted literature curation</t>
        </is>
      </c>
      <c r="F667" t="inlineStr">
        <is>
          <t>prefer_experimental_or_supplier</t>
        </is>
      </c>
      <c r="G667" t="inlineStr">
        <is>
          <t>P3</t>
        </is>
      </c>
    </row>
    <row r="668">
      <c r="A668" t="inlineStr">
        <is>
          <t>Sulfobutylether-beta-cyclodextrin</t>
        </is>
      </c>
      <c r="B668" t="inlineStr">
        <is>
          <t>Carrier</t>
        </is>
      </c>
      <c r="C668" t="inlineStr">
        <is>
          <t>bulk_density</t>
        </is>
      </c>
      <c r="D668" t="inlineStr">
        <is>
          <t>medium</t>
        </is>
      </c>
      <c r="E668" t="inlineStr">
        <is>
          <t>supplier CoA, pharmacopeial monograph, PubChem/LIPID MAPS, or targeted literature curation</t>
        </is>
      </c>
      <c r="F668" t="inlineStr">
        <is>
          <t>prefer_experimental_or_supplier</t>
        </is>
      </c>
      <c r="G668" t="inlineStr">
        <is>
          <t>P3</t>
        </is>
      </c>
    </row>
    <row r="669">
      <c r="A669" t="inlineStr">
        <is>
          <t>Sulfobutylether-beta-cyclodextrin</t>
        </is>
      </c>
      <c r="B669" t="inlineStr">
        <is>
          <t>Carrier</t>
        </is>
      </c>
      <c r="C669" t="inlineStr">
        <is>
          <t>tapped_density</t>
        </is>
      </c>
      <c r="D669" t="inlineStr">
        <is>
          <t>medium</t>
        </is>
      </c>
      <c r="E669" t="inlineStr">
        <is>
          <t>supplier CoA, pharmacopeial monograph, PubChem/LIPID MAPS, or targeted literature curation</t>
        </is>
      </c>
      <c r="F669" t="inlineStr">
        <is>
          <t>prefer_experimental_or_supplier</t>
        </is>
      </c>
      <c r="G669" t="inlineStr">
        <is>
          <t>P3</t>
        </is>
      </c>
    </row>
    <row r="670">
      <c r="A670" t="inlineStr">
        <is>
          <t>Sulfobutylether-beta-cyclodextrin</t>
        </is>
      </c>
      <c r="B670" t="inlineStr">
        <is>
          <t>Carrier</t>
        </is>
      </c>
      <c r="C670" t="inlineStr">
        <is>
          <t>surface_area_m2_g</t>
        </is>
      </c>
      <c r="D670" t="inlineStr">
        <is>
          <t>high for proniosome carriers</t>
        </is>
      </c>
      <c r="E670" t="inlineStr">
        <is>
          <t>BET measurement or supplier CoA</t>
        </is>
      </c>
      <c r="F670" t="inlineStr">
        <is>
          <t>prefer_experimental_or_supplier</t>
        </is>
      </c>
      <c r="G670" t="inlineStr">
        <is>
          <t>P2</t>
        </is>
      </c>
    </row>
    <row r="671">
      <c r="A671" t="inlineStr">
        <is>
          <t>Sulfobutylether-beta-cyclodextrin</t>
        </is>
      </c>
      <c r="B671" t="inlineStr">
        <is>
          <t>Carrier</t>
        </is>
      </c>
      <c r="C671" t="inlineStr">
        <is>
          <t>porosity</t>
        </is>
      </c>
      <c r="D671" t="inlineStr">
        <is>
          <t>high for dry carriers</t>
        </is>
      </c>
      <c r="E671" t="inlineStr">
        <is>
          <t>mercury intrusion/BET/supplier powder characterization</t>
        </is>
      </c>
      <c r="F671" t="inlineStr">
        <is>
          <t>prefer_experimental_or_supplier</t>
        </is>
      </c>
      <c r="G671" t="inlineStr">
        <is>
          <t>P2</t>
        </is>
      </c>
    </row>
    <row r="672">
      <c r="A672" t="inlineStr">
        <is>
          <t>Microcrystalline cellulose</t>
        </is>
      </c>
      <c r="B672" t="inlineStr">
        <is>
          <t>Carrier</t>
        </is>
      </c>
      <c r="C672" t="inlineStr">
        <is>
          <t>molecular_weight_g_mol</t>
        </is>
      </c>
      <c r="D672" t="inlineStr">
        <is>
          <t>critical</t>
        </is>
      </c>
      <c r="E672" t="inlineStr">
        <is>
          <t>supplier CoA, pharmacopeial monograph, PubChem/LIPID MAPS, or targeted literature curation</t>
        </is>
      </c>
      <c r="F672" t="inlineStr">
        <is>
          <t>prefer_experimental_or_supplier</t>
        </is>
      </c>
      <c r="G672" t="inlineStr">
        <is>
          <t>P1</t>
        </is>
      </c>
    </row>
    <row r="673">
      <c r="A673" t="inlineStr">
        <is>
          <t>Microcrystalline cellulose</t>
        </is>
      </c>
      <c r="B673" t="inlineStr">
        <is>
          <t>Carrier</t>
        </is>
      </c>
      <c r="C673" t="inlineStr">
        <is>
          <t>glass_transition_temperature_C</t>
        </is>
      </c>
      <c r="D673" t="inlineStr">
        <is>
          <t>medium</t>
        </is>
      </c>
      <c r="E673" t="inlineStr">
        <is>
          <t>supplier CoA, pharmacopeial monograph, PubChem/LIPID MAPS, or targeted literature curation</t>
        </is>
      </c>
      <c r="F673" t="inlineStr">
        <is>
          <t>prefer_experimental_or_supplier</t>
        </is>
      </c>
      <c r="G673" t="inlineStr">
        <is>
          <t>P3</t>
        </is>
      </c>
    </row>
    <row r="674">
      <c r="A674" t="inlineStr">
        <is>
          <t>Microcrystalline cellulose</t>
        </is>
      </c>
      <c r="B674" t="inlineStr">
        <is>
          <t>Carrier</t>
        </is>
      </c>
      <c r="C674" t="inlineStr">
        <is>
          <t>melting_point_C</t>
        </is>
      </c>
      <c r="D674" t="inlineStr">
        <is>
          <t>high</t>
        </is>
      </c>
      <c r="E674" t="inlineStr">
        <is>
          <t>supplier CoA, pharmacopeial monograph, PubChem/LIPID MAPS, or targeted literature curation</t>
        </is>
      </c>
      <c r="F674" t="inlineStr">
        <is>
          <t>prefer_experimental_or_supplier</t>
        </is>
      </c>
      <c r="G674" t="inlineStr">
        <is>
          <t>P3</t>
        </is>
      </c>
    </row>
    <row r="675">
      <c r="A675" t="inlineStr">
        <is>
          <t>Microcrystalline cellulose</t>
        </is>
      </c>
      <c r="B675" t="inlineStr">
        <is>
          <t>Carrier</t>
        </is>
      </c>
      <c r="C675" t="inlineStr">
        <is>
          <t>surface_area_m2_g</t>
        </is>
      </c>
      <c r="D675" t="inlineStr">
        <is>
          <t>high for proniosome carriers</t>
        </is>
      </c>
      <c r="E675" t="inlineStr">
        <is>
          <t>BET measurement or supplier CoA</t>
        </is>
      </c>
      <c r="F675" t="inlineStr">
        <is>
          <t>prefer_experimental_or_supplier</t>
        </is>
      </c>
      <c r="G675" t="inlineStr">
        <is>
          <t>P2</t>
        </is>
      </c>
    </row>
    <row r="676">
      <c r="A676" t="inlineStr">
        <is>
          <t>Aerosil / colloidal silicon dioxide</t>
        </is>
      </c>
      <c r="B676" t="inlineStr">
        <is>
          <t>Carrier</t>
        </is>
      </c>
      <c r="C676" t="inlineStr">
        <is>
          <t>molecular_weight_g_mol</t>
        </is>
      </c>
      <c r="D676" t="inlineStr">
        <is>
          <t>critical</t>
        </is>
      </c>
      <c r="E676" t="inlineStr">
        <is>
          <t>supplier CoA, pharmacopeial monograph, PubChem/LIPID MAPS, or targeted literature curation</t>
        </is>
      </c>
      <c r="F676" t="inlineStr">
        <is>
          <t>prefer_experimental_or_supplier</t>
        </is>
      </c>
      <c r="G676" t="inlineStr">
        <is>
          <t>P1</t>
        </is>
      </c>
    </row>
    <row r="677">
      <c r="A677" t="inlineStr">
        <is>
          <t>Aerosil / colloidal silicon dioxide</t>
        </is>
      </c>
      <c r="B677" t="inlineStr">
        <is>
          <t>Carrier</t>
        </is>
      </c>
      <c r="C677" t="inlineStr">
        <is>
          <t>glass_transition_temperature_C</t>
        </is>
      </c>
      <c r="D677" t="inlineStr">
        <is>
          <t>medium</t>
        </is>
      </c>
      <c r="E677" t="inlineStr">
        <is>
          <t>supplier CoA, pharmacopeial monograph, PubChem/LIPID MAPS, or targeted literature curation</t>
        </is>
      </c>
      <c r="F677" t="inlineStr">
        <is>
          <t>prefer_experimental_or_supplier</t>
        </is>
      </c>
      <c r="G677" t="inlineStr">
        <is>
          <t>P3</t>
        </is>
      </c>
    </row>
    <row r="678">
      <c r="A678" t="inlineStr">
        <is>
          <t>Aerosil / colloidal silicon dioxide</t>
        </is>
      </c>
      <c r="B678" t="inlineStr">
        <is>
          <t>Carrier</t>
        </is>
      </c>
      <c r="C678" t="inlineStr">
        <is>
          <t>melting_point_C</t>
        </is>
      </c>
      <c r="D678" t="inlineStr">
        <is>
          <t>high</t>
        </is>
      </c>
      <c r="E678" t="inlineStr">
        <is>
          <t>supplier CoA, pharmacopeial monograph, PubChem/LIPID MAPS, or targeted literature curation</t>
        </is>
      </c>
      <c r="F678" t="inlineStr">
        <is>
          <t>prefer_experimental_or_supplier</t>
        </is>
      </c>
      <c r="G678" t="inlineStr">
        <is>
          <t>P3</t>
        </is>
      </c>
    </row>
    <row r="679">
      <c r="A679" t="inlineStr">
        <is>
          <t>Calcium carbonate</t>
        </is>
      </c>
      <c r="B679" t="inlineStr">
        <is>
          <t>Carrier</t>
        </is>
      </c>
      <c r="C679" t="inlineStr">
        <is>
          <t>average_MW</t>
        </is>
      </c>
      <c r="D679" t="inlineStr">
        <is>
          <t>high</t>
        </is>
      </c>
      <c r="E679" t="inlineStr">
        <is>
          <t>supplier CoA, pharmacopeial monograph, PubChem/LIPID MAPS, or targeted literature curation</t>
        </is>
      </c>
      <c r="F679" t="inlineStr">
        <is>
          <t>prefer_experimental_or_supplier</t>
        </is>
      </c>
      <c r="G679" t="inlineStr">
        <is>
          <t>P3</t>
        </is>
      </c>
    </row>
    <row r="680">
      <c r="A680" t="inlineStr">
        <is>
          <t>Calcium carbonate</t>
        </is>
      </c>
      <c r="B680" t="inlineStr">
        <is>
          <t>Carrier</t>
        </is>
      </c>
      <c r="C680" t="inlineStr">
        <is>
          <t>glass_transition_temperature_C</t>
        </is>
      </c>
      <c r="D680" t="inlineStr">
        <is>
          <t>medium</t>
        </is>
      </c>
      <c r="E680" t="inlineStr">
        <is>
          <t>supplier CoA, pharmacopeial monograph, PubChem/LIPID MAPS, or targeted literature curation</t>
        </is>
      </c>
      <c r="F680" t="inlineStr">
        <is>
          <t>prefer_experimental_or_supplier</t>
        </is>
      </c>
      <c r="G680" t="inlineStr">
        <is>
          <t>P3</t>
        </is>
      </c>
    </row>
    <row r="681">
      <c r="A681" t="inlineStr">
        <is>
          <t>Calcium carbonate</t>
        </is>
      </c>
      <c r="B681" t="inlineStr">
        <is>
          <t>Carrier</t>
        </is>
      </c>
      <c r="C681" t="inlineStr">
        <is>
          <t>surface_area_m2_g</t>
        </is>
      </c>
      <c r="D681" t="inlineStr">
        <is>
          <t>high for proniosome carriers</t>
        </is>
      </c>
      <c r="E681" t="inlineStr">
        <is>
          <t>BET measurement or supplier CoA</t>
        </is>
      </c>
      <c r="F681" t="inlineStr">
        <is>
          <t>prefer_experimental_or_supplier</t>
        </is>
      </c>
      <c r="G681" t="inlineStr">
        <is>
          <t>P2</t>
        </is>
      </c>
    </row>
    <row r="682">
      <c r="A682" t="inlineStr">
        <is>
          <t>Calcium carbonate</t>
        </is>
      </c>
      <c r="B682" t="inlineStr">
        <is>
          <t>Carrier</t>
        </is>
      </c>
      <c r="C682" t="inlineStr">
        <is>
          <t>porosity</t>
        </is>
      </c>
      <c r="D682" t="inlineStr">
        <is>
          <t>high for dry carriers</t>
        </is>
      </c>
      <c r="E682" t="inlineStr">
        <is>
          <t>mercury intrusion/BET/supplier powder characterization</t>
        </is>
      </c>
      <c r="F682" t="inlineStr">
        <is>
          <t>prefer_experimental_or_supplier</t>
        </is>
      </c>
      <c r="G682" t="inlineStr">
        <is>
          <t>P2</t>
        </is>
      </c>
    </row>
    <row r="683">
      <c r="A683" t="inlineStr">
        <is>
          <t>Calcium carbonate</t>
        </is>
      </c>
      <c r="B683" t="inlineStr">
        <is>
          <t>Carrier</t>
        </is>
      </c>
      <c r="C683" t="inlineStr">
        <is>
          <t>particle_size_grade</t>
        </is>
      </c>
      <c r="D683" t="inlineStr">
        <is>
          <t>medium</t>
        </is>
      </c>
      <c r="E683" t="inlineStr">
        <is>
          <t>supplier CoA, pharmacopeial monograph, PubChem/LIPID MAPS, or targeted literature curation</t>
        </is>
      </c>
      <c r="F683" t="inlineStr">
        <is>
          <t>prefer_experimental_or_supplier</t>
        </is>
      </c>
      <c r="G683" t="inlineStr">
        <is>
          <t>P3</t>
        </is>
      </c>
    </row>
    <row r="684">
      <c r="A684" t="inlineStr">
        <is>
          <t>Pregelatinized starch</t>
        </is>
      </c>
      <c r="B684" t="inlineStr">
        <is>
          <t>Carrier</t>
        </is>
      </c>
      <c r="C684" t="inlineStr">
        <is>
          <t>molecular_weight_g_mol</t>
        </is>
      </c>
      <c r="D684" t="inlineStr">
        <is>
          <t>critical</t>
        </is>
      </c>
      <c r="E684" t="inlineStr">
        <is>
          <t>supplier CoA, pharmacopeial monograph, PubChem/LIPID MAPS, or targeted literature curation</t>
        </is>
      </c>
      <c r="F684" t="inlineStr">
        <is>
          <t>prefer_experimental_or_supplier</t>
        </is>
      </c>
      <c r="G684" t="inlineStr">
        <is>
          <t>P1</t>
        </is>
      </c>
    </row>
    <row r="685">
      <c r="A685" t="inlineStr">
        <is>
          <t>Pregelatinized starch</t>
        </is>
      </c>
      <c r="B685" t="inlineStr">
        <is>
          <t>Carrier</t>
        </is>
      </c>
      <c r="C685" t="inlineStr">
        <is>
          <t>glass_transition_temperature_C</t>
        </is>
      </c>
      <c r="D685" t="inlineStr">
        <is>
          <t>medium</t>
        </is>
      </c>
      <c r="E685" t="inlineStr">
        <is>
          <t>supplier CoA, pharmacopeial monograph, PubChem/LIPID MAPS, or targeted literature curation</t>
        </is>
      </c>
      <c r="F685" t="inlineStr">
        <is>
          <t>prefer_experimental_or_supplier</t>
        </is>
      </c>
      <c r="G685" t="inlineStr">
        <is>
          <t>P3</t>
        </is>
      </c>
    </row>
    <row r="686">
      <c r="A686" t="inlineStr">
        <is>
          <t>Pregelatinized starch</t>
        </is>
      </c>
      <c r="B686" t="inlineStr">
        <is>
          <t>Carrier</t>
        </is>
      </c>
      <c r="C686" t="inlineStr">
        <is>
          <t>melting_point_C</t>
        </is>
      </c>
      <c r="D686" t="inlineStr">
        <is>
          <t>high</t>
        </is>
      </c>
      <c r="E686" t="inlineStr">
        <is>
          <t>supplier CoA, pharmacopeial monograph, PubChem/LIPID MAPS, or targeted literature curation</t>
        </is>
      </c>
      <c r="F686" t="inlineStr">
        <is>
          <t>prefer_experimental_or_supplier</t>
        </is>
      </c>
      <c r="G686" t="inlineStr">
        <is>
          <t>P3</t>
        </is>
      </c>
    </row>
    <row r="687">
      <c r="A687" t="inlineStr">
        <is>
          <t>Pregelatinized starch</t>
        </is>
      </c>
      <c r="B687" t="inlineStr">
        <is>
          <t>Carrier</t>
        </is>
      </c>
      <c r="C687" t="inlineStr">
        <is>
          <t>surface_area_m2_g</t>
        </is>
      </c>
      <c r="D687" t="inlineStr">
        <is>
          <t>high for proniosome carriers</t>
        </is>
      </c>
      <c r="E687" t="inlineStr">
        <is>
          <t>BET measurement or supplier CoA</t>
        </is>
      </c>
      <c r="F687" t="inlineStr">
        <is>
          <t>prefer_experimental_or_supplier</t>
        </is>
      </c>
      <c r="G687" t="inlineStr">
        <is>
          <t>P2</t>
        </is>
      </c>
    </row>
    <row r="688">
      <c r="A688" t="inlineStr">
        <is>
          <t>Pregelatinized starch</t>
        </is>
      </c>
      <c r="B688" t="inlineStr">
        <is>
          <t>Carrier</t>
        </is>
      </c>
      <c r="C688" t="inlineStr">
        <is>
          <t>porosity</t>
        </is>
      </c>
      <c r="D688" t="inlineStr">
        <is>
          <t>high for dry carriers</t>
        </is>
      </c>
      <c r="E688" t="inlineStr">
        <is>
          <t>mercury intrusion/BET/supplier powder characterization</t>
        </is>
      </c>
      <c r="F688" t="inlineStr">
        <is>
          <t>prefer_experimental_or_supplier</t>
        </is>
      </c>
      <c r="G688" t="inlineStr">
        <is>
          <t>P2</t>
        </is>
      </c>
    </row>
    <row r="689">
      <c r="A689" t="inlineStr">
        <is>
          <t>Pregelatinized starch</t>
        </is>
      </c>
      <c r="B689" t="inlineStr">
        <is>
          <t>Carrier</t>
        </is>
      </c>
      <c r="C689" t="inlineStr">
        <is>
          <t>particle_size_grade</t>
        </is>
      </c>
      <c r="D689" t="inlineStr">
        <is>
          <t>medium</t>
        </is>
      </c>
      <c r="E689" t="inlineStr">
        <is>
          <t>supplier CoA, pharmacopeial monograph, PubChem/LIPID MAPS, or targeted literature curation</t>
        </is>
      </c>
      <c r="F689" t="inlineStr">
        <is>
          <t>prefer_experimental_or_supplier</t>
        </is>
      </c>
      <c r="G689" t="inlineStr">
        <is>
          <t>P3</t>
        </is>
      </c>
    </row>
    <row r="690">
      <c r="A690" t="inlineStr">
        <is>
          <t>L-leucine</t>
        </is>
      </c>
      <c r="B690" t="inlineStr">
        <is>
          <t>Carrier</t>
        </is>
      </c>
      <c r="C690" t="inlineStr">
        <is>
          <t>average_MW</t>
        </is>
      </c>
      <c r="D690" t="inlineStr">
        <is>
          <t>high</t>
        </is>
      </c>
      <c r="E690" t="inlineStr">
        <is>
          <t>supplier CoA, pharmacopeial monograph, PubChem/LIPID MAPS, or targeted literature curation</t>
        </is>
      </c>
      <c r="F690" t="inlineStr">
        <is>
          <t>prefer_experimental_or_supplier</t>
        </is>
      </c>
      <c r="G690" t="inlineStr">
        <is>
          <t>P3</t>
        </is>
      </c>
    </row>
    <row r="691">
      <c r="A691" t="inlineStr">
        <is>
          <t>L-leucine</t>
        </is>
      </c>
      <c r="B691" t="inlineStr">
        <is>
          <t>Carrier</t>
        </is>
      </c>
      <c r="C691" t="inlineStr">
        <is>
          <t>glass_transition_temperature_C</t>
        </is>
      </c>
      <c r="D691" t="inlineStr">
        <is>
          <t>medium</t>
        </is>
      </c>
      <c r="E691" t="inlineStr">
        <is>
          <t>supplier CoA, pharmacopeial monograph, PubChem/LIPID MAPS, or targeted literature curation</t>
        </is>
      </c>
      <c r="F691" t="inlineStr">
        <is>
          <t>prefer_experimental_or_supplier</t>
        </is>
      </c>
      <c r="G691" t="inlineStr">
        <is>
          <t>P3</t>
        </is>
      </c>
    </row>
    <row r="692">
      <c r="A692" t="inlineStr">
        <is>
          <t>L-leucine</t>
        </is>
      </c>
      <c r="B692" t="inlineStr">
        <is>
          <t>Carrier</t>
        </is>
      </c>
      <c r="C692" t="inlineStr">
        <is>
          <t>surface_area_m2_g</t>
        </is>
      </c>
      <c r="D692" t="inlineStr">
        <is>
          <t>high for proniosome carriers</t>
        </is>
      </c>
      <c r="E692" t="inlineStr">
        <is>
          <t>BET measurement or supplier CoA</t>
        </is>
      </c>
      <c r="F692" t="inlineStr">
        <is>
          <t>prefer_experimental_or_supplier</t>
        </is>
      </c>
      <c r="G692" t="inlineStr">
        <is>
          <t>P2</t>
        </is>
      </c>
    </row>
    <row r="693">
      <c r="A693" t="inlineStr">
        <is>
          <t>L-leucine</t>
        </is>
      </c>
      <c r="B693" t="inlineStr">
        <is>
          <t>Carrier</t>
        </is>
      </c>
      <c r="C693" t="inlineStr">
        <is>
          <t>porosity</t>
        </is>
      </c>
      <c r="D693" t="inlineStr">
        <is>
          <t>high for dry carriers</t>
        </is>
      </c>
      <c r="E693" t="inlineStr">
        <is>
          <t>mercury intrusion/BET/supplier powder characterization</t>
        </is>
      </c>
      <c r="F693" t="inlineStr">
        <is>
          <t>prefer_experimental_or_supplier</t>
        </is>
      </c>
      <c r="G693" t="inlineStr">
        <is>
          <t>P2</t>
        </is>
      </c>
    </row>
    <row r="694">
      <c r="A694" t="inlineStr">
        <is>
          <t>Leucine for inhalation powders</t>
        </is>
      </c>
      <c r="B694" t="inlineStr">
        <is>
          <t>Carrier</t>
        </is>
      </c>
      <c r="C694" t="inlineStr">
        <is>
          <t>average_MW</t>
        </is>
      </c>
      <c r="D694" t="inlineStr">
        <is>
          <t>high</t>
        </is>
      </c>
      <c r="E694" t="inlineStr">
        <is>
          <t>supplier CoA, pharmacopeial monograph, PubChem/LIPID MAPS, or targeted literature curation</t>
        </is>
      </c>
      <c r="F694" t="inlineStr">
        <is>
          <t>prefer_experimental_or_supplier</t>
        </is>
      </c>
      <c r="G694" t="inlineStr">
        <is>
          <t>P3</t>
        </is>
      </c>
    </row>
    <row r="695">
      <c r="A695" t="inlineStr">
        <is>
          <t>Leucine for inhalation powders</t>
        </is>
      </c>
      <c r="B695" t="inlineStr">
        <is>
          <t>Carrier</t>
        </is>
      </c>
      <c r="C695" t="inlineStr">
        <is>
          <t>glass_transition_temperature_C</t>
        </is>
      </c>
      <c r="D695" t="inlineStr">
        <is>
          <t>medium</t>
        </is>
      </c>
      <c r="E695" t="inlineStr">
        <is>
          <t>supplier CoA, pharmacopeial monograph, PubChem/LIPID MAPS, or targeted literature curation</t>
        </is>
      </c>
      <c r="F695" t="inlineStr">
        <is>
          <t>prefer_experimental_or_supplier</t>
        </is>
      </c>
      <c r="G695" t="inlineStr">
        <is>
          <t>P3</t>
        </is>
      </c>
    </row>
    <row r="696">
      <c r="A696" t="inlineStr">
        <is>
          <t>Leucine for inhalation powders</t>
        </is>
      </c>
      <c r="B696" t="inlineStr">
        <is>
          <t>Carrier</t>
        </is>
      </c>
      <c r="C696" t="inlineStr">
        <is>
          <t>surface_area_m2_g</t>
        </is>
      </c>
      <c r="D696" t="inlineStr">
        <is>
          <t>high for proniosome carriers</t>
        </is>
      </c>
      <c r="E696" t="inlineStr">
        <is>
          <t>BET measurement or supplier CoA</t>
        </is>
      </c>
      <c r="F696" t="inlineStr">
        <is>
          <t>prefer_experimental_or_supplier</t>
        </is>
      </c>
      <c r="G696" t="inlineStr">
        <is>
          <t>P2</t>
        </is>
      </c>
    </row>
    <row r="697">
      <c r="A697" t="inlineStr">
        <is>
          <t>Leucine for inhalation powders</t>
        </is>
      </c>
      <c r="B697" t="inlineStr">
        <is>
          <t>Carrier</t>
        </is>
      </c>
      <c r="C697" t="inlineStr">
        <is>
          <t>porosity</t>
        </is>
      </c>
      <c r="D697" t="inlineStr">
        <is>
          <t>high for dry carriers</t>
        </is>
      </c>
      <c r="E697" t="inlineStr">
        <is>
          <t>mercury intrusion/BET/supplier powder characterization</t>
        </is>
      </c>
      <c r="F697" t="inlineStr">
        <is>
          <t>prefer_experimental_or_supplier</t>
        </is>
      </c>
      <c r="G697" t="inlineStr">
        <is>
          <t>P2</t>
        </is>
      </c>
    </row>
    <row r="698">
      <c r="A698" t="inlineStr">
        <is>
          <t>Glycine</t>
        </is>
      </c>
      <c r="B698" t="inlineStr">
        <is>
          <t>Carrier</t>
        </is>
      </c>
      <c r="C698" t="inlineStr">
        <is>
          <t>average_MW</t>
        </is>
      </c>
      <c r="D698" t="inlineStr">
        <is>
          <t>high</t>
        </is>
      </c>
      <c r="E698" t="inlineStr">
        <is>
          <t>supplier CoA, pharmacopeial monograph, PubChem/LIPID MAPS, or targeted literature curation</t>
        </is>
      </c>
      <c r="F698" t="inlineStr">
        <is>
          <t>prefer_experimental_or_supplier</t>
        </is>
      </c>
      <c r="G698" t="inlineStr">
        <is>
          <t>P3</t>
        </is>
      </c>
    </row>
    <row r="699">
      <c r="A699" t="inlineStr">
        <is>
          <t>Glycine</t>
        </is>
      </c>
      <c r="B699" t="inlineStr">
        <is>
          <t>Carrier</t>
        </is>
      </c>
      <c r="C699" t="inlineStr">
        <is>
          <t>glass_transition_temperature_C</t>
        </is>
      </c>
      <c r="D699" t="inlineStr">
        <is>
          <t>medium</t>
        </is>
      </c>
      <c r="E699" t="inlineStr">
        <is>
          <t>supplier CoA, pharmacopeial monograph, PubChem/LIPID MAPS, or targeted literature curation</t>
        </is>
      </c>
      <c r="F699" t="inlineStr">
        <is>
          <t>prefer_experimental_or_supplier</t>
        </is>
      </c>
      <c r="G699" t="inlineStr">
        <is>
          <t>P3</t>
        </is>
      </c>
    </row>
    <row r="700">
      <c r="A700" t="inlineStr">
        <is>
          <t>Glycine</t>
        </is>
      </c>
      <c r="B700" t="inlineStr">
        <is>
          <t>Carrier</t>
        </is>
      </c>
      <c r="C700" t="inlineStr">
        <is>
          <t>surface_area_m2_g</t>
        </is>
      </c>
      <c r="D700" t="inlineStr">
        <is>
          <t>high for proniosome carriers</t>
        </is>
      </c>
      <c r="E700" t="inlineStr">
        <is>
          <t>BET measurement or supplier CoA</t>
        </is>
      </c>
      <c r="F700" t="inlineStr">
        <is>
          <t>prefer_experimental_or_supplier</t>
        </is>
      </c>
      <c r="G700" t="inlineStr">
        <is>
          <t>P2</t>
        </is>
      </c>
    </row>
    <row r="701">
      <c r="A701" t="inlineStr">
        <is>
          <t>Glycine</t>
        </is>
      </c>
      <c r="B701" t="inlineStr">
        <is>
          <t>Carrier</t>
        </is>
      </c>
      <c r="C701" t="inlineStr">
        <is>
          <t>porosity</t>
        </is>
      </c>
      <c r="D701" t="inlineStr">
        <is>
          <t>high for dry carriers</t>
        </is>
      </c>
      <c r="E701" t="inlineStr">
        <is>
          <t>mercury intrusion/BET/supplier powder characterization</t>
        </is>
      </c>
      <c r="F701" t="inlineStr">
        <is>
          <t>prefer_experimental_or_supplier</t>
        </is>
      </c>
      <c r="G701" t="inlineStr">
        <is>
          <t>P2</t>
        </is>
      </c>
    </row>
    <row r="702">
      <c r="A702" t="inlineStr">
        <is>
          <t>Glycine</t>
        </is>
      </c>
      <c r="B702" t="inlineStr">
        <is>
          <t>Carrier</t>
        </is>
      </c>
      <c r="C702" t="inlineStr">
        <is>
          <t>particle_size_grade</t>
        </is>
      </c>
      <c r="D702" t="inlineStr">
        <is>
          <t>medium</t>
        </is>
      </c>
      <c r="E702" t="inlineStr">
        <is>
          <t>supplier CoA, pharmacopeial monograph, PubChem/LIPID MAPS, or targeted literature curation</t>
        </is>
      </c>
      <c r="F702" t="inlineStr">
        <is>
          <t>prefer_experimental_or_supplier</t>
        </is>
      </c>
      <c r="G702" t="inlineStr">
        <is>
          <t>P3</t>
        </is>
      </c>
    </row>
    <row r="703">
      <c r="A703" t="inlineStr">
        <is>
          <t>Albumin</t>
        </is>
      </c>
      <c r="B703" t="inlineStr">
        <is>
          <t>Carrier</t>
        </is>
      </c>
      <c r="C703" t="inlineStr">
        <is>
          <t>molecular_weight_g_mol</t>
        </is>
      </c>
      <c r="D703" t="inlineStr">
        <is>
          <t>critical</t>
        </is>
      </c>
      <c r="E703" t="inlineStr">
        <is>
          <t>supplier CoA, pharmacopeial monograph, PubChem/LIPID MAPS, or targeted literature curation</t>
        </is>
      </c>
      <c r="F703" t="inlineStr">
        <is>
          <t>prefer_experimental_or_supplier</t>
        </is>
      </c>
      <c r="G703" t="inlineStr">
        <is>
          <t>P1</t>
        </is>
      </c>
    </row>
    <row r="704">
      <c r="A704" t="inlineStr">
        <is>
          <t>Albumin</t>
        </is>
      </c>
      <c r="B704" t="inlineStr">
        <is>
          <t>Carrier</t>
        </is>
      </c>
      <c r="C704" t="inlineStr">
        <is>
          <t>melting_point_C</t>
        </is>
      </c>
      <c r="D704" t="inlineStr">
        <is>
          <t>high</t>
        </is>
      </c>
      <c r="E704" t="inlineStr">
        <is>
          <t>supplier CoA, pharmacopeial monograph, PubChem/LIPID MAPS, or targeted literature curation</t>
        </is>
      </c>
      <c r="F704" t="inlineStr">
        <is>
          <t>prefer_experimental_or_supplier</t>
        </is>
      </c>
      <c r="G704" t="inlineStr">
        <is>
          <t>P3</t>
        </is>
      </c>
    </row>
    <row r="705">
      <c r="A705" t="inlineStr">
        <is>
          <t>Albumin</t>
        </is>
      </c>
      <c r="B705" t="inlineStr">
        <is>
          <t>Carrier</t>
        </is>
      </c>
      <c r="C705" t="inlineStr">
        <is>
          <t>bulk_density</t>
        </is>
      </c>
      <c r="D705" t="inlineStr">
        <is>
          <t>medium</t>
        </is>
      </c>
      <c r="E705" t="inlineStr">
        <is>
          <t>supplier CoA, pharmacopeial monograph, PubChem/LIPID MAPS, or targeted literature curation</t>
        </is>
      </c>
      <c r="F705" t="inlineStr">
        <is>
          <t>prefer_experimental_or_supplier</t>
        </is>
      </c>
      <c r="G705" t="inlineStr">
        <is>
          <t>P3</t>
        </is>
      </c>
    </row>
    <row r="706">
      <c r="A706" t="inlineStr">
        <is>
          <t>Albumin</t>
        </is>
      </c>
      <c r="B706" t="inlineStr">
        <is>
          <t>Carrier</t>
        </is>
      </c>
      <c r="C706" t="inlineStr">
        <is>
          <t>tapped_density</t>
        </is>
      </c>
      <c r="D706" t="inlineStr">
        <is>
          <t>medium</t>
        </is>
      </c>
      <c r="E706" t="inlineStr">
        <is>
          <t>supplier CoA, pharmacopeial monograph, PubChem/LIPID MAPS, or targeted literature curation</t>
        </is>
      </c>
      <c r="F706" t="inlineStr">
        <is>
          <t>prefer_experimental_or_supplier</t>
        </is>
      </c>
      <c r="G706" t="inlineStr">
        <is>
          <t>P3</t>
        </is>
      </c>
    </row>
    <row r="707">
      <c r="A707" t="inlineStr">
        <is>
          <t>Albumin</t>
        </is>
      </c>
      <c r="B707" t="inlineStr">
        <is>
          <t>Carrier</t>
        </is>
      </c>
      <c r="C707" t="inlineStr">
        <is>
          <t>surface_area_m2_g</t>
        </is>
      </c>
      <c r="D707" t="inlineStr">
        <is>
          <t>high for proniosome carriers</t>
        </is>
      </c>
      <c r="E707" t="inlineStr">
        <is>
          <t>BET measurement or supplier CoA</t>
        </is>
      </c>
      <c r="F707" t="inlineStr">
        <is>
          <t>prefer_experimental_or_supplier</t>
        </is>
      </c>
      <c r="G707" t="inlineStr">
        <is>
          <t>P2</t>
        </is>
      </c>
    </row>
    <row r="708">
      <c r="A708" t="inlineStr">
        <is>
          <t>Albumin</t>
        </is>
      </c>
      <c r="B708" t="inlineStr">
        <is>
          <t>Carrier</t>
        </is>
      </c>
      <c r="C708" t="inlineStr">
        <is>
          <t>porosity</t>
        </is>
      </c>
      <c r="D708" t="inlineStr">
        <is>
          <t>high for dry carriers</t>
        </is>
      </c>
      <c r="E708" t="inlineStr">
        <is>
          <t>mercury intrusion/BET/supplier powder characterization</t>
        </is>
      </c>
      <c r="F708" t="inlineStr">
        <is>
          <t>prefer_experimental_or_supplier</t>
        </is>
      </c>
      <c r="G708" t="inlineStr">
        <is>
          <t>P2</t>
        </is>
      </c>
    </row>
    <row r="709">
      <c r="A709" t="inlineStr">
        <is>
          <t>PLGA 50:50</t>
        </is>
      </c>
      <c r="B709" t="inlineStr">
        <is>
          <t>Polymer</t>
        </is>
      </c>
      <c r="C709" t="inlineStr">
        <is>
          <t>average_mw_g_mol</t>
        </is>
      </c>
      <c r="D709" t="inlineStr">
        <is>
          <t>medium</t>
        </is>
      </c>
      <c r="E709" t="inlineStr">
        <is>
          <t>supplier CoA, pharmacopeial monograph, PubChem/LIPID MAPS, or targeted literature curation</t>
        </is>
      </c>
      <c r="F709" t="inlineStr">
        <is>
          <t>prefer_experimental_or_supplier</t>
        </is>
      </c>
      <c r="G709" t="inlineStr">
        <is>
          <t>P3</t>
        </is>
      </c>
    </row>
    <row r="710">
      <c r="A710" t="inlineStr">
        <is>
          <t>PLGA 50:50</t>
        </is>
      </c>
      <c r="B710" t="inlineStr">
        <is>
          <t>Polymer</t>
        </is>
      </c>
      <c r="C710" t="inlineStr">
        <is>
          <t>Tm_C</t>
        </is>
      </c>
      <c r="D710" t="inlineStr">
        <is>
          <t>medium</t>
        </is>
      </c>
      <c r="E710" t="inlineStr">
        <is>
          <t>supplier CoA, pharmacopeial monograph, PubChem/LIPID MAPS, or targeted literature curation</t>
        </is>
      </c>
      <c r="F710" t="inlineStr">
        <is>
          <t>prefer_experimental_or_supplier</t>
        </is>
      </c>
      <c r="G710" t="inlineStr">
        <is>
          <t>P3</t>
        </is>
      </c>
    </row>
    <row r="711">
      <c r="A711" t="inlineStr">
        <is>
          <t>PLGA 50:50</t>
        </is>
      </c>
      <c r="B711" t="inlineStr">
        <is>
          <t>Polymer</t>
        </is>
      </c>
      <c r="C711" t="inlineStr">
        <is>
          <t>pKa</t>
        </is>
      </c>
      <c r="D711" t="inlineStr">
        <is>
          <t>medium</t>
        </is>
      </c>
      <c r="E711" t="inlineStr">
        <is>
          <t>supplier CoA, pharmacopeial monograph, PubChem/LIPID MAPS, or targeted literature curation</t>
        </is>
      </c>
      <c r="F711" t="inlineStr">
        <is>
          <t>prefer_experimental_or_supplier</t>
        </is>
      </c>
      <c r="G711" t="inlineStr">
        <is>
          <t>P3</t>
        </is>
      </c>
    </row>
    <row r="712">
      <c r="A712" t="inlineStr">
        <is>
          <t>PLGA 50:50</t>
        </is>
      </c>
      <c r="B712" t="inlineStr">
        <is>
          <t>Polymer</t>
        </is>
      </c>
      <c r="C712" t="inlineStr">
        <is>
          <t>charge_density</t>
        </is>
      </c>
      <c r="D712" t="inlineStr">
        <is>
          <t>high for charged polymers</t>
        </is>
      </c>
      <c r="E712" t="inlineStr">
        <is>
          <t>titration, degree of substitution/deacetylation, or supplier CoA</t>
        </is>
      </c>
      <c r="F712" t="inlineStr">
        <is>
          <t>prefer_experimental_or_supplier</t>
        </is>
      </c>
      <c r="G712" t="inlineStr">
        <is>
          <t>P3</t>
        </is>
      </c>
    </row>
    <row r="713">
      <c r="A713" t="inlineStr">
        <is>
          <t>PLGA 65:35</t>
        </is>
      </c>
      <c r="B713" t="inlineStr">
        <is>
          <t>Polymer</t>
        </is>
      </c>
      <c r="C713" t="inlineStr">
        <is>
          <t>average_mw_g_mol</t>
        </is>
      </c>
      <c r="D713" t="inlineStr">
        <is>
          <t>medium</t>
        </is>
      </c>
      <c r="E713" t="inlineStr">
        <is>
          <t>supplier CoA, pharmacopeial monograph, PubChem/LIPID MAPS, or targeted literature curation</t>
        </is>
      </c>
      <c r="F713" t="inlineStr">
        <is>
          <t>prefer_experimental_or_supplier</t>
        </is>
      </c>
      <c r="G713" t="inlineStr">
        <is>
          <t>P3</t>
        </is>
      </c>
    </row>
    <row r="714">
      <c r="A714" t="inlineStr">
        <is>
          <t>PLGA 65:35</t>
        </is>
      </c>
      <c r="B714" t="inlineStr">
        <is>
          <t>Polymer</t>
        </is>
      </c>
      <c r="C714" t="inlineStr">
        <is>
          <t>Tm_C</t>
        </is>
      </c>
      <c r="D714" t="inlineStr">
        <is>
          <t>medium</t>
        </is>
      </c>
      <c r="E714" t="inlineStr">
        <is>
          <t>supplier CoA, pharmacopeial monograph, PubChem/LIPID MAPS, or targeted literature curation</t>
        </is>
      </c>
      <c r="F714" t="inlineStr">
        <is>
          <t>prefer_experimental_or_supplier</t>
        </is>
      </c>
      <c r="G714" t="inlineStr">
        <is>
          <t>P3</t>
        </is>
      </c>
    </row>
    <row r="715">
      <c r="A715" t="inlineStr">
        <is>
          <t>PLGA 65:35</t>
        </is>
      </c>
      <c r="B715" t="inlineStr">
        <is>
          <t>Polymer</t>
        </is>
      </c>
      <c r="C715" t="inlineStr">
        <is>
          <t>pKa</t>
        </is>
      </c>
      <c r="D715" t="inlineStr">
        <is>
          <t>medium</t>
        </is>
      </c>
      <c r="E715" t="inlineStr">
        <is>
          <t>supplier CoA, pharmacopeial monograph, PubChem/LIPID MAPS, or targeted literature curation</t>
        </is>
      </c>
      <c r="F715" t="inlineStr">
        <is>
          <t>prefer_experimental_or_supplier</t>
        </is>
      </c>
      <c r="G715" t="inlineStr">
        <is>
          <t>P3</t>
        </is>
      </c>
    </row>
    <row r="716">
      <c r="A716" t="inlineStr">
        <is>
          <t>PLGA 65:35</t>
        </is>
      </c>
      <c r="B716" t="inlineStr">
        <is>
          <t>Polymer</t>
        </is>
      </c>
      <c r="C716" t="inlineStr">
        <is>
          <t>charge_density</t>
        </is>
      </c>
      <c r="D716" t="inlineStr">
        <is>
          <t>high for charged polymers</t>
        </is>
      </c>
      <c r="E716" t="inlineStr">
        <is>
          <t>titration, degree of substitution/deacetylation, or supplier CoA</t>
        </is>
      </c>
      <c r="F716" t="inlineStr">
        <is>
          <t>prefer_experimental_or_supplier</t>
        </is>
      </c>
      <c r="G716" t="inlineStr">
        <is>
          <t>P3</t>
        </is>
      </c>
    </row>
    <row r="717">
      <c r="A717" t="inlineStr">
        <is>
          <t>PLGA 75:25</t>
        </is>
      </c>
      <c r="B717" t="inlineStr">
        <is>
          <t>Polymer</t>
        </is>
      </c>
      <c r="C717" t="inlineStr">
        <is>
          <t>average_mw_g_mol</t>
        </is>
      </c>
      <c r="D717" t="inlineStr">
        <is>
          <t>medium</t>
        </is>
      </c>
      <c r="E717" t="inlineStr">
        <is>
          <t>supplier CoA, pharmacopeial monograph, PubChem/LIPID MAPS, or targeted literature curation</t>
        </is>
      </c>
      <c r="F717" t="inlineStr">
        <is>
          <t>prefer_experimental_or_supplier</t>
        </is>
      </c>
      <c r="G717" t="inlineStr">
        <is>
          <t>P3</t>
        </is>
      </c>
    </row>
    <row r="718">
      <c r="A718" t="inlineStr">
        <is>
          <t>PLGA 75:25</t>
        </is>
      </c>
      <c r="B718" t="inlineStr">
        <is>
          <t>Polymer</t>
        </is>
      </c>
      <c r="C718" t="inlineStr">
        <is>
          <t>Tm_C</t>
        </is>
      </c>
      <c r="D718" t="inlineStr">
        <is>
          <t>medium</t>
        </is>
      </c>
      <c r="E718" t="inlineStr">
        <is>
          <t>supplier CoA, pharmacopeial monograph, PubChem/LIPID MAPS, or targeted literature curation</t>
        </is>
      </c>
      <c r="F718" t="inlineStr">
        <is>
          <t>prefer_experimental_or_supplier</t>
        </is>
      </c>
      <c r="G718" t="inlineStr">
        <is>
          <t>P3</t>
        </is>
      </c>
    </row>
    <row r="719">
      <c r="A719" t="inlineStr">
        <is>
          <t>PLGA 75:25</t>
        </is>
      </c>
      <c r="B719" t="inlineStr">
        <is>
          <t>Polymer</t>
        </is>
      </c>
      <c r="C719" t="inlineStr">
        <is>
          <t>pKa</t>
        </is>
      </c>
      <c r="D719" t="inlineStr">
        <is>
          <t>medium</t>
        </is>
      </c>
      <c r="E719" t="inlineStr">
        <is>
          <t>supplier CoA, pharmacopeial monograph, PubChem/LIPID MAPS, or targeted literature curation</t>
        </is>
      </c>
      <c r="F719" t="inlineStr">
        <is>
          <t>prefer_experimental_or_supplier</t>
        </is>
      </c>
      <c r="G719" t="inlineStr">
        <is>
          <t>P3</t>
        </is>
      </c>
    </row>
    <row r="720">
      <c r="A720" t="inlineStr">
        <is>
          <t>PLGA 75:25</t>
        </is>
      </c>
      <c r="B720" t="inlineStr">
        <is>
          <t>Polymer</t>
        </is>
      </c>
      <c r="C720" t="inlineStr">
        <is>
          <t>charge_density</t>
        </is>
      </c>
      <c r="D720" t="inlineStr">
        <is>
          <t>high for charged polymers</t>
        </is>
      </c>
      <c r="E720" t="inlineStr">
        <is>
          <t>titration, degree of substitution/deacetylation, or supplier CoA</t>
        </is>
      </c>
      <c r="F720" t="inlineStr">
        <is>
          <t>prefer_experimental_or_supplier</t>
        </is>
      </c>
      <c r="G720" t="inlineStr">
        <is>
          <t>P3</t>
        </is>
      </c>
    </row>
    <row r="721">
      <c r="A721" t="inlineStr">
        <is>
          <t>PLA</t>
        </is>
      </c>
      <c r="B721" t="inlineStr">
        <is>
          <t>Polymer</t>
        </is>
      </c>
      <c r="C721" t="inlineStr">
        <is>
          <t>average_mw_g_mol</t>
        </is>
      </c>
      <c r="D721" t="inlineStr">
        <is>
          <t>medium</t>
        </is>
      </c>
      <c r="E721" t="inlineStr">
        <is>
          <t>supplier CoA, pharmacopeial monograph, PubChem/LIPID MAPS, or targeted literature curation</t>
        </is>
      </c>
      <c r="F721" t="inlineStr">
        <is>
          <t>prefer_experimental_or_supplier</t>
        </is>
      </c>
      <c r="G721" t="inlineStr">
        <is>
          <t>P3</t>
        </is>
      </c>
    </row>
    <row r="722">
      <c r="A722" t="inlineStr">
        <is>
          <t>PLA</t>
        </is>
      </c>
      <c r="B722" t="inlineStr">
        <is>
          <t>Polymer</t>
        </is>
      </c>
      <c r="C722" t="inlineStr">
        <is>
          <t>pKa</t>
        </is>
      </c>
      <c r="D722" t="inlineStr">
        <is>
          <t>medium</t>
        </is>
      </c>
      <c r="E722" t="inlineStr">
        <is>
          <t>supplier CoA, pharmacopeial monograph, PubChem/LIPID MAPS, or targeted literature curation</t>
        </is>
      </c>
      <c r="F722" t="inlineStr">
        <is>
          <t>prefer_experimental_or_supplier</t>
        </is>
      </c>
      <c r="G722" t="inlineStr">
        <is>
          <t>P3</t>
        </is>
      </c>
    </row>
    <row r="723">
      <c r="A723" t="inlineStr">
        <is>
          <t>PLA</t>
        </is>
      </c>
      <c r="B723" t="inlineStr">
        <is>
          <t>Polymer</t>
        </is>
      </c>
      <c r="C723" t="inlineStr">
        <is>
          <t>charge_density</t>
        </is>
      </c>
      <c r="D723" t="inlineStr">
        <is>
          <t>high for charged polymers</t>
        </is>
      </c>
      <c r="E723" t="inlineStr">
        <is>
          <t>titration, degree of substitution/deacetylation, or supplier CoA</t>
        </is>
      </c>
      <c r="F723" t="inlineStr">
        <is>
          <t>prefer_experimental_or_supplier</t>
        </is>
      </c>
      <c r="G723" t="inlineStr">
        <is>
          <t>P3</t>
        </is>
      </c>
    </row>
    <row r="724">
      <c r="A724" t="inlineStr">
        <is>
          <t>PCL</t>
        </is>
      </c>
      <c r="B724" t="inlineStr">
        <is>
          <t>Polymer</t>
        </is>
      </c>
      <c r="C724" t="inlineStr">
        <is>
          <t>average_mw_g_mol</t>
        </is>
      </c>
      <c r="D724" t="inlineStr">
        <is>
          <t>medium</t>
        </is>
      </c>
      <c r="E724" t="inlineStr">
        <is>
          <t>supplier CoA, pharmacopeial monograph, PubChem/LIPID MAPS, or targeted literature curation</t>
        </is>
      </c>
      <c r="F724" t="inlineStr">
        <is>
          <t>prefer_experimental_or_supplier</t>
        </is>
      </c>
      <c r="G724" t="inlineStr">
        <is>
          <t>P3</t>
        </is>
      </c>
    </row>
    <row r="725">
      <c r="A725" t="inlineStr">
        <is>
          <t>PCL</t>
        </is>
      </c>
      <c r="B725" t="inlineStr">
        <is>
          <t>Polymer</t>
        </is>
      </c>
      <c r="C725" t="inlineStr">
        <is>
          <t>pKa</t>
        </is>
      </c>
      <c r="D725" t="inlineStr">
        <is>
          <t>medium</t>
        </is>
      </c>
      <c r="E725" t="inlineStr">
        <is>
          <t>supplier CoA, pharmacopeial monograph, PubChem/LIPID MAPS, or targeted literature curation</t>
        </is>
      </c>
      <c r="F725" t="inlineStr">
        <is>
          <t>prefer_experimental_or_supplier</t>
        </is>
      </c>
      <c r="G725" t="inlineStr">
        <is>
          <t>P3</t>
        </is>
      </c>
    </row>
    <row r="726">
      <c r="A726" t="inlineStr">
        <is>
          <t>PCL</t>
        </is>
      </c>
      <c r="B726" t="inlineStr">
        <is>
          <t>Polymer</t>
        </is>
      </c>
      <c r="C726" t="inlineStr">
        <is>
          <t>charge_density</t>
        </is>
      </c>
      <c r="D726" t="inlineStr">
        <is>
          <t>high for charged polymers</t>
        </is>
      </c>
      <c r="E726" t="inlineStr">
        <is>
          <t>titration, degree of substitution/deacetylation, or supplier CoA</t>
        </is>
      </c>
      <c r="F726" t="inlineStr">
        <is>
          <t>prefer_experimental_or_supplier</t>
        </is>
      </c>
      <c r="G726" t="inlineStr">
        <is>
          <t>P3</t>
        </is>
      </c>
    </row>
    <row r="727">
      <c r="A727" t="inlineStr">
        <is>
          <t>PGA</t>
        </is>
      </c>
      <c r="B727" t="inlineStr">
        <is>
          <t>Polymer</t>
        </is>
      </c>
      <c r="C727" t="inlineStr">
        <is>
          <t>average_mw_g_mol</t>
        </is>
      </c>
      <c r="D727" t="inlineStr">
        <is>
          <t>medium</t>
        </is>
      </c>
      <c r="E727" t="inlineStr">
        <is>
          <t>supplier CoA, pharmacopeial monograph, PubChem/LIPID MAPS, or targeted literature curation</t>
        </is>
      </c>
      <c r="F727" t="inlineStr">
        <is>
          <t>prefer_experimental_or_supplier</t>
        </is>
      </c>
      <c r="G727" t="inlineStr">
        <is>
          <t>P3</t>
        </is>
      </c>
    </row>
    <row r="728">
      <c r="A728" t="inlineStr">
        <is>
          <t>PGA</t>
        </is>
      </c>
      <c r="B728" t="inlineStr">
        <is>
          <t>Polymer</t>
        </is>
      </c>
      <c r="C728" t="inlineStr">
        <is>
          <t>pKa</t>
        </is>
      </c>
      <c r="D728" t="inlineStr">
        <is>
          <t>medium</t>
        </is>
      </c>
      <c r="E728" t="inlineStr">
        <is>
          <t>supplier CoA, pharmacopeial monograph, PubChem/LIPID MAPS, or targeted literature curation</t>
        </is>
      </c>
      <c r="F728" t="inlineStr">
        <is>
          <t>prefer_experimental_or_supplier</t>
        </is>
      </c>
      <c r="G728" t="inlineStr">
        <is>
          <t>P3</t>
        </is>
      </c>
    </row>
    <row r="729">
      <c r="A729" t="inlineStr">
        <is>
          <t>PGA</t>
        </is>
      </c>
      <c r="B729" t="inlineStr">
        <is>
          <t>Polymer</t>
        </is>
      </c>
      <c r="C729" t="inlineStr">
        <is>
          <t>charge_density</t>
        </is>
      </c>
      <c r="D729" t="inlineStr">
        <is>
          <t>high for charged polymers</t>
        </is>
      </c>
      <c r="E729" t="inlineStr">
        <is>
          <t>titration, degree of substitution/deacetylation, or supplier CoA</t>
        </is>
      </c>
      <c r="F729" t="inlineStr">
        <is>
          <t>prefer_experimental_or_supplier</t>
        </is>
      </c>
      <c r="G729" t="inlineStr">
        <is>
          <t>P3</t>
        </is>
      </c>
    </row>
    <row r="730">
      <c r="A730" t="inlineStr">
        <is>
          <t>PEG 1000</t>
        </is>
      </c>
      <c r="B730" t="inlineStr">
        <is>
          <t>Polymer</t>
        </is>
      </c>
      <c r="C730" t="inlineStr">
        <is>
          <t>mw_range</t>
        </is>
      </c>
      <c r="D730" t="inlineStr">
        <is>
          <t>critical for polymers</t>
        </is>
      </c>
      <c r="E730" t="inlineStr">
        <is>
          <t>supplier CoA/GPC/SEC</t>
        </is>
      </c>
      <c r="F730" t="inlineStr">
        <is>
          <t>prefer_experimental_or_supplier</t>
        </is>
      </c>
      <c r="G730" t="inlineStr">
        <is>
          <t>P1</t>
        </is>
      </c>
    </row>
    <row r="731">
      <c r="A731" t="inlineStr">
        <is>
          <t>PEG 1000</t>
        </is>
      </c>
      <c r="B731" t="inlineStr">
        <is>
          <t>Polymer</t>
        </is>
      </c>
      <c r="C731" t="inlineStr">
        <is>
          <t>pKa</t>
        </is>
      </c>
      <c r="D731" t="inlineStr">
        <is>
          <t>medium</t>
        </is>
      </c>
      <c r="E731" t="inlineStr">
        <is>
          <t>supplier CoA, pharmacopeial monograph, PubChem/LIPID MAPS, or targeted literature curation</t>
        </is>
      </c>
      <c r="F731" t="inlineStr">
        <is>
          <t>prefer_experimental_or_supplier</t>
        </is>
      </c>
      <c r="G731" t="inlineStr">
        <is>
          <t>P3</t>
        </is>
      </c>
    </row>
    <row r="732">
      <c r="A732" t="inlineStr">
        <is>
          <t>PEG 1000</t>
        </is>
      </c>
      <c r="B732" t="inlineStr">
        <is>
          <t>Polymer</t>
        </is>
      </c>
      <c r="C732" t="inlineStr">
        <is>
          <t>charge_density</t>
        </is>
      </c>
      <c r="D732" t="inlineStr">
        <is>
          <t>high for charged polymers</t>
        </is>
      </c>
      <c r="E732" t="inlineStr">
        <is>
          <t>titration, degree of substitution/deacetylation, or supplier CoA</t>
        </is>
      </c>
      <c r="F732" t="inlineStr">
        <is>
          <t>prefer_experimental_or_supplier</t>
        </is>
      </c>
      <c r="G732" t="inlineStr">
        <is>
          <t>P3</t>
        </is>
      </c>
    </row>
    <row r="733">
      <c r="A733" t="inlineStr">
        <is>
          <t>PEG 2000</t>
        </is>
      </c>
      <c r="B733" t="inlineStr">
        <is>
          <t>Polymer</t>
        </is>
      </c>
      <c r="C733" t="inlineStr">
        <is>
          <t>mw_range</t>
        </is>
      </c>
      <c r="D733" t="inlineStr">
        <is>
          <t>critical for polymers</t>
        </is>
      </c>
      <c r="E733" t="inlineStr">
        <is>
          <t>supplier CoA/GPC/SEC</t>
        </is>
      </c>
      <c r="F733" t="inlineStr">
        <is>
          <t>prefer_experimental_or_supplier</t>
        </is>
      </c>
      <c r="G733" t="inlineStr">
        <is>
          <t>P1</t>
        </is>
      </c>
    </row>
    <row r="734">
      <c r="A734" t="inlineStr">
        <is>
          <t>PEG 2000</t>
        </is>
      </c>
      <c r="B734" t="inlineStr">
        <is>
          <t>Polymer</t>
        </is>
      </c>
      <c r="C734" t="inlineStr">
        <is>
          <t>pKa</t>
        </is>
      </c>
      <c r="D734" t="inlineStr">
        <is>
          <t>medium</t>
        </is>
      </c>
      <c r="E734" t="inlineStr">
        <is>
          <t>supplier CoA, pharmacopeial monograph, PubChem/LIPID MAPS, or targeted literature curation</t>
        </is>
      </c>
      <c r="F734" t="inlineStr">
        <is>
          <t>prefer_experimental_or_supplier</t>
        </is>
      </c>
      <c r="G734" t="inlineStr">
        <is>
          <t>P3</t>
        </is>
      </c>
    </row>
    <row r="735">
      <c r="A735" t="inlineStr">
        <is>
          <t>PEG 2000</t>
        </is>
      </c>
      <c r="B735" t="inlineStr">
        <is>
          <t>Polymer</t>
        </is>
      </c>
      <c r="C735" t="inlineStr">
        <is>
          <t>charge_density</t>
        </is>
      </c>
      <c r="D735" t="inlineStr">
        <is>
          <t>high for charged polymers</t>
        </is>
      </c>
      <c r="E735" t="inlineStr">
        <is>
          <t>titration, degree of substitution/deacetylation, or supplier CoA</t>
        </is>
      </c>
      <c r="F735" t="inlineStr">
        <is>
          <t>prefer_experimental_or_supplier</t>
        </is>
      </c>
      <c r="G735" t="inlineStr">
        <is>
          <t>P3</t>
        </is>
      </c>
    </row>
    <row r="736">
      <c r="A736" t="inlineStr">
        <is>
          <t>PEG 5000</t>
        </is>
      </c>
      <c r="B736" t="inlineStr">
        <is>
          <t>Polymer</t>
        </is>
      </c>
      <c r="C736" t="inlineStr">
        <is>
          <t>mw_range</t>
        </is>
      </c>
      <c r="D736" t="inlineStr">
        <is>
          <t>critical for polymers</t>
        </is>
      </c>
      <c r="E736" t="inlineStr">
        <is>
          <t>supplier CoA/GPC/SEC</t>
        </is>
      </c>
      <c r="F736" t="inlineStr">
        <is>
          <t>prefer_experimental_or_supplier</t>
        </is>
      </c>
      <c r="G736" t="inlineStr">
        <is>
          <t>P1</t>
        </is>
      </c>
    </row>
    <row r="737">
      <c r="A737" t="inlineStr">
        <is>
          <t>PEG 5000</t>
        </is>
      </c>
      <c r="B737" t="inlineStr">
        <is>
          <t>Polymer</t>
        </is>
      </c>
      <c r="C737" t="inlineStr">
        <is>
          <t>pKa</t>
        </is>
      </c>
      <c r="D737" t="inlineStr">
        <is>
          <t>medium</t>
        </is>
      </c>
      <c r="E737" t="inlineStr">
        <is>
          <t>supplier CoA, pharmacopeial monograph, PubChem/LIPID MAPS, or targeted literature curation</t>
        </is>
      </c>
      <c r="F737" t="inlineStr">
        <is>
          <t>prefer_experimental_or_supplier</t>
        </is>
      </c>
      <c r="G737" t="inlineStr">
        <is>
          <t>P3</t>
        </is>
      </c>
    </row>
    <row r="738">
      <c r="A738" t="inlineStr">
        <is>
          <t>PEG 5000</t>
        </is>
      </c>
      <c r="B738" t="inlineStr">
        <is>
          <t>Polymer</t>
        </is>
      </c>
      <c r="C738" t="inlineStr">
        <is>
          <t>charge_density</t>
        </is>
      </c>
      <c r="D738" t="inlineStr">
        <is>
          <t>high for charged polymers</t>
        </is>
      </c>
      <c r="E738" t="inlineStr">
        <is>
          <t>titration, degree of substitution/deacetylation, or supplier CoA</t>
        </is>
      </c>
      <c r="F738" t="inlineStr">
        <is>
          <t>prefer_experimental_or_supplier</t>
        </is>
      </c>
      <c r="G738" t="inlineStr">
        <is>
          <t>P3</t>
        </is>
      </c>
    </row>
    <row r="739">
      <c r="A739" t="inlineStr">
        <is>
          <t>PEG 10000</t>
        </is>
      </c>
      <c r="B739" t="inlineStr">
        <is>
          <t>Polymer</t>
        </is>
      </c>
      <c r="C739" t="inlineStr">
        <is>
          <t>mw_range</t>
        </is>
      </c>
      <c r="D739" t="inlineStr">
        <is>
          <t>critical for polymers</t>
        </is>
      </c>
      <c r="E739" t="inlineStr">
        <is>
          <t>supplier CoA/GPC/SEC</t>
        </is>
      </c>
      <c r="F739" t="inlineStr">
        <is>
          <t>prefer_experimental_or_supplier</t>
        </is>
      </c>
      <c r="G739" t="inlineStr">
        <is>
          <t>P1</t>
        </is>
      </c>
    </row>
    <row r="740">
      <c r="A740" t="inlineStr">
        <is>
          <t>PEG 10000</t>
        </is>
      </c>
      <c r="B740" t="inlineStr">
        <is>
          <t>Polymer</t>
        </is>
      </c>
      <c r="C740" t="inlineStr">
        <is>
          <t>pKa</t>
        </is>
      </c>
      <c r="D740" t="inlineStr">
        <is>
          <t>medium</t>
        </is>
      </c>
      <c r="E740" t="inlineStr">
        <is>
          <t>supplier CoA, pharmacopeial monograph, PubChem/LIPID MAPS, or targeted literature curation</t>
        </is>
      </c>
      <c r="F740" t="inlineStr">
        <is>
          <t>prefer_experimental_or_supplier</t>
        </is>
      </c>
      <c r="G740" t="inlineStr">
        <is>
          <t>P3</t>
        </is>
      </c>
    </row>
    <row r="741">
      <c r="A741" t="inlineStr">
        <is>
          <t>PEG 10000</t>
        </is>
      </c>
      <c r="B741" t="inlineStr">
        <is>
          <t>Polymer</t>
        </is>
      </c>
      <c r="C741" t="inlineStr">
        <is>
          <t>charge_density</t>
        </is>
      </c>
      <c r="D741" t="inlineStr">
        <is>
          <t>high for charged polymers</t>
        </is>
      </c>
      <c r="E741" t="inlineStr">
        <is>
          <t>titration, degree of substitution/deacetylation, or supplier CoA</t>
        </is>
      </c>
      <c r="F741" t="inlineStr">
        <is>
          <t>prefer_experimental_or_supplier</t>
        </is>
      </c>
      <c r="G741" t="inlineStr">
        <is>
          <t>P3</t>
        </is>
      </c>
    </row>
    <row r="742">
      <c r="A742" t="inlineStr">
        <is>
          <t>PVA</t>
        </is>
      </c>
      <c r="B742" t="inlineStr">
        <is>
          <t>Polymer</t>
        </is>
      </c>
      <c r="C742" t="inlineStr">
        <is>
          <t>average_mw_g_mol</t>
        </is>
      </c>
      <c r="D742" t="inlineStr">
        <is>
          <t>medium</t>
        </is>
      </c>
      <c r="E742" t="inlineStr">
        <is>
          <t>supplier CoA, pharmacopeial monograph, PubChem/LIPID MAPS, or targeted literature curation</t>
        </is>
      </c>
      <c r="F742" t="inlineStr">
        <is>
          <t>prefer_experimental_or_supplier</t>
        </is>
      </c>
      <c r="G742" t="inlineStr">
        <is>
          <t>P3</t>
        </is>
      </c>
    </row>
    <row r="743">
      <c r="A743" t="inlineStr">
        <is>
          <t>PVA</t>
        </is>
      </c>
      <c r="B743" t="inlineStr">
        <is>
          <t>Polymer</t>
        </is>
      </c>
      <c r="C743" t="inlineStr">
        <is>
          <t>pKa</t>
        </is>
      </c>
      <c r="D743" t="inlineStr">
        <is>
          <t>medium</t>
        </is>
      </c>
      <c r="E743" t="inlineStr">
        <is>
          <t>supplier CoA, pharmacopeial monograph, PubChem/LIPID MAPS, or targeted literature curation</t>
        </is>
      </c>
      <c r="F743" t="inlineStr">
        <is>
          <t>prefer_experimental_or_supplier</t>
        </is>
      </c>
      <c r="G743" t="inlineStr">
        <is>
          <t>P3</t>
        </is>
      </c>
    </row>
    <row r="744">
      <c r="A744" t="inlineStr">
        <is>
          <t>PVA</t>
        </is>
      </c>
      <c r="B744" t="inlineStr">
        <is>
          <t>Polymer</t>
        </is>
      </c>
      <c r="C744" t="inlineStr">
        <is>
          <t>charge_density</t>
        </is>
      </c>
      <c r="D744" t="inlineStr">
        <is>
          <t>high for charged polymers</t>
        </is>
      </c>
      <c r="E744" t="inlineStr">
        <is>
          <t>titration, degree of substitution/deacetylation, or supplier CoA</t>
        </is>
      </c>
      <c r="F744" t="inlineStr">
        <is>
          <t>prefer_experimental_or_supplier</t>
        </is>
      </c>
      <c r="G744" t="inlineStr">
        <is>
          <t>P3</t>
        </is>
      </c>
    </row>
    <row r="745">
      <c r="A745" t="inlineStr">
        <is>
          <t>PVP K30</t>
        </is>
      </c>
      <c r="B745" t="inlineStr">
        <is>
          <t>Polymer</t>
        </is>
      </c>
      <c r="C745" t="inlineStr">
        <is>
          <t>mw_range</t>
        </is>
      </c>
      <c r="D745" t="inlineStr">
        <is>
          <t>critical for polymers</t>
        </is>
      </c>
      <c r="E745" t="inlineStr">
        <is>
          <t>supplier CoA/GPC/SEC</t>
        </is>
      </c>
      <c r="F745" t="inlineStr">
        <is>
          <t>prefer_experimental_or_supplier</t>
        </is>
      </c>
      <c r="G745" t="inlineStr">
        <is>
          <t>P1</t>
        </is>
      </c>
    </row>
    <row r="746">
      <c r="A746" t="inlineStr">
        <is>
          <t>PVP K30</t>
        </is>
      </c>
      <c r="B746" t="inlineStr">
        <is>
          <t>Polymer</t>
        </is>
      </c>
      <c r="C746" t="inlineStr">
        <is>
          <t>Tm_C</t>
        </is>
      </c>
      <c r="D746" t="inlineStr">
        <is>
          <t>medium</t>
        </is>
      </c>
      <c r="E746" t="inlineStr">
        <is>
          <t>supplier CoA, pharmacopeial monograph, PubChem/LIPID MAPS, or targeted literature curation</t>
        </is>
      </c>
      <c r="F746" t="inlineStr">
        <is>
          <t>prefer_experimental_or_supplier</t>
        </is>
      </c>
      <c r="G746" t="inlineStr">
        <is>
          <t>P3</t>
        </is>
      </c>
    </row>
    <row r="747">
      <c r="A747" t="inlineStr">
        <is>
          <t>PVP K30</t>
        </is>
      </c>
      <c r="B747" t="inlineStr">
        <is>
          <t>Polymer</t>
        </is>
      </c>
      <c r="C747" t="inlineStr">
        <is>
          <t>pKa</t>
        </is>
      </c>
      <c r="D747" t="inlineStr">
        <is>
          <t>medium</t>
        </is>
      </c>
      <c r="E747" t="inlineStr">
        <is>
          <t>supplier CoA, pharmacopeial monograph, PubChem/LIPID MAPS, or targeted literature curation</t>
        </is>
      </c>
      <c r="F747" t="inlineStr">
        <is>
          <t>prefer_experimental_or_supplier</t>
        </is>
      </c>
      <c r="G747" t="inlineStr">
        <is>
          <t>P3</t>
        </is>
      </c>
    </row>
    <row r="748">
      <c r="A748" t="inlineStr">
        <is>
          <t>PVP K30</t>
        </is>
      </c>
      <c r="B748" t="inlineStr">
        <is>
          <t>Polymer</t>
        </is>
      </c>
      <c r="C748" t="inlineStr">
        <is>
          <t>charge_density</t>
        </is>
      </c>
      <c r="D748" t="inlineStr">
        <is>
          <t>high for charged polymers</t>
        </is>
      </c>
      <c r="E748" t="inlineStr">
        <is>
          <t>titration, degree of substitution/deacetylation, or supplier CoA</t>
        </is>
      </c>
      <c r="F748" t="inlineStr">
        <is>
          <t>prefer_experimental_or_supplier</t>
        </is>
      </c>
      <c r="G748" t="inlineStr">
        <is>
          <t>P3</t>
        </is>
      </c>
    </row>
    <row r="749">
      <c r="A749" t="inlineStr">
        <is>
          <t>PVP K90</t>
        </is>
      </c>
      <c r="B749" t="inlineStr">
        <is>
          <t>Polymer</t>
        </is>
      </c>
      <c r="C749" t="inlineStr">
        <is>
          <t>mw_range</t>
        </is>
      </c>
      <c r="D749" t="inlineStr">
        <is>
          <t>critical for polymers</t>
        </is>
      </c>
      <c r="E749" t="inlineStr">
        <is>
          <t>supplier CoA/GPC/SEC</t>
        </is>
      </c>
      <c r="F749" t="inlineStr">
        <is>
          <t>prefer_experimental_or_supplier</t>
        </is>
      </c>
      <c r="G749" t="inlineStr">
        <is>
          <t>P1</t>
        </is>
      </c>
    </row>
    <row r="750">
      <c r="A750" t="inlineStr">
        <is>
          <t>PVP K90</t>
        </is>
      </c>
      <c r="B750" t="inlineStr">
        <is>
          <t>Polymer</t>
        </is>
      </c>
      <c r="C750" t="inlineStr">
        <is>
          <t>Tm_C</t>
        </is>
      </c>
      <c r="D750" t="inlineStr">
        <is>
          <t>medium</t>
        </is>
      </c>
      <c r="E750" t="inlineStr">
        <is>
          <t>supplier CoA, pharmacopeial monograph, PubChem/LIPID MAPS, or targeted literature curation</t>
        </is>
      </c>
      <c r="F750" t="inlineStr">
        <is>
          <t>prefer_experimental_or_supplier</t>
        </is>
      </c>
      <c r="G750" t="inlineStr">
        <is>
          <t>P3</t>
        </is>
      </c>
    </row>
    <row r="751">
      <c r="A751" t="inlineStr">
        <is>
          <t>PVP K90</t>
        </is>
      </c>
      <c r="B751" t="inlineStr">
        <is>
          <t>Polymer</t>
        </is>
      </c>
      <c r="C751" t="inlineStr">
        <is>
          <t>pKa</t>
        </is>
      </c>
      <c r="D751" t="inlineStr">
        <is>
          <t>medium</t>
        </is>
      </c>
      <c r="E751" t="inlineStr">
        <is>
          <t>supplier CoA, pharmacopeial monograph, PubChem/LIPID MAPS, or targeted literature curation</t>
        </is>
      </c>
      <c r="F751" t="inlineStr">
        <is>
          <t>prefer_experimental_or_supplier</t>
        </is>
      </c>
      <c r="G751" t="inlineStr">
        <is>
          <t>P3</t>
        </is>
      </c>
    </row>
    <row r="752">
      <c r="A752" t="inlineStr">
        <is>
          <t>PVP K90</t>
        </is>
      </c>
      <c r="B752" t="inlineStr">
        <is>
          <t>Polymer</t>
        </is>
      </c>
      <c r="C752" t="inlineStr">
        <is>
          <t>charge_density</t>
        </is>
      </c>
      <c r="D752" t="inlineStr">
        <is>
          <t>high for charged polymers</t>
        </is>
      </c>
      <c r="E752" t="inlineStr">
        <is>
          <t>titration, degree of substitution/deacetylation, or supplier CoA</t>
        </is>
      </c>
      <c r="F752" t="inlineStr">
        <is>
          <t>prefer_experimental_or_supplier</t>
        </is>
      </c>
      <c r="G752" t="inlineStr">
        <is>
          <t>P3</t>
        </is>
      </c>
    </row>
    <row r="753">
      <c r="A753" t="inlineStr">
        <is>
          <t>HPMC</t>
        </is>
      </c>
      <c r="B753" t="inlineStr">
        <is>
          <t>Polymer</t>
        </is>
      </c>
      <c r="C753" t="inlineStr">
        <is>
          <t>repeat_unit_mw_g_mol</t>
        </is>
      </c>
      <c r="D753" t="inlineStr">
        <is>
          <t>medium</t>
        </is>
      </c>
      <c r="E753" t="inlineStr">
        <is>
          <t>supplier CoA, pharmacopeial monograph, PubChem/LIPID MAPS, or targeted literature curation</t>
        </is>
      </c>
      <c r="F753" t="inlineStr">
        <is>
          <t>prefer_experimental_or_supplier</t>
        </is>
      </c>
      <c r="G753" t="inlineStr">
        <is>
          <t>P3</t>
        </is>
      </c>
    </row>
    <row r="754">
      <c r="A754" t="inlineStr">
        <is>
          <t>HPMC</t>
        </is>
      </c>
      <c r="B754" t="inlineStr">
        <is>
          <t>Polymer</t>
        </is>
      </c>
      <c r="C754" t="inlineStr">
        <is>
          <t>mw_range</t>
        </is>
      </c>
      <c r="D754" t="inlineStr">
        <is>
          <t>critical for polymers</t>
        </is>
      </c>
      <c r="E754" t="inlineStr">
        <is>
          <t>supplier CoA/GPC/SEC</t>
        </is>
      </c>
      <c r="F754" t="inlineStr">
        <is>
          <t>prefer_experimental_or_supplier</t>
        </is>
      </c>
      <c r="G754" t="inlineStr">
        <is>
          <t>P1</t>
        </is>
      </c>
    </row>
    <row r="755">
      <c r="A755" t="inlineStr">
        <is>
          <t>HPMC</t>
        </is>
      </c>
      <c r="B755" t="inlineStr">
        <is>
          <t>Polymer</t>
        </is>
      </c>
      <c r="C755" t="inlineStr">
        <is>
          <t>Tm_C</t>
        </is>
      </c>
      <c r="D755" t="inlineStr">
        <is>
          <t>medium</t>
        </is>
      </c>
      <c r="E755" t="inlineStr">
        <is>
          <t>supplier CoA, pharmacopeial monograph, PubChem/LIPID MAPS, or targeted literature curation</t>
        </is>
      </c>
      <c r="F755" t="inlineStr">
        <is>
          <t>prefer_experimental_or_supplier</t>
        </is>
      </c>
      <c r="G755" t="inlineStr">
        <is>
          <t>P3</t>
        </is>
      </c>
    </row>
    <row r="756">
      <c r="A756" t="inlineStr">
        <is>
          <t>HPMC</t>
        </is>
      </c>
      <c r="B756" t="inlineStr">
        <is>
          <t>Polymer</t>
        </is>
      </c>
      <c r="C756" t="inlineStr">
        <is>
          <t>pKa</t>
        </is>
      </c>
      <c r="D756" t="inlineStr">
        <is>
          <t>medium</t>
        </is>
      </c>
      <c r="E756" t="inlineStr">
        <is>
          <t>supplier CoA, pharmacopeial monograph, PubChem/LIPID MAPS, or targeted literature curation</t>
        </is>
      </c>
      <c r="F756" t="inlineStr">
        <is>
          <t>prefer_experimental_or_supplier</t>
        </is>
      </c>
      <c r="G756" t="inlineStr">
        <is>
          <t>P3</t>
        </is>
      </c>
    </row>
    <row r="757">
      <c r="A757" t="inlineStr">
        <is>
          <t>HPMC</t>
        </is>
      </c>
      <c r="B757" t="inlineStr">
        <is>
          <t>Polymer</t>
        </is>
      </c>
      <c r="C757" t="inlineStr">
        <is>
          <t>charge_density</t>
        </is>
      </c>
      <c r="D757" t="inlineStr">
        <is>
          <t>high for charged polymers</t>
        </is>
      </c>
      <c r="E757" t="inlineStr">
        <is>
          <t>titration, degree of substitution/deacetylation, or supplier CoA</t>
        </is>
      </c>
      <c r="F757" t="inlineStr">
        <is>
          <t>prefer_experimental_or_supplier</t>
        </is>
      </c>
      <c r="G757" t="inlineStr">
        <is>
          <t>P3</t>
        </is>
      </c>
    </row>
    <row r="758">
      <c r="A758" t="inlineStr">
        <is>
          <t>HPMC</t>
        </is>
      </c>
      <c r="B758" t="inlineStr">
        <is>
          <t>Polymer</t>
        </is>
      </c>
      <c r="C758" t="inlineStr">
        <is>
          <t>repeat_unit_molar_volume</t>
        </is>
      </c>
      <c r="D758" t="inlineStr">
        <is>
          <t>medium</t>
        </is>
      </c>
      <c r="E758" t="inlineStr">
        <is>
          <t>supplier CoA, pharmacopeial monograph, PubChem/LIPID MAPS, or targeted literature curation</t>
        </is>
      </c>
      <c r="F758" t="inlineStr">
        <is>
          <t>prefer_experimental_or_supplier</t>
        </is>
      </c>
      <c r="G758" t="inlineStr">
        <is>
          <t>P3</t>
        </is>
      </c>
    </row>
    <row r="759">
      <c r="A759" t="inlineStr">
        <is>
          <t>HPC</t>
        </is>
      </c>
      <c r="B759" t="inlineStr">
        <is>
          <t>Polymer</t>
        </is>
      </c>
      <c r="C759" t="inlineStr">
        <is>
          <t>repeat_unit_mw_g_mol</t>
        </is>
      </c>
      <c r="D759" t="inlineStr">
        <is>
          <t>medium</t>
        </is>
      </c>
      <c r="E759" t="inlineStr">
        <is>
          <t>supplier CoA, pharmacopeial monograph, PubChem/LIPID MAPS, or targeted literature curation</t>
        </is>
      </c>
      <c r="F759" t="inlineStr">
        <is>
          <t>prefer_experimental_or_supplier</t>
        </is>
      </c>
      <c r="G759" t="inlineStr">
        <is>
          <t>P3</t>
        </is>
      </c>
    </row>
    <row r="760">
      <c r="A760" t="inlineStr">
        <is>
          <t>HPC</t>
        </is>
      </c>
      <c r="B760" t="inlineStr">
        <is>
          <t>Polymer</t>
        </is>
      </c>
      <c r="C760" t="inlineStr">
        <is>
          <t>mw_range</t>
        </is>
      </c>
      <c r="D760" t="inlineStr">
        <is>
          <t>critical for polymers</t>
        </is>
      </c>
      <c r="E760" t="inlineStr">
        <is>
          <t>supplier CoA/GPC/SEC</t>
        </is>
      </c>
      <c r="F760" t="inlineStr">
        <is>
          <t>prefer_experimental_or_supplier</t>
        </is>
      </c>
      <c r="G760" t="inlineStr">
        <is>
          <t>P1</t>
        </is>
      </c>
    </row>
    <row r="761">
      <c r="A761" t="inlineStr">
        <is>
          <t>HPC</t>
        </is>
      </c>
      <c r="B761" t="inlineStr">
        <is>
          <t>Polymer</t>
        </is>
      </c>
      <c r="C761" t="inlineStr">
        <is>
          <t>Tm_C</t>
        </is>
      </c>
      <c r="D761" t="inlineStr">
        <is>
          <t>medium</t>
        </is>
      </c>
      <c r="E761" t="inlineStr">
        <is>
          <t>supplier CoA, pharmacopeial monograph, PubChem/LIPID MAPS, or targeted literature curation</t>
        </is>
      </c>
      <c r="F761" t="inlineStr">
        <is>
          <t>prefer_experimental_or_supplier</t>
        </is>
      </c>
      <c r="G761" t="inlineStr">
        <is>
          <t>P3</t>
        </is>
      </c>
    </row>
    <row r="762">
      <c r="A762" t="inlineStr">
        <is>
          <t>HPC</t>
        </is>
      </c>
      <c r="B762" t="inlineStr">
        <is>
          <t>Polymer</t>
        </is>
      </c>
      <c r="C762" t="inlineStr">
        <is>
          <t>pKa</t>
        </is>
      </c>
      <c r="D762" t="inlineStr">
        <is>
          <t>medium</t>
        </is>
      </c>
      <c r="E762" t="inlineStr">
        <is>
          <t>supplier CoA, pharmacopeial monograph, PubChem/LIPID MAPS, or targeted literature curation</t>
        </is>
      </c>
      <c r="F762" t="inlineStr">
        <is>
          <t>prefer_experimental_or_supplier</t>
        </is>
      </c>
      <c r="G762" t="inlineStr">
        <is>
          <t>P3</t>
        </is>
      </c>
    </row>
    <row r="763">
      <c r="A763" t="inlineStr">
        <is>
          <t>HPC</t>
        </is>
      </c>
      <c r="B763" t="inlineStr">
        <is>
          <t>Polymer</t>
        </is>
      </c>
      <c r="C763" t="inlineStr">
        <is>
          <t>charge_density</t>
        </is>
      </c>
      <c r="D763" t="inlineStr">
        <is>
          <t>high for charged polymers</t>
        </is>
      </c>
      <c r="E763" t="inlineStr">
        <is>
          <t>titration, degree of substitution/deacetylation, or supplier CoA</t>
        </is>
      </c>
      <c r="F763" t="inlineStr">
        <is>
          <t>prefer_experimental_or_supplier</t>
        </is>
      </c>
      <c r="G763" t="inlineStr">
        <is>
          <t>P3</t>
        </is>
      </c>
    </row>
    <row r="764">
      <c r="A764" t="inlineStr">
        <is>
          <t>HPC</t>
        </is>
      </c>
      <c r="B764" t="inlineStr">
        <is>
          <t>Polymer</t>
        </is>
      </c>
      <c r="C764" t="inlineStr">
        <is>
          <t>repeat_unit_molar_volume</t>
        </is>
      </c>
      <c r="D764" t="inlineStr">
        <is>
          <t>medium</t>
        </is>
      </c>
      <c r="E764" t="inlineStr">
        <is>
          <t>supplier CoA, pharmacopeial monograph, PubChem/LIPID MAPS, or targeted literature curation</t>
        </is>
      </c>
      <c r="F764" t="inlineStr">
        <is>
          <t>prefer_experimental_or_supplier</t>
        </is>
      </c>
      <c r="G764" t="inlineStr">
        <is>
          <t>P3</t>
        </is>
      </c>
    </row>
    <row r="765">
      <c r="A765" t="inlineStr">
        <is>
          <t>CMC</t>
        </is>
      </c>
      <c r="B765" t="inlineStr">
        <is>
          <t>Polymer</t>
        </is>
      </c>
      <c r="C765" t="inlineStr">
        <is>
          <t>repeat_unit_mw_g_mol</t>
        </is>
      </c>
      <c r="D765" t="inlineStr">
        <is>
          <t>medium</t>
        </is>
      </c>
      <c r="E765" t="inlineStr">
        <is>
          <t>supplier CoA, pharmacopeial monograph, PubChem/LIPID MAPS, or targeted literature curation</t>
        </is>
      </c>
      <c r="F765" t="inlineStr">
        <is>
          <t>prefer_experimental_or_supplier</t>
        </is>
      </c>
      <c r="G765" t="inlineStr">
        <is>
          <t>P3</t>
        </is>
      </c>
    </row>
    <row r="766">
      <c r="A766" t="inlineStr">
        <is>
          <t>CMC</t>
        </is>
      </c>
      <c r="B766" t="inlineStr">
        <is>
          <t>Polymer</t>
        </is>
      </c>
      <c r="C766" t="inlineStr">
        <is>
          <t>mw_range</t>
        </is>
      </c>
      <c r="D766" t="inlineStr">
        <is>
          <t>critical for polymers</t>
        </is>
      </c>
      <c r="E766" t="inlineStr">
        <is>
          <t>supplier CoA/GPC/SEC</t>
        </is>
      </c>
      <c r="F766" t="inlineStr">
        <is>
          <t>prefer_experimental_or_supplier</t>
        </is>
      </c>
      <c r="G766" t="inlineStr">
        <is>
          <t>P1</t>
        </is>
      </c>
    </row>
    <row r="767">
      <c r="A767" t="inlineStr">
        <is>
          <t>CMC</t>
        </is>
      </c>
      <c r="B767" t="inlineStr">
        <is>
          <t>Polymer</t>
        </is>
      </c>
      <c r="C767" t="inlineStr">
        <is>
          <t>Tg_C</t>
        </is>
      </c>
      <c r="D767" t="inlineStr">
        <is>
          <t>high for polymers/carriers</t>
        </is>
      </c>
      <c r="E767" t="inlineStr">
        <is>
          <t>DSC on specific polymer grade and residual moisture</t>
        </is>
      </c>
      <c r="F767" t="inlineStr">
        <is>
          <t>prefer_experimental_or_supplier</t>
        </is>
      </c>
      <c r="G767" t="inlineStr">
        <is>
          <t>P2</t>
        </is>
      </c>
    </row>
    <row r="768">
      <c r="A768" t="inlineStr">
        <is>
          <t>CMC</t>
        </is>
      </c>
      <c r="B768" t="inlineStr">
        <is>
          <t>Polymer</t>
        </is>
      </c>
      <c r="C768" t="inlineStr">
        <is>
          <t>Tm_C</t>
        </is>
      </c>
      <c r="D768" t="inlineStr">
        <is>
          <t>medium</t>
        </is>
      </c>
      <c r="E768" t="inlineStr">
        <is>
          <t>supplier CoA, pharmacopeial monograph, PubChem/LIPID MAPS, or targeted literature curation</t>
        </is>
      </c>
      <c r="F768" t="inlineStr">
        <is>
          <t>prefer_experimental_or_supplier</t>
        </is>
      </c>
      <c r="G768" t="inlineStr">
        <is>
          <t>P3</t>
        </is>
      </c>
    </row>
    <row r="769">
      <c r="A769" t="inlineStr">
        <is>
          <t>CMC</t>
        </is>
      </c>
      <c r="B769" t="inlineStr">
        <is>
          <t>Polymer</t>
        </is>
      </c>
      <c r="C769" t="inlineStr">
        <is>
          <t>formal_charge</t>
        </is>
      </c>
      <c r="D769" t="inlineStr">
        <is>
          <t>medium</t>
        </is>
      </c>
      <c r="E769" t="inlineStr">
        <is>
          <t>supplier CoA, pharmacopeial monograph, PubChem/LIPID MAPS, or targeted literature curation</t>
        </is>
      </c>
      <c r="F769" t="inlineStr">
        <is>
          <t>prefer_experimental_or_supplier</t>
        </is>
      </c>
      <c r="G769" t="inlineStr">
        <is>
          <t>P3</t>
        </is>
      </c>
    </row>
    <row r="770">
      <c r="A770" t="inlineStr">
        <is>
          <t>CMC</t>
        </is>
      </c>
      <c r="B770" t="inlineStr">
        <is>
          <t>Polymer</t>
        </is>
      </c>
      <c r="C770" t="inlineStr">
        <is>
          <t>repeat_unit_molar_volume</t>
        </is>
      </c>
      <c r="D770" t="inlineStr">
        <is>
          <t>medium</t>
        </is>
      </c>
      <c r="E770" t="inlineStr">
        <is>
          <t>supplier CoA, pharmacopeial monograph, PubChem/LIPID MAPS, or targeted literature curation</t>
        </is>
      </c>
      <c r="F770" t="inlineStr">
        <is>
          <t>prefer_experimental_or_supplier</t>
        </is>
      </c>
      <c r="G770" t="inlineStr">
        <is>
          <t>P3</t>
        </is>
      </c>
    </row>
    <row r="771">
      <c r="A771" t="inlineStr">
        <is>
          <t>CMC</t>
        </is>
      </c>
      <c r="B771" t="inlineStr">
        <is>
          <t>Polymer</t>
        </is>
      </c>
      <c r="C771" t="inlineStr">
        <is>
          <t>stabilizer_role</t>
        </is>
      </c>
      <c r="D771" t="inlineStr">
        <is>
          <t>medium</t>
        </is>
      </c>
      <c r="E771" t="inlineStr">
        <is>
          <t>supplier CoA, pharmacopeial monograph, PubChem/LIPID MAPS, or targeted literature curation</t>
        </is>
      </c>
      <c r="F771" t="inlineStr">
        <is>
          <t>prefer_experimental_or_supplier</t>
        </is>
      </c>
      <c r="G771" t="inlineStr">
        <is>
          <t>P3</t>
        </is>
      </c>
    </row>
    <row r="772">
      <c r="A772" t="inlineStr">
        <is>
          <t>Sodium CMC</t>
        </is>
      </c>
      <c r="B772" t="inlineStr">
        <is>
          <t>Polymer</t>
        </is>
      </c>
      <c r="C772" t="inlineStr">
        <is>
          <t>repeat_unit_mw_g_mol</t>
        </is>
      </c>
      <c r="D772" t="inlineStr">
        <is>
          <t>medium</t>
        </is>
      </c>
      <c r="E772" t="inlineStr">
        <is>
          <t>supplier CoA, pharmacopeial monograph, PubChem/LIPID MAPS, or targeted literature curation</t>
        </is>
      </c>
      <c r="F772" t="inlineStr">
        <is>
          <t>prefer_experimental_or_supplier</t>
        </is>
      </c>
      <c r="G772" t="inlineStr">
        <is>
          <t>P3</t>
        </is>
      </c>
    </row>
    <row r="773">
      <c r="A773" t="inlineStr">
        <is>
          <t>Sodium CMC</t>
        </is>
      </c>
      <c r="B773" t="inlineStr">
        <is>
          <t>Polymer</t>
        </is>
      </c>
      <c r="C773" t="inlineStr">
        <is>
          <t>mw_range</t>
        </is>
      </c>
      <c r="D773" t="inlineStr">
        <is>
          <t>critical for polymers</t>
        </is>
      </c>
      <c r="E773" t="inlineStr">
        <is>
          <t>supplier CoA/GPC/SEC</t>
        </is>
      </c>
      <c r="F773" t="inlineStr">
        <is>
          <t>prefer_experimental_or_supplier</t>
        </is>
      </c>
      <c r="G773" t="inlineStr">
        <is>
          <t>P1</t>
        </is>
      </c>
    </row>
    <row r="774">
      <c r="A774" t="inlineStr">
        <is>
          <t>Sodium CMC</t>
        </is>
      </c>
      <c r="B774" t="inlineStr">
        <is>
          <t>Polymer</t>
        </is>
      </c>
      <c r="C774" t="inlineStr">
        <is>
          <t>Tg_C</t>
        </is>
      </c>
      <c r="D774" t="inlineStr">
        <is>
          <t>high for polymers/carriers</t>
        </is>
      </c>
      <c r="E774" t="inlineStr">
        <is>
          <t>DSC on specific polymer grade and residual moisture</t>
        </is>
      </c>
      <c r="F774" t="inlineStr">
        <is>
          <t>prefer_experimental_or_supplier</t>
        </is>
      </c>
      <c r="G774" t="inlineStr">
        <is>
          <t>P2</t>
        </is>
      </c>
    </row>
    <row r="775">
      <c r="A775" t="inlineStr">
        <is>
          <t>Sodium CMC</t>
        </is>
      </c>
      <c r="B775" t="inlineStr">
        <is>
          <t>Polymer</t>
        </is>
      </c>
      <c r="C775" t="inlineStr">
        <is>
          <t>Tm_C</t>
        </is>
      </c>
      <c r="D775" t="inlineStr">
        <is>
          <t>medium</t>
        </is>
      </c>
      <c r="E775" t="inlineStr">
        <is>
          <t>supplier CoA, pharmacopeial monograph, PubChem/LIPID MAPS, or targeted literature curation</t>
        </is>
      </c>
      <c r="F775" t="inlineStr">
        <is>
          <t>prefer_experimental_or_supplier</t>
        </is>
      </c>
      <c r="G775" t="inlineStr">
        <is>
          <t>P3</t>
        </is>
      </c>
    </row>
    <row r="776">
      <c r="A776" t="inlineStr">
        <is>
          <t>Sodium CMC</t>
        </is>
      </c>
      <c r="B776" t="inlineStr">
        <is>
          <t>Polymer</t>
        </is>
      </c>
      <c r="C776" t="inlineStr">
        <is>
          <t>formal_charge</t>
        </is>
      </c>
      <c r="D776" t="inlineStr">
        <is>
          <t>medium</t>
        </is>
      </c>
      <c r="E776" t="inlineStr">
        <is>
          <t>supplier CoA, pharmacopeial monograph, PubChem/LIPID MAPS, or targeted literature curation</t>
        </is>
      </c>
      <c r="F776" t="inlineStr">
        <is>
          <t>prefer_experimental_or_supplier</t>
        </is>
      </c>
      <c r="G776" t="inlineStr">
        <is>
          <t>P3</t>
        </is>
      </c>
    </row>
    <row r="777">
      <c r="A777" t="inlineStr">
        <is>
          <t>Sodium CMC</t>
        </is>
      </c>
      <c r="B777" t="inlineStr">
        <is>
          <t>Polymer</t>
        </is>
      </c>
      <c r="C777" t="inlineStr">
        <is>
          <t>repeat_unit_molar_volume</t>
        </is>
      </c>
      <c r="D777" t="inlineStr">
        <is>
          <t>medium</t>
        </is>
      </c>
      <c r="E777" t="inlineStr">
        <is>
          <t>supplier CoA, pharmacopeial monograph, PubChem/LIPID MAPS, or targeted literature curation</t>
        </is>
      </c>
      <c r="F777" t="inlineStr">
        <is>
          <t>prefer_experimental_or_supplier</t>
        </is>
      </c>
      <c r="G777" t="inlineStr">
        <is>
          <t>P3</t>
        </is>
      </c>
    </row>
    <row r="778">
      <c r="A778" t="inlineStr">
        <is>
          <t>Sodium CMC</t>
        </is>
      </c>
      <c r="B778" t="inlineStr">
        <is>
          <t>Polymer</t>
        </is>
      </c>
      <c r="C778" t="inlineStr">
        <is>
          <t>stabilizer_role</t>
        </is>
      </c>
      <c r="D778" t="inlineStr">
        <is>
          <t>medium</t>
        </is>
      </c>
      <c r="E778" t="inlineStr">
        <is>
          <t>supplier CoA, pharmacopeial monograph, PubChem/LIPID MAPS, or targeted literature curation</t>
        </is>
      </c>
      <c r="F778" t="inlineStr">
        <is>
          <t>prefer_experimental_or_supplier</t>
        </is>
      </c>
      <c r="G778" t="inlineStr">
        <is>
          <t>P3</t>
        </is>
      </c>
    </row>
    <row r="779">
      <c r="A779" t="inlineStr">
        <is>
          <t>Chitosan low MW</t>
        </is>
      </c>
      <c r="B779" t="inlineStr">
        <is>
          <t>Polymer</t>
        </is>
      </c>
      <c r="C779" t="inlineStr">
        <is>
          <t>repeat_unit_mw_g_mol</t>
        </is>
      </c>
      <c r="D779" t="inlineStr">
        <is>
          <t>medium</t>
        </is>
      </c>
      <c r="E779" t="inlineStr">
        <is>
          <t>supplier CoA, pharmacopeial monograph, PubChem/LIPID MAPS, or targeted literature curation</t>
        </is>
      </c>
      <c r="F779" t="inlineStr">
        <is>
          <t>prefer_experimental_or_supplier</t>
        </is>
      </c>
      <c r="G779" t="inlineStr">
        <is>
          <t>P3</t>
        </is>
      </c>
    </row>
    <row r="780">
      <c r="A780" t="inlineStr">
        <is>
          <t>Chitosan low MW</t>
        </is>
      </c>
      <c r="B780" t="inlineStr">
        <is>
          <t>Polymer</t>
        </is>
      </c>
      <c r="C780" t="inlineStr">
        <is>
          <t>mw_range</t>
        </is>
      </c>
      <c r="D780" t="inlineStr">
        <is>
          <t>critical for polymers</t>
        </is>
      </c>
      <c r="E780" t="inlineStr">
        <is>
          <t>supplier CoA/GPC/SEC</t>
        </is>
      </c>
      <c r="F780" t="inlineStr">
        <is>
          <t>prefer_experimental_or_supplier</t>
        </is>
      </c>
      <c r="G780" t="inlineStr">
        <is>
          <t>P1</t>
        </is>
      </c>
    </row>
    <row r="781">
      <c r="A781" t="inlineStr">
        <is>
          <t>Chitosan low MW</t>
        </is>
      </c>
      <c r="B781" t="inlineStr">
        <is>
          <t>Polymer</t>
        </is>
      </c>
      <c r="C781" t="inlineStr">
        <is>
          <t>Tg_C</t>
        </is>
      </c>
      <c r="D781" t="inlineStr">
        <is>
          <t>high for polymers/carriers</t>
        </is>
      </c>
      <c r="E781" t="inlineStr">
        <is>
          <t>DSC on specific polymer grade and residual moisture</t>
        </is>
      </c>
      <c r="F781" t="inlineStr">
        <is>
          <t>prefer_experimental_or_supplier</t>
        </is>
      </c>
      <c r="G781" t="inlineStr">
        <is>
          <t>P2</t>
        </is>
      </c>
    </row>
    <row r="782">
      <c r="A782" t="inlineStr">
        <is>
          <t>Chitosan low MW</t>
        </is>
      </c>
      <c r="B782" t="inlineStr">
        <is>
          <t>Polymer</t>
        </is>
      </c>
      <c r="C782" t="inlineStr">
        <is>
          <t>repeat_unit_molar_volume</t>
        </is>
      </c>
      <c r="D782" t="inlineStr">
        <is>
          <t>medium</t>
        </is>
      </c>
      <c r="E782" t="inlineStr">
        <is>
          <t>supplier CoA, pharmacopeial monograph, PubChem/LIPID MAPS, or targeted literature curation</t>
        </is>
      </c>
      <c r="F782" t="inlineStr">
        <is>
          <t>prefer_experimental_or_supplier</t>
        </is>
      </c>
      <c r="G782" t="inlineStr">
        <is>
          <t>P3</t>
        </is>
      </c>
    </row>
    <row r="783">
      <c r="A783" t="inlineStr">
        <is>
          <t>Chitosan medium MW</t>
        </is>
      </c>
      <c r="B783" t="inlineStr">
        <is>
          <t>Polymer</t>
        </is>
      </c>
      <c r="C783" t="inlineStr">
        <is>
          <t>repeat_unit_mw_g_mol</t>
        </is>
      </c>
      <c r="D783" t="inlineStr">
        <is>
          <t>medium</t>
        </is>
      </c>
      <c r="E783" t="inlineStr">
        <is>
          <t>supplier CoA, pharmacopeial monograph, PubChem/LIPID MAPS, or targeted literature curation</t>
        </is>
      </c>
      <c r="F783" t="inlineStr">
        <is>
          <t>prefer_experimental_or_supplier</t>
        </is>
      </c>
      <c r="G783" t="inlineStr">
        <is>
          <t>P3</t>
        </is>
      </c>
    </row>
    <row r="784">
      <c r="A784" t="inlineStr">
        <is>
          <t>Chitosan medium MW</t>
        </is>
      </c>
      <c r="B784" t="inlineStr">
        <is>
          <t>Polymer</t>
        </is>
      </c>
      <c r="C784" t="inlineStr">
        <is>
          <t>mw_range</t>
        </is>
      </c>
      <c r="D784" t="inlineStr">
        <is>
          <t>critical for polymers</t>
        </is>
      </c>
      <c r="E784" t="inlineStr">
        <is>
          <t>supplier CoA/GPC/SEC</t>
        </is>
      </c>
      <c r="F784" t="inlineStr">
        <is>
          <t>prefer_experimental_or_supplier</t>
        </is>
      </c>
      <c r="G784" t="inlineStr">
        <is>
          <t>P1</t>
        </is>
      </c>
    </row>
    <row r="785">
      <c r="A785" t="inlineStr">
        <is>
          <t>Chitosan medium MW</t>
        </is>
      </c>
      <c r="B785" t="inlineStr">
        <is>
          <t>Polymer</t>
        </is>
      </c>
      <c r="C785" t="inlineStr">
        <is>
          <t>Tg_C</t>
        </is>
      </c>
      <c r="D785" t="inlineStr">
        <is>
          <t>high for polymers/carriers</t>
        </is>
      </c>
      <c r="E785" t="inlineStr">
        <is>
          <t>DSC on specific polymer grade and residual moisture</t>
        </is>
      </c>
      <c r="F785" t="inlineStr">
        <is>
          <t>prefer_experimental_or_supplier</t>
        </is>
      </c>
      <c r="G785" t="inlineStr">
        <is>
          <t>P2</t>
        </is>
      </c>
    </row>
    <row r="786">
      <c r="A786" t="inlineStr">
        <is>
          <t>Chitosan medium MW</t>
        </is>
      </c>
      <c r="B786" t="inlineStr">
        <is>
          <t>Polymer</t>
        </is>
      </c>
      <c r="C786" t="inlineStr">
        <is>
          <t>repeat_unit_molar_volume</t>
        </is>
      </c>
      <c r="D786" t="inlineStr">
        <is>
          <t>medium</t>
        </is>
      </c>
      <c r="E786" t="inlineStr">
        <is>
          <t>supplier CoA, pharmacopeial monograph, PubChem/LIPID MAPS, or targeted literature curation</t>
        </is>
      </c>
      <c r="F786" t="inlineStr">
        <is>
          <t>prefer_experimental_or_supplier</t>
        </is>
      </c>
      <c r="G786" t="inlineStr">
        <is>
          <t>P3</t>
        </is>
      </c>
    </row>
    <row r="787">
      <c r="A787" t="inlineStr">
        <is>
          <t>Chitosan high MW</t>
        </is>
      </c>
      <c r="B787" t="inlineStr">
        <is>
          <t>Polymer</t>
        </is>
      </c>
      <c r="C787" t="inlineStr">
        <is>
          <t>repeat_unit_mw_g_mol</t>
        </is>
      </c>
      <c r="D787" t="inlineStr">
        <is>
          <t>medium</t>
        </is>
      </c>
      <c r="E787" t="inlineStr">
        <is>
          <t>supplier CoA, pharmacopeial monograph, PubChem/LIPID MAPS, or targeted literature curation</t>
        </is>
      </c>
      <c r="F787" t="inlineStr">
        <is>
          <t>prefer_experimental_or_supplier</t>
        </is>
      </c>
      <c r="G787" t="inlineStr">
        <is>
          <t>P3</t>
        </is>
      </c>
    </row>
    <row r="788">
      <c r="A788" t="inlineStr">
        <is>
          <t>Chitosan high MW</t>
        </is>
      </c>
      <c r="B788" t="inlineStr">
        <is>
          <t>Polymer</t>
        </is>
      </c>
      <c r="C788" t="inlineStr">
        <is>
          <t>mw_range</t>
        </is>
      </c>
      <c r="D788" t="inlineStr">
        <is>
          <t>critical for polymers</t>
        </is>
      </c>
      <c r="E788" t="inlineStr">
        <is>
          <t>supplier CoA/GPC/SEC</t>
        </is>
      </c>
      <c r="F788" t="inlineStr">
        <is>
          <t>prefer_experimental_or_supplier</t>
        </is>
      </c>
      <c r="G788" t="inlineStr">
        <is>
          <t>P1</t>
        </is>
      </c>
    </row>
    <row r="789">
      <c r="A789" t="inlineStr">
        <is>
          <t>Chitosan high MW</t>
        </is>
      </c>
      <c r="B789" t="inlineStr">
        <is>
          <t>Polymer</t>
        </is>
      </c>
      <c r="C789" t="inlineStr">
        <is>
          <t>Tg_C</t>
        </is>
      </c>
      <c r="D789" t="inlineStr">
        <is>
          <t>high for polymers/carriers</t>
        </is>
      </c>
      <c r="E789" t="inlineStr">
        <is>
          <t>DSC on specific polymer grade and residual moisture</t>
        </is>
      </c>
      <c r="F789" t="inlineStr">
        <is>
          <t>prefer_experimental_or_supplier</t>
        </is>
      </c>
      <c r="G789" t="inlineStr">
        <is>
          <t>P2</t>
        </is>
      </c>
    </row>
    <row r="790">
      <c r="A790" t="inlineStr">
        <is>
          <t>Chitosan high MW</t>
        </is>
      </c>
      <c r="B790" t="inlineStr">
        <is>
          <t>Polymer</t>
        </is>
      </c>
      <c r="C790" t="inlineStr">
        <is>
          <t>repeat_unit_molar_volume</t>
        </is>
      </c>
      <c r="D790" t="inlineStr">
        <is>
          <t>medium</t>
        </is>
      </c>
      <c r="E790" t="inlineStr">
        <is>
          <t>supplier CoA, pharmacopeial monograph, PubChem/LIPID MAPS, or targeted literature curation</t>
        </is>
      </c>
      <c r="F790" t="inlineStr">
        <is>
          <t>prefer_experimental_or_supplier</t>
        </is>
      </c>
      <c r="G790" t="inlineStr">
        <is>
          <t>P3</t>
        </is>
      </c>
    </row>
    <row r="791">
      <c r="A791" t="inlineStr">
        <is>
          <t>Trimethyl chitosan</t>
        </is>
      </c>
      <c r="B791" t="inlineStr">
        <is>
          <t>Polymer</t>
        </is>
      </c>
      <c r="C791" t="inlineStr">
        <is>
          <t>repeat_unit_mw_g_mol</t>
        </is>
      </c>
      <c r="D791" t="inlineStr">
        <is>
          <t>medium</t>
        </is>
      </c>
      <c r="E791" t="inlineStr">
        <is>
          <t>supplier CoA, pharmacopeial monograph, PubChem/LIPID MAPS, or targeted literature curation</t>
        </is>
      </c>
      <c r="F791" t="inlineStr">
        <is>
          <t>prefer_experimental_or_supplier</t>
        </is>
      </c>
      <c r="G791" t="inlineStr">
        <is>
          <t>P3</t>
        </is>
      </c>
    </row>
    <row r="792">
      <c r="A792" t="inlineStr">
        <is>
          <t>Trimethyl chitosan</t>
        </is>
      </c>
      <c r="B792" t="inlineStr">
        <is>
          <t>Polymer</t>
        </is>
      </c>
      <c r="C792" t="inlineStr">
        <is>
          <t>mw_range</t>
        </is>
      </c>
      <c r="D792" t="inlineStr">
        <is>
          <t>critical for polymers</t>
        </is>
      </c>
      <c r="E792" t="inlineStr">
        <is>
          <t>supplier CoA/GPC/SEC</t>
        </is>
      </c>
      <c r="F792" t="inlineStr">
        <is>
          <t>prefer_experimental_or_supplier</t>
        </is>
      </c>
      <c r="G792" t="inlineStr">
        <is>
          <t>P1</t>
        </is>
      </c>
    </row>
    <row r="793">
      <c r="A793" t="inlineStr">
        <is>
          <t>Trimethyl chitosan</t>
        </is>
      </c>
      <c r="B793" t="inlineStr">
        <is>
          <t>Polymer</t>
        </is>
      </c>
      <c r="C793" t="inlineStr">
        <is>
          <t>Tg_C</t>
        </is>
      </c>
      <c r="D793" t="inlineStr">
        <is>
          <t>high for polymers/carriers</t>
        </is>
      </c>
      <c r="E793" t="inlineStr">
        <is>
          <t>DSC on specific polymer grade and residual moisture</t>
        </is>
      </c>
      <c r="F793" t="inlineStr">
        <is>
          <t>prefer_experimental_or_supplier</t>
        </is>
      </c>
      <c r="G793" t="inlineStr">
        <is>
          <t>P2</t>
        </is>
      </c>
    </row>
    <row r="794">
      <c r="A794" t="inlineStr">
        <is>
          <t>Trimethyl chitosan</t>
        </is>
      </c>
      <c r="B794" t="inlineStr">
        <is>
          <t>Polymer</t>
        </is>
      </c>
      <c r="C794" t="inlineStr">
        <is>
          <t>pKa</t>
        </is>
      </c>
      <c r="D794" t="inlineStr">
        <is>
          <t>medium</t>
        </is>
      </c>
      <c r="E794" t="inlineStr">
        <is>
          <t>supplier CoA, pharmacopeial monograph, PubChem/LIPID MAPS, or targeted literature curation</t>
        </is>
      </c>
      <c r="F794" t="inlineStr">
        <is>
          <t>prefer_experimental_or_supplier</t>
        </is>
      </c>
      <c r="G794" t="inlineStr">
        <is>
          <t>P3</t>
        </is>
      </c>
    </row>
    <row r="795">
      <c r="A795" t="inlineStr">
        <is>
          <t>Trimethyl chitosan</t>
        </is>
      </c>
      <c r="B795" t="inlineStr">
        <is>
          <t>Polymer</t>
        </is>
      </c>
      <c r="C795" t="inlineStr">
        <is>
          <t>repeat_unit_molar_volume</t>
        </is>
      </c>
      <c r="D795" t="inlineStr">
        <is>
          <t>medium</t>
        </is>
      </c>
      <c r="E795" t="inlineStr">
        <is>
          <t>supplier CoA, pharmacopeial monograph, PubChem/LIPID MAPS, or targeted literature curation</t>
        </is>
      </c>
      <c r="F795" t="inlineStr">
        <is>
          <t>prefer_experimental_or_supplier</t>
        </is>
      </c>
      <c r="G795" t="inlineStr">
        <is>
          <t>P3</t>
        </is>
      </c>
    </row>
    <row r="796">
      <c r="A796" t="inlineStr">
        <is>
          <t>PEI low MW</t>
        </is>
      </c>
      <c r="B796" t="inlineStr">
        <is>
          <t>Polymer</t>
        </is>
      </c>
      <c r="C796" t="inlineStr">
        <is>
          <t>mw_range</t>
        </is>
      </c>
      <c r="D796" t="inlineStr">
        <is>
          <t>critical for polymers</t>
        </is>
      </c>
      <c r="E796" t="inlineStr">
        <is>
          <t>supplier CoA/GPC/SEC</t>
        </is>
      </c>
      <c r="F796" t="inlineStr">
        <is>
          <t>prefer_experimental_or_supplier</t>
        </is>
      </c>
      <c r="G796" t="inlineStr">
        <is>
          <t>P1</t>
        </is>
      </c>
    </row>
    <row r="797">
      <c r="A797" t="inlineStr">
        <is>
          <t>PEI low MW</t>
        </is>
      </c>
      <c r="B797" t="inlineStr">
        <is>
          <t>Polymer</t>
        </is>
      </c>
      <c r="C797" t="inlineStr">
        <is>
          <t>Tg_C</t>
        </is>
      </c>
      <c r="D797" t="inlineStr">
        <is>
          <t>high for polymers/carriers</t>
        </is>
      </c>
      <c r="E797" t="inlineStr">
        <is>
          <t>DSC on specific polymer grade and residual moisture</t>
        </is>
      </c>
      <c r="F797" t="inlineStr">
        <is>
          <t>prefer_experimental_or_supplier</t>
        </is>
      </c>
      <c r="G797" t="inlineStr">
        <is>
          <t>P2</t>
        </is>
      </c>
    </row>
    <row r="798">
      <c r="A798" t="inlineStr">
        <is>
          <t>PEI low MW</t>
        </is>
      </c>
      <c r="B798" t="inlineStr">
        <is>
          <t>Polymer</t>
        </is>
      </c>
      <c r="C798" t="inlineStr">
        <is>
          <t>Tm_C</t>
        </is>
      </c>
      <c r="D798" t="inlineStr">
        <is>
          <t>medium</t>
        </is>
      </c>
      <c r="E798" t="inlineStr">
        <is>
          <t>supplier CoA, pharmacopeial monograph, PubChem/LIPID MAPS, or targeted literature curation</t>
        </is>
      </c>
      <c r="F798" t="inlineStr">
        <is>
          <t>prefer_experimental_or_supplier</t>
        </is>
      </c>
      <c r="G798" t="inlineStr">
        <is>
          <t>P3</t>
        </is>
      </c>
    </row>
    <row r="799">
      <c r="A799" t="inlineStr">
        <is>
          <t>PEI high MW</t>
        </is>
      </c>
      <c r="B799" t="inlineStr">
        <is>
          <t>Polymer</t>
        </is>
      </c>
      <c r="C799" t="inlineStr">
        <is>
          <t>mw_range</t>
        </is>
      </c>
      <c r="D799" t="inlineStr">
        <is>
          <t>critical for polymers</t>
        </is>
      </c>
      <c r="E799" t="inlineStr">
        <is>
          <t>supplier CoA/GPC/SEC</t>
        </is>
      </c>
      <c r="F799" t="inlineStr">
        <is>
          <t>prefer_experimental_or_supplier</t>
        </is>
      </c>
      <c r="G799" t="inlineStr">
        <is>
          <t>P1</t>
        </is>
      </c>
    </row>
    <row r="800">
      <c r="A800" t="inlineStr">
        <is>
          <t>PEI high MW</t>
        </is>
      </c>
      <c r="B800" t="inlineStr">
        <is>
          <t>Polymer</t>
        </is>
      </c>
      <c r="C800" t="inlineStr">
        <is>
          <t>Tg_C</t>
        </is>
      </c>
      <c r="D800" t="inlineStr">
        <is>
          <t>high for polymers/carriers</t>
        </is>
      </c>
      <c r="E800" t="inlineStr">
        <is>
          <t>DSC on specific polymer grade and residual moisture</t>
        </is>
      </c>
      <c r="F800" t="inlineStr">
        <is>
          <t>prefer_experimental_or_supplier</t>
        </is>
      </c>
      <c r="G800" t="inlineStr">
        <is>
          <t>P2</t>
        </is>
      </c>
    </row>
    <row r="801">
      <c r="A801" t="inlineStr">
        <is>
          <t>PEI high MW</t>
        </is>
      </c>
      <c r="B801" t="inlineStr">
        <is>
          <t>Polymer</t>
        </is>
      </c>
      <c r="C801" t="inlineStr">
        <is>
          <t>Tm_C</t>
        </is>
      </c>
      <c r="D801" t="inlineStr">
        <is>
          <t>medium</t>
        </is>
      </c>
      <c r="E801" t="inlineStr">
        <is>
          <t>supplier CoA, pharmacopeial monograph, PubChem/LIPID MAPS, or targeted literature curation</t>
        </is>
      </c>
      <c r="F801" t="inlineStr">
        <is>
          <t>prefer_experimental_or_supplier</t>
        </is>
      </c>
      <c r="G801" t="inlineStr">
        <is>
          <t>P3</t>
        </is>
      </c>
    </row>
    <row r="802">
      <c r="A802" t="inlineStr">
        <is>
          <t>Hyaluronic acid</t>
        </is>
      </c>
      <c r="B802" t="inlineStr">
        <is>
          <t>Polymer</t>
        </is>
      </c>
      <c r="C802" t="inlineStr">
        <is>
          <t>repeat_unit_mw_g_mol</t>
        </is>
      </c>
      <c r="D802" t="inlineStr">
        <is>
          <t>medium</t>
        </is>
      </c>
      <c r="E802" t="inlineStr">
        <is>
          <t>supplier CoA, pharmacopeial monograph, PubChem/LIPID MAPS, or targeted literature curation</t>
        </is>
      </c>
      <c r="F802" t="inlineStr">
        <is>
          <t>prefer_experimental_or_supplier</t>
        </is>
      </c>
      <c r="G802" t="inlineStr">
        <is>
          <t>P3</t>
        </is>
      </c>
    </row>
    <row r="803">
      <c r="A803" t="inlineStr">
        <is>
          <t>Hyaluronic acid</t>
        </is>
      </c>
      <c r="B803" t="inlineStr">
        <is>
          <t>Polymer</t>
        </is>
      </c>
      <c r="C803" t="inlineStr">
        <is>
          <t>mw_range</t>
        </is>
      </c>
      <c r="D803" t="inlineStr">
        <is>
          <t>critical for polymers</t>
        </is>
      </c>
      <c r="E803" t="inlineStr">
        <is>
          <t>supplier CoA/GPC/SEC</t>
        </is>
      </c>
      <c r="F803" t="inlineStr">
        <is>
          <t>prefer_experimental_or_supplier</t>
        </is>
      </c>
      <c r="G803" t="inlineStr">
        <is>
          <t>P1</t>
        </is>
      </c>
    </row>
    <row r="804">
      <c r="A804" t="inlineStr">
        <is>
          <t>Hyaluronic acid</t>
        </is>
      </c>
      <c r="B804" t="inlineStr">
        <is>
          <t>Polymer</t>
        </is>
      </c>
      <c r="C804" t="inlineStr">
        <is>
          <t>Tg_C</t>
        </is>
      </c>
      <c r="D804" t="inlineStr">
        <is>
          <t>high for polymers/carriers</t>
        </is>
      </c>
      <c r="E804" t="inlineStr">
        <is>
          <t>DSC on specific polymer grade and residual moisture</t>
        </is>
      </c>
      <c r="F804" t="inlineStr">
        <is>
          <t>prefer_experimental_or_supplier</t>
        </is>
      </c>
      <c r="G804" t="inlineStr">
        <is>
          <t>P2</t>
        </is>
      </c>
    </row>
    <row r="805">
      <c r="A805" t="inlineStr">
        <is>
          <t>Hyaluronic acid</t>
        </is>
      </c>
      <c r="B805" t="inlineStr">
        <is>
          <t>Polymer</t>
        </is>
      </c>
      <c r="C805" t="inlineStr">
        <is>
          <t>repeat_unit_molar_volume</t>
        </is>
      </c>
      <c r="D805" t="inlineStr">
        <is>
          <t>medium</t>
        </is>
      </c>
      <c r="E805" t="inlineStr">
        <is>
          <t>supplier CoA, pharmacopeial monograph, PubChem/LIPID MAPS, or targeted literature curation</t>
        </is>
      </c>
      <c r="F805" t="inlineStr">
        <is>
          <t>prefer_experimental_or_supplier</t>
        </is>
      </c>
      <c r="G805" t="inlineStr">
        <is>
          <t>P3</t>
        </is>
      </c>
    </row>
    <row r="806">
      <c r="A806" t="inlineStr">
        <is>
          <t>Hyaluronic acid</t>
        </is>
      </c>
      <c r="B806" t="inlineStr">
        <is>
          <t>Polymer</t>
        </is>
      </c>
      <c r="C806" t="inlineStr">
        <is>
          <t>stabilizer_role</t>
        </is>
      </c>
      <c r="D806" t="inlineStr">
        <is>
          <t>medium</t>
        </is>
      </c>
      <c r="E806" t="inlineStr">
        <is>
          <t>supplier CoA, pharmacopeial monograph, PubChem/LIPID MAPS, or targeted literature curation</t>
        </is>
      </c>
      <c r="F806" t="inlineStr">
        <is>
          <t>prefer_experimental_or_supplier</t>
        </is>
      </c>
      <c r="G806" t="inlineStr">
        <is>
          <t>P3</t>
        </is>
      </c>
    </row>
    <row r="807">
      <c r="A807" t="inlineStr">
        <is>
          <t>Sodium alginate</t>
        </is>
      </c>
      <c r="B807" t="inlineStr">
        <is>
          <t>Polymer</t>
        </is>
      </c>
      <c r="C807" t="inlineStr">
        <is>
          <t>repeat_unit_mw_g_mol</t>
        </is>
      </c>
      <c r="D807" t="inlineStr">
        <is>
          <t>medium</t>
        </is>
      </c>
      <c r="E807" t="inlineStr">
        <is>
          <t>supplier CoA, pharmacopeial monograph, PubChem/LIPID MAPS, or targeted literature curation</t>
        </is>
      </c>
      <c r="F807" t="inlineStr">
        <is>
          <t>prefer_experimental_or_supplier</t>
        </is>
      </c>
      <c r="G807" t="inlineStr">
        <is>
          <t>P3</t>
        </is>
      </c>
    </row>
    <row r="808">
      <c r="A808" t="inlineStr">
        <is>
          <t>Sodium alginate</t>
        </is>
      </c>
      <c r="B808" t="inlineStr">
        <is>
          <t>Polymer</t>
        </is>
      </c>
      <c r="C808" t="inlineStr">
        <is>
          <t>mw_range</t>
        </is>
      </c>
      <c r="D808" t="inlineStr">
        <is>
          <t>critical for polymers</t>
        </is>
      </c>
      <c r="E808" t="inlineStr">
        <is>
          <t>supplier CoA/GPC/SEC</t>
        </is>
      </c>
      <c r="F808" t="inlineStr">
        <is>
          <t>prefer_experimental_or_supplier</t>
        </is>
      </c>
      <c r="G808" t="inlineStr">
        <is>
          <t>P1</t>
        </is>
      </c>
    </row>
    <row r="809">
      <c r="A809" t="inlineStr">
        <is>
          <t>Sodium alginate</t>
        </is>
      </c>
      <c r="B809" t="inlineStr">
        <is>
          <t>Polymer</t>
        </is>
      </c>
      <c r="C809" t="inlineStr">
        <is>
          <t>Tg_C</t>
        </is>
      </c>
      <c r="D809" t="inlineStr">
        <is>
          <t>high for polymers/carriers</t>
        </is>
      </c>
      <c r="E809" t="inlineStr">
        <is>
          <t>DSC on specific polymer grade and residual moisture</t>
        </is>
      </c>
      <c r="F809" t="inlineStr">
        <is>
          <t>prefer_experimental_or_supplier</t>
        </is>
      </c>
      <c r="G809" t="inlineStr">
        <is>
          <t>P2</t>
        </is>
      </c>
    </row>
    <row r="810">
      <c r="A810" t="inlineStr">
        <is>
          <t>Sodium alginate</t>
        </is>
      </c>
      <c r="B810" t="inlineStr">
        <is>
          <t>Polymer</t>
        </is>
      </c>
      <c r="C810" t="inlineStr">
        <is>
          <t>repeat_unit_molar_volume</t>
        </is>
      </c>
      <c r="D810" t="inlineStr">
        <is>
          <t>medium</t>
        </is>
      </c>
      <c r="E810" t="inlineStr">
        <is>
          <t>supplier CoA, pharmacopeial monograph, PubChem/LIPID MAPS, or targeted literature curation</t>
        </is>
      </c>
      <c r="F810" t="inlineStr">
        <is>
          <t>prefer_experimental_or_supplier</t>
        </is>
      </c>
      <c r="G810" t="inlineStr">
        <is>
          <t>P3</t>
        </is>
      </c>
    </row>
    <row r="811">
      <c r="A811" t="inlineStr">
        <is>
          <t>Sodium alginate</t>
        </is>
      </c>
      <c r="B811" t="inlineStr">
        <is>
          <t>Polymer</t>
        </is>
      </c>
      <c r="C811" t="inlineStr">
        <is>
          <t>stabilizer_role</t>
        </is>
      </c>
      <c r="D811" t="inlineStr">
        <is>
          <t>medium</t>
        </is>
      </c>
      <c r="E811" t="inlineStr">
        <is>
          <t>supplier CoA, pharmacopeial monograph, PubChem/LIPID MAPS, or targeted literature curation</t>
        </is>
      </c>
      <c r="F811" t="inlineStr">
        <is>
          <t>prefer_experimental_or_supplier</t>
        </is>
      </c>
      <c r="G811" t="inlineStr">
        <is>
          <t>P3</t>
        </is>
      </c>
    </row>
    <row r="812">
      <c r="A812" t="inlineStr">
        <is>
          <t>Dextran</t>
        </is>
      </c>
      <c r="B812" t="inlineStr">
        <is>
          <t>Polymer</t>
        </is>
      </c>
      <c r="C812" t="inlineStr">
        <is>
          <t>repeat_unit_mw_g_mol</t>
        </is>
      </c>
      <c r="D812" t="inlineStr">
        <is>
          <t>medium</t>
        </is>
      </c>
      <c r="E812" t="inlineStr">
        <is>
          <t>supplier CoA, pharmacopeial monograph, PubChem/LIPID MAPS, or targeted literature curation</t>
        </is>
      </c>
      <c r="F812" t="inlineStr">
        <is>
          <t>prefer_experimental_or_supplier</t>
        </is>
      </c>
      <c r="G812" t="inlineStr">
        <is>
          <t>P3</t>
        </is>
      </c>
    </row>
    <row r="813">
      <c r="A813" t="inlineStr">
        <is>
          <t>Dextran</t>
        </is>
      </c>
      <c r="B813" t="inlineStr">
        <is>
          <t>Polymer</t>
        </is>
      </c>
      <c r="C813" t="inlineStr">
        <is>
          <t>mw_range</t>
        </is>
      </c>
      <c r="D813" t="inlineStr">
        <is>
          <t>critical for polymers</t>
        </is>
      </c>
      <c r="E813" t="inlineStr">
        <is>
          <t>supplier CoA/GPC/SEC</t>
        </is>
      </c>
      <c r="F813" t="inlineStr">
        <is>
          <t>prefer_experimental_or_supplier</t>
        </is>
      </c>
      <c r="G813" t="inlineStr">
        <is>
          <t>P1</t>
        </is>
      </c>
    </row>
    <row r="814">
      <c r="A814" t="inlineStr">
        <is>
          <t>Dextran</t>
        </is>
      </c>
      <c r="B814" t="inlineStr">
        <is>
          <t>Polymer</t>
        </is>
      </c>
      <c r="C814" t="inlineStr">
        <is>
          <t>Tg_C</t>
        </is>
      </c>
      <c r="D814" t="inlineStr">
        <is>
          <t>high for polymers/carriers</t>
        </is>
      </c>
      <c r="E814" t="inlineStr">
        <is>
          <t>DSC on specific polymer grade and residual moisture</t>
        </is>
      </c>
      <c r="F814" t="inlineStr">
        <is>
          <t>prefer_experimental_or_supplier</t>
        </is>
      </c>
      <c r="G814" t="inlineStr">
        <is>
          <t>P2</t>
        </is>
      </c>
    </row>
    <row r="815">
      <c r="A815" t="inlineStr">
        <is>
          <t>Dextran</t>
        </is>
      </c>
      <c r="B815" t="inlineStr">
        <is>
          <t>Polymer</t>
        </is>
      </c>
      <c r="C815" t="inlineStr">
        <is>
          <t>Tm_C</t>
        </is>
      </c>
      <c r="D815" t="inlineStr">
        <is>
          <t>medium</t>
        </is>
      </c>
      <c r="E815" t="inlineStr">
        <is>
          <t>supplier CoA, pharmacopeial monograph, PubChem/LIPID MAPS, or targeted literature curation</t>
        </is>
      </c>
      <c r="F815" t="inlineStr">
        <is>
          <t>prefer_experimental_or_supplier</t>
        </is>
      </c>
      <c r="G815" t="inlineStr">
        <is>
          <t>P3</t>
        </is>
      </c>
    </row>
    <row r="816">
      <c r="A816" t="inlineStr">
        <is>
          <t>Dextran</t>
        </is>
      </c>
      <c r="B816" t="inlineStr">
        <is>
          <t>Polymer</t>
        </is>
      </c>
      <c r="C816" t="inlineStr">
        <is>
          <t>formal_charge</t>
        </is>
      </c>
      <c r="D816" t="inlineStr">
        <is>
          <t>medium</t>
        </is>
      </c>
      <c r="E816" t="inlineStr">
        <is>
          <t>supplier CoA, pharmacopeial monograph, PubChem/LIPID MAPS, or targeted literature curation</t>
        </is>
      </c>
      <c r="F816" t="inlineStr">
        <is>
          <t>prefer_experimental_or_supplier</t>
        </is>
      </c>
      <c r="G816" t="inlineStr">
        <is>
          <t>P3</t>
        </is>
      </c>
    </row>
    <row r="817">
      <c r="A817" t="inlineStr">
        <is>
          <t>Dextran</t>
        </is>
      </c>
      <c r="B817" t="inlineStr">
        <is>
          <t>Polymer</t>
        </is>
      </c>
      <c r="C817" t="inlineStr">
        <is>
          <t>repeat_unit_molar_volume</t>
        </is>
      </c>
      <c r="D817" t="inlineStr">
        <is>
          <t>medium</t>
        </is>
      </c>
      <c r="E817" t="inlineStr">
        <is>
          <t>supplier CoA, pharmacopeial monograph, PubChem/LIPID MAPS, or targeted literature curation</t>
        </is>
      </c>
      <c r="F817" t="inlineStr">
        <is>
          <t>prefer_experimental_or_supplier</t>
        </is>
      </c>
      <c r="G817" t="inlineStr">
        <is>
          <t>P3</t>
        </is>
      </c>
    </row>
    <row r="818">
      <c r="A818" t="inlineStr">
        <is>
          <t>Dextran</t>
        </is>
      </c>
      <c r="B818" t="inlineStr">
        <is>
          <t>Polymer</t>
        </is>
      </c>
      <c r="C818" t="inlineStr">
        <is>
          <t>stabilizer_role</t>
        </is>
      </c>
      <c r="D818" t="inlineStr">
        <is>
          <t>medium</t>
        </is>
      </c>
      <c r="E818" t="inlineStr">
        <is>
          <t>supplier CoA, pharmacopeial monograph, PubChem/LIPID MAPS, or targeted literature curation</t>
        </is>
      </c>
      <c r="F818" t="inlineStr">
        <is>
          <t>prefer_experimental_or_supplier</t>
        </is>
      </c>
      <c r="G818" t="inlineStr">
        <is>
          <t>P3</t>
        </is>
      </c>
    </row>
    <row r="819">
      <c r="A819" t="inlineStr">
        <is>
          <t>Heparin</t>
        </is>
      </c>
      <c r="B819" t="inlineStr">
        <is>
          <t>Polymer</t>
        </is>
      </c>
      <c r="C819" t="inlineStr">
        <is>
          <t>repeat_unit_mw_g_mol</t>
        </is>
      </c>
      <c r="D819" t="inlineStr">
        <is>
          <t>medium</t>
        </is>
      </c>
      <c r="E819" t="inlineStr">
        <is>
          <t>supplier CoA, pharmacopeial monograph, PubChem/LIPID MAPS, or targeted literature curation</t>
        </is>
      </c>
      <c r="F819" t="inlineStr">
        <is>
          <t>prefer_experimental_or_supplier</t>
        </is>
      </c>
      <c r="G819" t="inlineStr">
        <is>
          <t>P3</t>
        </is>
      </c>
    </row>
    <row r="820">
      <c r="A820" t="inlineStr">
        <is>
          <t>Heparin</t>
        </is>
      </c>
      <c r="B820" t="inlineStr">
        <is>
          <t>Polymer</t>
        </is>
      </c>
      <c r="C820" t="inlineStr">
        <is>
          <t>mw_range</t>
        </is>
      </c>
      <c r="D820" t="inlineStr">
        <is>
          <t>critical for polymers</t>
        </is>
      </c>
      <c r="E820" t="inlineStr">
        <is>
          <t>supplier CoA/GPC/SEC</t>
        </is>
      </c>
      <c r="F820" t="inlineStr">
        <is>
          <t>prefer_experimental_or_supplier</t>
        </is>
      </c>
      <c r="G820" t="inlineStr">
        <is>
          <t>P1</t>
        </is>
      </c>
    </row>
    <row r="821">
      <c r="A821" t="inlineStr">
        <is>
          <t>Heparin</t>
        </is>
      </c>
      <c r="B821" t="inlineStr">
        <is>
          <t>Polymer</t>
        </is>
      </c>
      <c r="C821" t="inlineStr">
        <is>
          <t>Tg_C</t>
        </is>
      </c>
      <c r="D821" t="inlineStr">
        <is>
          <t>high for polymers/carriers</t>
        </is>
      </c>
      <c r="E821" t="inlineStr">
        <is>
          <t>DSC on specific polymer grade and residual moisture</t>
        </is>
      </c>
      <c r="F821" t="inlineStr">
        <is>
          <t>prefer_experimental_or_supplier</t>
        </is>
      </c>
      <c r="G821" t="inlineStr">
        <is>
          <t>P2</t>
        </is>
      </c>
    </row>
    <row r="822">
      <c r="A822" t="inlineStr">
        <is>
          <t>Heparin</t>
        </is>
      </c>
      <c r="B822" t="inlineStr">
        <is>
          <t>Polymer</t>
        </is>
      </c>
      <c r="C822" t="inlineStr">
        <is>
          <t>Tm_C</t>
        </is>
      </c>
      <c r="D822" t="inlineStr">
        <is>
          <t>medium</t>
        </is>
      </c>
      <c r="E822" t="inlineStr">
        <is>
          <t>supplier CoA, pharmacopeial monograph, PubChem/LIPID MAPS, or targeted literature curation</t>
        </is>
      </c>
      <c r="F822" t="inlineStr">
        <is>
          <t>prefer_experimental_or_supplier</t>
        </is>
      </c>
      <c r="G822" t="inlineStr">
        <is>
          <t>P3</t>
        </is>
      </c>
    </row>
    <row r="823">
      <c r="A823" t="inlineStr">
        <is>
          <t>Heparin</t>
        </is>
      </c>
      <c r="B823" t="inlineStr">
        <is>
          <t>Polymer</t>
        </is>
      </c>
      <c r="C823" t="inlineStr">
        <is>
          <t>repeat_unit_molar_volume</t>
        </is>
      </c>
      <c r="D823" t="inlineStr">
        <is>
          <t>medium</t>
        </is>
      </c>
      <c r="E823" t="inlineStr">
        <is>
          <t>supplier CoA, pharmacopeial monograph, PubChem/LIPID MAPS, or targeted literature curation</t>
        </is>
      </c>
      <c r="F823" t="inlineStr">
        <is>
          <t>prefer_experimental_or_supplier</t>
        </is>
      </c>
      <c r="G823" t="inlineStr">
        <is>
          <t>P3</t>
        </is>
      </c>
    </row>
    <row r="824">
      <c r="A824" t="inlineStr">
        <is>
          <t>Pectin</t>
        </is>
      </c>
      <c r="B824" t="inlineStr">
        <is>
          <t>Polymer</t>
        </is>
      </c>
      <c r="C824" t="inlineStr">
        <is>
          <t>repeat_unit_mw_g_mol</t>
        </is>
      </c>
      <c r="D824" t="inlineStr">
        <is>
          <t>medium</t>
        </is>
      </c>
      <c r="E824" t="inlineStr">
        <is>
          <t>supplier CoA, pharmacopeial monograph, PubChem/LIPID MAPS, or targeted literature curation</t>
        </is>
      </c>
      <c r="F824" t="inlineStr">
        <is>
          <t>prefer_experimental_or_supplier</t>
        </is>
      </c>
      <c r="G824" t="inlineStr">
        <is>
          <t>P3</t>
        </is>
      </c>
    </row>
    <row r="825">
      <c r="A825" t="inlineStr">
        <is>
          <t>Pectin</t>
        </is>
      </c>
      <c r="B825" t="inlineStr">
        <is>
          <t>Polymer</t>
        </is>
      </c>
      <c r="C825" t="inlineStr">
        <is>
          <t>mw_range</t>
        </is>
      </c>
      <c r="D825" t="inlineStr">
        <is>
          <t>critical for polymers</t>
        </is>
      </c>
      <c r="E825" t="inlineStr">
        <is>
          <t>supplier CoA/GPC/SEC</t>
        </is>
      </c>
      <c r="F825" t="inlineStr">
        <is>
          <t>prefer_experimental_or_supplier</t>
        </is>
      </c>
      <c r="G825" t="inlineStr">
        <is>
          <t>P1</t>
        </is>
      </c>
    </row>
    <row r="826">
      <c r="A826" t="inlineStr">
        <is>
          <t>Pectin</t>
        </is>
      </c>
      <c r="B826" t="inlineStr">
        <is>
          <t>Polymer</t>
        </is>
      </c>
      <c r="C826" t="inlineStr">
        <is>
          <t>Tg_C</t>
        </is>
      </c>
      <c r="D826" t="inlineStr">
        <is>
          <t>high for polymers/carriers</t>
        </is>
      </c>
      <c r="E826" t="inlineStr">
        <is>
          <t>DSC on specific polymer grade and residual moisture</t>
        </is>
      </c>
      <c r="F826" t="inlineStr">
        <is>
          <t>prefer_experimental_or_supplier</t>
        </is>
      </c>
      <c r="G826" t="inlineStr">
        <is>
          <t>P2</t>
        </is>
      </c>
    </row>
    <row r="827">
      <c r="A827" t="inlineStr">
        <is>
          <t>Pectin</t>
        </is>
      </c>
      <c r="B827" t="inlineStr">
        <is>
          <t>Polymer</t>
        </is>
      </c>
      <c r="C827" t="inlineStr">
        <is>
          <t>repeat_unit_molar_volume</t>
        </is>
      </c>
      <c r="D827" t="inlineStr">
        <is>
          <t>medium</t>
        </is>
      </c>
      <c r="E827" t="inlineStr">
        <is>
          <t>supplier CoA, pharmacopeial monograph, PubChem/LIPID MAPS, or targeted literature curation</t>
        </is>
      </c>
      <c r="F827" t="inlineStr">
        <is>
          <t>prefer_experimental_or_supplier</t>
        </is>
      </c>
      <c r="G827" t="inlineStr">
        <is>
          <t>P3</t>
        </is>
      </c>
    </row>
    <row r="828">
      <c r="A828" t="inlineStr">
        <is>
          <t>Pectin</t>
        </is>
      </c>
      <c r="B828" t="inlineStr">
        <is>
          <t>Polymer</t>
        </is>
      </c>
      <c r="C828" t="inlineStr">
        <is>
          <t>stabilizer_role</t>
        </is>
      </c>
      <c r="D828" t="inlineStr">
        <is>
          <t>medium</t>
        </is>
      </c>
      <c r="E828" t="inlineStr">
        <is>
          <t>supplier CoA, pharmacopeial monograph, PubChem/LIPID MAPS, or targeted literature curation</t>
        </is>
      </c>
      <c r="F828" t="inlineStr">
        <is>
          <t>prefer_experimental_or_supplier</t>
        </is>
      </c>
      <c r="G828" t="inlineStr">
        <is>
          <t>P3</t>
        </is>
      </c>
    </row>
    <row r="829">
      <c r="A829" t="inlineStr">
        <is>
          <t>Eudragit RS</t>
        </is>
      </c>
      <c r="B829" t="inlineStr">
        <is>
          <t>Polymer</t>
        </is>
      </c>
      <c r="C829" t="inlineStr">
        <is>
          <t>repeat_unit_mw_g_mol</t>
        </is>
      </c>
      <c r="D829" t="inlineStr">
        <is>
          <t>medium</t>
        </is>
      </c>
      <c r="E829" t="inlineStr">
        <is>
          <t>supplier CoA, pharmacopeial monograph, PubChem/LIPID MAPS, or targeted literature curation</t>
        </is>
      </c>
      <c r="F829" t="inlineStr">
        <is>
          <t>prefer_experimental_or_supplier</t>
        </is>
      </c>
      <c r="G829" t="inlineStr">
        <is>
          <t>P3</t>
        </is>
      </c>
    </row>
    <row r="830">
      <c r="A830" t="inlineStr">
        <is>
          <t>Eudragit RS</t>
        </is>
      </c>
      <c r="B830" t="inlineStr">
        <is>
          <t>Polymer</t>
        </is>
      </c>
      <c r="C830" t="inlineStr">
        <is>
          <t>mw_range</t>
        </is>
      </c>
      <c r="D830" t="inlineStr">
        <is>
          <t>critical for polymers</t>
        </is>
      </c>
      <c r="E830" t="inlineStr">
        <is>
          <t>supplier CoA/GPC/SEC</t>
        </is>
      </c>
      <c r="F830" t="inlineStr">
        <is>
          <t>prefer_experimental_or_supplier</t>
        </is>
      </c>
      <c r="G830" t="inlineStr">
        <is>
          <t>P1</t>
        </is>
      </c>
    </row>
    <row r="831">
      <c r="A831" t="inlineStr">
        <is>
          <t>Eudragit RS</t>
        </is>
      </c>
      <c r="B831" t="inlineStr">
        <is>
          <t>Polymer</t>
        </is>
      </c>
      <c r="C831" t="inlineStr">
        <is>
          <t>Tm_C</t>
        </is>
      </c>
      <c r="D831" t="inlineStr">
        <is>
          <t>medium</t>
        </is>
      </c>
      <c r="E831" t="inlineStr">
        <is>
          <t>supplier CoA, pharmacopeial monograph, PubChem/LIPID MAPS, or targeted literature curation</t>
        </is>
      </c>
      <c r="F831" t="inlineStr">
        <is>
          <t>prefer_experimental_or_supplier</t>
        </is>
      </c>
      <c r="G831" t="inlineStr">
        <is>
          <t>P3</t>
        </is>
      </c>
    </row>
    <row r="832">
      <c r="A832" t="inlineStr">
        <is>
          <t>Eudragit RS</t>
        </is>
      </c>
      <c r="B832" t="inlineStr">
        <is>
          <t>Polymer</t>
        </is>
      </c>
      <c r="C832" t="inlineStr">
        <is>
          <t>repeat_unit_molar_volume</t>
        </is>
      </c>
      <c r="D832" t="inlineStr">
        <is>
          <t>medium</t>
        </is>
      </c>
      <c r="E832" t="inlineStr">
        <is>
          <t>supplier CoA, pharmacopeial monograph, PubChem/LIPID MAPS, or targeted literature curation</t>
        </is>
      </c>
      <c r="F832" t="inlineStr">
        <is>
          <t>prefer_experimental_or_supplier</t>
        </is>
      </c>
      <c r="G832" t="inlineStr">
        <is>
          <t>P3</t>
        </is>
      </c>
    </row>
    <row r="833">
      <c r="A833" t="inlineStr">
        <is>
          <t>Eudragit RL</t>
        </is>
      </c>
      <c r="B833" t="inlineStr">
        <is>
          <t>Polymer</t>
        </is>
      </c>
      <c r="C833" t="inlineStr">
        <is>
          <t>repeat_unit_mw_g_mol</t>
        </is>
      </c>
      <c r="D833" t="inlineStr">
        <is>
          <t>medium</t>
        </is>
      </c>
      <c r="E833" t="inlineStr">
        <is>
          <t>supplier CoA, pharmacopeial monograph, PubChem/LIPID MAPS, or targeted literature curation</t>
        </is>
      </c>
      <c r="F833" t="inlineStr">
        <is>
          <t>prefer_experimental_or_supplier</t>
        </is>
      </c>
      <c r="G833" t="inlineStr">
        <is>
          <t>P3</t>
        </is>
      </c>
    </row>
    <row r="834">
      <c r="A834" t="inlineStr">
        <is>
          <t>Eudragit RL</t>
        </is>
      </c>
      <c r="B834" t="inlineStr">
        <is>
          <t>Polymer</t>
        </is>
      </c>
      <c r="C834" t="inlineStr">
        <is>
          <t>mw_range</t>
        </is>
      </c>
      <c r="D834" t="inlineStr">
        <is>
          <t>critical for polymers</t>
        </is>
      </c>
      <c r="E834" t="inlineStr">
        <is>
          <t>supplier CoA/GPC/SEC</t>
        </is>
      </c>
      <c r="F834" t="inlineStr">
        <is>
          <t>prefer_experimental_or_supplier</t>
        </is>
      </c>
      <c r="G834" t="inlineStr">
        <is>
          <t>P1</t>
        </is>
      </c>
    </row>
    <row r="835">
      <c r="A835" t="inlineStr">
        <is>
          <t>Eudragit RL</t>
        </is>
      </c>
      <c r="B835" t="inlineStr">
        <is>
          <t>Polymer</t>
        </is>
      </c>
      <c r="C835" t="inlineStr">
        <is>
          <t>Tm_C</t>
        </is>
      </c>
      <c r="D835" t="inlineStr">
        <is>
          <t>medium</t>
        </is>
      </c>
      <c r="E835" t="inlineStr">
        <is>
          <t>supplier CoA, pharmacopeial monograph, PubChem/LIPID MAPS, or targeted literature curation</t>
        </is>
      </c>
      <c r="F835" t="inlineStr">
        <is>
          <t>prefer_experimental_or_supplier</t>
        </is>
      </c>
      <c r="G835" t="inlineStr">
        <is>
          <t>P3</t>
        </is>
      </c>
    </row>
    <row r="836">
      <c r="A836" t="inlineStr">
        <is>
          <t>Eudragit RL</t>
        </is>
      </c>
      <c r="B836" t="inlineStr">
        <is>
          <t>Polymer</t>
        </is>
      </c>
      <c r="C836" t="inlineStr">
        <is>
          <t>repeat_unit_molar_volume</t>
        </is>
      </c>
      <c r="D836" t="inlineStr">
        <is>
          <t>medium</t>
        </is>
      </c>
      <c r="E836" t="inlineStr">
        <is>
          <t>supplier CoA, pharmacopeial monograph, PubChem/LIPID MAPS, or targeted literature curation</t>
        </is>
      </c>
      <c r="F836" t="inlineStr">
        <is>
          <t>prefer_experimental_or_supplier</t>
        </is>
      </c>
      <c r="G836" t="inlineStr">
        <is>
          <t>P3</t>
        </is>
      </c>
    </row>
    <row r="837">
      <c r="A837" t="inlineStr">
        <is>
          <t>Eudragit L100</t>
        </is>
      </c>
      <c r="B837" t="inlineStr">
        <is>
          <t>Polymer</t>
        </is>
      </c>
      <c r="C837" t="inlineStr">
        <is>
          <t>repeat_unit_mw_g_mol</t>
        </is>
      </c>
      <c r="D837" t="inlineStr">
        <is>
          <t>medium</t>
        </is>
      </c>
      <c r="E837" t="inlineStr">
        <is>
          <t>supplier CoA, pharmacopeial monograph, PubChem/LIPID MAPS, or targeted literature curation</t>
        </is>
      </c>
      <c r="F837" t="inlineStr">
        <is>
          <t>prefer_experimental_or_supplier</t>
        </is>
      </c>
      <c r="G837" t="inlineStr">
        <is>
          <t>P3</t>
        </is>
      </c>
    </row>
    <row r="838">
      <c r="A838" t="inlineStr">
        <is>
          <t>Eudragit L100</t>
        </is>
      </c>
      <c r="B838" t="inlineStr">
        <is>
          <t>Polymer</t>
        </is>
      </c>
      <c r="C838" t="inlineStr">
        <is>
          <t>mw_range</t>
        </is>
      </c>
      <c r="D838" t="inlineStr">
        <is>
          <t>critical for polymers</t>
        </is>
      </c>
      <c r="E838" t="inlineStr">
        <is>
          <t>supplier CoA/GPC/SEC</t>
        </is>
      </c>
      <c r="F838" t="inlineStr">
        <is>
          <t>prefer_experimental_or_supplier</t>
        </is>
      </c>
      <c r="G838" t="inlineStr">
        <is>
          <t>P1</t>
        </is>
      </c>
    </row>
    <row r="839">
      <c r="A839" t="inlineStr">
        <is>
          <t>Eudragit L100</t>
        </is>
      </c>
      <c r="B839" t="inlineStr">
        <is>
          <t>Polymer</t>
        </is>
      </c>
      <c r="C839" t="inlineStr">
        <is>
          <t>Tm_C</t>
        </is>
      </c>
      <c r="D839" t="inlineStr">
        <is>
          <t>medium</t>
        </is>
      </c>
      <c r="E839" t="inlineStr">
        <is>
          <t>supplier CoA, pharmacopeial monograph, PubChem/LIPID MAPS, or targeted literature curation</t>
        </is>
      </c>
      <c r="F839" t="inlineStr">
        <is>
          <t>prefer_experimental_or_supplier</t>
        </is>
      </c>
      <c r="G839" t="inlineStr">
        <is>
          <t>P3</t>
        </is>
      </c>
    </row>
    <row r="840">
      <c r="A840" t="inlineStr">
        <is>
          <t>Eudragit L100</t>
        </is>
      </c>
      <c r="B840" t="inlineStr">
        <is>
          <t>Polymer</t>
        </is>
      </c>
      <c r="C840" t="inlineStr">
        <is>
          <t>repeat_unit_molar_volume</t>
        </is>
      </c>
      <c r="D840" t="inlineStr">
        <is>
          <t>medium</t>
        </is>
      </c>
      <c r="E840" t="inlineStr">
        <is>
          <t>supplier CoA, pharmacopeial monograph, PubChem/LIPID MAPS, or targeted literature curation</t>
        </is>
      </c>
      <c r="F840" t="inlineStr">
        <is>
          <t>prefer_experimental_or_supplier</t>
        </is>
      </c>
      <c r="G840" t="inlineStr">
        <is>
          <t>P3</t>
        </is>
      </c>
    </row>
    <row r="841">
      <c r="A841" t="inlineStr">
        <is>
          <t>Eudragit S100</t>
        </is>
      </c>
      <c r="B841" t="inlineStr">
        <is>
          <t>Polymer</t>
        </is>
      </c>
      <c r="C841" t="inlineStr">
        <is>
          <t>repeat_unit_mw_g_mol</t>
        </is>
      </c>
      <c r="D841" t="inlineStr">
        <is>
          <t>medium</t>
        </is>
      </c>
      <c r="E841" t="inlineStr">
        <is>
          <t>supplier CoA, pharmacopeial monograph, PubChem/LIPID MAPS, or targeted literature curation</t>
        </is>
      </c>
      <c r="F841" t="inlineStr">
        <is>
          <t>prefer_experimental_or_supplier</t>
        </is>
      </c>
      <c r="G841" t="inlineStr">
        <is>
          <t>P3</t>
        </is>
      </c>
    </row>
    <row r="842">
      <c r="A842" t="inlineStr">
        <is>
          <t>Eudragit S100</t>
        </is>
      </c>
      <c r="B842" t="inlineStr">
        <is>
          <t>Polymer</t>
        </is>
      </c>
      <c r="C842" t="inlineStr">
        <is>
          <t>mw_range</t>
        </is>
      </c>
      <c r="D842" t="inlineStr">
        <is>
          <t>critical for polymers</t>
        </is>
      </c>
      <c r="E842" t="inlineStr">
        <is>
          <t>supplier CoA/GPC/SEC</t>
        </is>
      </c>
      <c r="F842" t="inlineStr">
        <is>
          <t>prefer_experimental_or_supplier</t>
        </is>
      </c>
      <c r="G842" t="inlineStr">
        <is>
          <t>P1</t>
        </is>
      </c>
    </row>
    <row r="843">
      <c r="A843" t="inlineStr">
        <is>
          <t>Eudragit S100</t>
        </is>
      </c>
      <c r="B843" t="inlineStr">
        <is>
          <t>Polymer</t>
        </is>
      </c>
      <c r="C843" t="inlineStr">
        <is>
          <t>Tm_C</t>
        </is>
      </c>
      <c r="D843" t="inlineStr">
        <is>
          <t>medium</t>
        </is>
      </c>
      <c r="E843" t="inlineStr">
        <is>
          <t>supplier CoA, pharmacopeial monograph, PubChem/LIPID MAPS, or targeted literature curation</t>
        </is>
      </c>
      <c r="F843" t="inlineStr">
        <is>
          <t>prefer_experimental_or_supplier</t>
        </is>
      </c>
      <c r="G843" t="inlineStr">
        <is>
          <t>P3</t>
        </is>
      </c>
    </row>
    <row r="844">
      <c r="A844" t="inlineStr">
        <is>
          <t>Eudragit S100</t>
        </is>
      </c>
      <c r="B844" t="inlineStr">
        <is>
          <t>Polymer</t>
        </is>
      </c>
      <c r="C844" t="inlineStr">
        <is>
          <t>repeat_unit_molar_volume</t>
        </is>
      </c>
      <c r="D844" t="inlineStr">
        <is>
          <t>medium</t>
        </is>
      </c>
      <c r="E844" t="inlineStr">
        <is>
          <t>supplier CoA, pharmacopeial monograph, PubChem/LIPID MAPS, or targeted literature curation</t>
        </is>
      </c>
      <c r="F844" t="inlineStr">
        <is>
          <t>prefer_experimental_or_supplier</t>
        </is>
      </c>
      <c r="G844" t="inlineStr">
        <is>
          <t>P3</t>
        </is>
      </c>
    </row>
    <row r="845">
      <c r="A845" t="inlineStr">
        <is>
          <t>Eudragit E PO</t>
        </is>
      </c>
      <c r="B845" t="inlineStr">
        <is>
          <t>Polymer</t>
        </is>
      </c>
      <c r="C845" t="inlineStr">
        <is>
          <t>repeat_unit_mw_g_mol</t>
        </is>
      </c>
      <c r="D845" t="inlineStr">
        <is>
          <t>medium</t>
        </is>
      </c>
      <c r="E845" t="inlineStr">
        <is>
          <t>supplier CoA, pharmacopeial monograph, PubChem/LIPID MAPS, or targeted literature curation</t>
        </is>
      </c>
      <c r="F845" t="inlineStr">
        <is>
          <t>prefer_experimental_or_supplier</t>
        </is>
      </c>
      <c r="G845" t="inlineStr">
        <is>
          <t>P3</t>
        </is>
      </c>
    </row>
    <row r="846">
      <c r="A846" t="inlineStr">
        <is>
          <t>Eudragit E PO</t>
        </is>
      </c>
      <c r="B846" t="inlineStr">
        <is>
          <t>Polymer</t>
        </is>
      </c>
      <c r="C846" t="inlineStr">
        <is>
          <t>mw_range</t>
        </is>
      </c>
      <c r="D846" t="inlineStr">
        <is>
          <t>critical for polymers</t>
        </is>
      </c>
      <c r="E846" t="inlineStr">
        <is>
          <t>supplier CoA/GPC/SEC</t>
        </is>
      </c>
      <c r="F846" t="inlineStr">
        <is>
          <t>prefer_experimental_or_supplier</t>
        </is>
      </c>
      <c r="G846" t="inlineStr">
        <is>
          <t>P1</t>
        </is>
      </c>
    </row>
    <row r="847">
      <c r="A847" t="inlineStr">
        <is>
          <t>Eudragit E PO</t>
        </is>
      </c>
      <c r="B847" t="inlineStr">
        <is>
          <t>Polymer</t>
        </is>
      </c>
      <c r="C847" t="inlineStr">
        <is>
          <t>Tm_C</t>
        </is>
      </c>
      <c r="D847" t="inlineStr">
        <is>
          <t>medium</t>
        </is>
      </c>
      <c r="E847" t="inlineStr">
        <is>
          <t>supplier CoA, pharmacopeial monograph, PubChem/LIPID MAPS, or targeted literature curation</t>
        </is>
      </c>
      <c r="F847" t="inlineStr">
        <is>
          <t>prefer_experimental_or_supplier</t>
        </is>
      </c>
      <c r="G847" t="inlineStr">
        <is>
          <t>P3</t>
        </is>
      </c>
    </row>
    <row r="848">
      <c r="A848" t="inlineStr">
        <is>
          <t>Eudragit E PO</t>
        </is>
      </c>
      <c r="B848" t="inlineStr">
        <is>
          <t>Polymer</t>
        </is>
      </c>
      <c r="C848" t="inlineStr">
        <is>
          <t>repeat_unit_molar_volume</t>
        </is>
      </c>
      <c r="D848" t="inlineStr">
        <is>
          <t>medium</t>
        </is>
      </c>
      <c r="E848" t="inlineStr">
        <is>
          <t>supplier CoA, pharmacopeial monograph, PubChem/LIPID MAPS, or targeted literature curation</t>
        </is>
      </c>
      <c r="F848" t="inlineStr">
        <is>
          <t>prefer_experimental_or_supplier</t>
        </is>
      </c>
      <c r="G848" t="inlineStr">
        <is>
          <t>P3</t>
        </is>
      </c>
    </row>
    <row r="849">
      <c r="A849" t="inlineStr">
        <is>
          <t>Gelatin</t>
        </is>
      </c>
      <c r="B849" t="inlineStr">
        <is>
          <t>Polymer</t>
        </is>
      </c>
      <c r="C849" t="inlineStr">
        <is>
          <t>repeat_unit_mw_g_mol</t>
        </is>
      </c>
      <c r="D849" t="inlineStr">
        <is>
          <t>medium</t>
        </is>
      </c>
      <c r="E849" t="inlineStr">
        <is>
          <t>supplier CoA, pharmacopeial monograph, PubChem/LIPID MAPS, or targeted literature curation</t>
        </is>
      </c>
      <c r="F849" t="inlineStr">
        <is>
          <t>prefer_experimental_or_supplier</t>
        </is>
      </c>
      <c r="G849" t="inlineStr">
        <is>
          <t>P3</t>
        </is>
      </c>
    </row>
    <row r="850">
      <c r="A850" t="inlineStr">
        <is>
          <t>Gelatin</t>
        </is>
      </c>
      <c r="B850" t="inlineStr">
        <is>
          <t>Polymer</t>
        </is>
      </c>
      <c r="C850" t="inlineStr">
        <is>
          <t>mw_range</t>
        </is>
      </c>
      <c r="D850" t="inlineStr">
        <is>
          <t>critical for polymers</t>
        </is>
      </c>
      <c r="E850" t="inlineStr">
        <is>
          <t>supplier CoA/GPC/SEC</t>
        </is>
      </c>
      <c r="F850" t="inlineStr">
        <is>
          <t>prefer_experimental_or_supplier</t>
        </is>
      </c>
      <c r="G850" t="inlineStr">
        <is>
          <t>P1</t>
        </is>
      </c>
    </row>
    <row r="851">
      <c r="A851" t="inlineStr">
        <is>
          <t>Gelatin</t>
        </is>
      </c>
      <c r="B851" t="inlineStr">
        <is>
          <t>Polymer</t>
        </is>
      </c>
      <c r="C851" t="inlineStr">
        <is>
          <t>Tg_C</t>
        </is>
      </c>
      <c r="D851" t="inlineStr">
        <is>
          <t>high for polymers/carriers</t>
        </is>
      </c>
      <c r="E851" t="inlineStr">
        <is>
          <t>DSC on specific polymer grade and residual moisture</t>
        </is>
      </c>
      <c r="F851" t="inlineStr">
        <is>
          <t>prefer_experimental_or_supplier</t>
        </is>
      </c>
      <c r="G851" t="inlineStr">
        <is>
          <t>P2</t>
        </is>
      </c>
    </row>
    <row r="852">
      <c r="A852" t="inlineStr">
        <is>
          <t>Gelatin</t>
        </is>
      </c>
      <c r="B852" t="inlineStr">
        <is>
          <t>Polymer</t>
        </is>
      </c>
      <c r="C852" t="inlineStr">
        <is>
          <t>Tm_C</t>
        </is>
      </c>
      <c r="D852" t="inlineStr">
        <is>
          <t>medium</t>
        </is>
      </c>
      <c r="E852" t="inlineStr">
        <is>
          <t>supplier CoA, pharmacopeial monograph, PubChem/LIPID MAPS, or targeted literature curation</t>
        </is>
      </c>
      <c r="F852" t="inlineStr">
        <is>
          <t>prefer_experimental_or_supplier</t>
        </is>
      </c>
      <c r="G852" t="inlineStr">
        <is>
          <t>P3</t>
        </is>
      </c>
    </row>
    <row r="853">
      <c r="A853" t="inlineStr">
        <is>
          <t>Gelatin</t>
        </is>
      </c>
      <c r="B853" t="inlineStr">
        <is>
          <t>Polymer</t>
        </is>
      </c>
      <c r="C853" t="inlineStr">
        <is>
          <t>repeat_unit_molar_volume</t>
        </is>
      </c>
      <c r="D853" t="inlineStr">
        <is>
          <t>medium</t>
        </is>
      </c>
      <c r="E853" t="inlineStr">
        <is>
          <t>supplier CoA, pharmacopeial monograph, PubChem/LIPID MAPS, or targeted literature curation</t>
        </is>
      </c>
      <c r="F853" t="inlineStr">
        <is>
          <t>prefer_experimental_or_supplier</t>
        </is>
      </c>
      <c r="G853" t="inlineStr">
        <is>
          <t>P3</t>
        </is>
      </c>
    </row>
    <row r="854">
      <c r="A854" t="inlineStr">
        <is>
          <t>Albumin polymer grade</t>
        </is>
      </c>
      <c r="B854" t="inlineStr">
        <is>
          <t>Polymer</t>
        </is>
      </c>
      <c r="C854" t="inlineStr">
        <is>
          <t>repeat_unit_mw_g_mol</t>
        </is>
      </c>
      <c r="D854" t="inlineStr">
        <is>
          <t>medium</t>
        </is>
      </c>
      <c r="E854" t="inlineStr">
        <is>
          <t>supplier CoA, pharmacopeial monograph, PubChem/LIPID MAPS, or targeted literature curation</t>
        </is>
      </c>
      <c r="F854" t="inlineStr">
        <is>
          <t>prefer_experimental_or_supplier</t>
        </is>
      </c>
      <c r="G854" t="inlineStr">
        <is>
          <t>P3</t>
        </is>
      </c>
    </row>
    <row r="855">
      <c r="A855" t="inlineStr">
        <is>
          <t>Albumin polymer grade</t>
        </is>
      </c>
      <c r="B855" t="inlineStr">
        <is>
          <t>Polymer</t>
        </is>
      </c>
      <c r="C855" t="inlineStr">
        <is>
          <t>mw_range</t>
        </is>
      </c>
      <c r="D855" t="inlineStr">
        <is>
          <t>critical for polymers</t>
        </is>
      </c>
      <c r="E855" t="inlineStr">
        <is>
          <t>supplier CoA/GPC/SEC</t>
        </is>
      </c>
      <c r="F855" t="inlineStr">
        <is>
          <t>prefer_experimental_or_supplier</t>
        </is>
      </c>
      <c r="G855" t="inlineStr">
        <is>
          <t>P1</t>
        </is>
      </c>
    </row>
    <row r="856">
      <c r="A856" t="inlineStr">
        <is>
          <t>Albumin polymer grade</t>
        </is>
      </c>
      <c r="B856" t="inlineStr">
        <is>
          <t>Polymer</t>
        </is>
      </c>
      <c r="C856" t="inlineStr">
        <is>
          <t>Tg_C</t>
        </is>
      </c>
      <c r="D856" t="inlineStr">
        <is>
          <t>high for polymers/carriers</t>
        </is>
      </c>
      <c r="E856" t="inlineStr">
        <is>
          <t>DSC on specific polymer grade and residual moisture</t>
        </is>
      </c>
      <c r="F856" t="inlineStr">
        <is>
          <t>prefer_experimental_or_supplier</t>
        </is>
      </c>
      <c r="G856" t="inlineStr">
        <is>
          <t>P2</t>
        </is>
      </c>
    </row>
    <row r="857">
      <c r="A857" t="inlineStr">
        <is>
          <t>Albumin polymer grade</t>
        </is>
      </c>
      <c r="B857" t="inlineStr">
        <is>
          <t>Polymer</t>
        </is>
      </c>
      <c r="C857" t="inlineStr">
        <is>
          <t>Tm_C</t>
        </is>
      </c>
      <c r="D857" t="inlineStr">
        <is>
          <t>medium</t>
        </is>
      </c>
      <c r="E857" t="inlineStr">
        <is>
          <t>supplier CoA, pharmacopeial monograph, PubChem/LIPID MAPS, or targeted literature curation</t>
        </is>
      </c>
      <c r="F857" t="inlineStr">
        <is>
          <t>prefer_experimental_or_supplier</t>
        </is>
      </c>
      <c r="G857" t="inlineStr">
        <is>
          <t>P3</t>
        </is>
      </c>
    </row>
    <row r="858">
      <c r="A858" t="inlineStr">
        <is>
          <t>Albumin polymer grade</t>
        </is>
      </c>
      <c r="B858" t="inlineStr">
        <is>
          <t>Polymer</t>
        </is>
      </c>
      <c r="C858" t="inlineStr">
        <is>
          <t>repeat_unit_molar_volume</t>
        </is>
      </c>
      <c r="D858" t="inlineStr">
        <is>
          <t>medium</t>
        </is>
      </c>
      <c r="E858" t="inlineStr">
        <is>
          <t>supplier CoA, pharmacopeial monograph, PubChem/LIPID MAPS, or targeted literature curation</t>
        </is>
      </c>
      <c r="F858" t="inlineStr">
        <is>
          <t>prefer_experimental_or_supplier</t>
        </is>
      </c>
      <c r="G858" t="inlineStr">
        <is>
          <t>P3</t>
        </is>
      </c>
    </row>
    <row r="859">
      <c r="A859" t="inlineStr">
        <is>
          <t>Casein</t>
        </is>
      </c>
      <c r="B859" t="inlineStr">
        <is>
          <t>Polymer</t>
        </is>
      </c>
      <c r="C859" t="inlineStr">
        <is>
          <t>repeat_unit_mw_g_mol</t>
        </is>
      </c>
      <c r="D859" t="inlineStr">
        <is>
          <t>medium</t>
        </is>
      </c>
      <c r="E859" t="inlineStr">
        <is>
          <t>supplier CoA, pharmacopeial monograph, PubChem/LIPID MAPS, or targeted literature curation</t>
        </is>
      </c>
      <c r="F859" t="inlineStr">
        <is>
          <t>prefer_experimental_or_supplier</t>
        </is>
      </c>
      <c r="G859" t="inlineStr">
        <is>
          <t>P3</t>
        </is>
      </c>
    </row>
    <row r="860">
      <c r="A860" t="inlineStr">
        <is>
          <t>Casein</t>
        </is>
      </c>
      <c r="B860" t="inlineStr">
        <is>
          <t>Polymer</t>
        </is>
      </c>
      <c r="C860" t="inlineStr">
        <is>
          <t>mw_range</t>
        </is>
      </c>
      <c r="D860" t="inlineStr">
        <is>
          <t>critical for polymers</t>
        </is>
      </c>
      <c r="E860" t="inlineStr">
        <is>
          <t>supplier CoA/GPC/SEC</t>
        </is>
      </c>
      <c r="F860" t="inlineStr">
        <is>
          <t>prefer_experimental_or_supplier</t>
        </is>
      </c>
      <c r="G860" t="inlineStr">
        <is>
          <t>P1</t>
        </is>
      </c>
    </row>
    <row r="861">
      <c r="A861" t="inlineStr">
        <is>
          <t>Casein</t>
        </is>
      </c>
      <c r="B861" t="inlineStr">
        <is>
          <t>Polymer</t>
        </is>
      </c>
      <c r="C861" t="inlineStr">
        <is>
          <t>Tg_C</t>
        </is>
      </c>
      <c r="D861" t="inlineStr">
        <is>
          <t>high for polymers/carriers</t>
        </is>
      </c>
      <c r="E861" t="inlineStr">
        <is>
          <t>DSC on specific polymer grade and residual moisture</t>
        </is>
      </c>
      <c r="F861" t="inlineStr">
        <is>
          <t>prefer_experimental_or_supplier</t>
        </is>
      </c>
      <c r="G861" t="inlineStr">
        <is>
          <t>P2</t>
        </is>
      </c>
    </row>
    <row r="862">
      <c r="A862" t="inlineStr">
        <is>
          <t>Casein</t>
        </is>
      </c>
      <c r="B862" t="inlineStr">
        <is>
          <t>Polymer</t>
        </is>
      </c>
      <c r="C862" t="inlineStr">
        <is>
          <t>Tm_C</t>
        </is>
      </c>
      <c r="D862" t="inlineStr">
        <is>
          <t>medium</t>
        </is>
      </c>
      <c r="E862" t="inlineStr">
        <is>
          <t>supplier CoA, pharmacopeial monograph, PubChem/LIPID MAPS, or targeted literature curation</t>
        </is>
      </c>
      <c r="F862" t="inlineStr">
        <is>
          <t>prefer_experimental_or_supplier</t>
        </is>
      </c>
      <c r="G862" t="inlineStr">
        <is>
          <t>P3</t>
        </is>
      </c>
    </row>
    <row r="863">
      <c r="A863" t="inlineStr">
        <is>
          <t>Casein</t>
        </is>
      </c>
      <c r="B863" t="inlineStr">
        <is>
          <t>Polymer</t>
        </is>
      </c>
      <c r="C863" t="inlineStr">
        <is>
          <t>repeat_unit_molar_volume</t>
        </is>
      </c>
      <c r="D863" t="inlineStr">
        <is>
          <t>medium</t>
        </is>
      </c>
      <c r="E863" t="inlineStr">
        <is>
          <t>supplier CoA, pharmacopeial monograph, PubChem/LIPID MAPS, or targeted literature curation</t>
        </is>
      </c>
      <c r="F863" t="inlineStr">
        <is>
          <t>prefer_experimental_or_supplier</t>
        </is>
      </c>
      <c r="G863" t="inlineStr">
        <is>
          <t>P3</t>
        </is>
      </c>
    </row>
    <row r="864">
      <c r="A864" t="inlineStr">
        <is>
          <t>Zein</t>
        </is>
      </c>
      <c r="B864" t="inlineStr">
        <is>
          <t>Polymer</t>
        </is>
      </c>
      <c r="C864" t="inlineStr">
        <is>
          <t>repeat_unit_mw_g_mol</t>
        </is>
      </c>
      <c r="D864" t="inlineStr">
        <is>
          <t>medium</t>
        </is>
      </c>
      <c r="E864" t="inlineStr">
        <is>
          <t>supplier CoA, pharmacopeial monograph, PubChem/LIPID MAPS, or targeted literature curation</t>
        </is>
      </c>
      <c r="F864" t="inlineStr">
        <is>
          <t>prefer_experimental_or_supplier</t>
        </is>
      </c>
      <c r="G864" t="inlineStr">
        <is>
          <t>P3</t>
        </is>
      </c>
    </row>
    <row r="865">
      <c r="A865" t="inlineStr">
        <is>
          <t>Zein</t>
        </is>
      </c>
      <c r="B865" t="inlineStr">
        <is>
          <t>Polymer</t>
        </is>
      </c>
      <c r="C865" t="inlineStr">
        <is>
          <t>mw_range</t>
        </is>
      </c>
      <c r="D865" t="inlineStr">
        <is>
          <t>critical for polymers</t>
        </is>
      </c>
      <c r="E865" t="inlineStr">
        <is>
          <t>supplier CoA/GPC/SEC</t>
        </is>
      </c>
      <c r="F865" t="inlineStr">
        <is>
          <t>prefer_experimental_or_supplier</t>
        </is>
      </c>
      <c r="G865" t="inlineStr">
        <is>
          <t>P1</t>
        </is>
      </c>
    </row>
    <row r="866">
      <c r="A866" t="inlineStr">
        <is>
          <t>Zein</t>
        </is>
      </c>
      <c r="B866" t="inlineStr">
        <is>
          <t>Polymer</t>
        </is>
      </c>
      <c r="C866" t="inlineStr">
        <is>
          <t>Tg_C</t>
        </is>
      </c>
      <c r="D866" t="inlineStr">
        <is>
          <t>high for polymers/carriers</t>
        </is>
      </c>
      <c r="E866" t="inlineStr">
        <is>
          <t>DSC on specific polymer grade and residual moisture</t>
        </is>
      </c>
      <c r="F866" t="inlineStr">
        <is>
          <t>prefer_experimental_or_supplier</t>
        </is>
      </c>
      <c r="G866" t="inlineStr">
        <is>
          <t>P2</t>
        </is>
      </c>
    </row>
    <row r="867">
      <c r="A867" t="inlineStr">
        <is>
          <t>Zein</t>
        </is>
      </c>
      <c r="B867" t="inlineStr">
        <is>
          <t>Polymer</t>
        </is>
      </c>
      <c r="C867" t="inlineStr">
        <is>
          <t>Tm_C</t>
        </is>
      </c>
      <c r="D867" t="inlineStr">
        <is>
          <t>medium</t>
        </is>
      </c>
      <c r="E867" t="inlineStr">
        <is>
          <t>supplier CoA, pharmacopeial monograph, PubChem/LIPID MAPS, or targeted literature curation</t>
        </is>
      </c>
      <c r="F867" t="inlineStr">
        <is>
          <t>prefer_experimental_or_supplier</t>
        </is>
      </c>
      <c r="G867" t="inlineStr">
        <is>
          <t>P3</t>
        </is>
      </c>
    </row>
    <row r="868">
      <c r="A868" t="inlineStr">
        <is>
          <t>Zein</t>
        </is>
      </c>
      <c r="B868" t="inlineStr">
        <is>
          <t>Polymer</t>
        </is>
      </c>
      <c r="C868" t="inlineStr">
        <is>
          <t>formal_charge</t>
        </is>
      </c>
      <c r="D868" t="inlineStr">
        <is>
          <t>medium</t>
        </is>
      </c>
      <c r="E868" t="inlineStr">
        <is>
          <t>supplier CoA, pharmacopeial monograph, PubChem/LIPID MAPS, or targeted literature curation</t>
        </is>
      </c>
      <c r="F868" t="inlineStr">
        <is>
          <t>prefer_experimental_or_supplier</t>
        </is>
      </c>
      <c r="G868" t="inlineStr">
        <is>
          <t>P3</t>
        </is>
      </c>
    </row>
    <row r="869">
      <c r="A869" t="inlineStr">
        <is>
          <t>Zein</t>
        </is>
      </c>
      <c r="B869" t="inlineStr">
        <is>
          <t>Polymer</t>
        </is>
      </c>
      <c r="C869" t="inlineStr">
        <is>
          <t>repeat_unit_molar_volume</t>
        </is>
      </c>
      <c r="D869" t="inlineStr">
        <is>
          <t>medium</t>
        </is>
      </c>
      <c r="E869" t="inlineStr">
        <is>
          <t>supplier CoA, pharmacopeial monograph, PubChem/LIPID MAPS, or targeted literature curation</t>
        </is>
      </c>
      <c r="F869" t="inlineStr">
        <is>
          <t>prefer_experimental_or_supplier</t>
        </is>
      </c>
      <c r="G869" t="inlineStr">
        <is>
          <t>P3</t>
        </is>
      </c>
    </row>
    <row r="870">
      <c r="A870" t="inlineStr">
        <is>
          <t>PEG 400 polymer grade</t>
        </is>
      </c>
      <c r="B870" t="inlineStr">
        <is>
          <t>Polymer</t>
        </is>
      </c>
      <c r="C870" t="inlineStr">
        <is>
          <t>mw_range</t>
        </is>
      </c>
      <c r="D870" t="inlineStr">
        <is>
          <t>critical for polymers</t>
        </is>
      </c>
      <c r="E870" t="inlineStr">
        <is>
          <t>supplier CoA/GPC/SEC</t>
        </is>
      </c>
      <c r="F870" t="inlineStr">
        <is>
          <t>prefer_experimental_or_supplier</t>
        </is>
      </c>
      <c r="G870" t="inlineStr">
        <is>
          <t>P1</t>
        </is>
      </c>
    </row>
    <row r="871">
      <c r="A871" t="inlineStr">
        <is>
          <t>PEG 400 polymer grade</t>
        </is>
      </c>
      <c r="B871" t="inlineStr">
        <is>
          <t>Polymer</t>
        </is>
      </c>
      <c r="C871" t="inlineStr">
        <is>
          <t>pKa</t>
        </is>
      </c>
      <c r="D871" t="inlineStr">
        <is>
          <t>medium</t>
        </is>
      </c>
      <c r="E871" t="inlineStr">
        <is>
          <t>supplier CoA, pharmacopeial monograph, PubChem/LIPID MAPS, or targeted literature curation</t>
        </is>
      </c>
      <c r="F871" t="inlineStr">
        <is>
          <t>prefer_experimental_or_supplier</t>
        </is>
      </c>
      <c r="G871" t="inlineStr">
        <is>
          <t>P3</t>
        </is>
      </c>
    </row>
    <row r="872">
      <c r="A872" t="inlineStr">
        <is>
          <t>PEG 400 polymer grade</t>
        </is>
      </c>
      <c r="B872" t="inlineStr">
        <is>
          <t>Polymer</t>
        </is>
      </c>
      <c r="C872" t="inlineStr">
        <is>
          <t>charge_density</t>
        </is>
      </c>
      <c r="D872" t="inlineStr">
        <is>
          <t>high for charged polymers</t>
        </is>
      </c>
      <c r="E872" t="inlineStr">
        <is>
          <t>titration, degree of substitution/deacetylation, or supplier CoA</t>
        </is>
      </c>
      <c r="F872" t="inlineStr">
        <is>
          <t>prefer_experimental_or_supplier</t>
        </is>
      </c>
      <c r="G872" t="inlineStr">
        <is>
          <t>P3</t>
        </is>
      </c>
    </row>
  </sheetData>
  <autoFilter ref="A1:G87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J266"/>
  <sheetViews>
    <sheetView workbookViewId="0">
      <pane ySplit="1" topLeftCell="A2" activePane="bottomLeft" state="frozen"/>
    </sheetView>
  </sheetViews>
  <cols>
    <col min="1" max="1" width="22" customWidth="1"/>
    <col min="2" max="2" width="30" customWidth="1"/>
    <col min="3" max="3" width="20" customWidth="1"/>
    <col min="4" max="4" width="22" customWidth="1"/>
    <col min="5" max="5" width="24" customWidth="1"/>
  </cols>
  <sheetData>
    <row r="1">
      <c r="A1" t="inlineStr" s="1">
        <is>
          <t>material_id</t>
        </is>
      </c>
      <c r="B1" t="inlineStr" s="1">
        <is>
          <t>name</t>
        </is>
      </c>
      <c r="C1" t="inlineStr" s="1">
        <is>
          <t>material_type</t>
        </is>
      </c>
      <c r="D1" t="inlineStr" s="1">
        <is>
          <t>category</t>
        </is>
      </c>
      <c r="E1" t="inlineStr" s="1">
        <is>
          <t>subcategory</t>
        </is>
      </c>
      <c r="F1" t="inlineStr" s="1">
        <is>
          <t>molecular_weight_g_mol</t>
        </is>
      </c>
      <c r="G1" t="inlineStr" s="1">
        <is>
          <t>average_MW</t>
        </is>
      </c>
      <c r="H1" t="inlineStr" s="1">
        <is>
          <t>average_mw_g_mol</t>
        </is>
      </c>
      <c r="I1" t="inlineStr" s="1">
        <is>
          <t>repeat_unit_mw_g_mol</t>
        </is>
      </c>
      <c r="J1" t="inlineStr" s="1">
        <is>
          <t>molecular_formula</t>
        </is>
      </c>
      <c r="K1" t="inlineStr" s="1">
        <is>
          <t>HLB</t>
        </is>
      </c>
      <c r="L1" t="inlineStr" s="1">
        <is>
          <t>HLB_if_amphiphilic</t>
        </is>
      </c>
      <c r="M1" t="inlineStr" s="1">
        <is>
          <t>HLB_or_amphiphilicity_descriptor</t>
        </is>
      </c>
      <c r="N1" t="inlineStr" s="1">
        <is>
          <t>LogP</t>
        </is>
      </c>
      <c r="O1" t="inlineStr" s="1">
        <is>
          <t>pKa_acid</t>
        </is>
      </c>
      <c r="P1" t="inlineStr" s="1">
        <is>
          <t>pKa_base</t>
        </is>
      </c>
      <c r="Q1" t="inlineStr" s="1">
        <is>
          <t>pKa_if_relevant</t>
        </is>
      </c>
      <c r="R1" t="inlineStr" s="1">
        <is>
          <t>pKa_if_ionizable</t>
        </is>
      </c>
      <c r="S1" t="inlineStr" s="1">
        <is>
          <t>pKa</t>
        </is>
      </c>
      <c r="T1" t="inlineStr" s="1">
        <is>
          <t>formal_charge</t>
        </is>
      </c>
      <c r="U1" t="inlineStr" s="1">
        <is>
          <t>charge_type</t>
        </is>
      </c>
      <c r="V1" t="inlineStr" s="1">
        <is>
          <t>CMC_mM</t>
        </is>
      </c>
      <c r="W1" t="inlineStr" s="1">
        <is>
          <t>cloud_point_C</t>
        </is>
      </c>
      <c r="X1" t="inlineStr" s="1">
        <is>
          <t>melting_point_C</t>
        </is>
      </c>
      <c r="Y1" t="inlineStr" s="1">
        <is>
          <t>phase_transition_temperature_C</t>
        </is>
      </c>
      <c r="Z1" t="inlineStr" s="1">
        <is>
          <t>Tg_C</t>
        </is>
      </c>
      <c r="AA1" t="inlineStr" s="1">
        <is>
          <t>Tm_C</t>
        </is>
      </c>
      <c r="AB1" t="inlineStr" s="1">
        <is>
          <t>density_g_ml</t>
        </is>
      </c>
      <c r="AC1" t="inlineStr" s="1">
        <is>
          <t>boiling_point_C</t>
        </is>
      </c>
      <c r="AD1" t="inlineStr" s="1">
        <is>
          <t>dielectric_constant</t>
        </is>
      </c>
      <c r="AE1" t="inlineStr" s="1">
        <is>
          <t>polarity_index</t>
        </is>
      </c>
      <c r="AF1" t="inlineStr" s="1">
        <is>
          <t>water_miscibility</t>
        </is>
      </c>
      <c r="AG1" t="inlineStr" s="1">
        <is>
          <t>ICH_class</t>
        </is>
      </c>
      <c r="AH1" t="inlineStr" s="1">
        <is>
          <t>permitted_daily_exposure_if_available</t>
        </is>
      </c>
      <c r="AI1" t="inlineStr" s="1">
        <is>
          <t>Hansen_delta_D</t>
        </is>
      </c>
      <c r="AJ1" t="inlineStr" s="1">
        <is>
          <t>Hansen_delta_P</t>
        </is>
      </c>
      <c r="AK1" t="inlineStr" s="1">
        <is>
          <t>Hansen_delta_H</t>
        </is>
      </c>
      <c r="AL1" t="inlineStr" s="1">
        <is>
          <t>HSP_radius_R0</t>
        </is>
      </c>
      <c r="AM1" t="inlineStr" s="1">
        <is>
          <t>Hildebrand_delta_T</t>
        </is>
      </c>
      <c r="AN1" t="inlineStr" s="1">
        <is>
          <t>molar_volume_cm3_mol</t>
        </is>
      </c>
      <c r="AO1" t="inlineStr" s="1">
        <is>
          <t>headgroup_area_nm2</t>
        </is>
      </c>
      <c r="AP1" t="inlineStr" s="1">
        <is>
          <t>tail_chain</t>
        </is>
      </c>
      <c r="AQ1" t="inlineStr" s="1">
        <is>
          <t>tail_carbons</t>
        </is>
      </c>
      <c r="AR1" t="inlineStr" s="1">
        <is>
          <t>tail_unsaturation</t>
        </is>
      </c>
      <c r="AS1" t="inlineStr" s="1">
        <is>
          <t>tail_1_carbons</t>
        </is>
      </c>
      <c r="AT1" t="inlineStr" s="1">
        <is>
          <t>tail_1_unsaturation</t>
        </is>
      </c>
      <c r="AU1" t="inlineStr" s="1">
        <is>
          <t>tail_2_carbons</t>
        </is>
      </c>
      <c r="AV1" t="inlineStr" s="1">
        <is>
          <t>tail_2_unsaturation</t>
        </is>
      </c>
      <c r="AW1" t="inlineStr" s="1">
        <is>
          <t>number_of_tails</t>
        </is>
      </c>
      <c r="AX1" t="inlineStr" s="1">
        <is>
          <t>lipid_class</t>
        </is>
      </c>
      <c r="AY1" t="inlineStr" s="1">
        <is>
          <t>headgroup_type</t>
        </is>
      </c>
      <c r="AZ1" t="inlineStr" s="1">
        <is>
          <t>packing_role</t>
        </is>
      </c>
      <c r="BA1" t="inlineStr" s="1">
        <is>
          <t>edge_activator_flag</t>
        </is>
      </c>
      <c r="BB1" t="inlineStr" s="1">
        <is>
          <t>vesicle_anchor_flag</t>
        </is>
      </c>
      <c r="BC1" t="inlineStr" s="1">
        <is>
          <t>micellization_risk_flag</t>
        </is>
      </c>
      <c r="BD1" t="inlineStr" s="1">
        <is>
          <t>membrane_rigidity_contribution</t>
        </is>
      </c>
      <c r="BE1" t="inlineStr" s="1">
        <is>
          <t>fusogenic_flag</t>
        </is>
      </c>
      <c r="BF1" t="inlineStr" s="1">
        <is>
          <t>PEGylated_flag</t>
        </is>
      </c>
      <c r="BG1" t="inlineStr" s="1">
        <is>
          <t>ionizable_flag</t>
        </is>
      </c>
      <c r="BH1" t="inlineStr" s="1">
        <is>
          <t>crystallinity_risk</t>
        </is>
      </c>
      <c r="BI1" t="inlineStr" s="1">
        <is>
          <t>cryoprotection_score</t>
        </is>
      </c>
      <c r="BJ1" t="inlineStr" s="1">
        <is>
          <t>proniosome_suitability_score</t>
        </is>
      </c>
      <c r="BK1" t="inlineStr" s="1">
        <is>
          <t>spray_drying_suitability</t>
        </is>
      </c>
      <c r="BL1" t="inlineStr" s="1">
        <is>
          <t>inhalation_suitability</t>
        </is>
      </c>
      <c r="BM1" t="inlineStr" s="1">
        <is>
          <t>BCS_class</t>
        </is>
      </c>
      <c r="BN1" t="inlineStr" s="1">
        <is>
          <t>therapeutic_class</t>
        </is>
      </c>
      <c r="BO1" t="inlineStr" s="1">
        <is>
          <t>payload_type</t>
        </is>
      </c>
      <c r="BP1" t="inlineStr" s="1">
        <is>
          <t>route_notes</t>
        </is>
      </c>
      <c r="BQ1" t="inlineStr" s="1">
        <is>
          <t>route_suitability</t>
        </is>
      </c>
      <c r="BR1" t="inlineStr" s="1">
        <is>
          <t>water_solubility_mg_ml</t>
        </is>
      </c>
      <c r="BS1" t="inlineStr" s="1">
        <is>
          <t>TPSA</t>
        </is>
      </c>
      <c r="BT1" t="inlineStr" s="1">
        <is>
          <t>HBD</t>
        </is>
      </c>
      <c r="BU1" t="inlineStr" s="1">
        <is>
          <t>HBA</t>
        </is>
      </c>
      <c r="BV1" t="inlineStr" s="1">
        <is>
          <t>rotatable_bonds</t>
        </is>
      </c>
      <c r="BW1" t="inlineStr" s="1">
        <is>
          <t>aromatic_rings</t>
        </is>
      </c>
      <c r="BX1" t="inlineStr" s="1">
        <is>
          <t>toxicity_or_irritancy_notes</t>
        </is>
      </c>
      <c r="BY1" t="inlineStr" s="1">
        <is>
          <t>critical_packing_notes</t>
        </is>
      </c>
      <c r="BZ1" t="inlineStr" s="1">
        <is>
          <t>storage_notes</t>
        </is>
      </c>
      <c r="CA1" t="inlineStr" s="1">
        <is>
          <t>sterol_type</t>
        </is>
      </c>
      <c r="CB1" t="inlineStr" s="1">
        <is>
          <t>rigidity_contribution</t>
        </is>
      </c>
      <c r="CC1" t="inlineStr" s="1">
        <is>
          <t>drug_sterol_competition_relevance</t>
        </is>
      </c>
      <c r="CD1" t="inlineStr" s="1">
        <is>
          <t>steroidal_structure_flag</t>
        </is>
      </c>
      <c r="CE1" t="inlineStr" s="1">
        <is>
          <t>toxicity_notes</t>
        </is>
      </c>
      <c r="CF1" t="inlineStr" s="1">
        <is>
          <t>bilosome_role</t>
        </is>
      </c>
      <c r="CG1" t="inlineStr" s="1">
        <is>
          <t>lipid_state</t>
        </is>
      </c>
      <c r="CH1" t="inlineStr" s="1">
        <is>
          <t>fatty_chain_length</t>
        </is>
      </c>
      <c r="CI1" t="inlineStr" s="1">
        <is>
          <t>unsaturation</t>
        </is>
      </c>
      <c r="CJ1" t="inlineStr" s="1">
        <is>
          <t>polymorphism_notes</t>
        </is>
      </c>
      <c r="CK1" t="inlineStr" s="1">
        <is>
          <t>drug_solubilization_notes</t>
        </is>
      </c>
      <c r="CL1" t="inlineStr" s="1">
        <is>
          <t>toxicity_penalty</t>
        </is>
      </c>
      <c r="CM1" t="inlineStr" s="1">
        <is>
          <t>residual_solvent_warning</t>
        </is>
      </c>
      <c r="CN1" t="inlineStr" s="1">
        <is>
          <t>pulmonary_suitability</t>
        </is>
      </c>
      <c r="CO1" t="inlineStr" s="1">
        <is>
          <t>carrier_type</t>
        </is>
      </c>
      <c r="CP1" t="inlineStr" s="1">
        <is>
          <t>water_solubility</t>
        </is>
      </c>
      <c r="CQ1" t="inlineStr" s="1">
        <is>
          <t>hygroscopicity</t>
        </is>
      </c>
      <c r="CR1" t="inlineStr" s="1">
        <is>
          <t>safety_notes</t>
        </is>
      </c>
      <c r="CS1" t="inlineStr" s="1">
        <is>
          <t>glass_transition_temperature_C</t>
        </is>
      </c>
      <c r="CT1" t="inlineStr" s="1">
        <is>
          <t>bulk_density</t>
        </is>
      </c>
      <c r="CU1" t="inlineStr" s="1">
        <is>
          <t>tapped_density</t>
        </is>
      </c>
      <c r="CV1" t="inlineStr" s="1">
        <is>
          <t>particle_size_grade</t>
        </is>
      </c>
      <c r="CW1" t="inlineStr" s="1">
        <is>
          <t>porosity</t>
        </is>
      </c>
      <c r="CX1" t="inlineStr" s="1">
        <is>
          <t>surface_area_m2_g</t>
        </is>
      </c>
      <c r="CY1" t="inlineStr" s="1">
        <is>
          <t>typical_mol_percent</t>
        </is>
      </c>
      <c r="CZ1" t="inlineStr" s="1">
        <is>
          <t>mw_range</t>
        </is>
      </c>
      <c r="DA1" t="inlineStr" s="1">
        <is>
          <t>solubility_in_water</t>
        </is>
      </c>
      <c r="DB1" t="inlineStr" s="1">
        <is>
          <t>solubility_in_ethanol</t>
        </is>
      </c>
      <c r="DC1" t="inlineStr" s="1">
        <is>
          <t>solubility_in_acetone</t>
        </is>
      </c>
      <c r="DD1" t="inlineStr" s="1">
        <is>
          <t>solubility_in_dcm</t>
        </is>
      </c>
      <c r="DE1" t="inlineStr" s="1">
        <is>
          <t>biodegradability</t>
        </is>
      </c>
      <c r="DF1" t="inlineStr" s="1">
        <is>
          <t>mucoadhesive_flag</t>
        </is>
      </c>
      <c r="DG1" t="inlineStr" s="1">
        <is>
          <t>coating_role</t>
        </is>
      </c>
      <c r="DH1" t="inlineStr" s="1">
        <is>
          <t>stabilizer_role</t>
        </is>
      </c>
      <c r="DI1" t="inlineStr" s="1">
        <is>
          <t>repeat_unit_molar_volume</t>
        </is>
      </c>
      <c r="DJ1" t="inlineStr" s="1">
        <is>
          <t>charge_density</t>
        </is>
      </c>
    </row>
    <row r="2">
      <c r="A2" t="inlineStr">
        <is>
          <t>API_DEXAMETHASONE</t>
        </is>
      </c>
      <c r="B2" t="inlineStr">
        <is>
          <t>Dexamethasone</t>
        </is>
      </c>
      <c r="C2" t="inlineStr">
        <is>
          <t>API</t>
        </is>
      </c>
      <c r="D2" t="inlineStr">
        <is>
          <t>Drug/API</t>
        </is>
      </c>
      <c r="E2" t="inlineStr">
        <is>
          <t>corticosteroid</t>
        </is>
      </c>
      <c r="F2">
        <v>392.46</v>
      </c>
      <c r="G2"/>
      <c r="H2"/>
      <c r="I2"/>
      <c r="J2" t="inlineStr">
        <is>
          <t>C22H29FO5</t>
        </is>
      </c>
      <c r="K2"/>
      <c r="L2"/>
      <c r="M2"/>
      <c r="N2">
        <v>1.83</v>
      </c>
      <c r="O2"/>
      <c r="P2"/>
      <c r="Q2"/>
      <c r="R2"/>
      <c r="S2"/>
      <c r="T2">
        <v>0</v>
      </c>
      <c r="U2"/>
      <c r="V2"/>
      <c r="W2"/>
      <c r="X2">
        <v>262</v>
      </c>
      <c r="Y2"/>
      <c r="Z2"/>
      <c r="AA2"/>
      <c r="AB2"/>
      <c r="AC2"/>
      <c r="AD2"/>
      <c r="AE2"/>
      <c r="AF2"/>
      <c r="AG2"/>
      <c r="AH2"/>
      <c r="AI2">
        <v>18.0</v>
      </c>
      <c r="AJ2">
        <v>10.5</v>
      </c>
      <c r="AK2">
        <v>13.0</v>
      </c>
      <c r="AL2">
        <v>9.0</v>
      </c>
      <c r="AM2">
        <v>24.56</v>
      </c>
      <c r="AN2">
        <v>313.97</v>
      </c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t="inlineStr">
        <is>
          <t>II</t>
        </is>
      </c>
      <c r="BN2" t="inlineStr">
        <is>
          <t>corticosteroid</t>
        </is>
      </c>
      <c r="BO2" t="inlineStr">
        <is>
          <t>small_molecule_API</t>
        </is>
      </c>
      <c r="BP2" t="inlineStr">
        <is>
          <t>neutral corticosteroid; pulmonary/topical/oral nanocarrier payload</t>
        </is>
      </c>
      <c r="BQ2"/>
      <c r="BR2">
        <v>0.1</v>
      </c>
      <c r="BS2">
        <v>94.8</v>
      </c>
      <c r="BT2">
        <v>3</v>
      </c>
      <c r="BU2">
        <v>6</v>
      </c>
      <c r="BV2">
        <v>2</v>
      </c>
      <c r="BW2">
        <v>1</v>
      </c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</row>
    <row r="3">
      <c r="A3" t="inlineStr">
        <is>
          <t>API_BUDESONIDE</t>
        </is>
      </c>
      <c r="B3" t="inlineStr">
        <is>
          <t>Budesonide</t>
        </is>
      </c>
      <c r="C3" t="inlineStr">
        <is>
          <t>API</t>
        </is>
      </c>
      <c r="D3" t="inlineStr">
        <is>
          <t>Drug/API</t>
        </is>
      </c>
      <c r="E3" t="inlineStr">
        <is>
          <t>corticosteroid</t>
        </is>
      </c>
      <c r="F3">
        <v>430.54</v>
      </c>
      <c r="G3"/>
      <c r="H3"/>
      <c r="I3"/>
      <c r="J3" t="inlineStr">
        <is>
          <t>C25H34O6</t>
        </is>
      </c>
      <c r="K3"/>
      <c r="L3"/>
      <c r="M3"/>
      <c r="N3">
        <v>2.3</v>
      </c>
      <c r="O3"/>
      <c r="P3"/>
      <c r="Q3"/>
      <c r="R3"/>
      <c r="S3"/>
      <c r="T3">
        <v>0</v>
      </c>
      <c r="U3"/>
      <c r="V3"/>
      <c r="W3"/>
      <c r="X3">
        <v>224</v>
      </c>
      <c r="Y3"/>
      <c r="Z3"/>
      <c r="AA3"/>
      <c r="AB3"/>
      <c r="AC3"/>
      <c r="AD3"/>
      <c r="AE3"/>
      <c r="AF3"/>
      <c r="AG3"/>
      <c r="AH3"/>
      <c r="AI3">
        <v>18.0</v>
      </c>
      <c r="AJ3">
        <v>10.5</v>
      </c>
      <c r="AK3">
        <v>13.0</v>
      </c>
      <c r="AL3">
        <v>9.0</v>
      </c>
      <c r="AM3">
        <v>24.56</v>
      </c>
      <c r="AN3">
        <v>344.43</v>
      </c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t="inlineStr">
        <is>
          <t>II</t>
        </is>
      </c>
      <c r="BN3" t="inlineStr">
        <is>
          <t>corticosteroid</t>
        </is>
      </c>
      <c r="BO3" t="inlineStr">
        <is>
          <t>small_molecule_API</t>
        </is>
      </c>
      <c r="BP3" t="inlineStr">
        <is>
          <t>neutral corticosteroid; pulmonary delivery candidate</t>
        </is>
      </c>
      <c r="BQ3"/>
      <c r="BR3">
        <v>0.014</v>
      </c>
      <c r="BS3">
        <v>93.1</v>
      </c>
      <c r="BT3">
        <v>2</v>
      </c>
      <c r="BU3">
        <v>6</v>
      </c>
      <c r="BV3">
        <v>7</v>
      </c>
      <c r="BW3">
        <v>0</v>
      </c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</row>
    <row r="4">
      <c r="A4" t="inlineStr">
        <is>
          <t>API_FLUTICASONE_PROPIONATE</t>
        </is>
      </c>
      <c r="B4" t="inlineStr">
        <is>
          <t>Fluticasone propionate</t>
        </is>
      </c>
      <c r="C4" t="inlineStr">
        <is>
          <t>API</t>
        </is>
      </c>
      <c r="D4" t="inlineStr">
        <is>
          <t>Drug/API</t>
        </is>
      </c>
      <c r="E4" t="inlineStr">
        <is>
          <t>corticosteroid</t>
        </is>
      </c>
      <c r="F4">
        <v>500.57</v>
      </c>
      <c r="G4"/>
      <c r="H4"/>
      <c r="I4"/>
      <c r="J4" t="inlineStr">
        <is>
          <t>C25H31F3O5S</t>
        </is>
      </c>
      <c r="K4"/>
      <c r="L4"/>
      <c r="M4"/>
      <c r="N4">
        <v>3.7</v>
      </c>
      <c r="O4"/>
      <c r="P4"/>
      <c r="Q4"/>
      <c r="R4"/>
      <c r="S4"/>
      <c r="T4">
        <v>0</v>
      </c>
      <c r="U4"/>
      <c r="V4"/>
      <c r="W4"/>
      <c r="X4">
        <v>273</v>
      </c>
      <c r="Y4"/>
      <c r="Z4"/>
      <c r="AA4"/>
      <c r="AB4"/>
      <c r="AC4"/>
      <c r="AD4"/>
      <c r="AE4"/>
      <c r="AF4"/>
      <c r="AG4"/>
      <c r="AH4"/>
      <c r="AI4">
        <v>18.2</v>
      </c>
      <c r="AJ4">
        <v>8.0</v>
      </c>
      <c r="AK4">
        <v>10.0</v>
      </c>
      <c r="AL4">
        <v>8.5</v>
      </c>
      <c r="AM4">
        <v>22.25</v>
      </c>
      <c r="AN4">
        <v>400.46</v>
      </c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t="inlineStr">
        <is>
          <t>II</t>
        </is>
      </c>
      <c r="BN4" t="inlineStr">
        <is>
          <t>corticosteroid</t>
        </is>
      </c>
      <c r="BO4" t="inlineStr">
        <is>
          <t>small_molecule_API</t>
        </is>
      </c>
      <c r="BP4" t="inlineStr">
        <is>
          <t>highly lipophilic inhaled corticosteroid</t>
        </is>
      </c>
      <c r="BQ4"/>
      <c r="BR4">
        <v>0.00014</v>
      </c>
      <c r="BS4">
        <v>94.8</v>
      </c>
      <c r="BT4">
        <v>1</v>
      </c>
      <c r="BU4">
        <v>7</v>
      </c>
      <c r="BV4">
        <v>8</v>
      </c>
      <c r="BW4">
        <v>1</v>
      </c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</row>
    <row r="5">
      <c r="A5" t="inlineStr">
        <is>
          <t>API_BECLOMETHASONE_DIPROPIONATE</t>
        </is>
      </c>
      <c r="B5" t="inlineStr">
        <is>
          <t>Beclomethasone dipropionate</t>
        </is>
      </c>
      <c r="C5" t="inlineStr">
        <is>
          <t>API</t>
        </is>
      </c>
      <c r="D5" t="inlineStr">
        <is>
          <t>Drug/API</t>
        </is>
      </c>
      <c r="E5" t="inlineStr">
        <is>
          <t>corticosteroid</t>
        </is>
      </c>
      <c r="F5">
        <v>521.04</v>
      </c>
      <c r="G5"/>
      <c r="H5"/>
      <c r="I5"/>
      <c r="J5" t="inlineStr">
        <is>
          <t>C28H37ClO7</t>
        </is>
      </c>
      <c r="K5"/>
      <c r="L5"/>
      <c r="M5"/>
      <c r="N5">
        <v>3.5</v>
      </c>
      <c r="O5"/>
      <c r="P5"/>
      <c r="Q5"/>
      <c r="R5"/>
      <c r="S5"/>
      <c r="T5">
        <v>0</v>
      </c>
      <c r="U5"/>
      <c r="V5"/>
      <c r="W5"/>
      <c r="X5">
        <v>208</v>
      </c>
      <c r="Y5"/>
      <c r="Z5"/>
      <c r="AA5"/>
      <c r="AB5"/>
      <c r="AC5"/>
      <c r="AD5"/>
      <c r="AE5"/>
      <c r="AF5"/>
      <c r="AG5"/>
      <c r="AH5"/>
      <c r="AI5">
        <v>18.2</v>
      </c>
      <c r="AJ5">
        <v>8.0</v>
      </c>
      <c r="AK5">
        <v>10.0</v>
      </c>
      <c r="AL5">
        <v>8.5</v>
      </c>
      <c r="AM5">
        <v>22.25</v>
      </c>
      <c r="AN5">
        <v>416.83</v>
      </c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t="inlineStr">
        <is>
          <t>II</t>
        </is>
      </c>
      <c r="BN5" t="inlineStr">
        <is>
          <t>corticosteroid</t>
        </is>
      </c>
      <c r="BO5" t="inlineStr">
        <is>
          <t>small_molecule_API</t>
        </is>
      </c>
      <c r="BP5" t="inlineStr">
        <is>
          <t>inhaled corticosteroid prodrug-like ester</t>
        </is>
      </c>
      <c r="BQ5"/>
      <c r="BR5">
        <v>0.00013</v>
      </c>
      <c r="BS5">
        <v>89.9</v>
      </c>
      <c r="BT5">
        <v>0</v>
      </c>
      <c r="BU5">
        <v>7</v>
      </c>
      <c r="BV5">
        <v>9</v>
      </c>
      <c r="BW5">
        <v>0</v>
      </c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</row>
    <row r="6">
      <c r="A6" t="inlineStr">
        <is>
          <t>API_PREDNISOLONE</t>
        </is>
      </c>
      <c r="B6" t="inlineStr">
        <is>
          <t>Prednisolone</t>
        </is>
      </c>
      <c r="C6" t="inlineStr">
        <is>
          <t>API</t>
        </is>
      </c>
      <c r="D6" t="inlineStr">
        <is>
          <t>Drug/API</t>
        </is>
      </c>
      <c r="E6" t="inlineStr">
        <is>
          <t>corticosteroid</t>
        </is>
      </c>
      <c r="F6">
        <v>360.44</v>
      </c>
      <c r="G6"/>
      <c r="H6"/>
      <c r="I6"/>
      <c r="J6" t="inlineStr">
        <is>
          <t>C21H28O5</t>
        </is>
      </c>
      <c r="K6"/>
      <c r="L6"/>
      <c r="M6"/>
      <c r="N6">
        <v>1.6</v>
      </c>
      <c r="O6"/>
      <c r="P6"/>
      <c r="Q6"/>
      <c r="R6"/>
      <c r="S6"/>
      <c r="T6">
        <v>0</v>
      </c>
      <c r="U6"/>
      <c r="V6"/>
      <c r="W6"/>
      <c r="X6">
        <v>235</v>
      </c>
      <c r="Y6"/>
      <c r="Z6"/>
      <c r="AA6"/>
      <c r="AB6"/>
      <c r="AC6"/>
      <c r="AD6"/>
      <c r="AE6"/>
      <c r="AF6"/>
      <c r="AG6"/>
      <c r="AH6"/>
      <c r="AI6">
        <v>18.0</v>
      </c>
      <c r="AJ6">
        <v>10.5</v>
      </c>
      <c r="AK6">
        <v>13.0</v>
      </c>
      <c r="AL6">
        <v>9.0</v>
      </c>
      <c r="AM6">
        <v>24.56</v>
      </c>
      <c r="AN6">
        <v>288.35</v>
      </c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t="inlineStr">
        <is>
          <t>I/II</t>
        </is>
      </c>
      <c r="BN6" t="inlineStr">
        <is>
          <t>corticosteroid</t>
        </is>
      </c>
      <c r="BO6" t="inlineStr">
        <is>
          <t>small_molecule_API</t>
        </is>
      </c>
      <c r="BP6" t="inlineStr">
        <is>
          <t>corticosteroid; oral/topical/parenteral precedent</t>
        </is>
      </c>
      <c r="BQ6"/>
      <c r="BR6">
        <v>0.22</v>
      </c>
      <c r="BS6">
        <v>94.8</v>
      </c>
      <c r="BT6">
        <v>3</v>
      </c>
      <c r="BU6">
        <v>5</v>
      </c>
      <c r="BV6">
        <v>2</v>
      </c>
      <c r="BW6">
        <v>1</v>
      </c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</row>
    <row r="7">
      <c r="A7" t="inlineStr">
        <is>
          <t>API_HYDROCORTISONE</t>
        </is>
      </c>
      <c r="B7" t="inlineStr">
        <is>
          <t>Hydrocortisone</t>
        </is>
      </c>
      <c r="C7" t="inlineStr">
        <is>
          <t>API</t>
        </is>
      </c>
      <c r="D7" t="inlineStr">
        <is>
          <t>Drug/API</t>
        </is>
      </c>
      <c r="E7" t="inlineStr">
        <is>
          <t>corticosteroid</t>
        </is>
      </c>
      <c r="F7">
        <v>362.46</v>
      </c>
      <c r="G7"/>
      <c r="H7"/>
      <c r="I7"/>
      <c r="J7" t="inlineStr">
        <is>
          <t>C21H30O5</t>
        </is>
      </c>
      <c r="K7"/>
      <c r="L7"/>
      <c r="M7"/>
      <c r="N7">
        <v>1.6</v>
      </c>
      <c r="O7"/>
      <c r="P7"/>
      <c r="Q7"/>
      <c r="R7"/>
      <c r="S7"/>
      <c r="T7">
        <v>0</v>
      </c>
      <c r="U7"/>
      <c r="V7"/>
      <c r="W7"/>
      <c r="X7">
        <v>220</v>
      </c>
      <c r="Y7"/>
      <c r="Z7"/>
      <c r="AA7"/>
      <c r="AB7"/>
      <c r="AC7"/>
      <c r="AD7"/>
      <c r="AE7"/>
      <c r="AF7"/>
      <c r="AG7"/>
      <c r="AH7"/>
      <c r="AI7">
        <v>18.0</v>
      </c>
      <c r="AJ7">
        <v>10.5</v>
      </c>
      <c r="AK7">
        <v>13.0</v>
      </c>
      <c r="AL7">
        <v>9.0</v>
      </c>
      <c r="AM7">
        <v>24.56</v>
      </c>
      <c r="AN7">
        <v>289.97</v>
      </c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inlineStr">
        <is>
          <t>I/II</t>
        </is>
      </c>
      <c r="BN7" t="inlineStr">
        <is>
          <t>corticosteroid</t>
        </is>
      </c>
      <c r="BO7" t="inlineStr">
        <is>
          <t>small_molecule_API</t>
        </is>
      </c>
      <c r="BP7" t="inlineStr">
        <is>
          <t>corticosteroid; benchmark amphiphilic neutral drug</t>
        </is>
      </c>
      <c r="BQ7"/>
      <c r="BR7">
        <v>0.28</v>
      </c>
      <c r="BS7">
        <v>94.8</v>
      </c>
      <c r="BT7">
        <v>3</v>
      </c>
      <c r="BU7">
        <v>5</v>
      </c>
      <c r="BV7">
        <v>2</v>
      </c>
      <c r="BW7">
        <v>0</v>
      </c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</row>
    <row r="8">
      <c r="A8" t="inlineStr">
        <is>
          <t>API_CURCUMIN</t>
        </is>
      </c>
      <c r="B8" t="inlineStr">
        <is>
          <t>Curcumin</t>
        </is>
      </c>
      <c r="C8" t="inlineStr">
        <is>
          <t>API</t>
        </is>
      </c>
      <c r="D8" t="inlineStr">
        <is>
          <t>Drug/API</t>
        </is>
      </c>
      <c r="E8" t="inlineStr">
        <is>
          <t>polyphenol</t>
        </is>
      </c>
      <c r="F8">
        <v>368.38</v>
      </c>
      <c r="G8"/>
      <c r="H8"/>
      <c r="I8"/>
      <c r="J8" t="inlineStr">
        <is>
          <t>C21H20O6</t>
        </is>
      </c>
      <c r="K8"/>
      <c r="L8"/>
      <c r="M8"/>
      <c r="N8">
        <v>3.2</v>
      </c>
      <c r="O8">
        <v>8.5</v>
      </c>
      <c r="P8"/>
      <c r="Q8"/>
      <c r="R8"/>
      <c r="S8"/>
      <c r="T8">
        <v>0</v>
      </c>
      <c r="U8"/>
      <c r="V8"/>
      <c r="W8"/>
      <c r="X8">
        <v>183</v>
      </c>
      <c r="Y8"/>
      <c r="Z8"/>
      <c r="AA8"/>
      <c r="AB8"/>
      <c r="AC8"/>
      <c r="AD8"/>
      <c r="AE8"/>
      <c r="AF8"/>
      <c r="AG8"/>
      <c r="AH8"/>
      <c r="AI8">
        <v>18.2</v>
      </c>
      <c r="AJ8">
        <v>8.0</v>
      </c>
      <c r="AK8">
        <v>10.0</v>
      </c>
      <c r="AL8">
        <v>8.5</v>
      </c>
      <c r="AM8">
        <v>22.25</v>
      </c>
      <c r="AN8">
        <v>294.7</v>
      </c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inlineStr">
        <is>
          <t>IV</t>
        </is>
      </c>
      <c r="BN8" t="inlineStr">
        <is>
          <t>polyphenol</t>
        </is>
      </c>
      <c r="BO8" t="inlineStr">
        <is>
          <t>small_molecule_API</t>
        </is>
      </c>
      <c r="BP8" t="inlineStr">
        <is>
          <t>polyphenol; hydrophobic antioxidant/anti-inflammatory payload</t>
        </is>
      </c>
      <c r="BQ8"/>
      <c r="BR8">
        <v>0.0006</v>
      </c>
      <c r="BS8">
        <v>93.1</v>
      </c>
      <c r="BT8">
        <v>2</v>
      </c>
      <c r="BU8">
        <v>6</v>
      </c>
      <c r="BV8">
        <v>8</v>
      </c>
      <c r="BW8">
        <v>2</v>
      </c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</row>
    <row r="9">
      <c r="A9" t="inlineStr">
        <is>
          <t>API_QUERCETIN</t>
        </is>
      </c>
      <c r="B9" t="inlineStr">
        <is>
          <t>Quercetin</t>
        </is>
      </c>
      <c r="C9" t="inlineStr">
        <is>
          <t>API</t>
        </is>
      </c>
      <c r="D9" t="inlineStr">
        <is>
          <t>Drug/API</t>
        </is>
      </c>
      <c r="E9" t="inlineStr">
        <is>
          <t>flavonoid</t>
        </is>
      </c>
      <c r="F9">
        <v>302.24</v>
      </c>
      <c r="G9"/>
      <c r="H9"/>
      <c r="I9"/>
      <c r="J9" t="inlineStr">
        <is>
          <t>C15H10O7</t>
        </is>
      </c>
      <c r="K9"/>
      <c r="L9"/>
      <c r="M9"/>
      <c r="N9">
        <v>1.5</v>
      </c>
      <c r="O9">
        <v>6.4</v>
      </c>
      <c r="P9"/>
      <c r="Q9"/>
      <c r="R9"/>
      <c r="S9"/>
      <c r="T9">
        <v>0</v>
      </c>
      <c r="U9"/>
      <c r="V9"/>
      <c r="W9"/>
      <c r="X9">
        <v>316</v>
      </c>
      <c r="Y9"/>
      <c r="Z9"/>
      <c r="AA9"/>
      <c r="AB9"/>
      <c r="AC9"/>
      <c r="AD9"/>
      <c r="AE9"/>
      <c r="AF9"/>
      <c r="AG9"/>
      <c r="AH9"/>
      <c r="AI9">
        <v>18.0</v>
      </c>
      <c r="AJ9">
        <v>10.5</v>
      </c>
      <c r="AK9">
        <v>13.0</v>
      </c>
      <c r="AL9">
        <v>9.0</v>
      </c>
      <c r="AM9">
        <v>24.56</v>
      </c>
      <c r="AN9">
        <v>241.79</v>
      </c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inlineStr">
        <is>
          <t>II/IV</t>
        </is>
      </c>
      <c r="BN9" t="inlineStr">
        <is>
          <t>flavonoid</t>
        </is>
      </c>
      <c r="BO9" t="inlineStr">
        <is>
          <t>small_molecule_API</t>
        </is>
      </c>
      <c r="BP9" t="inlineStr">
        <is>
          <t>flavonoid; crystallization-prone polyphenol</t>
        </is>
      </c>
      <c r="BQ9"/>
      <c r="BR9">
        <v>0.002</v>
      </c>
      <c r="BS9">
        <v>131.4</v>
      </c>
      <c r="BT9">
        <v>5</v>
      </c>
      <c r="BU9">
        <v>7</v>
      </c>
      <c r="BV9">
        <v>1</v>
      </c>
      <c r="BW9">
        <v>2</v>
      </c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</row>
    <row r="10">
      <c r="A10" t="inlineStr">
        <is>
          <t>API_RESVERATROL</t>
        </is>
      </c>
      <c r="B10" t="inlineStr">
        <is>
          <t>Resveratrol</t>
        </is>
      </c>
      <c r="C10" t="inlineStr">
        <is>
          <t>API</t>
        </is>
      </c>
      <c r="D10" t="inlineStr">
        <is>
          <t>Drug/API</t>
        </is>
      </c>
      <c r="E10" t="inlineStr">
        <is>
          <t>polyphenol</t>
        </is>
      </c>
      <c r="F10">
        <v>228.25</v>
      </c>
      <c r="G10"/>
      <c r="H10"/>
      <c r="I10"/>
      <c r="J10" t="inlineStr">
        <is>
          <t>C14H12O3</t>
        </is>
      </c>
      <c r="K10"/>
      <c r="L10"/>
      <c r="M10"/>
      <c r="N10">
        <v>3.1</v>
      </c>
      <c r="O10">
        <v>9.3</v>
      </c>
      <c r="P10"/>
      <c r="Q10"/>
      <c r="R10"/>
      <c r="S10"/>
      <c r="T10">
        <v>0</v>
      </c>
      <c r="U10"/>
      <c r="V10"/>
      <c r="W10"/>
      <c r="X10">
        <v>253</v>
      </c>
      <c r="Y10"/>
      <c r="Z10"/>
      <c r="AA10"/>
      <c r="AB10"/>
      <c r="AC10"/>
      <c r="AD10"/>
      <c r="AE10"/>
      <c r="AF10"/>
      <c r="AG10"/>
      <c r="AH10"/>
      <c r="AI10">
        <v>18.2</v>
      </c>
      <c r="AJ10">
        <v>8.0</v>
      </c>
      <c r="AK10">
        <v>10.0</v>
      </c>
      <c r="AL10">
        <v>8.5</v>
      </c>
      <c r="AM10">
        <v>22.25</v>
      </c>
      <c r="AN10">
        <v>182.6</v>
      </c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t="inlineStr">
        <is>
          <t>II</t>
        </is>
      </c>
      <c r="BN10" t="inlineStr">
        <is>
          <t>polyphenol</t>
        </is>
      </c>
      <c r="BO10" t="inlineStr">
        <is>
          <t>small_molecule_API</t>
        </is>
      </c>
      <c r="BP10" t="inlineStr">
        <is>
          <t>polyphenol; neutral weak acid phenolic payload</t>
        </is>
      </c>
      <c r="BQ10"/>
      <c r="BR10">
        <v>0.03</v>
      </c>
      <c r="BS10">
        <v>60.7</v>
      </c>
      <c r="BT10">
        <v>3</v>
      </c>
      <c r="BU10">
        <v>3</v>
      </c>
      <c r="BV10">
        <v>2</v>
      </c>
      <c r="BW10">
        <v>2</v>
      </c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</row>
    <row r="11">
      <c r="A11" t="inlineStr">
        <is>
          <t>API_IBUPROFEN</t>
        </is>
      </c>
      <c r="B11" t="inlineStr">
        <is>
          <t>Ibuprofen</t>
        </is>
      </c>
      <c r="C11" t="inlineStr">
        <is>
          <t>API</t>
        </is>
      </c>
      <c r="D11" t="inlineStr">
        <is>
          <t>Drug/API</t>
        </is>
      </c>
      <c r="E11" t="inlineStr">
        <is>
          <t>NSAID</t>
        </is>
      </c>
      <c r="F11">
        <v>206.28</v>
      </c>
      <c r="G11"/>
      <c r="H11"/>
      <c r="I11"/>
      <c r="J11" t="inlineStr">
        <is>
          <t>C13H18O2</t>
        </is>
      </c>
      <c r="K11"/>
      <c r="L11"/>
      <c r="M11"/>
      <c r="N11">
        <v>3.5</v>
      </c>
      <c r="O11">
        <v>4.9</v>
      </c>
      <c r="P11"/>
      <c r="Q11"/>
      <c r="R11"/>
      <c r="S11"/>
      <c r="T11">
        <v>0</v>
      </c>
      <c r="U11"/>
      <c r="V11"/>
      <c r="W11"/>
      <c r="X11">
        <v>76</v>
      </c>
      <c r="Y11"/>
      <c r="Z11"/>
      <c r="AA11"/>
      <c r="AB11"/>
      <c r="AC11"/>
      <c r="AD11"/>
      <c r="AE11"/>
      <c r="AF11"/>
      <c r="AG11"/>
      <c r="AH11"/>
      <c r="AI11">
        <v>18.2</v>
      </c>
      <c r="AJ11">
        <v>8.0</v>
      </c>
      <c r="AK11">
        <v>10.0</v>
      </c>
      <c r="AL11">
        <v>8.5</v>
      </c>
      <c r="AM11">
        <v>22.25</v>
      </c>
      <c r="AN11">
        <v>165.02</v>
      </c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inlineStr">
        <is>
          <t>II</t>
        </is>
      </c>
      <c r="BN11" t="inlineStr">
        <is>
          <t>NSAID</t>
        </is>
      </c>
      <c r="BO11" t="inlineStr">
        <is>
          <t>small_molecule_API</t>
        </is>
      </c>
      <c r="BP11" t="inlineStr">
        <is>
          <t>weak-acid NSAID; ionization controls loading/release</t>
        </is>
      </c>
      <c r="BQ11"/>
      <c r="BR11">
        <v>0.021</v>
      </c>
      <c r="BS11">
        <v>37.3</v>
      </c>
      <c r="BT11">
        <v>1</v>
      </c>
      <c r="BU11">
        <v>2</v>
      </c>
      <c r="BV11">
        <v>4</v>
      </c>
      <c r="BW11">
        <v>1</v>
      </c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</row>
    <row r="12">
      <c r="A12" t="inlineStr">
        <is>
          <t>API_KETOPROFEN</t>
        </is>
      </c>
      <c r="B12" t="inlineStr">
        <is>
          <t>Ketoprofen</t>
        </is>
      </c>
      <c r="C12" t="inlineStr">
        <is>
          <t>API</t>
        </is>
      </c>
      <c r="D12" t="inlineStr">
        <is>
          <t>Drug/API</t>
        </is>
      </c>
      <c r="E12" t="inlineStr">
        <is>
          <t>NSAID</t>
        </is>
      </c>
      <c r="F12">
        <v>254.28</v>
      </c>
      <c r="G12"/>
      <c r="H12"/>
      <c r="I12"/>
      <c r="J12" t="inlineStr">
        <is>
          <t>C16H14O3</t>
        </is>
      </c>
      <c r="K12"/>
      <c r="L12"/>
      <c r="M12"/>
      <c r="N12">
        <v>3.1</v>
      </c>
      <c r="O12">
        <v>4.45</v>
      </c>
      <c r="P12"/>
      <c r="Q12"/>
      <c r="R12"/>
      <c r="S12"/>
      <c r="T12">
        <v>0</v>
      </c>
      <c r="U12"/>
      <c r="V12"/>
      <c r="W12"/>
      <c r="X12">
        <v>94</v>
      </c>
      <c r="Y12"/>
      <c r="Z12"/>
      <c r="AA12"/>
      <c r="AB12"/>
      <c r="AC12"/>
      <c r="AD12"/>
      <c r="AE12"/>
      <c r="AF12"/>
      <c r="AG12"/>
      <c r="AH12"/>
      <c r="AI12">
        <v>18.2</v>
      </c>
      <c r="AJ12">
        <v>8.0</v>
      </c>
      <c r="AK12">
        <v>10.0</v>
      </c>
      <c r="AL12">
        <v>8.5</v>
      </c>
      <c r="AM12">
        <v>22.25</v>
      </c>
      <c r="AN12">
        <v>203.42</v>
      </c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 t="inlineStr">
        <is>
          <t>II</t>
        </is>
      </c>
      <c r="BN12" t="inlineStr">
        <is>
          <t>NSAID</t>
        </is>
      </c>
      <c r="BO12" t="inlineStr">
        <is>
          <t>small_molecule_API</t>
        </is>
      </c>
      <c r="BP12" t="inlineStr">
        <is>
          <t>weak-acid NSAID</t>
        </is>
      </c>
      <c r="BQ12"/>
      <c r="BR12">
        <v>0.12</v>
      </c>
      <c r="BS12">
        <v>54.4</v>
      </c>
      <c r="BT12">
        <v>1</v>
      </c>
      <c r="BU12">
        <v>3</v>
      </c>
      <c r="BV12">
        <v>4</v>
      </c>
      <c r="BW12">
        <v>2</v>
      </c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</row>
    <row r="13">
      <c r="A13" t="inlineStr">
        <is>
          <t>API_DICLOFENAC</t>
        </is>
      </c>
      <c r="B13" t="inlineStr">
        <is>
          <t>Diclofenac</t>
        </is>
      </c>
      <c r="C13" t="inlineStr">
        <is>
          <t>API</t>
        </is>
      </c>
      <c r="D13" t="inlineStr">
        <is>
          <t>Drug/API</t>
        </is>
      </c>
      <c r="E13" t="inlineStr">
        <is>
          <t>NSAID</t>
        </is>
      </c>
      <c r="F13">
        <v>296.15</v>
      </c>
      <c r="G13"/>
      <c r="H13"/>
      <c r="I13"/>
      <c r="J13" t="inlineStr">
        <is>
          <t>C14H11Cl2NO2</t>
        </is>
      </c>
      <c r="K13"/>
      <c r="L13"/>
      <c r="M13"/>
      <c r="N13">
        <v>4.5</v>
      </c>
      <c r="O13">
        <v>4.0</v>
      </c>
      <c r="P13"/>
      <c r="Q13"/>
      <c r="R13"/>
      <c r="S13"/>
      <c r="T13">
        <v>0</v>
      </c>
      <c r="U13"/>
      <c r="V13"/>
      <c r="W13"/>
      <c r="X13">
        <v>165</v>
      </c>
      <c r="Y13"/>
      <c r="Z13"/>
      <c r="AA13"/>
      <c r="AB13"/>
      <c r="AC13"/>
      <c r="AD13"/>
      <c r="AE13"/>
      <c r="AF13"/>
      <c r="AG13"/>
      <c r="AH13"/>
      <c r="AI13">
        <v>18.4</v>
      </c>
      <c r="AJ13">
        <v>5.5</v>
      </c>
      <c r="AK13">
        <v>6.0</v>
      </c>
      <c r="AL13">
        <v>8.0</v>
      </c>
      <c r="AM13">
        <v>20.12</v>
      </c>
      <c r="AN13">
        <v>236.92</v>
      </c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 t="inlineStr">
        <is>
          <t>II</t>
        </is>
      </c>
      <c r="BN13" t="inlineStr">
        <is>
          <t>NSAID</t>
        </is>
      </c>
      <c r="BO13" t="inlineStr">
        <is>
          <t>small_molecule_API</t>
        </is>
      </c>
      <c r="BP13" t="inlineStr">
        <is>
          <t>weak-acid NSAID; salt form changes solubility</t>
        </is>
      </c>
      <c r="BQ13"/>
      <c r="BR13">
        <v>0.002</v>
      </c>
      <c r="BS13">
        <v>49.3</v>
      </c>
      <c r="BT13">
        <v>2</v>
      </c>
      <c r="BU13">
        <v>3</v>
      </c>
      <c r="BV13">
        <v>4</v>
      </c>
      <c r="BW13">
        <v>2</v>
      </c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</row>
    <row r="14">
      <c r="A14" t="inlineStr">
        <is>
          <t>API_NAPROXEN</t>
        </is>
      </c>
      <c r="B14" t="inlineStr">
        <is>
          <t>Naproxen</t>
        </is>
      </c>
      <c r="C14" t="inlineStr">
        <is>
          <t>API</t>
        </is>
      </c>
      <c r="D14" t="inlineStr">
        <is>
          <t>Drug/API</t>
        </is>
      </c>
      <c r="E14" t="inlineStr">
        <is>
          <t>NSAID</t>
        </is>
      </c>
      <c r="F14">
        <v>230.26</v>
      </c>
      <c r="G14"/>
      <c r="H14"/>
      <c r="I14"/>
      <c r="J14" t="inlineStr">
        <is>
          <t>C14H14O3</t>
        </is>
      </c>
      <c r="K14"/>
      <c r="L14"/>
      <c r="M14"/>
      <c r="N14">
        <v>3.2</v>
      </c>
      <c r="O14">
        <v>4.2</v>
      </c>
      <c r="P14"/>
      <c r="Q14"/>
      <c r="R14"/>
      <c r="S14"/>
      <c r="T14">
        <v>0</v>
      </c>
      <c r="U14"/>
      <c r="V14"/>
      <c r="W14"/>
      <c r="X14">
        <v>154</v>
      </c>
      <c r="Y14"/>
      <c r="Z14"/>
      <c r="AA14"/>
      <c r="AB14"/>
      <c r="AC14"/>
      <c r="AD14"/>
      <c r="AE14"/>
      <c r="AF14"/>
      <c r="AG14"/>
      <c r="AH14"/>
      <c r="AI14">
        <v>18.2</v>
      </c>
      <c r="AJ14">
        <v>8.0</v>
      </c>
      <c r="AK14">
        <v>10.0</v>
      </c>
      <c r="AL14">
        <v>8.5</v>
      </c>
      <c r="AM14">
        <v>22.25</v>
      </c>
      <c r="AN14">
        <v>184.21</v>
      </c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t="inlineStr">
        <is>
          <t>II</t>
        </is>
      </c>
      <c r="BN14" t="inlineStr">
        <is>
          <t>NSAID</t>
        </is>
      </c>
      <c r="BO14" t="inlineStr">
        <is>
          <t>small_molecule_API</t>
        </is>
      </c>
      <c r="BP14" t="inlineStr">
        <is>
          <t>weak-acid NSAID</t>
        </is>
      </c>
      <c r="BQ14"/>
      <c r="BR14">
        <v>0.016</v>
      </c>
      <c r="BS14">
        <v>46.5</v>
      </c>
      <c r="BT14">
        <v>1</v>
      </c>
      <c r="BU14">
        <v>3</v>
      </c>
      <c r="BV14">
        <v>3</v>
      </c>
      <c r="BW14">
        <v>2</v>
      </c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</row>
    <row r="15">
      <c r="A15" t="inlineStr">
        <is>
          <t>API_INDOMETHACIN</t>
        </is>
      </c>
      <c r="B15" t="inlineStr">
        <is>
          <t>Indomethacin</t>
        </is>
      </c>
      <c r="C15" t="inlineStr">
        <is>
          <t>API</t>
        </is>
      </c>
      <c r="D15" t="inlineStr">
        <is>
          <t>Drug/API</t>
        </is>
      </c>
      <c r="E15" t="inlineStr">
        <is>
          <t>NSAID</t>
        </is>
      </c>
      <c r="F15">
        <v>357.79</v>
      </c>
      <c r="G15"/>
      <c r="H15"/>
      <c r="I15"/>
      <c r="J15" t="inlineStr">
        <is>
          <t>C19H16ClNO4</t>
        </is>
      </c>
      <c r="K15"/>
      <c r="L15"/>
      <c r="M15"/>
      <c r="N15">
        <v>4.3</v>
      </c>
      <c r="O15">
        <v>4.5</v>
      </c>
      <c r="P15"/>
      <c r="Q15"/>
      <c r="R15"/>
      <c r="S15"/>
      <c r="T15">
        <v>0</v>
      </c>
      <c r="U15"/>
      <c r="V15"/>
      <c r="W15"/>
      <c r="X15">
        <v>158</v>
      </c>
      <c r="Y15"/>
      <c r="Z15"/>
      <c r="AA15"/>
      <c r="AB15"/>
      <c r="AC15"/>
      <c r="AD15"/>
      <c r="AE15"/>
      <c r="AF15"/>
      <c r="AG15"/>
      <c r="AH15"/>
      <c r="AI15">
        <v>18.2</v>
      </c>
      <c r="AJ15">
        <v>8.0</v>
      </c>
      <c r="AK15">
        <v>10.0</v>
      </c>
      <c r="AL15">
        <v>8.5</v>
      </c>
      <c r="AM15">
        <v>22.25</v>
      </c>
      <c r="AN15">
        <v>286.23</v>
      </c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inlineStr">
        <is>
          <t>II</t>
        </is>
      </c>
      <c r="BN15" t="inlineStr">
        <is>
          <t>NSAID</t>
        </is>
      </c>
      <c r="BO15" t="inlineStr">
        <is>
          <t>small_molecule_API</t>
        </is>
      </c>
      <c r="BP15" t="inlineStr">
        <is>
          <t>weak-acid NSAID; high crystallization risk</t>
        </is>
      </c>
      <c r="BQ15"/>
      <c r="BR15">
        <v>0.002</v>
      </c>
      <c r="BS15">
        <v>68.5</v>
      </c>
      <c r="BT15">
        <v>1</v>
      </c>
      <c r="BU15">
        <v>4</v>
      </c>
      <c r="BV15">
        <v>4</v>
      </c>
      <c r="BW15">
        <v>2</v>
      </c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</row>
    <row r="16">
      <c r="A16" t="inlineStr">
        <is>
          <t>API_PACLITAXEL</t>
        </is>
      </c>
      <c r="B16" t="inlineStr">
        <is>
          <t>Paclitaxel</t>
        </is>
      </c>
      <c r="C16" t="inlineStr">
        <is>
          <t>API</t>
        </is>
      </c>
      <c r="D16" t="inlineStr">
        <is>
          <t>Drug/API</t>
        </is>
      </c>
      <c r="E16" t="inlineStr">
        <is>
          <t>anticancer taxane</t>
        </is>
      </c>
      <c r="F16">
        <v>853.91</v>
      </c>
      <c r="G16"/>
      <c r="H16"/>
      <c r="I16"/>
      <c r="J16" t="inlineStr">
        <is>
          <t>C47H51NO14</t>
        </is>
      </c>
      <c r="K16"/>
      <c r="L16"/>
      <c r="M16"/>
      <c r="N16">
        <v>3.96</v>
      </c>
      <c r="O16"/>
      <c r="P16"/>
      <c r="Q16"/>
      <c r="R16"/>
      <c r="S16"/>
      <c r="T16">
        <v>0</v>
      </c>
      <c r="U16"/>
      <c r="V16"/>
      <c r="W16"/>
      <c r="X16">
        <v>213</v>
      </c>
      <c r="Y16"/>
      <c r="Z16"/>
      <c r="AA16"/>
      <c r="AB16"/>
      <c r="AC16"/>
      <c r="AD16"/>
      <c r="AE16"/>
      <c r="AF16"/>
      <c r="AG16"/>
      <c r="AH16"/>
      <c r="AI16">
        <v>18.2</v>
      </c>
      <c r="AJ16">
        <v>8.0</v>
      </c>
      <c r="AK16">
        <v>10.0</v>
      </c>
      <c r="AL16">
        <v>8.5</v>
      </c>
      <c r="AM16">
        <v>22.25</v>
      </c>
      <c r="AN16">
        <v>711.59</v>
      </c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 t="inlineStr">
        <is>
          <t>IV</t>
        </is>
      </c>
      <c r="BN16" t="inlineStr">
        <is>
          <t>anticancer taxane</t>
        </is>
      </c>
      <c r="BO16" t="inlineStr">
        <is>
          <t>small_molecule_API</t>
        </is>
      </c>
      <c r="BP16" t="inlineStr">
        <is>
          <t>neutral bulky hydrophobic anticancer payload</t>
        </is>
      </c>
      <c r="BQ16"/>
      <c r="BR16">
        <v>0.0003</v>
      </c>
      <c r="BS16">
        <v>221.3</v>
      </c>
      <c r="BT16">
        <v>4</v>
      </c>
      <c r="BU16">
        <v>15</v>
      </c>
      <c r="BV16">
        <v>14</v>
      </c>
      <c r="BW16">
        <v>7</v>
      </c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</row>
    <row r="17">
      <c r="A17" t="inlineStr">
        <is>
          <t>API_DOCETAXEL</t>
        </is>
      </c>
      <c r="B17" t="inlineStr">
        <is>
          <t>Docetaxel</t>
        </is>
      </c>
      <c r="C17" t="inlineStr">
        <is>
          <t>API</t>
        </is>
      </c>
      <c r="D17" t="inlineStr">
        <is>
          <t>Drug/API</t>
        </is>
      </c>
      <c r="E17" t="inlineStr">
        <is>
          <t>anticancer taxane</t>
        </is>
      </c>
      <c r="F17">
        <v>807.88</v>
      </c>
      <c r="G17"/>
      <c r="H17"/>
      <c r="I17"/>
      <c r="J17" t="inlineStr">
        <is>
          <t>C43H53NO14</t>
        </is>
      </c>
      <c r="K17"/>
      <c r="L17"/>
      <c r="M17"/>
      <c r="N17">
        <v>3.5</v>
      </c>
      <c r="O17"/>
      <c r="P17"/>
      <c r="Q17"/>
      <c r="R17"/>
      <c r="S17"/>
      <c r="T17">
        <v>0</v>
      </c>
      <c r="U17"/>
      <c r="V17"/>
      <c r="W17"/>
      <c r="X17">
        <v>232</v>
      </c>
      <c r="Y17"/>
      <c r="Z17"/>
      <c r="AA17"/>
      <c r="AB17"/>
      <c r="AC17"/>
      <c r="AD17"/>
      <c r="AE17"/>
      <c r="AF17"/>
      <c r="AG17"/>
      <c r="AH17"/>
      <c r="AI17">
        <v>18.2</v>
      </c>
      <c r="AJ17">
        <v>8.0</v>
      </c>
      <c r="AK17">
        <v>10.0</v>
      </c>
      <c r="AL17">
        <v>8.5</v>
      </c>
      <c r="AM17">
        <v>22.25</v>
      </c>
      <c r="AN17">
        <v>673.23</v>
      </c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t="inlineStr">
        <is>
          <t>IV</t>
        </is>
      </c>
      <c r="BN17" t="inlineStr">
        <is>
          <t>anticancer taxane</t>
        </is>
      </c>
      <c r="BO17" t="inlineStr">
        <is>
          <t>small_molecule_API</t>
        </is>
      </c>
      <c r="BP17" t="inlineStr">
        <is>
          <t>taxane; precipitation/crystallization risk</t>
        </is>
      </c>
      <c r="BQ17"/>
      <c r="BR17">
        <v>0.0005</v>
      </c>
      <c r="BS17">
        <v>224.1</v>
      </c>
      <c r="BT17">
        <v>5</v>
      </c>
      <c r="BU17">
        <v>15</v>
      </c>
      <c r="BV17">
        <v>14</v>
      </c>
      <c r="BW17">
        <v>6</v>
      </c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</row>
    <row r="18">
      <c r="A18" t="inlineStr">
        <is>
          <t>API_DOXORUBICIN</t>
        </is>
      </c>
      <c r="B18" t="inlineStr">
        <is>
          <t>Doxorubicin</t>
        </is>
      </c>
      <c r="C18" t="inlineStr">
        <is>
          <t>API</t>
        </is>
      </c>
      <c r="D18" t="inlineStr">
        <is>
          <t>Drug/API</t>
        </is>
      </c>
      <c r="E18" t="inlineStr">
        <is>
          <t>anthracycline</t>
        </is>
      </c>
      <c r="F18">
        <v>543.52</v>
      </c>
      <c r="G18"/>
      <c r="H18"/>
      <c r="I18"/>
      <c r="J18" t="inlineStr">
        <is>
          <t>C27H29NO11</t>
        </is>
      </c>
      <c r="K18"/>
      <c r="L18"/>
      <c r="M18"/>
      <c r="N18">
        <v>1.3</v>
      </c>
      <c r="O18"/>
      <c r="P18">
        <v>8.2</v>
      </c>
      <c r="Q18"/>
      <c r="R18"/>
      <c r="S18"/>
      <c r="T18">
        <v>0</v>
      </c>
      <c r="U18"/>
      <c r="V18"/>
      <c r="W18"/>
      <c r="X18">
        <v>229</v>
      </c>
      <c r="Y18"/>
      <c r="Z18"/>
      <c r="AA18"/>
      <c r="AB18"/>
      <c r="AC18"/>
      <c r="AD18"/>
      <c r="AE18"/>
      <c r="AF18"/>
      <c r="AG18"/>
      <c r="AH18"/>
      <c r="AI18">
        <v>18.0</v>
      </c>
      <c r="AJ18">
        <v>10.5</v>
      </c>
      <c r="AK18">
        <v>13.0</v>
      </c>
      <c r="AL18">
        <v>9.0</v>
      </c>
      <c r="AM18">
        <v>24.56</v>
      </c>
      <c r="AN18">
        <v>434.82</v>
      </c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 t="inlineStr">
        <is>
          <t>III</t>
        </is>
      </c>
      <c r="BN18" t="inlineStr">
        <is>
          <t>anthracycline</t>
        </is>
      </c>
      <c r="BO18" t="inlineStr">
        <is>
          <t>small_molecule_API</t>
        </is>
      </c>
      <c r="BP18" t="inlineStr">
        <is>
          <t>cationizable anthracycline; pH-gradient liposome loading</t>
        </is>
      </c>
      <c r="BQ18"/>
      <c r="BR18">
        <v>0.1</v>
      </c>
      <c r="BS18">
        <v>206.1</v>
      </c>
      <c r="BT18">
        <v>6</v>
      </c>
      <c r="BU18">
        <v>12</v>
      </c>
      <c r="BV18">
        <v>5</v>
      </c>
      <c r="BW18">
        <v>5</v>
      </c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</row>
    <row r="19">
      <c r="A19" t="inlineStr">
        <is>
          <t>API_CISPLATIN</t>
        </is>
      </c>
      <c r="B19" t="inlineStr">
        <is>
          <t>Cisplatin</t>
        </is>
      </c>
      <c r="C19" t="inlineStr">
        <is>
          <t>API</t>
        </is>
      </c>
      <c r="D19" t="inlineStr">
        <is>
          <t>Drug/API</t>
        </is>
      </c>
      <c r="E19" t="inlineStr">
        <is>
          <t>platinum complex</t>
        </is>
      </c>
      <c r="F19">
        <v>300.05</v>
      </c>
      <c r="G19"/>
      <c r="H19"/>
      <c r="I19"/>
      <c r="J19" t="inlineStr">
        <is>
          <t>Cl2H6N2Pt</t>
        </is>
      </c>
      <c r="K19"/>
      <c r="L19"/>
      <c r="M19"/>
      <c r="N19">
        <v>-2.2</v>
      </c>
      <c r="O19"/>
      <c r="P19"/>
      <c r="Q19"/>
      <c r="R19"/>
      <c r="S19"/>
      <c r="T19">
        <v>0</v>
      </c>
      <c r="U19"/>
      <c r="V19"/>
      <c r="W19"/>
      <c r="X19">
        <v>270</v>
      </c>
      <c r="Y19"/>
      <c r="Z19"/>
      <c r="AA19"/>
      <c r="AB19"/>
      <c r="AC19"/>
      <c r="AD19"/>
      <c r="AE19"/>
      <c r="AF19"/>
      <c r="AG19"/>
      <c r="AH19"/>
      <c r="AI19">
        <v>17.5</v>
      </c>
      <c r="AJ19">
        <v>15.0</v>
      </c>
      <c r="AK19">
        <v>20.0</v>
      </c>
      <c r="AL19">
        <v>10.0</v>
      </c>
      <c r="AM19">
        <v>30.52</v>
      </c>
      <c r="AN19">
        <v>240.04</v>
      </c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inlineStr">
        <is>
          <t>III</t>
        </is>
      </c>
      <c r="BN19" t="inlineStr">
        <is>
          <t>platinum complex</t>
        </is>
      </c>
      <c r="BO19" t="inlineStr">
        <is>
          <t>small_molecule_API</t>
        </is>
      </c>
      <c r="BP19" t="inlineStr">
        <is>
          <t>placeholder inorganic anticancer; use complex-specific models</t>
        </is>
      </c>
      <c r="BQ19"/>
      <c r="BR19">
        <v>2.5</v>
      </c>
      <c r="BS19">
        <v>52.0</v>
      </c>
      <c r="BT19">
        <v>2</v>
      </c>
      <c r="BU19">
        <v>2</v>
      </c>
      <c r="BV19">
        <v>0</v>
      </c>
      <c r="BW19">
        <v>0</v>
      </c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</row>
    <row r="20">
      <c r="A20" t="inlineStr">
        <is>
          <t>API_ACYCLOVIR</t>
        </is>
      </c>
      <c r="B20" t="inlineStr">
        <is>
          <t>Acyclovir</t>
        </is>
      </c>
      <c r="C20" t="inlineStr">
        <is>
          <t>API</t>
        </is>
      </c>
      <c r="D20" t="inlineStr">
        <is>
          <t>Drug/API</t>
        </is>
      </c>
      <c r="E20" t="inlineStr">
        <is>
          <t>antiviral</t>
        </is>
      </c>
      <c r="F20">
        <v>225.2</v>
      </c>
      <c r="G20"/>
      <c r="H20"/>
      <c r="I20"/>
      <c r="J20" t="inlineStr">
        <is>
          <t>C8H11N5O3</t>
        </is>
      </c>
      <c r="K20"/>
      <c r="L20"/>
      <c r="M20"/>
      <c r="N20">
        <v>-1.6</v>
      </c>
      <c r="O20">
        <v>9.3</v>
      </c>
      <c r="P20"/>
      <c r="Q20"/>
      <c r="R20"/>
      <c r="S20"/>
      <c r="T20">
        <v>0</v>
      </c>
      <c r="U20"/>
      <c r="V20"/>
      <c r="W20"/>
      <c r="X20">
        <v>256</v>
      </c>
      <c r="Y20"/>
      <c r="Z20"/>
      <c r="AA20"/>
      <c r="AB20"/>
      <c r="AC20"/>
      <c r="AD20"/>
      <c r="AE20"/>
      <c r="AF20"/>
      <c r="AG20"/>
      <c r="AH20"/>
      <c r="AI20">
        <v>17.5</v>
      </c>
      <c r="AJ20">
        <v>15.0</v>
      </c>
      <c r="AK20">
        <v>20.0</v>
      </c>
      <c r="AL20">
        <v>10.0</v>
      </c>
      <c r="AM20">
        <v>30.52</v>
      </c>
      <c r="AN20">
        <v>180.16</v>
      </c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 t="inlineStr">
        <is>
          <t>III</t>
        </is>
      </c>
      <c r="BN20" t="inlineStr">
        <is>
          <t>antiviral</t>
        </is>
      </c>
      <c r="BO20" t="inlineStr">
        <is>
          <t>small_molecule_API</t>
        </is>
      </c>
      <c r="BP20" t="inlineStr">
        <is>
          <t>hydrophilic antiviral; low lipid compatibility</t>
        </is>
      </c>
      <c r="BQ20"/>
      <c r="BR20">
        <v>1.3</v>
      </c>
      <c r="BS20">
        <v>119.0</v>
      </c>
      <c r="BT20">
        <v>3</v>
      </c>
      <c r="BU20">
        <v>7</v>
      </c>
      <c r="BV20">
        <v>4</v>
      </c>
      <c r="BW20">
        <v>2</v>
      </c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</row>
    <row r="21">
      <c r="A21" t="inlineStr">
        <is>
          <t>API_CLOTRIMAZOLE</t>
        </is>
      </c>
      <c r="B21" t="inlineStr">
        <is>
          <t>Clotrimazole</t>
        </is>
      </c>
      <c r="C21" t="inlineStr">
        <is>
          <t>API</t>
        </is>
      </c>
      <c r="D21" t="inlineStr">
        <is>
          <t>Drug/API</t>
        </is>
      </c>
      <c r="E21" t="inlineStr">
        <is>
          <t>antifungal</t>
        </is>
      </c>
      <c r="F21">
        <v>344.84</v>
      </c>
      <c r="G21"/>
      <c r="H21"/>
      <c r="I21"/>
      <c r="J21" t="inlineStr">
        <is>
          <t>C22H17ClN2</t>
        </is>
      </c>
      <c r="K21"/>
      <c r="L21"/>
      <c r="M21"/>
      <c r="N21">
        <v>5.4</v>
      </c>
      <c r="O21"/>
      <c r="P21">
        <v>4.7</v>
      </c>
      <c r="Q21"/>
      <c r="R21"/>
      <c r="S21"/>
      <c r="T21">
        <v>0</v>
      </c>
      <c r="U21"/>
      <c r="V21"/>
      <c r="W21"/>
      <c r="X21">
        <v>147</v>
      </c>
      <c r="Y21"/>
      <c r="Z21"/>
      <c r="AA21"/>
      <c r="AB21"/>
      <c r="AC21"/>
      <c r="AD21"/>
      <c r="AE21"/>
      <c r="AF21"/>
      <c r="AG21"/>
      <c r="AH21"/>
      <c r="AI21">
        <v>18.4</v>
      </c>
      <c r="AJ21">
        <v>5.5</v>
      </c>
      <c r="AK21">
        <v>6.0</v>
      </c>
      <c r="AL21">
        <v>8.0</v>
      </c>
      <c r="AM21">
        <v>20.12</v>
      </c>
      <c r="AN21">
        <v>275.87</v>
      </c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t="inlineStr">
        <is>
          <t>II</t>
        </is>
      </c>
      <c r="BN21" t="inlineStr">
        <is>
          <t>antifungal</t>
        </is>
      </c>
      <c r="BO21" t="inlineStr">
        <is>
          <t>small_molecule_API</t>
        </is>
      </c>
      <c r="BP21" t="inlineStr">
        <is>
          <t>lipophilic imidazole antifungal</t>
        </is>
      </c>
      <c r="BQ21"/>
      <c r="BR21">
        <v>0.00049</v>
      </c>
      <c r="BS21">
        <v>17.8</v>
      </c>
      <c r="BT21">
        <v>0</v>
      </c>
      <c r="BU21">
        <v>2</v>
      </c>
      <c r="BV21">
        <v>4</v>
      </c>
      <c r="BW21">
        <v>3</v>
      </c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</row>
    <row r="22">
      <c r="A22" t="inlineStr">
        <is>
          <t>API_AMPHOTERICIN_B</t>
        </is>
      </c>
      <c r="B22" t="inlineStr">
        <is>
          <t>Amphotericin B</t>
        </is>
      </c>
      <c r="C22" t="inlineStr">
        <is>
          <t>API</t>
        </is>
      </c>
      <c r="D22" t="inlineStr">
        <is>
          <t>Drug/API</t>
        </is>
      </c>
      <c r="E22" t="inlineStr">
        <is>
          <t>antifungal polyene</t>
        </is>
      </c>
      <c r="F22">
        <v>924.08</v>
      </c>
      <c r="G22"/>
      <c r="H22"/>
      <c r="I22"/>
      <c r="J22" t="inlineStr">
        <is>
          <t>C47H73NO17</t>
        </is>
      </c>
      <c r="K22"/>
      <c r="L22"/>
      <c r="M22"/>
      <c r="N22">
        <v>0.8</v>
      </c>
      <c r="O22">
        <v>5.7</v>
      </c>
      <c r="P22"/>
      <c r="Q22"/>
      <c r="R22"/>
      <c r="S22"/>
      <c r="T22">
        <v>0</v>
      </c>
      <c r="U22"/>
      <c r="V22"/>
      <c r="W22"/>
      <c r="X22">
        <v>170</v>
      </c>
      <c r="Y22"/>
      <c r="Z22"/>
      <c r="AA22"/>
      <c r="AB22"/>
      <c r="AC22"/>
      <c r="AD22"/>
      <c r="AE22"/>
      <c r="AF22"/>
      <c r="AG22"/>
      <c r="AH22"/>
      <c r="AI22">
        <v>18.0</v>
      </c>
      <c r="AJ22">
        <v>10.5</v>
      </c>
      <c r="AK22">
        <v>13.0</v>
      </c>
      <c r="AL22">
        <v>9.0</v>
      </c>
      <c r="AM22">
        <v>24.56</v>
      </c>
      <c r="AN22">
        <v>770.07</v>
      </c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 t="inlineStr">
        <is>
          <t>IV</t>
        </is>
      </c>
      <c r="BN22" t="inlineStr">
        <is>
          <t>antifungal polyene</t>
        </is>
      </c>
      <c r="BO22" t="inlineStr">
        <is>
          <t>small_molecule_API</t>
        </is>
      </c>
      <c r="BP22" t="inlineStr">
        <is>
          <t>amphiphilic polyene; sterol-binding relevance</t>
        </is>
      </c>
      <c r="BQ22"/>
      <c r="BR22">
        <v>0.00075</v>
      </c>
      <c r="BS22">
        <v>319.6</v>
      </c>
      <c r="BT22">
        <v>12</v>
      </c>
      <c r="BU22">
        <v>18</v>
      </c>
      <c r="BV22">
        <v>3</v>
      </c>
      <c r="BW22">
        <v>0</v>
      </c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</row>
    <row r="23">
      <c r="A23" t="inlineStr">
        <is>
          <t>API_DOXYCYCLINE</t>
        </is>
      </c>
      <c r="B23" t="inlineStr">
        <is>
          <t>Doxycycline</t>
        </is>
      </c>
      <c r="C23" t="inlineStr">
        <is>
          <t>API</t>
        </is>
      </c>
      <c r="D23" t="inlineStr">
        <is>
          <t>Drug/API</t>
        </is>
      </c>
      <c r="E23" t="inlineStr">
        <is>
          <t>antibiotic tetracycline</t>
        </is>
      </c>
      <c r="F23">
        <v>444.44</v>
      </c>
      <c r="G23"/>
      <c r="H23"/>
      <c r="I23"/>
      <c r="J23" t="inlineStr">
        <is>
          <t>C22H24N2O8</t>
        </is>
      </c>
      <c r="K23"/>
      <c r="L23"/>
      <c r="M23"/>
      <c r="N23">
        <v>-0.7</v>
      </c>
      <c r="O23">
        <v>3.4</v>
      </c>
      <c r="P23"/>
      <c r="Q23"/>
      <c r="R23"/>
      <c r="S23"/>
      <c r="T23">
        <v>0</v>
      </c>
      <c r="U23"/>
      <c r="V23"/>
      <c r="W23"/>
      <c r="X23">
        <v>201</v>
      </c>
      <c r="Y23"/>
      <c r="Z23"/>
      <c r="AA23"/>
      <c r="AB23"/>
      <c r="AC23"/>
      <c r="AD23"/>
      <c r="AE23"/>
      <c r="AF23"/>
      <c r="AG23"/>
      <c r="AH23"/>
      <c r="AI23">
        <v>17.5</v>
      </c>
      <c r="AJ23">
        <v>15.0</v>
      </c>
      <c r="AK23">
        <v>20.0</v>
      </c>
      <c r="AL23">
        <v>10.0</v>
      </c>
      <c r="AM23">
        <v>30.52</v>
      </c>
      <c r="AN23">
        <v>355.55</v>
      </c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t="inlineStr">
        <is>
          <t>III</t>
        </is>
      </c>
      <c r="BN23" t="inlineStr">
        <is>
          <t>antibiotic tetracycline</t>
        </is>
      </c>
      <c r="BO23" t="inlineStr">
        <is>
          <t>small_molecule_API</t>
        </is>
      </c>
      <c r="BP23" t="inlineStr">
        <is>
          <t>chelation and pH-sensitive solubility</t>
        </is>
      </c>
      <c r="BQ23"/>
      <c r="BR23">
        <v>0.63</v>
      </c>
      <c r="BS23">
        <v>181.6</v>
      </c>
      <c r="BT23">
        <v>6</v>
      </c>
      <c r="BU23">
        <v>9</v>
      </c>
      <c r="BV23">
        <v>2</v>
      </c>
      <c r="BW23">
        <v>4</v>
      </c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</row>
    <row r="24">
      <c r="A24" t="inlineStr">
        <is>
          <t>API_RIFAMPICIN</t>
        </is>
      </c>
      <c r="B24" t="inlineStr">
        <is>
          <t>Rifampicin</t>
        </is>
      </c>
      <c r="C24" t="inlineStr">
        <is>
          <t>API</t>
        </is>
      </c>
      <c r="D24" t="inlineStr">
        <is>
          <t>Drug/API</t>
        </is>
      </c>
      <c r="E24" t="inlineStr">
        <is>
          <t>antibiotic rifamycin</t>
        </is>
      </c>
      <c r="F24">
        <v>822.94</v>
      </c>
      <c r="G24"/>
      <c r="H24"/>
      <c r="I24"/>
      <c r="J24" t="inlineStr">
        <is>
          <t>C43H58N4O12</t>
        </is>
      </c>
      <c r="K24"/>
      <c r="L24"/>
      <c r="M24"/>
      <c r="N24">
        <v>2.7</v>
      </c>
      <c r="O24">
        <v>7.9</v>
      </c>
      <c r="P24"/>
      <c r="Q24"/>
      <c r="R24"/>
      <c r="S24"/>
      <c r="T24">
        <v>0</v>
      </c>
      <c r="U24"/>
      <c r="V24"/>
      <c r="W24"/>
      <c r="X24">
        <v>183</v>
      </c>
      <c r="Y24"/>
      <c r="Z24"/>
      <c r="AA24"/>
      <c r="AB24"/>
      <c r="AC24"/>
      <c r="AD24"/>
      <c r="AE24"/>
      <c r="AF24"/>
      <c r="AG24"/>
      <c r="AH24"/>
      <c r="AI24">
        <v>18.2</v>
      </c>
      <c r="AJ24">
        <v>8.0</v>
      </c>
      <c r="AK24">
        <v>10.0</v>
      </c>
      <c r="AL24">
        <v>8.5</v>
      </c>
      <c r="AM24">
        <v>22.25</v>
      </c>
      <c r="AN24">
        <v>685.78</v>
      </c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 t="inlineStr">
        <is>
          <t>II</t>
        </is>
      </c>
      <c r="BN24" t="inlineStr">
        <is>
          <t>antibiotic rifamycin</t>
        </is>
      </c>
      <c r="BO24" t="inlineStr">
        <is>
          <t>small_molecule_API</t>
        </is>
      </c>
      <c r="BP24" t="inlineStr">
        <is>
          <t>large amphiphilic antibiotic; oxidation-sensitive</t>
        </is>
      </c>
      <c r="BQ24"/>
      <c r="BR24">
        <v>1.3</v>
      </c>
      <c r="BS24">
        <v>220.2</v>
      </c>
      <c r="BT24">
        <v>6</v>
      </c>
      <c r="BU24">
        <v>14</v>
      </c>
      <c r="BV24">
        <v>7</v>
      </c>
      <c r="BW24">
        <v>5</v>
      </c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</row>
    <row r="25">
      <c r="A25" t="inlineStr">
        <is>
          <t>API_CYCLOSPORINE_A</t>
        </is>
      </c>
      <c r="B25" t="inlineStr">
        <is>
          <t>Cyclosporine A</t>
        </is>
      </c>
      <c r="C25" t="inlineStr">
        <is>
          <t>API</t>
        </is>
      </c>
      <c r="D25" t="inlineStr">
        <is>
          <t>Drug/API</t>
        </is>
      </c>
      <c r="E25" t="inlineStr">
        <is>
          <t>peptide/cyclic peptide</t>
        </is>
      </c>
      <c r="F25">
        <v>1202.61</v>
      </c>
      <c r="G25"/>
      <c r="H25"/>
      <c r="I25"/>
      <c r="J25" t="inlineStr">
        <is>
          <t>C62H111N11O12</t>
        </is>
      </c>
      <c r="K25"/>
      <c r="L25"/>
      <c r="M25"/>
      <c r="N25">
        <v>2.9</v>
      </c>
      <c r="O25"/>
      <c r="P25"/>
      <c r="Q25"/>
      <c r="R25"/>
      <c r="S25"/>
      <c r="T25">
        <v>0</v>
      </c>
      <c r="U25"/>
      <c r="V25"/>
      <c r="W25"/>
      <c r="X25">
        <v>148</v>
      </c>
      <c r="Y25"/>
      <c r="Z25"/>
      <c r="AA25"/>
      <c r="AB25"/>
      <c r="AC25"/>
      <c r="AD25"/>
      <c r="AE25"/>
      <c r="AF25"/>
      <c r="AG25"/>
      <c r="AH25"/>
      <c r="AI25">
        <v>18.2</v>
      </c>
      <c r="AJ25">
        <v>8.0</v>
      </c>
      <c r="AK25">
        <v>10.0</v>
      </c>
      <c r="AL25">
        <v>8.5</v>
      </c>
      <c r="AM25">
        <v>22.25</v>
      </c>
      <c r="AN25">
        <v>1002.17</v>
      </c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 t="inlineStr">
        <is>
          <t>IV</t>
        </is>
      </c>
      <c r="BN25" t="inlineStr">
        <is>
          <t>peptide/cyclic peptide</t>
        </is>
      </c>
      <c r="BO25" t="inlineStr">
        <is>
          <t>peptide-like payload</t>
        </is>
      </c>
      <c r="BP25" t="inlineStr">
        <is>
          <t>cyclic peptide; lipid emulsion/self-emulsifying relevance</t>
        </is>
      </c>
      <c r="BQ25"/>
      <c r="BR25">
        <v>0.004</v>
      </c>
      <c r="BS25">
        <v>279.5</v>
      </c>
      <c r="BT25">
        <v>5</v>
      </c>
      <c r="BU25">
        <v>12</v>
      </c>
      <c r="BV25">
        <v>15</v>
      </c>
      <c r="BW25">
        <v>0</v>
      </c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</row>
    <row r="26">
      <c r="A26" t="inlineStr">
        <is>
          <t>API_TACROLIMUS</t>
        </is>
      </c>
      <c r="B26" t="inlineStr">
        <is>
          <t>Tacrolimus</t>
        </is>
      </c>
      <c r="C26" t="inlineStr">
        <is>
          <t>API</t>
        </is>
      </c>
      <c r="D26" t="inlineStr">
        <is>
          <t>Drug/API</t>
        </is>
      </c>
      <c r="E26" t="inlineStr">
        <is>
          <t>macrolide immunosuppressant</t>
        </is>
      </c>
      <c r="F26">
        <v>804.02</v>
      </c>
      <c r="G26"/>
      <c r="H26"/>
      <c r="I26"/>
      <c r="J26" t="inlineStr">
        <is>
          <t>C44H69NO12</t>
        </is>
      </c>
      <c r="K26"/>
      <c r="L26"/>
      <c r="M26"/>
      <c r="N26">
        <v>3.3</v>
      </c>
      <c r="O26"/>
      <c r="P26"/>
      <c r="Q26"/>
      <c r="R26"/>
      <c r="S26"/>
      <c r="T26">
        <v>0</v>
      </c>
      <c r="U26"/>
      <c r="V26"/>
      <c r="W26"/>
      <c r="X26">
        <v>126</v>
      </c>
      <c r="Y26"/>
      <c r="Z26"/>
      <c r="AA26"/>
      <c r="AB26"/>
      <c r="AC26"/>
      <c r="AD26"/>
      <c r="AE26"/>
      <c r="AF26"/>
      <c r="AG26"/>
      <c r="AH26"/>
      <c r="AI26">
        <v>18.2</v>
      </c>
      <c r="AJ26">
        <v>8.0</v>
      </c>
      <c r="AK26">
        <v>10.0</v>
      </c>
      <c r="AL26">
        <v>8.5</v>
      </c>
      <c r="AM26">
        <v>22.25</v>
      </c>
      <c r="AN26">
        <v>670.02</v>
      </c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t="inlineStr">
        <is>
          <t>II/IV</t>
        </is>
      </c>
      <c r="BN26" t="inlineStr">
        <is>
          <t>macrolide immunosuppressant</t>
        </is>
      </c>
      <c r="BO26" t="inlineStr">
        <is>
          <t>small_molecule_API</t>
        </is>
      </c>
      <c r="BP26" t="inlineStr">
        <is>
          <t>macrolide immunosuppressant</t>
        </is>
      </c>
      <c r="BQ26"/>
      <c r="BR26">
        <v>0.001</v>
      </c>
      <c r="BS26">
        <v>178.0</v>
      </c>
      <c r="BT26">
        <v>3</v>
      </c>
      <c r="BU26">
        <v>12</v>
      </c>
      <c r="BV26">
        <v>10</v>
      </c>
      <c r="BW26">
        <v>1</v>
      </c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</row>
    <row r="27">
      <c r="A27" t="inlineStr">
        <is>
          <t>API_SIROLIMUS</t>
        </is>
      </c>
      <c r="B27" t="inlineStr">
        <is>
          <t>Sirolimus</t>
        </is>
      </c>
      <c r="C27" t="inlineStr">
        <is>
          <t>API</t>
        </is>
      </c>
      <c r="D27" t="inlineStr">
        <is>
          <t>Drug/API</t>
        </is>
      </c>
      <c r="E27" t="inlineStr">
        <is>
          <t>mTOR inhibitor macrolide</t>
        </is>
      </c>
      <c r="F27">
        <v>914.17</v>
      </c>
      <c r="G27"/>
      <c r="H27"/>
      <c r="I27"/>
      <c r="J27" t="inlineStr">
        <is>
          <t>C51H79NO13</t>
        </is>
      </c>
      <c r="K27"/>
      <c r="L27"/>
      <c r="M27"/>
      <c r="N27">
        <v>4.3</v>
      </c>
      <c r="O27"/>
      <c r="P27"/>
      <c r="Q27"/>
      <c r="R27"/>
      <c r="S27"/>
      <c r="T27">
        <v>0</v>
      </c>
      <c r="U27"/>
      <c r="V27"/>
      <c r="W27"/>
      <c r="X27">
        <v>183</v>
      </c>
      <c r="Y27"/>
      <c r="Z27"/>
      <c r="AA27"/>
      <c r="AB27"/>
      <c r="AC27"/>
      <c r="AD27"/>
      <c r="AE27"/>
      <c r="AF27"/>
      <c r="AG27"/>
      <c r="AH27"/>
      <c r="AI27">
        <v>18.2</v>
      </c>
      <c r="AJ27">
        <v>8.0</v>
      </c>
      <c r="AK27">
        <v>10.0</v>
      </c>
      <c r="AL27">
        <v>8.5</v>
      </c>
      <c r="AM27">
        <v>22.25</v>
      </c>
      <c r="AN27">
        <v>761.81</v>
      </c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inlineStr">
        <is>
          <t>II/IV</t>
        </is>
      </c>
      <c r="BN27" t="inlineStr">
        <is>
          <t>mTOR inhibitor macrolide</t>
        </is>
      </c>
      <c r="BO27" t="inlineStr">
        <is>
          <t>small_molecule_API</t>
        </is>
      </c>
      <c r="BP27" t="inlineStr">
        <is>
          <t>macrolide; amorphous/polymer stabilization candidate</t>
        </is>
      </c>
      <c r="BQ27"/>
      <c r="BR27">
        <v>0.0026</v>
      </c>
      <c r="BS27">
        <v>195.0</v>
      </c>
      <c r="BT27">
        <v>3</v>
      </c>
      <c r="BU27">
        <v>13</v>
      </c>
      <c r="BV27">
        <v>11</v>
      </c>
      <c r="BW27">
        <v>1</v>
      </c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</row>
    <row r="28">
      <c r="A28" t="inlineStr">
        <is>
          <t>API_ITRACONAZOLE</t>
        </is>
      </c>
      <c r="B28" t="inlineStr">
        <is>
          <t>Itraconazole</t>
        </is>
      </c>
      <c r="C28" t="inlineStr">
        <is>
          <t>API</t>
        </is>
      </c>
      <c r="D28" t="inlineStr">
        <is>
          <t>Drug/API</t>
        </is>
      </c>
      <c r="E28" t="inlineStr">
        <is>
          <t>triazole antifungal</t>
        </is>
      </c>
      <c r="F28">
        <v>705.64</v>
      </c>
      <c r="G28"/>
      <c r="H28"/>
      <c r="I28"/>
      <c r="J28" t="inlineStr">
        <is>
          <t>C35H38Cl2N8O4</t>
        </is>
      </c>
      <c r="K28"/>
      <c r="L28"/>
      <c r="M28"/>
      <c r="N28">
        <v>5.7</v>
      </c>
      <c r="O28"/>
      <c r="P28">
        <v>3.7</v>
      </c>
      <c r="Q28"/>
      <c r="R28"/>
      <c r="S28"/>
      <c r="T28">
        <v>0</v>
      </c>
      <c r="U28"/>
      <c r="V28"/>
      <c r="W28"/>
      <c r="X28">
        <v>166</v>
      </c>
      <c r="Y28"/>
      <c r="Z28"/>
      <c r="AA28"/>
      <c r="AB28"/>
      <c r="AC28"/>
      <c r="AD28"/>
      <c r="AE28"/>
      <c r="AF28"/>
      <c r="AG28"/>
      <c r="AH28"/>
      <c r="AI28">
        <v>18.4</v>
      </c>
      <c r="AJ28">
        <v>5.5</v>
      </c>
      <c r="AK28">
        <v>6.0</v>
      </c>
      <c r="AL28">
        <v>8.0</v>
      </c>
      <c r="AM28">
        <v>20.12</v>
      </c>
      <c r="AN28">
        <v>588.03</v>
      </c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t="inlineStr">
        <is>
          <t>II</t>
        </is>
      </c>
      <c r="BN28" t="inlineStr">
        <is>
          <t>triazole antifungal</t>
        </is>
      </c>
      <c r="BO28" t="inlineStr">
        <is>
          <t>small_molecule_API</t>
        </is>
      </c>
      <c r="BP28" t="inlineStr">
        <is>
          <t>highly lipophilic weak base</t>
        </is>
      </c>
      <c r="BQ28"/>
      <c r="BR28">
        <v>1e-06</v>
      </c>
      <c r="BS28">
        <v>104.7</v>
      </c>
      <c r="BT28">
        <v>0</v>
      </c>
      <c r="BU28">
        <v>9</v>
      </c>
      <c r="BV28">
        <v>11</v>
      </c>
      <c r="BW28">
        <v>5</v>
      </c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</row>
    <row r="29">
      <c r="A29" t="inlineStr">
        <is>
          <t>API_VORICONAZOLE</t>
        </is>
      </c>
      <c r="B29" t="inlineStr">
        <is>
          <t>Voriconazole</t>
        </is>
      </c>
      <c r="C29" t="inlineStr">
        <is>
          <t>API</t>
        </is>
      </c>
      <c r="D29" t="inlineStr">
        <is>
          <t>Drug/API</t>
        </is>
      </c>
      <c r="E29" t="inlineStr">
        <is>
          <t>triazole antifungal</t>
        </is>
      </c>
      <c r="F29">
        <v>349.31</v>
      </c>
      <c r="G29"/>
      <c r="H29"/>
      <c r="I29"/>
      <c r="J29" t="inlineStr">
        <is>
          <t>C16H14F3N5O</t>
        </is>
      </c>
      <c r="K29"/>
      <c r="L29"/>
      <c r="M29"/>
      <c r="N29">
        <v>1.8</v>
      </c>
      <c r="O29"/>
      <c r="P29">
        <v>1.8</v>
      </c>
      <c r="Q29"/>
      <c r="R29"/>
      <c r="S29"/>
      <c r="T29">
        <v>0</v>
      </c>
      <c r="U29"/>
      <c r="V29"/>
      <c r="W29"/>
      <c r="X29">
        <v>130</v>
      </c>
      <c r="Y29"/>
      <c r="Z29"/>
      <c r="AA29"/>
      <c r="AB29"/>
      <c r="AC29"/>
      <c r="AD29"/>
      <c r="AE29"/>
      <c r="AF29"/>
      <c r="AG29"/>
      <c r="AH29"/>
      <c r="AI29">
        <v>18.0</v>
      </c>
      <c r="AJ29">
        <v>10.5</v>
      </c>
      <c r="AK29">
        <v>13.0</v>
      </c>
      <c r="AL29">
        <v>9.0</v>
      </c>
      <c r="AM29">
        <v>24.56</v>
      </c>
      <c r="AN29">
        <v>279.45</v>
      </c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t="inlineStr">
        <is>
          <t>I/II</t>
        </is>
      </c>
      <c r="BN29" t="inlineStr">
        <is>
          <t>triazole antifungal</t>
        </is>
      </c>
      <c r="BO29" t="inlineStr">
        <is>
          <t>small_molecule_API</t>
        </is>
      </c>
      <c r="BP29" t="inlineStr">
        <is>
          <t>weak base; oral/parenteral precedent</t>
        </is>
      </c>
      <c r="BQ29"/>
      <c r="BR29">
        <v>0.71</v>
      </c>
      <c r="BS29">
        <v>76.0</v>
      </c>
      <c r="BT29">
        <v>1</v>
      </c>
      <c r="BU29">
        <v>6</v>
      </c>
      <c r="BV29">
        <v>5</v>
      </c>
      <c r="BW29">
        <v>3</v>
      </c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</row>
    <row r="30">
      <c r="A30" t="inlineStr">
        <is>
          <t>API_CELECOXIB</t>
        </is>
      </c>
      <c r="B30" t="inlineStr">
        <is>
          <t>Celecoxib</t>
        </is>
      </c>
      <c r="C30" t="inlineStr">
        <is>
          <t>API</t>
        </is>
      </c>
      <c r="D30" t="inlineStr">
        <is>
          <t>Drug/API</t>
        </is>
      </c>
      <c r="E30" t="inlineStr">
        <is>
          <t>NSAID/COX-2 inhibitor</t>
        </is>
      </c>
      <c r="F30">
        <v>381.37</v>
      </c>
      <c r="G30"/>
      <c r="H30"/>
      <c r="I30"/>
      <c r="J30" t="inlineStr">
        <is>
          <t>C17H14F3N3O2S</t>
        </is>
      </c>
      <c r="K30"/>
      <c r="L30"/>
      <c r="M30"/>
      <c r="N30">
        <v>3.5</v>
      </c>
      <c r="O30">
        <v>11.1</v>
      </c>
      <c r="P30"/>
      <c r="Q30"/>
      <c r="R30"/>
      <c r="S30"/>
      <c r="T30">
        <v>0</v>
      </c>
      <c r="U30"/>
      <c r="V30"/>
      <c r="W30"/>
      <c r="X30">
        <v>159</v>
      </c>
      <c r="Y30"/>
      <c r="Z30"/>
      <c r="AA30"/>
      <c r="AB30"/>
      <c r="AC30"/>
      <c r="AD30"/>
      <c r="AE30"/>
      <c r="AF30"/>
      <c r="AG30"/>
      <c r="AH30"/>
      <c r="AI30">
        <v>18.2</v>
      </c>
      <c r="AJ30">
        <v>8.0</v>
      </c>
      <c r="AK30">
        <v>10.0</v>
      </c>
      <c r="AL30">
        <v>8.5</v>
      </c>
      <c r="AM30">
        <v>22.25</v>
      </c>
      <c r="AN30">
        <v>305.1</v>
      </c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t="inlineStr">
        <is>
          <t>II</t>
        </is>
      </c>
      <c r="BN30" t="inlineStr">
        <is>
          <t>NSAID/COX-2 inhibitor</t>
        </is>
      </c>
      <c r="BO30" t="inlineStr">
        <is>
          <t>small_molecule_API</t>
        </is>
      </c>
      <c r="BP30" t="inlineStr">
        <is>
          <t>weakly acidic sulfonamide; hydrophobic</t>
        </is>
      </c>
      <c r="BQ30"/>
      <c r="BR30">
        <v>0.003</v>
      </c>
      <c r="BS30">
        <v>86.4</v>
      </c>
      <c r="BT30">
        <v>1</v>
      </c>
      <c r="BU30">
        <v>6</v>
      </c>
      <c r="BV30">
        <v>4</v>
      </c>
      <c r="BW30">
        <v>3</v>
      </c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</row>
    <row r="31">
      <c r="A31" t="inlineStr">
        <is>
          <t>API_NIFEDIPINE</t>
        </is>
      </c>
      <c r="B31" t="inlineStr">
        <is>
          <t>Nifedipine</t>
        </is>
      </c>
      <c r="C31" t="inlineStr">
        <is>
          <t>API</t>
        </is>
      </c>
      <c r="D31" t="inlineStr">
        <is>
          <t>Drug/API</t>
        </is>
      </c>
      <c r="E31" t="inlineStr">
        <is>
          <t>calcium-channel blocker</t>
        </is>
      </c>
      <c r="F31">
        <v>346.33</v>
      </c>
      <c r="G31"/>
      <c r="H31"/>
      <c r="I31"/>
      <c r="J31" t="inlineStr">
        <is>
          <t>C17H18N2O6</t>
        </is>
      </c>
      <c r="K31"/>
      <c r="L31"/>
      <c r="M31"/>
      <c r="N31">
        <v>2.2</v>
      </c>
      <c r="O31"/>
      <c r="P31"/>
      <c r="Q31"/>
      <c r="R31"/>
      <c r="S31"/>
      <c r="T31">
        <v>0</v>
      </c>
      <c r="U31"/>
      <c r="V31"/>
      <c r="W31"/>
      <c r="X31">
        <v>172</v>
      </c>
      <c r="Y31"/>
      <c r="Z31"/>
      <c r="AA31"/>
      <c r="AB31"/>
      <c r="AC31"/>
      <c r="AD31"/>
      <c r="AE31"/>
      <c r="AF31"/>
      <c r="AG31"/>
      <c r="AH31"/>
      <c r="AI31">
        <v>18.0</v>
      </c>
      <c r="AJ31">
        <v>10.5</v>
      </c>
      <c r="AK31">
        <v>13.0</v>
      </c>
      <c r="AL31">
        <v>9.0</v>
      </c>
      <c r="AM31">
        <v>24.56</v>
      </c>
      <c r="AN31">
        <v>277.06</v>
      </c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t="inlineStr">
        <is>
          <t>II</t>
        </is>
      </c>
      <c r="BN31" t="inlineStr">
        <is>
          <t>calcium-channel blocker</t>
        </is>
      </c>
      <c r="BO31" t="inlineStr">
        <is>
          <t>small_molecule_API</t>
        </is>
      </c>
      <c r="BP31" t="inlineStr">
        <is>
          <t>photolabile dihydropyridine</t>
        </is>
      </c>
      <c r="BQ31"/>
      <c r="BR31">
        <v>0.006</v>
      </c>
      <c r="BS31">
        <v>110.0</v>
      </c>
      <c r="BT31">
        <v>1</v>
      </c>
      <c r="BU31">
        <v>7</v>
      </c>
      <c r="BV31">
        <v>6</v>
      </c>
      <c r="BW31">
        <v>1</v>
      </c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</row>
    <row r="32">
      <c r="A32" t="inlineStr">
        <is>
          <t>API_FELODIPINE</t>
        </is>
      </c>
      <c r="B32" t="inlineStr">
        <is>
          <t>Felodipine</t>
        </is>
      </c>
      <c r="C32" t="inlineStr">
        <is>
          <t>API</t>
        </is>
      </c>
      <c r="D32" t="inlineStr">
        <is>
          <t>Drug/API</t>
        </is>
      </c>
      <c r="E32" t="inlineStr">
        <is>
          <t>calcium-channel blocker</t>
        </is>
      </c>
      <c r="F32">
        <v>384.25</v>
      </c>
      <c r="G32"/>
      <c r="H32"/>
      <c r="I32"/>
      <c r="J32" t="inlineStr">
        <is>
          <t>C18H19Cl2NO4</t>
        </is>
      </c>
      <c r="K32"/>
      <c r="L32"/>
      <c r="M32"/>
      <c r="N32">
        <v>4.5</v>
      </c>
      <c r="O32"/>
      <c r="P32"/>
      <c r="Q32"/>
      <c r="R32"/>
      <c r="S32"/>
      <c r="T32">
        <v>0</v>
      </c>
      <c r="U32"/>
      <c r="V32"/>
      <c r="W32"/>
      <c r="X32">
        <v>145</v>
      </c>
      <c r="Y32"/>
      <c r="Z32"/>
      <c r="AA32"/>
      <c r="AB32"/>
      <c r="AC32"/>
      <c r="AD32"/>
      <c r="AE32"/>
      <c r="AF32"/>
      <c r="AG32"/>
      <c r="AH32"/>
      <c r="AI32">
        <v>18.4</v>
      </c>
      <c r="AJ32">
        <v>5.5</v>
      </c>
      <c r="AK32">
        <v>6.0</v>
      </c>
      <c r="AL32">
        <v>8.0</v>
      </c>
      <c r="AM32">
        <v>20.12</v>
      </c>
      <c r="AN32">
        <v>307.4</v>
      </c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t="inlineStr">
        <is>
          <t>II</t>
        </is>
      </c>
      <c r="BN32" t="inlineStr">
        <is>
          <t>calcium-channel blocker</t>
        </is>
      </c>
      <c r="BO32" t="inlineStr">
        <is>
          <t>small_molecule_API</t>
        </is>
      </c>
      <c r="BP32" t="inlineStr">
        <is>
          <t>hydrophobic dihydropyridine</t>
        </is>
      </c>
      <c r="BQ32"/>
      <c r="BR32">
        <v>0.0005</v>
      </c>
      <c r="BS32">
        <v>64.6</v>
      </c>
      <c r="BT32">
        <v>1</v>
      </c>
      <c r="BU32">
        <v>5</v>
      </c>
      <c r="BV32">
        <v>7</v>
      </c>
      <c r="BW32">
        <v>1</v>
      </c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</row>
    <row r="33">
      <c r="A33" t="inlineStr">
        <is>
          <t>API_CARVEDILOL</t>
        </is>
      </c>
      <c r="B33" t="inlineStr">
        <is>
          <t>Carvedilol</t>
        </is>
      </c>
      <c r="C33" t="inlineStr">
        <is>
          <t>API</t>
        </is>
      </c>
      <c r="D33" t="inlineStr">
        <is>
          <t>Drug/API</t>
        </is>
      </c>
      <c r="E33" t="inlineStr">
        <is>
          <t>beta-blocker</t>
        </is>
      </c>
      <c r="F33">
        <v>406.47</v>
      </c>
      <c r="G33"/>
      <c r="H33"/>
      <c r="I33"/>
      <c r="J33" t="inlineStr">
        <is>
          <t>C24H26N2O4</t>
        </is>
      </c>
      <c r="K33"/>
      <c r="L33"/>
      <c r="M33"/>
      <c r="N33">
        <v>3.8</v>
      </c>
      <c r="O33"/>
      <c r="P33">
        <v>7.8</v>
      </c>
      <c r="Q33"/>
      <c r="R33"/>
      <c r="S33"/>
      <c r="T33">
        <v>0</v>
      </c>
      <c r="U33"/>
      <c r="V33"/>
      <c r="W33"/>
      <c r="X33">
        <v>117</v>
      </c>
      <c r="Y33"/>
      <c r="Z33"/>
      <c r="AA33"/>
      <c r="AB33"/>
      <c r="AC33"/>
      <c r="AD33"/>
      <c r="AE33"/>
      <c r="AF33"/>
      <c r="AG33"/>
      <c r="AH33"/>
      <c r="AI33">
        <v>18.2</v>
      </c>
      <c r="AJ33">
        <v>8.0</v>
      </c>
      <c r="AK33">
        <v>10.0</v>
      </c>
      <c r="AL33">
        <v>8.5</v>
      </c>
      <c r="AM33">
        <v>22.25</v>
      </c>
      <c r="AN33">
        <v>325.18</v>
      </c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t="inlineStr">
        <is>
          <t>II</t>
        </is>
      </c>
      <c r="BN33" t="inlineStr">
        <is>
          <t>beta-blocker</t>
        </is>
      </c>
      <c r="BO33" t="inlineStr">
        <is>
          <t>small_molecule_API</t>
        </is>
      </c>
      <c r="BP33" t="inlineStr">
        <is>
          <t>basic amphiphile; ionization affects zeta/loading</t>
        </is>
      </c>
      <c r="BQ33"/>
      <c r="BR33">
        <v>0.01</v>
      </c>
      <c r="BS33">
        <v>78.3</v>
      </c>
      <c r="BT33">
        <v>3</v>
      </c>
      <c r="BU33">
        <v>5</v>
      </c>
      <c r="BV33">
        <v>10</v>
      </c>
      <c r="BW33">
        <v>3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</row>
    <row r="34">
      <c r="A34" t="inlineStr">
        <is>
          <t>API_ATORVASTATIN</t>
        </is>
      </c>
      <c r="B34" t="inlineStr">
        <is>
          <t>Atorvastatin</t>
        </is>
      </c>
      <c r="C34" t="inlineStr">
        <is>
          <t>API</t>
        </is>
      </c>
      <c r="D34" t="inlineStr">
        <is>
          <t>Drug/API</t>
        </is>
      </c>
      <c r="E34" t="inlineStr">
        <is>
          <t>statin</t>
        </is>
      </c>
      <c r="F34">
        <v>558.64</v>
      </c>
      <c r="G34"/>
      <c r="H34"/>
      <c r="I34"/>
      <c r="J34" t="inlineStr">
        <is>
          <t>C33H35FN2O5</t>
        </is>
      </c>
      <c r="K34"/>
      <c r="L34"/>
      <c r="M34"/>
      <c r="N34">
        <v>4.5</v>
      </c>
      <c r="O34">
        <v>4.5</v>
      </c>
      <c r="P34"/>
      <c r="Q34"/>
      <c r="R34"/>
      <c r="S34"/>
      <c r="T34">
        <v>0</v>
      </c>
      <c r="U34"/>
      <c r="V34"/>
      <c r="W34"/>
      <c r="X34">
        <v>176</v>
      </c>
      <c r="Y34"/>
      <c r="Z34"/>
      <c r="AA34"/>
      <c r="AB34"/>
      <c r="AC34"/>
      <c r="AD34"/>
      <c r="AE34"/>
      <c r="AF34"/>
      <c r="AG34"/>
      <c r="AH34"/>
      <c r="AI34">
        <v>18.4</v>
      </c>
      <c r="AJ34">
        <v>5.5</v>
      </c>
      <c r="AK34">
        <v>6.0</v>
      </c>
      <c r="AL34">
        <v>8.0</v>
      </c>
      <c r="AM34">
        <v>20.12</v>
      </c>
      <c r="AN34">
        <v>446.91</v>
      </c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inlineStr">
        <is>
          <t>II</t>
        </is>
      </c>
      <c r="BN34" t="inlineStr">
        <is>
          <t>statin</t>
        </is>
      </c>
      <c r="BO34" t="inlineStr">
        <is>
          <t>small_molecule_API</t>
        </is>
      </c>
      <c r="BP34" t="inlineStr">
        <is>
          <t>weak acid; salt form must be explicit</t>
        </is>
      </c>
      <c r="BQ34"/>
      <c r="BR34">
        <v>0.00063</v>
      </c>
      <c r="BS34">
        <v>111.8</v>
      </c>
      <c r="BT34">
        <v>4</v>
      </c>
      <c r="BU34">
        <v>7</v>
      </c>
      <c r="BV34">
        <v>12</v>
      </c>
      <c r="BW34">
        <v>5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</row>
    <row r="35">
      <c r="A35" t="inlineStr">
        <is>
          <t>API_SIMVASTATIN</t>
        </is>
      </c>
      <c r="B35" t="inlineStr">
        <is>
          <t>Simvastatin</t>
        </is>
      </c>
      <c r="C35" t="inlineStr">
        <is>
          <t>API</t>
        </is>
      </c>
      <c r="D35" t="inlineStr">
        <is>
          <t>Drug/API</t>
        </is>
      </c>
      <c r="E35" t="inlineStr">
        <is>
          <t>statin lactone</t>
        </is>
      </c>
      <c r="F35">
        <v>418.57</v>
      </c>
      <c r="G35"/>
      <c r="H35"/>
      <c r="I35"/>
      <c r="J35" t="inlineStr">
        <is>
          <t>C25H38O5</t>
        </is>
      </c>
      <c r="K35"/>
      <c r="L35"/>
      <c r="M35"/>
      <c r="N35">
        <v>4.7</v>
      </c>
      <c r="O35"/>
      <c r="P35"/>
      <c r="Q35"/>
      <c r="R35"/>
      <c r="S35"/>
      <c r="T35">
        <v>0</v>
      </c>
      <c r="U35"/>
      <c r="V35"/>
      <c r="W35"/>
      <c r="X35">
        <v>135</v>
      </c>
      <c r="Y35"/>
      <c r="Z35"/>
      <c r="AA35"/>
      <c r="AB35"/>
      <c r="AC35"/>
      <c r="AD35"/>
      <c r="AE35"/>
      <c r="AF35"/>
      <c r="AG35"/>
      <c r="AH35"/>
      <c r="AI35">
        <v>18.4</v>
      </c>
      <c r="AJ35">
        <v>5.5</v>
      </c>
      <c r="AK35">
        <v>6.0</v>
      </c>
      <c r="AL35">
        <v>8.0</v>
      </c>
      <c r="AM35">
        <v>20.12</v>
      </c>
      <c r="AN35">
        <v>334.86</v>
      </c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t="inlineStr">
        <is>
          <t>II</t>
        </is>
      </c>
      <c r="BN35" t="inlineStr">
        <is>
          <t>statin lactone</t>
        </is>
      </c>
      <c r="BO35" t="inlineStr">
        <is>
          <t>small_molecule_API</t>
        </is>
      </c>
      <c r="BP35" t="inlineStr">
        <is>
          <t>neutral lactone prodrug; hydrophobic</t>
        </is>
      </c>
      <c r="BQ35"/>
      <c r="BR35">
        <v>0.03</v>
      </c>
      <c r="BS35">
        <v>72.8</v>
      </c>
      <c r="BT35">
        <v>1</v>
      </c>
      <c r="BU35">
        <v>5</v>
      </c>
      <c r="BV35">
        <v>7</v>
      </c>
      <c r="BW35">
        <v>0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</row>
    <row r="36">
      <c r="A36" t="inlineStr">
        <is>
          <t>API_FENOFIBRATE</t>
        </is>
      </c>
      <c r="B36" t="inlineStr">
        <is>
          <t>Fenofibrate</t>
        </is>
      </c>
      <c r="C36" t="inlineStr">
        <is>
          <t>API</t>
        </is>
      </c>
      <c r="D36" t="inlineStr">
        <is>
          <t>Drug/API</t>
        </is>
      </c>
      <c r="E36" t="inlineStr">
        <is>
          <t>fibrate</t>
        </is>
      </c>
      <c r="F36">
        <v>360.83</v>
      </c>
      <c r="G36"/>
      <c r="H36"/>
      <c r="I36"/>
      <c r="J36" t="inlineStr">
        <is>
          <t>C20H21ClO4</t>
        </is>
      </c>
      <c r="K36"/>
      <c r="L36"/>
      <c r="M36"/>
      <c r="N36">
        <v>5.2</v>
      </c>
      <c r="O36"/>
      <c r="P36"/>
      <c r="Q36"/>
      <c r="R36"/>
      <c r="S36"/>
      <c r="T36">
        <v>0</v>
      </c>
      <c r="U36"/>
      <c r="V36"/>
      <c r="W36"/>
      <c r="X36">
        <v>81</v>
      </c>
      <c r="Y36"/>
      <c r="Z36"/>
      <c r="AA36"/>
      <c r="AB36"/>
      <c r="AC36"/>
      <c r="AD36"/>
      <c r="AE36"/>
      <c r="AF36"/>
      <c r="AG36"/>
      <c r="AH36"/>
      <c r="AI36">
        <v>18.4</v>
      </c>
      <c r="AJ36">
        <v>5.5</v>
      </c>
      <c r="AK36">
        <v>6.0</v>
      </c>
      <c r="AL36">
        <v>8.0</v>
      </c>
      <c r="AM36">
        <v>20.12</v>
      </c>
      <c r="AN36">
        <v>288.66</v>
      </c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inlineStr">
        <is>
          <t>II</t>
        </is>
      </c>
      <c r="BN36" t="inlineStr">
        <is>
          <t>fibrate</t>
        </is>
      </c>
      <c r="BO36" t="inlineStr">
        <is>
          <t>small_molecule_API</t>
        </is>
      </c>
      <c r="BP36" t="inlineStr">
        <is>
          <t>hydrophobic ester; lipid carrier model drug</t>
        </is>
      </c>
      <c r="BQ36"/>
      <c r="BR36">
        <v>0.0008</v>
      </c>
      <c r="BS36">
        <v>52.6</v>
      </c>
      <c r="BT36">
        <v>0</v>
      </c>
      <c r="BU36">
        <v>4</v>
      </c>
      <c r="BV36">
        <v>7</v>
      </c>
      <c r="BW36">
        <v>2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</row>
    <row r="37">
      <c r="A37" t="inlineStr">
        <is>
          <t>PAY_SIRNA_DUPLEX_PLACEHOLDER</t>
        </is>
      </c>
      <c r="B37" t="inlineStr">
        <is>
          <t>siRNA duplex placeholder</t>
        </is>
      </c>
      <c r="C37" t="inlineStr">
        <is>
          <t>API</t>
        </is>
      </c>
      <c r="D37" t="inlineStr">
        <is>
          <t>Payload placeholder</t>
        </is>
      </c>
      <c r="E37" t="inlineStr">
        <is>
          <t>nucleic-acid payload placeholder</t>
        </is>
      </c>
      <c r="F37"/>
      <c r="G37">
        <v>13500</v>
      </c>
      <c r="H37"/>
      <c r="I37"/>
      <c r="J37"/>
      <c r="K37"/>
      <c r="L37"/>
      <c r="M37"/>
      <c r="N37"/>
      <c r="O37"/>
      <c r="P37"/>
      <c r="Q37"/>
      <c r="R37"/>
      <c r="S37"/>
      <c r="T37">
        <v>-40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 t="inlineStr">
        <is>
          <t>nucleic-acid payload placeholder</t>
        </is>
      </c>
      <c r="BP37" t="inlineStr">
        <is>
          <t>Use sequence-specific MW, GC%, ionizable-lipid N/P ratio, and buffer pH.</t>
        </is>
      </c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</row>
    <row r="38">
      <c r="A38" t="inlineStr">
        <is>
          <t>PAY_MRNA_PAYLOAD_PLACEHOLDER</t>
        </is>
      </c>
      <c r="B38" t="inlineStr">
        <is>
          <t>mRNA payload placeholder</t>
        </is>
      </c>
      <c r="C38" t="inlineStr">
        <is>
          <t>API</t>
        </is>
      </c>
      <c r="D38" t="inlineStr">
        <is>
          <t>Payload placeholder</t>
        </is>
      </c>
      <c r="E38" t="inlineStr">
        <is>
          <t>nucleic-acid payload placeholder</t>
        </is>
      </c>
      <c r="F38"/>
      <c r="G38">
        <v>330000</v>
      </c>
      <c r="H38"/>
      <c r="I38"/>
      <c r="J38"/>
      <c r="K38"/>
      <c r="L38"/>
      <c r="M38"/>
      <c r="N38"/>
      <c r="O38"/>
      <c r="P38"/>
      <c r="Q38"/>
      <c r="R38"/>
      <c r="S38"/>
      <c r="T38">
        <v>-1000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 t="inlineStr">
        <is>
          <t>nucleic-acid payload placeholder</t>
        </is>
      </c>
      <c r="BP38" t="inlineStr">
        <is>
          <t>Use transcript length, cap/polyA/modification and buffer-specific hydrodynamic descriptors.</t>
        </is>
      </c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</row>
    <row r="39">
      <c r="A39" t="inlineStr">
        <is>
          <t>PAY_PEPTIDE_PAYLOAD_PLACEHOLDER</t>
        </is>
      </c>
      <c r="B39" t="inlineStr">
        <is>
          <t>Peptide payload placeholder</t>
        </is>
      </c>
      <c r="C39" t="inlineStr">
        <is>
          <t>API</t>
        </is>
      </c>
      <c r="D39" t="inlineStr">
        <is>
          <t>Payload placeholder</t>
        </is>
      </c>
      <c r="E39" t="inlineStr">
        <is>
          <t>peptide payload placeholder</t>
        </is>
      </c>
      <c r="F39"/>
      <c r="G39">
        <v>1500</v>
      </c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 t="inlineStr">
        <is>
          <t>peptide payload placeholder</t>
        </is>
      </c>
      <c r="BP39" t="inlineStr">
        <is>
          <t>Use sequence-specific pI, net charge, instability motifs, and proteolysis risk.</t>
        </is>
      </c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</row>
    <row r="40">
      <c r="A40" t="inlineStr">
        <is>
          <t>SURF_SPAN_20</t>
        </is>
      </c>
      <c r="B40" t="inlineStr">
        <is>
          <t>Span 20</t>
        </is>
      </c>
      <c r="C40" t="inlineStr">
        <is>
          <t>Surfactant</t>
        </is>
      </c>
      <c r="D40" t="inlineStr">
        <is>
          <t>Nonionic surfactant</t>
        </is>
      </c>
      <c r="E40" t="inlineStr">
        <is>
          <t>Span/sorbitan ester</t>
        </is>
      </c>
      <c r="F40">
        <v>346.46</v>
      </c>
      <c r="G40"/>
      <c r="H40"/>
      <c r="I40"/>
      <c r="J40"/>
      <c r="K40">
        <v>8.6</v>
      </c>
      <c r="L40"/>
      <c r="M40"/>
      <c r="N40"/>
      <c r="O40"/>
      <c r="P40"/>
      <c r="Q40"/>
      <c r="R40"/>
      <c r="S40"/>
      <c r="T40">
        <v>0</v>
      </c>
      <c r="U40" t="inlineStr">
        <is>
          <t>nonionic</t>
        </is>
      </c>
      <c r="V40"/>
      <c r="W40"/>
      <c r="X40">
        <v>28</v>
      </c>
      <c r="Y40"/>
      <c r="Z40"/>
      <c r="AA40"/>
      <c r="AB40"/>
      <c r="AC40"/>
      <c r="AD40"/>
      <c r="AE40"/>
      <c r="AF40"/>
      <c r="AG40"/>
      <c r="AH40"/>
      <c r="AI40">
        <v>17.3</v>
      </c>
      <c r="AJ40">
        <v>6.5</v>
      </c>
      <c r="AK40">
        <v>10.5</v>
      </c>
      <c r="AL40">
        <v>8.0</v>
      </c>
      <c r="AM40">
        <v>21.26</v>
      </c>
      <c r="AN40">
        <v>353.53</v>
      </c>
      <c r="AO40">
        <v>0.505</v>
      </c>
      <c r="AP40" t="inlineStr">
        <is>
          <t>C12:0 laurate</t>
        </is>
      </c>
      <c r="AQ40">
        <v>12</v>
      </c>
      <c r="AR40">
        <v>0</v>
      </c>
      <c r="AS40"/>
      <c r="AT40"/>
      <c r="AU40"/>
      <c r="AV40"/>
      <c r="AW40">
        <v>1</v>
      </c>
      <c r="AX40"/>
      <c r="AY40" t="inlineStr">
        <is>
          <t>sorbitan ester</t>
        </is>
      </c>
      <c r="AZ40" t="inlineStr">
        <is>
          <t>edge activator / micellar solubilizer</t>
        </is>
      </c>
      <c r="BA40" t="inlineStr">
        <is>
          <t>conditional</t>
        </is>
      </c>
      <c r="BB40" t="inlineStr">
        <is>
          <t>yes</t>
        </is>
      </c>
      <c r="BC40" t="inlineStr">
        <is>
          <t>low-to-moderate</t>
        </is>
      </c>
      <c r="BD40"/>
      <c r="BE40"/>
      <c r="BF40"/>
      <c r="BG40"/>
      <c r="BH40"/>
      <c r="BI40"/>
      <c r="BJ40"/>
      <c r="BK40"/>
      <c r="BL40"/>
      <c r="BM40"/>
      <c r="BN40"/>
      <c r="BO40"/>
      <c r="BP40"/>
      <c r="BQ40" t="inlineStr">
        <is>
          <t>oral/topical; parenteral/inhalation only if grade and safety justified</t>
        </is>
      </c>
      <c r="BR40"/>
      <c r="BS40"/>
      <c r="BT40"/>
      <c r="BU40"/>
      <c r="BV40"/>
      <c r="BW40"/>
      <c r="BX40" t="inlineStr">
        <is>
          <t>surfactant irritation/hemolysis is concentration-, route-, and grade-dependent; screen cytotoxicity and osmolality</t>
        </is>
      </c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</row>
    <row r="41">
      <c r="A41" t="inlineStr">
        <is>
          <t>SURF_SPAN_40</t>
        </is>
      </c>
      <c r="B41" t="inlineStr">
        <is>
          <t>Span 40</t>
        </is>
      </c>
      <c r="C41" t="inlineStr">
        <is>
          <t>Surfactant</t>
        </is>
      </c>
      <c r="D41" t="inlineStr">
        <is>
          <t>Nonionic surfactant</t>
        </is>
      </c>
      <c r="E41" t="inlineStr">
        <is>
          <t>Span/sorbitan ester</t>
        </is>
      </c>
      <c r="F41">
        <v>402.57</v>
      </c>
      <c r="G41"/>
      <c r="H41"/>
      <c r="I41"/>
      <c r="J41"/>
      <c r="K41">
        <v>6.7</v>
      </c>
      <c r="L41"/>
      <c r="M41"/>
      <c r="N41"/>
      <c r="O41"/>
      <c r="P41"/>
      <c r="Q41"/>
      <c r="R41"/>
      <c r="S41"/>
      <c r="T41">
        <v>0</v>
      </c>
      <c r="U41" t="inlineStr">
        <is>
          <t>nonionic</t>
        </is>
      </c>
      <c r="V41"/>
      <c r="W41"/>
      <c r="X41">
        <v>46</v>
      </c>
      <c r="Y41"/>
      <c r="Z41"/>
      <c r="AA41"/>
      <c r="AB41"/>
      <c r="AC41"/>
      <c r="AD41"/>
      <c r="AE41"/>
      <c r="AF41"/>
      <c r="AG41"/>
      <c r="AH41"/>
      <c r="AI41">
        <v>17.0</v>
      </c>
      <c r="AJ41">
        <v>4.0</v>
      </c>
      <c r="AK41">
        <v>7.0</v>
      </c>
      <c r="AL41">
        <v>7.0</v>
      </c>
      <c r="AM41">
        <v>18.81</v>
      </c>
      <c r="AN41">
        <v>410.79</v>
      </c>
      <c r="AO41">
        <v>0.471</v>
      </c>
      <c r="AP41" t="inlineStr">
        <is>
          <t>C16:0 palmitate</t>
        </is>
      </c>
      <c r="AQ41">
        <v>16</v>
      </c>
      <c r="AR41">
        <v>0</v>
      </c>
      <c r="AS41"/>
      <c r="AT41"/>
      <c r="AU41"/>
      <c r="AV41"/>
      <c r="AW41">
        <v>1</v>
      </c>
      <c r="AX41"/>
      <c r="AY41" t="inlineStr">
        <is>
          <t>sorbitan ester</t>
        </is>
      </c>
      <c r="AZ41" t="inlineStr">
        <is>
          <t>vesicle bilayer former</t>
        </is>
      </c>
      <c r="BA41" t="inlineStr">
        <is>
          <t>conditional</t>
        </is>
      </c>
      <c r="BB41" t="inlineStr">
        <is>
          <t>yes</t>
        </is>
      </c>
      <c r="BC41" t="inlineStr">
        <is>
          <t>low-to-moderate</t>
        </is>
      </c>
      <c r="BD41"/>
      <c r="BE41"/>
      <c r="BF41"/>
      <c r="BG41"/>
      <c r="BH41"/>
      <c r="BI41"/>
      <c r="BJ41"/>
      <c r="BK41"/>
      <c r="BL41"/>
      <c r="BM41"/>
      <c r="BN41"/>
      <c r="BO41"/>
      <c r="BP41"/>
      <c r="BQ41" t="inlineStr">
        <is>
          <t>oral/topical; parenteral/inhalation only if grade and safety justified</t>
        </is>
      </c>
      <c r="BR41"/>
      <c r="BS41"/>
      <c r="BT41"/>
      <c r="BU41"/>
      <c r="BV41"/>
      <c r="BW41"/>
      <c r="BX41" t="inlineStr">
        <is>
          <t>surfactant irritation/hemolysis is concentration-, route-, and grade-dependent; screen cytotoxicity and osmolality</t>
        </is>
      </c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</row>
    <row r="42">
      <c r="A42" t="inlineStr">
        <is>
          <t>SURF_SPAN_60</t>
        </is>
      </c>
      <c r="B42" t="inlineStr">
        <is>
          <t>Span 60</t>
        </is>
      </c>
      <c r="C42" t="inlineStr">
        <is>
          <t>Surfactant</t>
        </is>
      </c>
      <c r="D42" t="inlineStr">
        <is>
          <t>Nonionic surfactant</t>
        </is>
      </c>
      <c r="E42" t="inlineStr">
        <is>
          <t>Span/sorbitan ester</t>
        </is>
      </c>
      <c r="F42">
        <v>430.62</v>
      </c>
      <c r="G42"/>
      <c r="H42"/>
      <c r="I42"/>
      <c r="J42"/>
      <c r="K42">
        <v>4.7</v>
      </c>
      <c r="L42"/>
      <c r="M42"/>
      <c r="N42"/>
      <c r="O42"/>
      <c r="P42"/>
      <c r="Q42"/>
      <c r="R42"/>
      <c r="S42"/>
      <c r="T42">
        <v>0</v>
      </c>
      <c r="U42" t="inlineStr">
        <is>
          <t>nonionic</t>
        </is>
      </c>
      <c r="V42"/>
      <c r="W42"/>
      <c r="X42">
        <v>54</v>
      </c>
      <c r="Y42"/>
      <c r="Z42"/>
      <c r="AA42"/>
      <c r="AB42"/>
      <c r="AC42"/>
      <c r="AD42"/>
      <c r="AE42"/>
      <c r="AF42"/>
      <c r="AG42"/>
      <c r="AH42"/>
      <c r="AI42">
        <v>17.0</v>
      </c>
      <c r="AJ42">
        <v>4.0</v>
      </c>
      <c r="AK42">
        <v>7.0</v>
      </c>
      <c r="AL42">
        <v>7.0</v>
      </c>
      <c r="AM42">
        <v>18.81</v>
      </c>
      <c r="AN42">
        <v>439.41</v>
      </c>
      <c r="AO42">
        <v>0.435</v>
      </c>
      <c r="AP42" t="inlineStr">
        <is>
          <t>C18:0 stearate</t>
        </is>
      </c>
      <c r="AQ42">
        <v>18</v>
      </c>
      <c r="AR42">
        <v>0</v>
      </c>
      <c r="AS42"/>
      <c r="AT42"/>
      <c r="AU42"/>
      <c r="AV42"/>
      <c r="AW42">
        <v>1</v>
      </c>
      <c r="AX42"/>
      <c r="AY42" t="inlineStr">
        <is>
          <t>sorbitan ester</t>
        </is>
      </c>
      <c r="AZ42" t="inlineStr">
        <is>
          <t>vesicle bilayer former</t>
        </is>
      </c>
      <c r="BA42" t="inlineStr">
        <is>
          <t>conditional</t>
        </is>
      </c>
      <c r="BB42" t="inlineStr">
        <is>
          <t>yes</t>
        </is>
      </c>
      <c r="BC42" t="inlineStr">
        <is>
          <t>low-to-moderate</t>
        </is>
      </c>
      <c r="BD42"/>
      <c r="BE42"/>
      <c r="BF42"/>
      <c r="BG42"/>
      <c r="BH42"/>
      <c r="BI42"/>
      <c r="BJ42"/>
      <c r="BK42"/>
      <c r="BL42"/>
      <c r="BM42"/>
      <c r="BN42"/>
      <c r="BO42"/>
      <c r="BP42"/>
      <c r="BQ42" t="inlineStr">
        <is>
          <t>oral/topical; parenteral/inhalation only if grade and safety justified</t>
        </is>
      </c>
      <c r="BR42"/>
      <c r="BS42"/>
      <c r="BT42"/>
      <c r="BU42"/>
      <c r="BV42"/>
      <c r="BW42"/>
      <c r="BX42" t="inlineStr">
        <is>
          <t>surfactant irritation/hemolysis is concentration-, route-, and grade-dependent; screen cytotoxicity and osmolality</t>
        </is>
      </c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</row>
    <row r="43">
      <c r="A43" t="inlineStr">
        <is>
          <t>SURF_SPAN_65</t>
        </is>
      </c>
      <c r="B43" t="inlineStr">
        <is>
          <t>Span 65</t>
        </is>
      </c>
      <c r="C43" t="inlineStr">
        <is>
          <t>Surfactant</t>
        </is>
      </c>
      <c r="D43" t="inlineStr">
        <is>
          <t>Nonionic surfactant</t>
        </is>
      </c>
      <c r="E43" t="inlineStr">
        <is>
          <t>Span/sorbitan ester</t>
        </is>
      </c>
      <c r="F43">
        <v>963.54</v>
      </c>
      <c r="G43"/>
      <c r="H43"/>
      <c r="I43"/>
      <c r="J43"/>
      <c r="K43">
        <v>2.1</v>
      </c>
      <c r="L43"/>
      <c r="M43"/>
      <c r="N43"/>
      <c r="O43"/>
      <c r="P43"/>
      <c r="Q43"/>
      <c r="R43"/>
      <c r="S43"/>
      <c r="T43">
        <v>0</v>
      </c>
      <c r="U43" t="inlineStr">
        <is>
          <t>nonionic</t>
        </is>
      </c>
      <c r="V43"/>
      <c r="W43"/>
      <c r="X43">
        <v>55</v>
      </c>
      <c r="Y43"/>
      <c r="Z43"/>
      <c r="AA43"/>
      <c r="AB43"/>
      <c r="AC43"/>
      <c r="AD43"/>
      <c r="AE43"/>
      <c r="AF43"/>
      <c r="AG43"/>
      <c r="AH43"/>
      <c r="AI43">
        <v>17.0</v>
      </c>
      <c r="AJ43">
        <v>4.0</v>
      </c>
      <c r="AK43">
        <v>7.0</v>
      </c>
      <c r="AL43">
        <v>7.0</v>
      </c>
      <c r="AM43">
        <v>18.81</v>
      </c>
      <c r="AN43">
        <v>983.2</v>
      </c>
      <c r="AO43">
        <v>0.388</v>
      </c>
      <c r="AP43" t="inlineStr">
        <is>
          <t>tri-C18:0 stearate</t>
        </is>
      </c>
      <c r="AQ43">
        <v>18</v>
      </c>
      <c r="AR43">
        <v>0</v>
      </c>
      <c r="AS43"/>
      <c r="AT43"/>
      <c r="AU43"/>
      <c r="AV43"/>
      <c r="AW43">
        <v>3</v>
      </c>
      <c r="AX43"/>
      <c r="AY43" t="inlineStr">
        <is>
          <t>sorbitan triester</t>
        </is>
      </c>
      <c r="AZ43" t="inlineStr">
        <is>
          <t>vesicle bilayer former</t>
        </is>
      </c>
      <c r="BA43" t="inlineStr">
        <is>
          <t>conditional</t>
        </is>
      </c>
      <c r="BB43" t="inlineStr">
        <is>
          <t>yes</t>
        </is>
      </c>
      <c r="BC43" t="inlineStr">
        <is>
          <t>low-to-moderate</t>
        </is>
      </c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t="inlineStr">
        <is>
          <t>oral/topical; parenteral/inhalation only if grade and safety justified</t>
        </is>
      </c>
      <c r="BR43"/>
      <c r="BS43"/>
      <c r="BT43"/>
      <c r="BU43"/>
      <c r="BV43"/>
      <c r="BW43"/>
      <c r="BX43" t="inlineStr">
        <is>
          <t>surfactant irritation/hemolysis is concentration-, route-, and grade-dependent; screen cytotoxicity and osmolality</t>
        </is>
      </c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</row>
    <row r="44">
      <c r="A44" t="inlineStr">
        <is>
          <t>SURF_SPAN_80</t>
        </is>
      </c>
      <c r="B44" t="inlineStr">
        <is>
          <t>Span 80</t>
        </is>
      </c>
      <c r="C44" t="inlineStr">
        <is>
          <t>Surfactant</t>
        </is>
      </c>
      <c r="D44" t="inlineStr">
        <is>
          <t>Nonionic surfactant</t>
        </is>
      </c>
      <c r="E44" t="inlineStr">
        <is>
          <t>Span/sorbitan ester</t>
        </is>
      </c>
      <c r="F44">
        <v>428.6</v>
      </c>
      <c r="G44"/>
      <c r="H44"/>
      <c r="I44"/>
      <c r="J44"/>
      <c r="K44">
        <v>4.3</v>
      </c>
      <c r="L44"/>
      <c r="M44"/>
      <c r="N44"/>
      <c r="O44"/>
      <c r="P44"/>
      <c r="Q44"/>
      <c r="R44"/>
      <c r="S44"/>
      <c r="T44">
        <v>0</v>
      </c>
      <c r="U44" t="inlineStr">
        <is>
          <t>nonionic</t>
        </is>
      </c>
      <c r="V44"/>
      <c r="W44"/>
      <c r="X44"/>
      <c r="Y44"/>
      <c r="Z44"/>
      <c r="AA44"/>
      <c r="AB44"/>
      <c r="AC44"/>
      <c r="AD44"/>
      <c r="AE44"/>
      <c r="AF44"/>
      <c r="AG44"/>
      <c r="AH44"/>
      <c r="AI44">
        <v>17.0</v>
      </c>
      <c r="AJ44">
        <v>4.0</v>
      </c>
      <c r="AK44">
        <v>7.0</v>
      </c>
      <c r="AL44">
        <v>7.0</v>
      </c>
      <c r="AM44">
        <v>18.81</v>
      </c>
      <c r="AN44">
        <v>437.35</v>
      </c>
      <c r="AO44">
        <v>0.427</v>
      </c>
      <c r="AP44" t="inlineStr">
        <is>
          <t>C18:1 oleate</t>
        </is>
      </c>
      <c r="AQ44">
        <v>18</v>
      </c>
      <c r="AR44">
        <v>1</v>
      </c>
      <c r="AS44"/>
      <c r="AT44"/>
      <c r="AU44"/>
      <c r="AV44"/>
      <c r="AW44">
        <v>1</v>
      </c>
      <c r="AX44"/>
      <c r="AY44" t="inlineStr">
        <is>
          <t>sorbitan ester</t>
        </is>
      </c>
      <c r="AZ44" t="inlineStr">
        <is>
          <t>vesicle bilayer former</t>
        </is>
      </c>
      <c r="BA44" t="inlineStr">
        <is>
          <t>conditional</t>
        </is>
      </c>
      <c r="BB44" t="inlineStr">
        <is>
          <t>yes</t>
        </is>
      </c>
      <c r="BC44" t="inlineStr">
        <is>
          <t>low-to-moderate</t>
        </is>
      </c>
      <c r="BD44"/>
      <c r="BE44"/>
      <c r="BF44"/>
      <c r="BG44"/>
      <c r="BH44"/>
      <c r="BI44"/>
      <c r="BJ44"/>
      <c r="BK44"/>
      <c r="BL44"/>
      <c r="BM44"/>
      <c r="BN44"/>
      <c r="BO44"/>
      <c r="BP44"/>
      <c r="BQ44" t="inlineStr">
        <is>
          <t>oral/topical; parenteral/inhalation only if grade and safety justified</t>
        </is>
      </c>
      <c r="BR44"/>
      <c r="BS44"/>
      <c r="BT44"/>
      <c r="BU44"/>
      <c r="BV44"/>
      <c r="BW44"/>
      <c r="BX44" t="inlineStr">
        <is>
          <t>surfactant irritation/hemolysis is concentration-, route-, and grade-dependent; screen cytotoxicity and osmolality</t>
        </is>
      </c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</row>
    <row r="45">
      <c r="A45" t="inlineStr">
        <is>
          <t>SURF_SPAN_85</t>
        </is>
      </c>
      <c r="B45" t="inlineStr">
        <is>
          <t>Span 85</t>
        </is>
      </c>
      <c r="C45" t="inlineStr">
        <is>
          <t>Surfactant</t>
        </is>
      </c>
      <c r="D45" t="inlineStr">
        <is>
          <t>Nonionic surfactant</t>
        </is>
      </c>
      <c r="E45" t="inlineStr">
        <is>
          <t>Span/sorbitan ester</t>
        </is>
      </c>
      <c r="F45">
        <v>957.46</v>
      </c>
      <c r="G45"/>
      <c r="H45"/>
      <c r="I45"/>
      <c r="J45"/>
      <c r="K45">
        <v>1.8</v>
      </c>
      <c r="L45"/>
      <c r="M45"/>
      <c r="N45"/>
      <c r="O45"/>
      <c r="P45"/>
      <c r="Q45"/>
      <c r="R45"/>
      <c r="S45"/>
      <c r="T45">
        <v>0</v>
      </c>
      <c r="U45" t="inlineStr">
        <is>
          <t>nonionic</t>
        </is>
      </c>
      <c r="V45"/>
      <c r="W45"/>
      <c r="X45"/>
      <c r="Y45"/>
      <c r="Z45"/>
      <c r="AA45"/>
      <c r="AB45"/>
      <c r="AC45"/>
      <c r="AD45"/>
      <c r="AE45"/>
      <c r="AF45"/>
      <c r="AG45"/>
      <c r="AH45"/>
      <c r="AI45">
        <v>17.0</v>
      </c>
      <c r="AJ45">
        <v>4.0</v>
      </c>
      <c r="AK45">
        <v>7.0</v>
      </c>
      <c r="AL45">
        <v>7.0</v>
      </c>
      <c r="AM45">
        <v>18.81</v>
      </c>
      <c r="AN45">
        <v>977.0</v>
      </c>
      <c r="AO45">
        <v>0.382</v>
      </c>
      <c r="AP45" t="inlineStr">
        <is>
          <t>tri-C18:1 oleate</t>
        </is>
      </c>
      <c r="AQ45">
        <v>18</v>
      </c>
      <c r="AR45">
        <v>1</v>
      </c>
      <c r="AS45"/>
      <c r="AT45"/>
      <c r="AU45"/>
      <c r="AV45"/>
      <c r="AW45">
        <v>3</v>
      </c>
      <c r="AX45"/>
      <c r="AY45" t="inlineStr">
        <is>
          <t>sorbitan triester</t>
        </is>
      </c>
      <c r="AZ45" t="inlineStr">
        <is>
          <t>vesicle bilayer former</t>
        </is>
      </c>
      <c r="BA45" t="inlineStr">
        <is>
          <t>conditional</t>
        </is>
      </c>
      <c r="BB45" t="inlineStr">
        <is>
          <t>yes</t>
        </is>
      </c>
      <c r="BC45" t="inlineStr">
        <is>
          <t>low-to-moderate</t>
        </is>
      </c>
      <c r="BD45"/>
      <c r="BE45"/>
      <c r="BF45"/>
      <c r="BG45"/>
      <c r="BH45"/>
      <c r="BI45"/>
      <c r="BJ45"/>
      <c r="BK45"/>
      <c r="BL45"/>
      <c r="BM45"/>
      <c r="BN45"/>
      <c r="BO45"/>
      <c r="BP45"/>
      <c r="BQ45" t="inlineStr">
        <is>
          <t>oral/topical; parenteral/inhalation only if grade and safety justified</t>
        </is>
      </c>
      <c r="BR45"/>
      <c r="BS45"/>
      <c r="BT45"/>
      <c r="BU45"/>
      <c r="BV45"/>
      <c r="BW45"/>
      <c r="BX45" t="inlineStr">
        <is>
          <t>surfactant irritation/hemolysis is concentration-, route-, and grade-dependent; screen cytotoxicity and osmolality</t>
        </is>
      </c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</row>
    <row r="46">
      <c r="A46" t="inlineStr">
        <is>
          <t>SURF_TWEEN_20</t>
        </is>
      </c>
      <c r="B46" t="inlineStr">
        <is>
          <t>Tween 20</t>
        </is>
      </c>
      <c r="C46" t="inlineStr">
        <is>
          <t>Surfactant</t>
        </is>
      </c>
      <c r="D46" t="inlineStr">
        <is>
          <t>Nonionic surfactant</t>
        </is>
      </c>
      <c r="E46" t="inlineStr">
        <is>
          <t>Tween/polysorbate</t>
        </is>
      </c>
      <c r="F46">
        <v>1227.5</v>
      </c>
      <c r="G46"/>
      <c r="H46"/>
      <c r="I46"/>
      <c r="J46"/>
      <c r="K46">
        <v>16.7</v>
      </c>
      <c r="L46"/>
      <c r="M46"/>
      <c r="N46"/>
      <c r="O46"/>
      <c r="P46"/>
      <c r="Q46"/>
      <c r="R46"/>
      <c r="S46"/>
      <c r="T46">
        <v>0</v>
      </c>
      <c r="U46" t="inlineStr">
        <is>
          <t>nonionic</t>
        </is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>
        <v>17.2</v>
      </c>
      <c r="AJ46">
        <v>8.5</v>
      </c>
      <c r="AK46">
        <v>14.0</v>
      </c>
      <c r="AL46">
        <v>9.0</v>
      </c>
      <c r="AM46">
        <v>23.75</v>
      </c>
      <c r="AN46">
        <v>1169.05</v>
      </c>
      <c r="AO46">
        <v>0.731</v>
      </c>
      <c r="AP46" t="inlineStr">
        <is>
          <t>C12:0 laurate + POE</t>
        </is>
      </c>
      <c r="AQ46">
        <v>12</v>
      </c>
      <c r="AR46">
        <v>0</v>
      </c>
      <c r="AS46"/>
      <c r="AT46"/>
      <c r="AU46"/>
      <c r="AV46"/>
      <c r="AW46">
        <v>1</v>
      </c>
      <c r="AX46"/>
      <c r="AY46" t="inlineStr">
        <is>
          <t>polyoxyethylene sorbitan ester</t>
        </is>
      </c>
      <c r="AZ46" t="inlineStr">
        <is>
          <t>edge activator / micellar solubilizer</t>
        </is>
      </c>
      <c r="BA46" t="inlineStr">
        <is>
          <t>yes</t>
        </is>
      </c>
      <c r="BB46" t="inlineStr">
        <is>
          <t>weak/conditional</t>
        </is>
      </c>
      <c r="BC46" t="inlineStr">
        <is>
          <t>high</t>
        </is>
      </c>
      <c r="BD46"/>
      <c r="BE46"/>
      <c r="BF46"/>
      <c r="BG46"/>
      <c r="BH46"/>
      <c r="BI46"/>
      <c r="BJ46"/>
      <c r="BK46"/>
      <c r="BL46"/>
      <c r="BM46"/>
      <c r="BN46"/>
      <c r="BO46"/>
      <c r="BP46"/>
      <c r="BQ46" t="inlineStr">
        <is>
          <t>oral/topical; parenteral/inhalation only if grade and safety justified</t>
        </is>
      </c>
      <c r="BR46"/>
      <c r="BS46"/>
      <c r="BT46"/>
      <c r="BU46"/>
      <c r="BV46"/>
      <c r="BW46"/>
      <c r="BX46" t="inlineStr">
        <is>
          <t>surfactant irritation/hemolysis is concentration-, route-, and grade-dependent; screen cytotoxicity and osmolality</t>
        </is>
      </c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</row>
    <row r="47">
      <c r="A47" t="inlineStr">
        <is>
          <t>SURF_TWEEN_21</t>
        </is>
      </c>
      <c r="B47" t="inlineStr">
        <is>
          <t>Tween 21</t>
        </is>
      </c>
      <c r="C47" t="inlineStr">
        <is>
          <t>Surfactant</t>
        </is>
      </c>
      <c r="D47" t="inlineStr">
        <is>
          <t>Nonionic surfactant</t>
        </is>
      </c>
      <c r="E47" t="inlineStr">
        <is>
          <t>Tween/polysorbate</t>
        </is>
      </c>
      <c r="F47">
        <v>970</v>
      </c>
      <c r="G47"/>
      <c r="H47"/>
      <c r="I47"/>
      <c r="J47"/>
      <c r="K47">
        <v>13.3</v>
      </c>
      <c r="L47"/>
      <c r="M47"/>
      <c r="N47"/>
      <c r="O47"/>
      <c r="P47"/>
      <c r="Q47"/>
      <c r="R47"/>
      <c r="S47"/>
      <c r="T47">
        <v>0</v>
      </c>
      <c r="U47" t="inlineStr">
        <is>
          <t>nonionic</t>
        </is>
      </c>
      <c r="V47"/>
      <c r="W47"/>
      <c r="X47"/>
      <c r="Y47"/>
      <c r="Z47"/>
      <c r="AA47"/>
      <c r="AB47"/>
      <c r="AC47"/>
      <c r="AD47"/>
      <c r="AE47"/>
      <c r="AF47"/>
      <c r="AG47"/>
      <c r="AH47"/>
      <c r="AI47">
        <v>17.3</v>
      </c>
      <c r="AJ47">
        <v>6.5</v>
      </c>
      <c r="AK47">
        <v>10.5</v>
      </c>
      <c r="AL47">
        <v>8.0</v>
      </c>
      <c r="AM47">
        <v>21.26</v>
      </c>
      <c r="AN47">
        <v>923.81</v>
      </c>
      <c r="AO47">
        <v>0.669</v>
      </c>
      <c r="AP47" t="inlineStr">
        <is>
          <t>C12:0 laurate + POE</t>
        </is>
      </c>
      <c r="AQ47">
        <v>12</v>
      </c>
      <c r="AR47">
        <v>0</v>
      </c>
      <c r="AS47"/>
      <c r="AT47"/>
      <c r="AU47"/>
      <c r="AV47"/>
      <c r="AW47">
        <v>1</v>
      </c>
      <c r="AX47"/>
      <c r="AY47" t="inlineStr">
        <is>
          <t>polyoxyethylene sorbitan ester</t>
        </is>
      </c>
      <c r="AZ47" t="inlineStr">
        <is>
          <t>edge activator / micellar solubilizer</t>
        </is>
      </c>
      <c r="BA47" t="inlineStr">
        <is>
          <t>yes</t>
        </is>
      </c>
      <c r="BB47" t="inlineStr">
        <is>
          <t>weak/conditional</t>
        </is>
      </c>
      <c r="BC47" t="inlineStr">
        <is>
          <t>high</t>
        </is>
      </c>
      <c r="BD47"/>
      <c r="BE47"/>
      <c r="BF47"/>
      <c r="BG47"/>
      <c r="BH47"/>
      <c r="BI47"/>
      <c r="BJ47"/>
      <c r="BK47"/>
      <c r="BL47"/>
      <c r="BM47"/>
      <c r="BN47"/>
      <c r="BO47"/>
      <c r="BP47"/>
      <c r="BQ47" t="inlineStr">
        <is>
          <t>oral/topical; parenteral/inhalation only if grade and safety justified</t>
        </is>
      </c>
      <c r="BR47"/>
      <c r="BS47"/>
      <c r="BT47"/>
      <c r="BU47"/>
      <c r="BV47"/>
      <c r="BW47"/>
      <c r="BX47" t="inlineStr">
        <is>
          <t>surfactant irritation/hemolysis is concentration-, route-, and grade-dependent; screen cytotoxicity and osmolality</t>
        </is>
      </c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</row>
    <row r="48">
      <c r="A48" t="inlineStr">
        <is>
          <t>SURF_TWEEN_40</t>
        </is>
      </c>
      <c r="B48" t="inlineStr">
        <is>
          <t>Tween 40</t>
        </is>
      </c>
      <c r="C48" t="inlineStr">
        <is>
          <t>Surfactant</t>
        </is>
      </c>
      <c r="D48" t="inlineStr">
        <is>
          <t>Nonionic surfactant</t>
        </is>
      </c>
      <c r="E48" t="inlineStr">
        <is>
          <t>Tween/polysorbate</t>
        </is>
      </c>
      <c r="F48">
        <v>1284</v>
      </c>
      <c r="G48"/>
      <c r="H48"/>
      <c r="I48"/>
      <c r="J48"/>
      <c r="K48">
        <v>15.6</v>
      </c>
      <c r="L48"/>
      <c r="M48"/>
      <c r="N48"/>
      <c r="O48"/>
      <c r="P48"/>
      <c r="Q48"/>
      <c r="R48"/>
      <c r="S48"/>
      <c r="T48">
        <v>0</v>
      </c>
      <c r="U48" t="inlineStr">
        <is>
          <t>nonionic</t>
        </is>
      </c>
      <c r="V48"/>
      <c r="W48"/>
      <c r="X48"/>
      <c r="Y48"/>
      <c r="Z48"/>
      <c r="AA48"/>
      <c r="AB48"/>
      <c r="AC48"/>
      <c r="AD48"/>
      <c r="AE48"/>
      <c r="AF48"/>
      <c r="AG48"/>
      <c r="AH48"/>
      <c r="AI48">
        <v>17.2</v>
      </c>
      <c r="AJ48">
        <v>8.5</v>
      </c>
      <c r="AK48">
        <v>14.0</v>
      </c>
      <c r="AL48">
        <v>9.0</v>
      </c>
      <c r="AM48">
        <v>23.75</v>
      </c>
      <c r="AN48">
        <v>1222.86</v>
      </c>
      <c r="AO48">
        <v>0.711</v>
      </c>
      <c r="AP48" t="inlineStr">
        <is>
          <t>C16:0 palmitate + POE</t>
        </is>
      </c>
      <c r="AQ48">
        <v>16</v>
      </c>
      <c r="AR48">
        <v>0</v>
      </c>
      <c r="AS48"/>
      <c r="AT48"/>
      <c r="AU48"/>
      <c r="AV48"/>
      <c r="AW48">
        <v>1</v>
      </c>
      <c r="AX48"/>
      <c r="AY48" t="inlineStr">
        <is>
          <t>polyoxyethylene sorbitan ester</t>
        </is>
      </c>
      <c r="AZ48" t="inlineStr">
        <is>
          <t>edge activator / micellar solubilizer</t>
        </is>
      </c>
      <c r="BA48" t="inlineStr">
        <is>
          <t>yes</t>
        </is>
      </c>
      <c r="BB48" t="inlineStr">
        <is>
          <t>weak/conditional</t>
        </is>
      </c>
      <c r="BC48" t="inlineStr">
        <is>
          <t>high</t>
        </is>
      </c>
      <c r="BD48"/>
      <c r="BE48"/>
      <c r="BF48"/>
      <c r="BG48"/>
      <c r="BH48"/>
      <c r="BI48"/>
      <c r="BJ48"/>
      <c r="BK48"/>
      <c r="BL48"/>
      <c r="BM48"/>
      <c r="BN48"/>
      <c r="BO48"/>
      <c r="BP48"/>
      <c r="BQ48" t="inlineStr">
        <is>
          <t>oral/topical; parenteral/inhalation only if grade and safety justified</t>
        </is>
      </c>
      <c r="BR48"/>
      <c r="BS48"/>
      <c r="BT48"/>
      <c r="BU48"/>
      <c r="BV48"/>
      <c r="BW48"/>
      <c r="BX48" t="inlineStr">
        <is>
          <t>surfactant irritation/hemolysis is concentration-, route-, and grade-dependent; screen cytotoxicity and osmolality</t>
        </is>
      </c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</row>
    <row r="49">
      <c r="A49" t="inlineStr">
        <is>
          <t>SURF_TWEEN_60</t>
        </is>
      </c>
      <c r="B49" t="inlineStr">
        <is>
          <t>Tween 60</t>
        </is>
      </c>
      <c r="C49" t="inlineStr">
        <is>
          <t>Surfactant</t>
        </is>
      </c>
      <c r="D49" t="inlineStr">
        <is>
          <t>Nonionic surfactant</t>
        </is>
      </c>
      <c r="E49" t="inlineStr">
        <is>
          <t>Tween/polysorbate</t>
        </is>
      </c>
      <c r="F49">
        <v>1311.7</v>
      </c>
      <c r="G49"/>
      <c r="H49"/>
      <c r="I49"/>
      <c r="J49"/>
      <c r="K49">
        <v>14.9</v>
      </c>
      <c r="L49"/>
      <c r="M49"/>
      <c r="N49"/>
      <c r="O49"/>
      <c r="P49"/>
      <c r="Q49"/>
      <c r="R49"/>
      <c r="S49"/>
      <c r="T49">
        <v>0</v>
      </c>
      <c r="U49" t="inlineStr">
        <is>
          <t>nonionic</t>
        </is>
      </c>
      <c r="V49"/>
      <c r="W49"/>
      <c r="X49">
        <v>45</v>
      </c>
      <c r="Y49"/>
      <c r="Z49"/>
      <c r="AA49"/>
      <c r="AB49"/>
      <c r="AC49"/>
      <c r="AD49"/>
      <c r="AE49"/>
      <c r="AF49"/>
      <c r="AG49"/>
      <c r="AH49"/>
      <c r="AI49">
        <v>17.2</v>
      </c>
      <c r="AJ49">
        <v>8.5</v>
      </c>
      <c r="AK49">
        <v>14.0</v>
      </c>
      <c r="AL49">
        <v>9.0</v>
      </c>
      <c r="AM49">
        <v>23.75</v>
      </c>
      <c r="AN49">
        <v>1249.24</v>
      </c>
      <c r="AO49">
        <v>0.698</v>
      </c>
      <c r="AP49" t="inlineStr">
        <is>
          <t>C18:0 stearate + POE</t>
        </is>
      </c>
      <c r="AQ49">
        <v>18</v>
      </c>
      <c r="AR49">
        <v>0</v>
      </c>
      <c r="AS49"/>
      <c r="AT49"/>
      <c r="AU49"/>
      <c r="AV49"/>
      <c r="AW49">
        <v>1</v>
      </c>
      <c r="AX49"/>
      <c r="AY49" t="inlineStr">
        <is>
          <t>polyoxyethylene sorbitan ester</t>
        </is>
      </c>
      <c r="AZ49" t="inlineStr">
        <is>
          <t>edge activator / micellar solubilizer</t>
        </is>
      </c>
      <c r="BA49" t="inlineStr">
        <is>
          <t>yes</t>
        </is>
      </c>
      <c r="BB49" t="inlineStr">
        <is>
          <t>weak/conditional</t>
        </is>
      </c>
      <c r="BC49" t="inlineStr">
        <is>
          <t>high</t>
        </is>
      </c>
      <c r="BD49"/>
      <c r="BE49"/>
      <c r="BF49"/>
      <c r="BG49"/>
      <c r="BH49"/>
      <c r="BI49"/>
      <c r="BJ49"/>
      <c r="BK49"/>
      <c r="BL49"/>
      <c r="BM49"/>
      <c r="BN49"/>
      <c r="BO49"/>
      <c r="BP49"/>
      <c r="BQ49" t="inlineStr">
        <is>
          <t>oral/topical; parenteral/inhalation only if grade and safety justified</t>
        </is>
      </c>
      <c r="BR49"/>
      <c r="BS49"/>
      <c r="BT49"/>
      <c r="BU49"/>
      <c r="BV49"/>
      <c r="BW49"/>
      <c r="BX49" t="inlineStr">
        <is>
          <t>surfactant irritation/hemolysis is concentration-, route-, and grade-dependent; screen cytotoxicity and osmolality</t>
        </is>
      </c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</row>
    <row r="50">
      <c r="A50" t="inlineStr">
        <is>
          <t>SURF_TWEEN_61</t>
        </is>
      </c>
      <c r="B50" t="inlineStr">
        <is>
          <t>Tween 61</t>
        </is>
      </c>
      <c r="C50" t="inlineStr">
        <is>
          <t>Surfactant</t>
        </is>
      </c>
      <c r="D50" t="inlineStr">
        <is>
          <t>Nonionic surfactant</t>
        </is>
      </c>
      <c r="E50" t="inlineStr">
        <is>
          <t>Tween/polysorbate</t>
        </is>
      </c>
      <c r="F50">
        <v>1095</v>
      </c>
      <c r="G50"/>
      <c r="H50"/>
      <c r="I50"/>
      <c r="J50"/>
      <c r="K50">
        <v>9.6</v>
      </c>
      <c r="L50"/>
      <c r="M50"/>
      <c r="N50"/>
      <c r="O50"/>
      <c r="P50"/>
      <c r="Q50"/>
      <c r="R50"/>
      <c r="S50"/>
      <c r="T50">
        <v>0</v>
      </c>
      <c r="U50" t="inlineStr">
        <is>
          <t>nonionic</t>
        </is>
      </c>
      <c r="V50"/>
      <c r="W50"/>
      <c r="X50">
        <v>37</v>
      </c>
      <c r="Y50"/>
      <c r="Z50"/>
      <c r="AA50"/>
      <c r="AB50"/>
      <c r="AC50"/>
      <c r="AD50"/>
      <c r="AE50"/>
      <c r="AF50"/>
      <c r="AG50"/>
      <c r="AH50"/>
      <c r="AI50">
        <v>17.3</v>
      </c>
      <c r="AJ50">
        <v>6.5</v>
      </c>
      <c r="AK50">
        <v>10.5</v>
      </c>
      <c r="AL50">
        <v>8.0</v>
      </c>
      <c r="AM50">
        <v>21.26</v>
      </c>
      <c r="AN50">
        <v>1117.35</v>
      </c>
      <c r="AO50">
        <v>0.603</v>
      </c>
      <c r="AP50" t="inlineStr">
        <is>
          <t>C18:0 stearate + lower POE</t>
        </is>
      </c>
      <c r="AQ50">
        <v>18</v>
      </c>
      <c r="AR50">
        <v>0</v>
      </c>
      <c r="AS50"/>
      <c r="AT50"/>
      <c r="AU50"/>
      <c r="AV50"/>
      <c r="AW50">
        <v>1</v>
      </c>
      <c r="AX50"/>
      <c r="AY50" t="inlineStr">
        <is>
          <t>polyoxyethylene sorbitan ester</t>
        </is>
      </c>
      <c r="AZ50" t="inlineStr">
        <is>
          <t>edge activator / micellar solubilizer</t>
        </is>
      </c>
      <c r="BA50" t="inlineStr">
        <is>
          <t>conditional</t>
        </is>
      </c>
      <c r="BB50" t="inlineStr">
        <is>
          <t>yes</t>
        </is>
      </c>
      <c r="BC50" t="inlineStr">
        <is>
          <t>low-to-moderate</t>
        </is>
      </c>
      <c r="BD50"/>
      <c r="BE50"/>
      <c r="BF50"/>
      <c r="BG50"/>
      <c r="BH50"/>
      <c r="BI50"/>
      <c r="BJ50"/>
      <c r="BK50"/>
      <c r="BL50"/>
      <c r="BM50"/>
      <c r="BN50"/>
      <c r="BO50"/>
      <c r="BP50"/>
      <c r="BQ50" t="inlineStr">
        <is>
          <t>oral/topical; parenteral/inhalation only if grade and safety justified</t>
        </is>
      </c>
      <c r="BR50"/>
      <c r="BS50"/>
      <c r="BT50"/>
      <c r="BU50"/>
      <c r="BV50"/>
      <c r="BW50"/>
      <c r="BX50" t="inlineStr">
        <is>
          <t>surfactant irritation/hemolysis is concentration-, route-, and grade-dependent; screen cytotoxicity and osmolality</t>
        </is>
      </c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</row>
    <row r="51">
      <c r="A51" t="inlineStr">
        <is>
          <t>SURF_TWEEN_65</t>
        </is>
      </c>
      <c r="B51" t="inlineStr">
        <is>
          <t>Tween 65</t>
        </is>
      </c>
      <c r="C51" t="inlineStr">
        <is>
          <t>Surfactant</t>
        </is>
      </c>
      <c r="D51" t="inlineStr">
        <is>
          <t>Nonionic surfactant</t>
        </is>
      </c>
      <c r="E51" t="inlineStr">
        <is>
          <t>Tween/polysorbate</t>
        </is>
      </c>
      <c r="F51">
        <v>1844</v>
      </c>
      <c r="G51"/>
      <c r="H51"/>
      <c r="I51"/>
      <c r="J51"/>
      <c r="K51">
        <v>10.5</v>
      </c>
      <c r="L51"/>
      <c r="M51"/>
      <c r="N51"/>
      <c r="O51"/>
      <c r="P51"/>
      <c r="Q51"/>
      <c r="R51"/>
      <c r="S51"/>
      <c r="T51">
        <v>0</v>
      </c>
      <c r="U51" t="inlineStr">
        <is>
          <t>nonionic</t>
        </is>
      </c>
      <c r="V51"/>
      <c r="W51"/>
      <c r="X51">
        <v>32</v>
      </c>
      <c r="Y51"/>
      <c r="Z51"/>
      <c r="AA51"/>
      <c r="AB51"/>
      <c r="AC51"/>
      <c r="AD51"/>
      <c r="AE51"/>
      <c r="AF51"/>
      <c r="AG51"/>
      <c r="AH51"/>
      <c r="AI51">
        <v>17.3</v>
      </c>
      <c r="AJ51">
        <v>6.5</v>
      </c>
      <c r="AK51">
        <v>10.5</v>
      </c>
      <c r="AL51">
        <v>8.0</v>
      </c>
      <c r="AM51">
        <v>21.26</v>
      </c>
      <c r="AN51">
        <v>1756.19</v>
      </c>
      <c r="AO51">
        <v>0.619</v>
      </c>
      <c r="AP51" t="inlineStr">
        <is>
          <t>tri-C18:0 stearate + POE</t>
        </is>
      </c>
      <c r="AQ51">
        <v>18</v>
      </c>
      <c r="AR51">
        <v>0</v>
      </c>
      <c r="AS51"/>
      <c r="AT51"/>
      <c r="AU51"/>
      <c r="AV51"/>
      <c r="AW51">
        <v>3</v>
      </c>
      <c r="AX51"/>
      <c r="AY51" t="inlineStr">
        <is>
          <t>polyoxyethylene sorbitan triester</t>
        </is>
      </c>
      <c r="AZ51" t="inlineStr">
        <is>
          <t>edge activator / micellar solubilizer</t>
        </is>
      </c>
      <c r="BA51" t="inlineStr">
        <is>
          <t>yes</t>
        </is>
      </c>
      <c r="BB51" t="inlineStr">
        <is>
          <t>yes</t>
        </is>
      </c>
      <c r="BC51" t="inlineStr">
        <is>
          <t>low-to-moderate</t>
        </is>
      </c>
      <c r="BD51"/>
      <c r="BE51"/>
      <c r="BF51"/>
      <c r="BG51"/>
      <c r="BH51"/>
      <c r="BI51"/>
      <c r="BJ51"/>
      <c r="BK51"/>
      <c r="BL51"/>
      <c r="BM51"/>
      <c r="BN51"/>
      <c r="BO51"/>
      <c r="BP51"/>
      <c r="BQ51" t="inlineStr">
        <is>
          <t>oral/topical; parenteral/inhalation only if grade and safety justified</t>
        </is>
      </c>
      <c r="BR51"/>
      <c r="BS51"/>
      <c r="BT51"/>
      <c r="BU51"/>
      <c r="BV51"/>
      <c r="BW51"/>
      <c r="BX51" t="inlineStr">
        <is>
          <t>surfactant irritation/hemolysis is concentration-, route-, and grade-dependent; screen cytotoxicity and osmolality</t>
        </is>
      </c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</row>
    <row r="52">
      <c r="A52" t="inlineStr">
        <is>
          <t>SURF_TWEEN_80</t>
        </is>
      </c>
      <c r="B52" t="inlineStr">
        <is>
          <t>Tween 80</t>
        </is>
      </c>
      <c r="C52" t="inlineStr">
        <is>
          <t>Surfactant</t>
        </is>
      </c>
      <c r="D52" t="inlineStr">
        <is>
          <t>Nonionic surfactant</t>
        </is>
      </c>
      <c r="E52" t="inlineStr">
        <is>
          <t>Tween/polysorbate</t>
        </is>
      </c>
      <c r="F52">
        <v>1310</v>
      </c>
      <c r="G52"/>
      <c r="H52"/>
      <c r="I52"/>
      <c r="J52"/>
      <c r="K52">
        <v>15.0</v>
      </c>
      <c r="L52"/>
      <c r="M52"/>
      <c r="N52"/>
      <c r="O52"/>
      <c r="P52"/>
      <c r="Q52"/>
      <c r="R52"/>
      <c r="S52"/>
      <c r="T52">
        <v>0</v>
      </c>
      <c r="U52" t="inlineStr">
        <is>
          <t>nonionic</t>
        </is>
      </c>
      <c r="V52"/>
      <c r="W52"/>
      <c r="X52"/>
      <c r="Y52"/>
      <c r="Z52"/>
      <c r="AA52"/>
      <c r="AB52"/>
      <c r="AC52"/>
      <c r="AD52"/>
      <c r="AE52"/>
      <c r="AF52"/>
      <c r="AG52"/>
      <c r="AH52"/>
      <c r="AI52">
        <v>17.2</v>
      </c>
      <c r="AJ52">
        <v>8.5</v>
      </c>
      <c r="AK52">
        <v>14.0</v>
      </c>
      <c r="AL52">
        <v>9.0</v>
      </c>
      <c r="AM52">
        <v>23.75</v>
      </c>
      <c r="AN52">
        <v>1247.62</v>
      </c>
      <c r="AO52">
        <v>0.7</v>
      </c>
      <c r="AP52" t="inlineStr">
        <is>
          <t>C18:1 oleate + POE</t>
        </is>
      </c>
      <c r="AQ52">
        <v>18</v>
      </c>
      <c r="AR52">
        <v>1</v>
      </c>
      <c r="AS52"/>
      <c r="AT52"/>
      <c r="AU52"/>
      <c r="AV52"/>
      <c r="AW52">
        <v>1</v>
      </c>
      <c r="AX52"/>
      <c r="AY52" t="inlineStr">
        <is>
          <t>polyoxyethylene sorbitan ester</t>
        </is>
      </c>
      <c r="AZ52" t="inlineStr">
        <is>
          <t>edge activator / micellar solubilizer</t>
        </is>
      </c>
      <c r="BA52" t="inlineStr">
        <is>
          <t>yes</t>
        </is>
      </c>
      <c r="BB52" t="inlineStr">
        <is>
          <t>weak/conditional</t>
        </is>
      </c>
      <c r="BC52" t="inlineStr">
        <is>
          <t>high</t>
        </is>
      </c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t="inlineStr">
        <is>
          <t>oral/topical; parenteral/inhalation only if grade and safety justified</t>
        </is>
      </c>
      <c r="BR52"/>
      <c r="BS52"/>
      <c r="BT52"/>
      <c r="BU52"/>
      <c r="BV52"/>
      <c r="BW52"/>
      <c r="BX52" t="inlineStr">
        <is>
          <t>surfactant irritation/hemolysis is concentration-, route-, and grade-dependent; screen cytotoxicity and osmolality</t>
        </is>
      </c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</row>
    <row r="53">
      <c r="A53" t="inlineStr">
        <is>
          <t>SURF_TWEEN_81</t>
        </is>
      </c>
      <c r="B53" t="inlineStr">
        <is>
          <t>Tween 81</t>
        </is>
      </c>
      <c r="C53" t="inlineStr">
        <is>
          <t>Surfactant</t>
        </is>
      </c>
      <c r="D53" t="inlineStr">
        <is>
          <t>Nonionic surfactant</t>
        </is>
      </c>
      <c r="E53" t="inlineStr">
        <is>
          <t>Tween/polysorbate</t>
        </is>
      </c>
      <c r="F53">
        <v>1090</v>
      </c>
      <c r="G53"/>
      <c r="H53"/>
      <c r="I53"/>
      <c r="J53"/>
      <c r="K53">
        <v>10.0</v>
      </c>
      <c r="L53"/>
      <c r="M53"/>
      <c r="N53"/>
      <c r="O53"/>
      <c r="P53"/>
      <c r="Q53"/>
      <c r="R53"/>
      <c r="S53"/>
      <c r="T53">
        <v>0</v>
      </c>
      <c r="U53" t="inlineStr">
        <is>
          <t>nonionic</t>
        </is>
      </c>
      <c r="V53"/>
      <c r="W53"/>
      <c r="X53"/>
      <c r="Y53"/>
      <c r="Z53"/>
      <c r="AA53"/>
      <c r="AB53"/>
      <c r="AC53"/>
      <c r="AD53"/>
      <c r="AE53"/>
      <c r="AF53"/>
      <c r="AG53"/>
      <c r="AH53"/>
      <c r="AI53">
        <v>17.3</v>
      </c>
      <c r="AJ53">
        <v>6.5</v>
      </c>
      <c r="AK53">
        <v>10.5</v>
      </c>
      <c r="AL53">
        <v>8.0</v>
      </c>
      <c r="AM53">
        <v>21.26</v>
      </c>
      <c r="AN53">
        <v>1038.1</v>
      </c>
      <c r="AO53">
        <v>0.61</v>
      </c>
      <c r="AP53" t="inlineStr">
        <is>
          <t>C18:1 oleate + lower POE</t>
        </is>
      </c>
      <c r="AQ53">
        <v>18</v>
      </c>
      <c r="AR53">
        <v>1</v>
      </c>
      <c r="AS53"/>
      <c r="AT53"/>
      <c r="AU53"/>
      <c r="AV53"/>
      <c r="AW53">
        <v>1</v>
      </c>
      <c r="AX53"/>
      <c r="AY53" t="inlineStr">
        <is>
          <t>polyoxyethylene sorbitan ester</t>
        </is>
      </c>
      <c r="AZ53" t="inlineStr">
        <is>
          <t>edge activator / micellar solubilizer</t>
        </is>
      </c>
      <c r="BA53" t="inlineStr">
        <is>
          <t>yes</t>
        </is>
      </c>
      <c r="BB53" t="inlineStr">
        <is>
          <t>yes</t>
        </is>
      </c>
      <c r="BC53" t="inlineStr">
        <is>
          <t>low-to-moderate</t>
        </is>
      </c>
      <c r="BD53"/>
      <c r="BE53"/>
      <c r="BF53"/>
      <c r="BG53"/>
      <c r="BH53"/>
      <c r="BI53"/>
      <c r="BJ53"/>
      <c r="BK53"/>
      <c r="BL53"/>
      <c r="BM53"/>
      <c r="BN53"/>
      <c r="BO53"/>
      <c r="BP53"/>
      <c r="BQ53" t="inlineStr">
        <is>
          <t>oral/topical; parenteral/inhalation only if grade and safety justified</t>
        </is>
      </c>
      <c r="BR53"/>
      <c r="BS53"/>
      <c r="BT53"/>
      <c r="BU53"/>
      <c r="BV53"/>
      <c r="BW53"/>
      <c r="BX53" t="inlineStr">
        <is>
          <t>surfactant irritation/hemolysis is concentration-, route-, and grade-dependent; screen cytotoxicity and osmolality</t>
        </is>
      </c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</row>
    <row r="54">
      <c r="A54" t="inlineStr">
        <is>
          <t>SURF_TWEEN_85</t>
        </is>
      </c>
      <c r="B54" t="inlineStr">
        <is>
          <t>Tween 85</t>
        </is>
      </c>
      <c r="C54" t="inlineStr">
        <is>
          <t>Surfactant</t>
        </is>
      </c>
      <c r="D54" t="inlineStr">
        <is>
          <t>Nonionic surfactant</t>
        </is>
      </c>
      <c r="E54" t="inlineStr">
        <is>
          <t>Tween/polysorbate</t>
        </is>
      </c>
      <c r="F54">
        <v>1838</v>
      </c>
      <c r="G54"/>
      <c r="H54"/>
      <c r="I54"/>
      <c r="J54"/>
      <c r="K54">
        <v>11.0</v>
      </c>
      <c r="L54"/>
      <c r="M54"/>
      <c r="N54"/>
      <c r="O54"/>
      <c r="P54"/>
      <c r="Q54"/>
      <c r="R54"/>
      <c r="S54"/>
      <c r="T54">
        <v>0</v>
      </c>
      <c r="U54" t="inlineStr">
        <is>
          <t>nonionic</t>
        </is>
      </c>
      <c r="V54"/>
      <c r="W54"/>
      <c r="X54"/>
      <c r="Y54"/>
      <c r="Z54"/>
      <c r="AA54"/>
      <c r="AB54"/>
      <c r="AC54"/>
      <c r="AD54"/>
      <c r="AE54"/>
      <c r="AF54"/>
      <c r="AG54"/>
      <c r="AH54"/>
      <c r="AI54">
        <v>17.3</v>
      </c>
      <c r="AJ54">
        <v>6.5</v>
      </c>
      <c r="AK54">
        <v>10.5</v>
      </c>
      <c r="AL54">
        <v>8.0</v>
      </c>
      <c r="AM54">
        <v>21.26</v>
      </c>
      <c r="AN54">
        <v>1750.48</v>
      </c>
      <c r="AO54">
        <v>0.628</v>
      </c>
      <c r="AP54" t="inlineStr">
        <is>
          <t>tri-C18:1 oleate + POE</t>
        </is>
      </c>
      <c r="AQ54">
        <v>18</v>
      </c>
      <c r="AR54">
        <v>1</v>
      </c>
      <c r="AS54"/>
      <c r="AT54"/>
      <c r="AU54"/>
      <c r="AV54"/>
      <c r="AW54">
        <v>3</v>
      </c>
      <c r="AX54"/>
      <c r="AY54" t="inlineStr">
        <is>
          <t>polyoxyethylene sorbitan triester</t>
        </is>
      </c>
      <c r="AZ54" t="inlineStr">
        <is>
          <t>edge activator / micellar solubilizer</t>
        </is>
      </c>
      <c r="BA54" t="inlineStr">
        <is>
          <t>yes</t>
        </is>
      </c>
      <c r="BB54" t="inlineStr">
        <is>
          <t>yes</t>
        </is>
      </c>
      <c r="BC54" t="inlineStr">
        <is>
          <t>low-to-moderate</t>
        </is>
      </c>
      <c r="BD54"/>
      <c r="BE54"/>
      <c r="BF54"/>
      <c r="BG54"/>
      <c r="BH54"/>
      <c r="BI54"/>
      <c r="BJ54"/>
      <c r="BK54"/>
      <c r="BL54"/>
      <c r="BM54"/>
      <c r="BN54"/>
      <c r="BO54"/>
      <c r="BP54"/>
      <c r="BQ54" t="inlineStr">
        <is>
          <t>oral/topical; parenteral/inhalation only if grade and safety justified</t>
        </is>
      </c>
      <c r="BR54"/>
      <c r="BS54"/>
      <c r="BT54"/>
      <c r="BU54"/>
      <c r="BV54"/>
      <c r="BW54"/>
      <c r="BX54" t="inlineStr">
        <is>
          <t>surfactant irritation/hemolysis is concentration-, route-, and grade-dependent; screen cytotoxicity and osmolality</t>
        </is>
      </c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</row>
    <row r="55">
      <c r="A55" t="inlineStr">
        <is>
          <t>SURF_BRIJ_30</t>
        </is>
      </c>
      <c r="B55" t="inlineStr">
        <is>
          <t>Brij 30</t>
        </is>
      </c>
      <c r="C55" t="inlineStr">
        <is>
          <t>Surfactant</t>
        </is>
      </c>
      <c r="D55" t="inlineStr">
        <is>
          <t>Nonionic surfactant</t>
        </is>
      </c>
      <c r="E55" t="inlineStr">
        <is>
          <t>Brij/fatty alcohol ethoxylate</t>
        </is>
      </c>
      <c r="F55">
        <v>362</v>
      </c>
      <c r="G55"/>
      <c r="H55"/>
      <c r="I55"/>
      <c r="J55"/>
      <c r="K55">
        <v>9.7</v>
      </c>
      <c r="L55"/>
      <c r="M55"/>
      <c r="N55"/>
      <c r="O55"/>
      <c r="P55"/>
      <c r="Q55"/>
      <c r="R55"/>
      <c r="S55"/>
      <c r="T55">
        <v>0</v>
      </c>
      <c r="U55" t="inlineStr">
        <is>
          <t>nonionic</t>
        </is>
      </c>
      <c r="V55"/>
      <c r="W55"/>
      <c r="X55"/>
      <c r="Y55"/>
      <c r="Z55"/>
      <c r="AA55"/>
      <c r="AB55"/>
      <c r="AC55"/>
      <c r="AD55"/>
      <c r="AE55"/>
      <c r="AF55"/>
      <c r="AG55"/>
      <c r="AH55"/>
      <c r="AI55">
        <v>17.3</v>
      </c>
      <c r="AJ55">
        <v>6.5</v>
      </c>
      <c r="AK55">
        <v>10.5</v>
      </c>
      <c r="AL55">
        <v>8.0</v>
      </c>
      <c r="AM55">
        <v>21.26</v>
      </c>
      <c r="AN55">
        <v>369.39</v>
      </c>
      <c r="AO55">
        <v>0.605</v>
      </c>
      <c r="AP55" t="inlineStr">
        <is>
          <t>C12:0 lauryl + EO4</t>
        </is>
      </c>
      <c r="AQ55">
        <v>12</v>
      </c>
      <c r="AR55">
        <v>0</v>
      </c>
      <c r="AS55"/>
      <c r="AT55"/>
      <c r="AU55"/>
      <c r="AV55"/>
      <c r="AW55">
        <v>1</v>
      </c>
      <c r="AX55"/>
      <c r="AY55" t="inlineStr">
        <is>
          <t>polyoxyethylene fatty alcohol</t>
        </is>
      </c>
      <c r="AZ55" t="inlineStr">
        <is>
          <t>edge activator / micellar solubilizer</t>
        </is>
      </c>
      <c r="BA55" t="inlineStr">
        <is>
          <t>conditional</t>
        </is>
      </c>
      <c r="BB55" t="inlineStr">
        <is>
          <t>yes</t>
        </is>
      </c>
      <c r="BC55" t="inlineStr">
        <is>
          <t>low-to-moderate</t>
        </is>
      </c>
      <c r="BD55"/>
      <c r="BE55"/>
      <c r="BF55"/>
      <c r="BG55"/>
      <c r="BH55"/>
      <c r="BI55"/>
      <c r="BJ55"/>
      <c r="BK55"/>
      <c r="BL55"/>
      <c r="BM55"/>
      <c r="BN55"/>
      <c r="BO55"/>
      <c r="BP55"/>
      <c r="BQ55" t="inlineStr">
        <is>
          <t>oral/topical; parenteral/inhalation only if grade and safety justified</t>
        </is>
      </c>
      <c r="BR55"/>
      <c r="BS55"/>
      <c r="BT55"/>
      <c r="BU55"/>
      <c r="BV55"/>
      <c r="BW55"/>
      <c r="BX55" t="inlineStr">
        <is>
          <t>surfactant irritation/hemolysis is concentration-, route-, and grade-dependent; screen cytotoxicity and osmolality</t>
        </is>
      </c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</row>
    <row r="56">
      <c r="A56" t="inlineStr">
        <is>
          <t>SURF_BRIJ_35</t>
        </is>
      </c>
      <c r="B56" t="inlineStr">
        <is>
          <t>Brij 35</t>
        </is>
      </c>
      <c r="C56" t="inlineStr">
        <is>
          <t>Surfactant</t>
        </is>
      </c>
      <c r="D56" t="inlineStr">
        <is>
          <t>Nonionic surfactant</t>
        </is>
      </c>
      <c r="E56" t="inlineStr">
        <is>
          <t>Brij/fatty alcohol ethoxylate</t>
        </is>
      </c>
      <c r="F56">
        <v>1198</v>
      </c>
      <c r="G56"/>
      <c r="H56"/>
      <c r="I56"/>
      <c r="J56"/>
      <c r="K56">
        <v>16.9</v>
      </c>
      <c r="L56"/>
      <c r="M56"/>
      <c r="N56"/>
      <c r="O56"/>
      <c r="P56"/>
      <c r="Q56"/>
      <c r="R56"/>
      <c r="S56"/>
      <c r="T56">
        <v>0</v>
      </c>
      <c r="U56" t="inlineStr">
        <is>
          <t>nonionic</t>
        </is>
      </c>
      <c r="V56"/>
      <c r="W56"/>
      <c r="X56"/>
      <c r="Y56"/>
      <c r="Z56"/>
      <c r="AA56"/>
      <c r="AB56"/>
      <c r="AC56"/>
      <c r="AD56"/>
      <c r="AE56"/>
      <c r="AF56"/>
      <c r="AG56"/>
      <c r="AH56"/>
      <c r="AI56">
        <v>17.2</v>
      </c>
      <c r="AJ56">
        <v>8.5</v>
      </c>
      <c r="AK56">
        <v>14.0</v>
      </c>
      <c r="AL56">
        <v>9.0</v>
      </c>
      <c r="AM56">
        <v>23.75</v>
      </c>
      <c r="AN56">
        <v>1140.95</v>
      </c>
      <c r="AO56">
        <v>0.734</v>
      </c>
      <c r="AP56" t="inlineStr">
        <is>
          <t>C12:0 lauryl + EO23</t>
        </is>
      </c>
      <c r="AQ56">
        <v>12</v>
      </c>
      <c r="AR56">
        <v>0</v>
      </c>
      <c r="AS56"/>
      <c r="AT56"/>
      <c r="AU56"/>
      <c r="AV56"/>
      <c r="AW56">
        <v>1</v>
      </c>
      <c r="AX56"/>
      <c r="AY56" t="inlineStr">
        <is>
          <t>polyoxyethylene fatty alcohol</t>
        </is>
      </c>
      <c r="AZ56" t="inlineStr">
        <is>
          <t>edge activator / micellar solubilizer</t>
        </is>
      </c>
      <c r="BA56" t="inlineStr">
        <is>
          <t>yes</t>
        </is>
      </c>
      <c r="BB56" t="inlineStr">
        <is>
          <t>weak/conditional</t>
        </is>
      </c>
      <c r="BC56" t="inlineStr">
        <is>
          <t>high</t>
        </is>
      </c>
      <c r="BD56"/>
      <c r="BE56"/>
      <c r="BF56"/>
      <c r="BG56"/>
      <c r="BH56"/>
      <c r="BI56"/>
      <c r="BJ56"/>
      <c r="BK56"/>
      <c r="BL56"/>
      <c r="BM56"/>
      <c r="BN56"/>
      <c r="BO56"/>
      <c r="BP56"/>
      <c r="BQ56" t="inlineStr">
        <is>
          <t>oral/topical; parenteral/inhalation only if grade and safety justified</t>
        </is>
      </c>
      <c r="BR56"/>
      <c r="BS56"/>
      <c r="BT56"/>
      <c r="BU56"/>
      <c r="BV56"/>
      <c r="BW56"/>
      <c r="BX56" t="inlineStr">
        <is>
          <t>surfactant irritation/hemolysis is concentration-, route-, and grade-dependent; screen cytotoxicity and osmolality</t>
        </is>
      </c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</row>
    <row r="57">
      <c r="A57" t="inlineStr">
        <is>
          <t>SURF_BRIJ_52</t>
        </is>
      </c>
      <c r="B57" t="inlineStr">
        <is>
          <t>Brij 52</t>
        </is>
      </c>
      <c r="C57" t="inlineStr">
        <is>
          <t>Surfactant</t>
        </is>
      </c>
      <c r="D57" t="inlineStr">
        <is>
          <t>Nonionic surfactant</t>
        </is>
      </c>
      <c r="E57" t="inlineStr">
        <is>
          <t>Brij/fatty alcohol ethoxylate</t>
        </is>
      </c>
      <c r="F57">
        <v>330</v>
      </c>
      <c r="G57"/>
      <c r="H57"/>
      <c r="I57"/>
      <c r="J57"/>
      <c r="K57">
        <v>5.3</v>
      </c>
      <c r="L57"/>
      <c r="M57"/>
      <c r="N57"/>
      <c r="O57"/>
      <c r="P57"/>
      <c r="Q57"/>
      <c r="R57"/>
      <c r="S57"/>
      <c r="T57">
        <v>0</v>
      </c>
      <c r="U57" t="inlineStr">
        <is>
          <t>nonionic</t>
        </is>
      </c>
      <c r="V57"/>
      <c r="W57"/>
      <c r="X57"/>
      <c r="Y57"/>
      <c r="Z57"/>
      <c r="AA57"/>
      <c r="AB57"/>
      <c r="AC57"/>
      <c r="AD57"/>
      <c r="AE57"/>
      <c r="AF57"/>
      <c r="AG57"/>
      <c r="AH57"/>
      <c r="AI57">
        <v>17.0</v>
      </c>
      <c r="AJ57">
        <v>4.0</v>
      </c>
      <c r="AK57">
        <v>7.0</v>
      </c>
      <c r="AL57">
        <v>7.0</v>
      </c>
      <c r="AM57">
        <v>18.81</v>
      </c>
      <c r="AN57">
        <v>336.73</v>
      </c>
      <c r="AO57">
        <v>0.525</v>
      </c>
      <c r="AP57" t="inlineStr">
        <is>
          <t>C16:0 cetyl + EO2</t>
        </is>
      </c>
      <c r="AQ57">
        <v>16</v>
      </c>
      <c r="AR57">
        <v>0</v>
      </c>
      <c r="AS57"/>
      <c r="AT57"/>
      <c r="AU57"/>
      <c r="AV57"/>
      <c r="AW57">
        <v>1</v>
      </c>
      <c r="AX57"/>
      <c r="AY57" t="inlineStr">
        <is>
          <t>polyoxyethylene fatty alcohol</t>
        </is>
      </c>
      <c r="AZ57" t="inlineStr">
        <is>
          <t>vesicle bilayer former</t>
        </is>
      </c>
      <c r="BA57" t="inlineStr">
        <is>
          <t>conditional</t>
        </is>
      </c>
      <c r="BB57" t="inlineStr">
        <is>
          <t>yes</t>
        </is>
      </c>
      <c r="BC57" t="inlineStr">
        <is>
          <t>low-to-moderate</t>
        </is>
      </c>
      <c r="BD57"/>
      <c r="BE57"/>
      <c r="BF57"/>
      <c r="BG57"/>
      <c r="BH57"/>
      <c r="BI57"/>
      <c r="BJ57"/>
      <c r="BK57"/>
      <c r="BL57"/>
      <c r="BM57"/>
      <c r="BN57"/>
      <c r="BO57"/>
      <c r="BP57"/>
      <c r="BQ57" t="inlineStr">
        <is>
          <t>oral/topical; parenteral/inhalation only if grade and safety justified</t>
        </is>
      </c>
      <c r="BR57"/>
      <c r="BS57"/>
      <c r="BT57"/>
      <c r="BU57"/>
      <c r="BV57"/>
      <c r="BW57"/>
      <c r="BX57" t="inlineStr">
        <is>
          <t>surfactant irritation/hemolysis is concentration-, route-, and grade-dependent; screen cytotoxicity and osmolality</t>
        </is>
      </c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</row>
    <row r="58">
      <c r="A58" t="inlineStr">
        <is>
          <t>SURF_BRIJ_56</t>
        </is>
      </c>
      <c r="B58" t="inlineStr">
        <is>
          <t>Brij 56</t>
        </is>
      </c>
      <c r="C58" t="inlineStr">
        <is>
          <t>Surfactant</t>
        </is>
      </c>
      <c r="D58" t="inlineStr">
        <is>
          <t>Nonionic surfactant</t>
        </is>
      </c>
      <c r="E58" t="inlineStr">
        <is>
          <t>Brij/fatty alcohol ethoxylate</t>
        </is>
      </c>
      <c r="F58">
        <v>682</v>
      </c>
      <c r="G58"/>
      <c r="H58"/>
      <c r="I58"/>
      <c r="J58"/>
      <c r="K58">
        <v>12.9</v>
      </c>
      <c r="L58"/>
      <c r="M58"/>
      <c r="N58"/>
      <c r="O58"/>
      <c r="P58"/>
      <c r="Q58"/>
      <c r="R58"/>
      <c r="S58"/>
      <c r="T58">
        <v>0</v>
      </c>
      <c r="U58" t="inlineStr">
        <is>
          <t>nonionic</t>
        </is>
      </c>
      <c r="V58"/>
      <c r="W58"/>
      <c r="X58"/>
      <c r="Y58"/>
      <c r="Z58"/>
      <c r="AA58"/>
      <c r="AB58"/>
      <c r="AC58"/>
      <c r="AD58"/>
      <c r="AE58"/>
      <c r="AF58"/>
      <c r="AG58"/>
      <c r="AH58"/>
      <c r="AI58">
        <v>17.3</v>
      </c>
      <c r="AJ58">
        <v>6.5</v>
      </c>
      <c r="AK58">
        <v>10.5</v>
      </c>
      <c r="AL58">
        <v>8.0</v>
      </c>
      <c r="AM58">
        <v>21.26</v>
      </c>
      <c r="AN58">
        <v>649.52</v>
      </c>
      <c r="AO58">
        <v>0.662</v>
      </c>
      <c r="AP58" t="inlineStr">
        <is>
          <t>C16:0 cetyl + EO10</t>
        </is>
      </c>
      <c r="AQ58">
        <v>16</v>
      </c>
      <c r="AR58">
        <v>0</v>
      </c>
      <c r="AS58"/>
      <c r="AT58"/>
      <c r="AU58"/>
      <c r="AV58"/>
      <c r="AW58">
        <v>1</v>
      </c>
      <c r="AX58"/>
      <c r="AY58" t="inlineStr">
        <is>
          <t>polyoxyethylene fatty alcohol</t>
        </is>
      </c>
      <c r="AZ58" t="inlineStr">
        <is>
          <t>edge activator / micellar solubilizer</t>
        </is>
      </c>
      <c r="BA58" t="inlineStr">
        <is>
          <t>yes</t>
        </is>
      </c>
      <c r="BB58" t="inlineStr">
        <is>
          <t>weak/conditional</t>
        </is>
      </c>
      <c r="BC58" t="inlineStr">
        <is>
          <t>high</t>
        </is>
      </c>
      <c r="BD58"/>
      <c r="BE58"/>
      <c r="BF58"/>
      <c r="BG58"/>
      <c r="BH58"/>
      <c r="BI58"/>
      <c r="BJ58"/>
      <c r="BK58"/>
      <c r="BL58"/>
      <c r="BM58"/>
      <c r="BN58"/>
      <c r="BO58"/>
      <c r="BP58"/>
      <c r="BQ58" t="inlineStr">
        <is>
          <t>oral/topical; parenteral/inhalation only if grade and safety justified</t>
        </is>
      </c>
      <c r="BR58"/>
      <c r="BS58"/>
      <c r="BT58"/>
      <c r="BU58"/>
      <c r="BV58"/>
      <c r="BW58"/>
      <c r="BX58" t="inlineStr">
        <is>
          <t>surfactant irritation/hemolysis is concentration-, route-, and grade-dependent; screen cytotoxicity and osmolality</t>
        </is>
      </c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</row>
    <row r="59">
      <c r="A59" t="inlineStr">
        <is>
          <t>SURF_BRIJ_58</t>
        </is>
      </c>
      <c r="B59" t="inlineStr">
        <is>
          <t>Brij 58</t>
        </is>
      </c>
      <c r="C59" t="inlineStr">
        <is>
          <t>Surfactant</t>
        </is>
      </c>
      <c r="D59" t="inlineStr">
        <is>
          <t>Nonionic surfactant</t>
        </is>
      </c>
      <c r="E59" t="inlineStr">
        <is>
          <t>Brij/fatty alcohol ethoxylate</t>
        </is>
      </c>
      <c r="F59">
        <v>1122</v>
      </c>
      <c r="G59"/>
      <c r="H59"/>
      <c r="I59"/>
      <c r="J59"/>
      <c r="K59">
        <v>15.7</v>
      </c>
      <c r="L59"/>
      <c r="M59"/>
      <c r="N59"/>
      <c r="O59"/>
      <c r="P59"/>
      <c r="Q59"/>
      <c r="R59"/>
      <c r="S59"/>
      <c r="T59">
        <v>0</v>
      </c>
      <c r="U59" t="inlineStr">
        <is>
          <t>nonionic</t>
        </is>
      </c>
      <c r="V59"/>
      <c r="W59"/>
      <c r="X59"/>
      <c r="Y59"/>
      <c r="Z59"/>
      <c r="AA59"/>
      <c r="AB59"/>
      <c r="AC59"/>
      <c r="AD59"/>
      <c r="AE59"/>
      <c r="AF59"/>
      <c r="AG59"/>
      <c r="AH59"/>
      <c r="AI59">
        <v>17.2</v>
      </c>
      <c r="AJ59">
        <v>8.5</v>
      </c>
      <c r="AK59">
        <v>14.0</v>
      </c>
      <c r="AL59">
        <v>9.0</v>
      </c>
      <c r="AM59">
        <v>23.75</v>
      </c>
      <c r="AN59">
        <v>1068.57</v>
      </c>
      <c r="AO59">
        <v>0.713</v>
      </c>
      <c r="AP59" t="inlineStr">
        <is>
          <t>C16:0 cetyl + EO20</t>
        </is>
      </c>
      <c r="AQ59">
        <v>16</v>
      </c>
      <c r="AR59">
        <v>0</v>
      </c>
      <c r="AS59"/>
      <c r="AT59"/>
      <c r="AU59"/>
      <c r="AV59"/>
      <c r="AW59">
        <v>1</v>
      </c>
      <c r="AX59"/>
      <c r="AY59" t="inlineStr">
        <is>
          <t>polyoxyethylene fatty alcohol</t>
        </is>
      </c>
      <c r="AZ59" t="inlineStr">
        <is>
          <t>edge activator / micellar solubilizer</t>
        </is>
      </c>
      <c r="BA59" t="inlineStr">
        <is>
          <t>yes</t>
        </is>
      </c>
      <c r="BB59" t="inlineStr">
        <is>
          <t>weak/conditional</t>
        </is>
      </c>
      <c r="BC59" t="inlineStr">
        <is>
          <t>high</t>
        </is>
      </c>
      <c r="BD59"/>
      <c r="BE59"/>
      <c r="BF59"/>
      <c r="BG59"/>
      <c r="BH59"/>
      <c r="BI59"/>
      <c r="BJ59"/>
      <c r="BK59"/>
      <c r="BL59"/>
      <c r="BM59"/>
      <c r="BN59"/>
      <c r="BO59"/>
      <c r="BP59"/>
      <c r="BQ59" t="inlineStr">
        <is>
          <t>oral/topical; parenteral/inhalation only if grade and safety justified</t>
        </is>
      </c>
      <c r="BR59"/>
      <c r="BS59"/>
      <c r="BT59"/>
      <c r="BU59"/>
      <c r="BV59"/>
      <c r="BW59"/>
      <c r="BX59" t="inlineStr">
        <is>
          <t>surfactant irritation/hemolysis is concentration-, route-, and grade-dependent; screen cytotoxicity and osmolality</t>
        </is>
      </c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</row>
    <row r="60">
      <c r="A60" t="inlineStr">
        <is>
          <t>SURF_BRIJ_72</t>
        </is>
      </c>
      <c r="B60" t="inlineStr">
        <is>
          <t>Brij 72</t>
        </is>
      </c>
      <c r="C60" t="inlineStr">
        <is>
          <t>Surfactant</t>
        </is>
      </c>
      <c r="D60" t="inlineStr">
        <is>
          <t>Nonionic surfactant</t>
        </is>
      </c>
      <c r="E60" t="inlineStr">
        <is>
          <t>Brij/fatty alcohol ethoxylate</t>
        </is>
      </c>
      <c r="F60">
        <v>358</v>
      </c>
      <c r="G60"/>
      <c r="H60"/>
      <c r="I60"/>
      <c r="J60"/>
      <c r="K60">
        <v>4.9</v>
      </c>
      <c r="L60"/>
      <c r="M60"/>
      <c r="N60"/>
      <c r="O60"/>
      <c r="P60"/>
      <c r="Q60"/>
      <c r="R60"/>
      <c r="S60"/>
      <c r="T60">
        <v>0</v>
      </c>
      <c r="U60" t="inlineStr">
        <is>
          <t>nonionic</t>
        </is>
      </c>
      <c r="V60"/>
      <c r="W60"/>
      <c r="X60"/>
      <c r="Y60"/>
      <c r="Z60"/>
      <c r="AA60"/>
      <c r="AB60"/>
      <c r="AC60"/>
      <c r="AD60"/>
      <c r="AE60"/>
      <c r="AF60"/>
      <c r="AG60"/>
      <c r="AH60"/>
      <c r="AI60">
        <v>17.0</v>
      </c>
      <c r="AJ60">
        <v>4.0</v>
      </c>
      <c r="AK60">
        <v>7.0</v>
      </c>
      <c r="AL60">
        <v>7.0</v>
      </c>
      <c r="AM60">
        <v>18.81</v>
      </c>
      <c r="AN60">
        <v>365.31</v>
      </c>
      <c r="AO60">
        <v>0.518</v>
      </c>
      <c r="AP60" t="inlineStr">
        <is>
          <t>C18:0 stearyl + EO2</t>
        </is>
      </c>
      <c r="AQ60">
        <v>18</v>
      </c>
      <c r="AR60">
        <v>0</v>
      </c>
      <c r="AS60"/>
      <c r="AT60"/>
      <c r="AU60"/>
      <c r="AV60"/>
      <c r="AW60">
        <v>1</v>
      </c>
      <c r="AX60"/>
      <c r="AY60" t="inlineStr">
        <is>
          <t>polyoxyethylene fatty alcohol</t>
        </is>
      </c>
      <c r="AZ60" t="inlineStr">
        <is>
          <t>vesicle bilayer former</t>
        </is>
      </c>
      <c r="BA60" t="inlineStr">
        <is>
          <t>conditional</t>
        </is>
      </c>
      <c r="BB60" t="inlineStr">
        <is>
          <t>yes</t>
        </is>
      </c>
      <c r="BC60" t="inlineStr">
        <is>
          <t>low-to-moderate</t>
        </is>
      </c>
      <c r="BD60"/>
      <c r="BE60"/>
      <c r="BF60"/>
      <c r="BG60"/>
      <c r="BH60"/>
      <c r="BI60"/>
      <c r="BJ60"/>
      <c r="BK60"/>
      <c r="BL60"/>
      <c r="BM60"/>
      <c r="BN60"/>
      <c r="BO60"/>
      <c r="BP60"/>
      <c r="BQ60" t="inlineStr">
        <is>
          <t>oral/topical; parenteral/inhalation only if grade and safety justified</t>
        </is>
      </c>
      <c r="BR60"/>
      <c r="BS60"/>
      <c r="BT60"/>
      <c r="BU60"/>
      <c r="BV60"/>
      <c r="BW60"/>
      <c r="BX60" t="inlineStr">
        <is>
          <t>surfactant irritation/hemolysis is concentration-, route-, and grade-dependent; screen cytotoxicity and osmolality</t>
        </is>
      </c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</row>
    <row r="61">
      <c r="A61" t="inlineStr">
        <is>
          <t>SURF_BRIJ_76</t>
        </is>
      </c>
      <c r="B61" t="inlineStr">
        <is>
          <t>Brij 76</t>
        </is>
      </c>
      <c r="C61" t="inlineStr">
        <is>
          <t>Surfactant</t>
        </is>
      </c>
      <c r="D61" t="inlineStr">
        <is>
          <t>Nonionic surfactant</t>
        </is>
      </c>
      <c r="E61" t="inlineStr">
        <is>
          <t>Brij/fatty alcohol ethoxylate</t>
        </is>
      </c>
      <c r="F61">
        <v>710</v>
      </c>
      <c r="G61"/>
      <c r="H61"/>
      <c r="I61"/>
      <c r="J61"/>
      <c r="K61">
        <v>12.4</v>
      </c>
      <c r="L61"/>
      <c r="M61"/>
      <c r="N61"/>
      <c r="O61"/>
      <c r="P61"/>
      <c r="Q61"/>
      <c r="R61"/>
      <c r="S61"/>
      <c r="T61">
        <v>0</v>
      </c>
      <c r="U61" t="inlineStr">
        <is>
          <t>nonionic</t>
        </is>
      </c>
      <c r="V61"/>
      <c r="W61"/>
      <c r="X61"/>
      <c r="Y61"/>
      <c r="Z61"/>
      <c r="AA61"/>
      <c r="AB61"/>
      <c r="AC61"/>
      <c r="AD61"/>
      <c r="AE61"/>
      <c r="AF61"/>
      <c r="AG61"/>
      <c r="AH61"/>
      <c r="AI61">
        <v>17.3</v>
      </c>
      <c r="AJ61">
        <v>6.5</v>
      </c>
      <c r="AK61">
        <v>10.5</v>
      </c>
      <c r="AL61">
        <v>8.0</v>
      </c>
      <c r="AM61">
        <v>21.26</v>
      </c>
      <c r="AN61">
        <v>676.19</v>
      </c>
      <c r="AO61">
        <v>0.653</v>
      </c>
      <c r="AP61" t="inlineStr">
        <is>
          <t>C18:0 stearyl + EO10</t>
        </is>
      </c>
      <c r="AQ61">
        <v>18</v>
      </c>
      <c r="AR61">
        <v>0</v>
      </c>
      <c r="AS61"/>
      <c r="AT61"/>
      <c r="AU61"/>
      <c r="AV61"/>
      <c r="AW61">
        <v>1</v>
      </c>
      <c r="AX61"/>
      <c r="AY61" t="inlineStr">
        <is>
          <t>polyoxyethylene fatty alcohol</t>
        </is>
      </c>
      <c r="AZ61" t="inlineStr">
        <is>
          <t>edge activator / micellar solubilizer</t>
        </is>
      </c>
      <c r="BA61" t="inlineStr">
        <is>
          <t>yes</t>
        </is>
      </c>
      <c r="BB61" t="inlineStr">
        <is>
          <t>weak/conditional</t>
        </is>
      </c>
      <c r="BC61" t="inlineStr">
        <is>
          <t>high</t>
        </is>
      </c>
      <c r="BD61"/>
      <c r="BE61"/>
      <c r="BF61"/>
      <c r="BG61"/>
      <c r="BH61"/>
      <c r="BI61"/>
      <c r="BJ61"/>
      <c r="BK61"/>
      <c r="BL61"/>
      <c r="BM61"/>
      <c r="BN61"/>
      <c r="BO61"/>
      <c r="BP61"/>
      <c r="BQ61" t="inlineStr">
        <is>
          <t>oral/topical; parenteral/inhalation only if grade and safety justified</t>
        </is>
      </c>
      <c r="BR61"/>
      <c r="BS61"/>
      <c r="BT61"/>
      <c r="BU61"/>
      <c r="BV61"/>
      <c r="BW61"/>
      <c r="BX61" t="inlineStr">
        <is>
          <t>surfactant irritation/hemolysis is concentration-, route-, and grade-dependent; screen cytotoxicity and osmolality</t>
        </is>
      </c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</row>
    <row r="62">
      <c r="A62" t="inlineStr">
        <is>
          <t>SURF_BRIJ_78</t>
        </is>
      </c>
      <c r="B62" t="inlineStr">
        <is>
          <t>Brij 78</t>
        </is>
      </c>
      <c r="C62" t="inlineStr">
        <is>
          <t>Surfactant</t>
        </is>
      </c>
      <c r="D62" t="inlineStr">
        <is>
          <t>Nonionic surfactant</t>
        </is>
      </c>
      <c r="E62" t="inlineStr">
        <is>
          <t>Brij/fatty alcohol ethoxylate</t>
        </is>
      </c>
      <c r="F62">
        <v>1150</v>
      </c>
      <c r="G62"/>
      <c r="H62"/>
      <c r="I62"/>
      <c r="J62"/>
      <c r="K62">
        <v>15.3</v>
      </c>
      <c r="L62"/>
      <c r="M62"/>
      <c r="N62"/>
      <c r="O62"/>
      <c r="P62"/>
      <c r="Q62"/>
      <c r="R62"/>
      <c r="S62"/>
      <c r="T62">
        <v>0</v>
      </c>
      <c r="U62" t="inlineStr">
        <is>
          <t>nonionic</t>
        </is>
      </c>
      <c r="V62"/>
      <c r="W62"/>
      <c r="X62"/>
      <c r="Y62"/>
      <c r="Z62"/>
      <c r="AA62"/>
      <c r="AB62"/>
      <c r="AC62"/>
      <c r="AD62"/>
      <c r="AE62"/>
      <c r="AF62"/>
      <c r="AG62"/>
      <c r="AH62"/>
      <c r="AI62">
        <v>17.2</v>
      </c>
      <c r="AJ62">
        <v>8.5</v>
      </c>
      <c r="AK62">
        <v>14.0</v>
      </c>
      <c r="AL62">
        <v>9.0</v>
      </c>
      <c r="AM62">
        <v>23.75</v>
      </c>
      <c r="AN62">
        <v>1095.24</v>
      </c>
      <c r="AO62">
        <v>0.705</v>
      </c>
      <c r="AP62" t="inlineStr">
        <is>
          <t>C18:0 stearyl + EO20</t>
        </is>
      </c>
      <c r="AQ62">
        <v>18</v>
      </c>
      <c r="AR62">
        <v>0</v>
      </c>
      <c r="AS62"/>
      <c r="AT62"/>
      <c r="AU62"/>
      <c r="AV62"/>
      <c r="AW62">
        <v>1</v>
      </c>
      <c r="AX62"/>
      <c r="AY62" t="inlineStr">
        <is>
          <t>polyoxyethylene fatty alcohol</t>
        </is>
      </c>
      <c r="AZ62" t="inlineStr">
        <is>
          <t>edge activator / micellar solubilizer</t>
        </is>
      </c>
      <c r="BA62" t="inlineStr">
        <is>
          <t>yes</t>
        </is>
      </c>
      <c r="BB62" t="inlineStr">
        <is>
          <t>weak/conditional</t>
        </is>
      </c>
      <c r="BC62" t="inlineStr">
        <is>
          <t>high</t>
        </is>
      </c>
      <c r="BD62"/>
      <c r="BE62"/>
      <c r="BF62"/>
      <c r="BG62"/>
      <c r="BH62"/>
      <c r="BI62"/>
      <c r="BJ62"/>
      <c r="BK62"/>
      <c r="BL62"/>
      <c r="BM62"/>
      <c r="BN62"/>
      <c r="BO62"/>
      <c r="BP62"/>
      <c r="BQ62" t="inlineStr">
        <is>
          <t>oral/topical; parenteral/inhalation only if grade and safety justified</t>
        </is>
      </c>
      <c r="BR62"/>
      <c r="BS62"/>
      <c r="BT62"/>
      <c r="BU62"/>
      <c r="BV62"/>
      <c r="BW62"/>
      <c r="BX62" t="inlineStr">
        <is>
          <t>surfactant irritation/hemolysis is concentration-, route-, and grade-dependent; screen cytotoxicity and osmolality</t>
        </is>
      </c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</row>
    <row r="63">
      <c r="A63" t="inlineStr">
        <is>
          <t>SURF_BRIJ_92</t>
        </is>
      </c>
      <c r="B63" t="inlineStr">
        <is>
          <t>Brij 92</t>
        </is>
      </c>
      <c r="C63" t="inlineStr">
        <is>
          <t>Surfactant</t>
        </is>
      </c>
      <c r="D63" t="inlineStr">
        <is>
          <t>Nonionic surfactant</t>
        </is>
      </c>
      <c r="E63" t="inlineStr">
        <is>
          <t>Brij/fatty alcohol ethoxylate</t>
        </is>
      </c>
      <c r="F63">
        <v>356</v>
      </c>
      <c r="G63"/>
      <c r="H63"/>
      <c r="I63"/>
      <c r="J63"/>
      <c r="K63">
        <v>4.9</v>
      </c>
      <c r="L63"/>
      <c r="M63"/>
      <c r="N63"/>
      <c r="O63"/>
      <c r="P63"/>
      <c r="Q63"/>
      <c r="R63"/>
      <c r="S63"/>
      <c r="T63">
        <v>0</v>
      </c>
      <c r="U63" t="inlineStr">
        <is>
          <t>nonionic</t>
        </is>
      </c>
      <c r="V63"/>
      <c r="W63"/>
      <c r="X63"/>
      <c r="Y63"/>
      <c r="Z63"/>
      <c r="AA63"/>
      <c r="AB63"/>
      <c r="AC63"/>
      <c r="AD63"/>
      <c r="AE63"/>
      <c r="AF63"/>
      <c r="AG63"/>
      <c r="AH63"/>
      <c r="AI63">
        <v>17.0</v>
      </c>
      <c r="AJ63">
        <v>4.0</v>
      </c>
      <c r="AK63">
        <v>7.0</v>
      </c>
      <c r="AL63">
        <v>7.0</v>
      </c>
      <c r="AM63">
        <v>18.81</v>
      </c>
      <c r="AN63">
        <v>363.27</v>
      </c>
      <c r="AO63">
        <v>0.518</v>
      </c>
      <c r="AP63" t="inlineStr">
        <is>
          <t>C18:1 oleyl + EO2</t>
        </is>
      </c>
      <c r="AQ63">
        <v>18</v>
      </c>
      <c r="AR63">
        <v>1</v>
      </c>
      <c r="AS63"/>
      <c r="AT63"/>
      <c r="AU63"/>
      <c r="AV63"/>
      <c r="AW63">
        <v>1</v>
      </c>
      <c r="AX63"/>
      <c r="AY63" t="inlineStr">
        <is>
          <t>polyoxyethylene fatty alcohol</t>
        </is>
      </c>
      <c r="AZ63" t="inlineStr">
        <is>
          <t>vesicle bilayer former</t>
        </is>
      </c>
      <c r="BA63" t="inlineStr">
        <is>
          <t>conditional</t>
        </is>
      </c>
      <c r="BB63" t="inlineStr">
        <is>
          <t>yes</t>
        </is>
      </c>
      <c r="BC63" t="inlineStr">
        <is>
          <t>low-to-moderate</t>
        </is>
      </c>
      <c r="BD63"/>
      <c r="BE63"/>
      <c r="BF63"/>
      <c r="BG63"/>
      <c r="BH63"/>
      <c r="BI63"/>
      <c r="BJ63"/>
      <c r="BK63"/>
      <c r="BL63"/>
      <c r="BM63"/>
      <c r="BN63"/>
      <c r="BO63"/>
      <c r="BP63"/>
      <c r="BQ63" t="inlineStr">
        <is>
          <t>oral/topical; parenteral/inhalation only if grade and safety justified</t>
        </is>
      </c>
      <c r="BR63"/>
      <c r="BS63"/>
      <c r="BT63"/>
      <c r="BU63"/>
      <c r="BV63"/>
      <c r="BW63"/>
      <c r="BX63" t="inlineStr">
        <is>
          <t>surfactant irritation/hemolysis is concentration-, route-, and grade-dependent; screen cytotoxicity and osmolality</t>
        </is>
      </c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</row>
    <row r="64">
      <c r="A64" t="inlineStr">
        <is>
          <t>SURF_BRIJ_96</t>
        </is>
      </c>
      <c r="B64" t="inlineStr">
        <is>
          <t>Brij 96</t>
        </is>
      </c>
      <c r="C64" t="inlineStr">
        <is>
          <t>Surfactant</t>
        </is>
      </c>
      <c r="D64" t="inlineStr">
        <is>
          <t>Nonionic surfactant</t>
        </is>
      </c>
      <c r="E64" t="inlineStr">
        <is>
          <t>Brij/fatty alcohol ethoxylate</t>
        </is>
      </c>
      <c r="F64">
        <v>708</v>
      </c>
      <c r="G64"/>
      <c r="H64"/>
      <c r="I64"/>
      <c r="J64"/>
      <c r="K64">
        <v>12.4</v>
      </c>
      <c r="L64"/>
      <c r="M64"/>
      <c r="N64"/>
      <c r="O64"/>
      <c r="P64"/>
      <c r="Q64"/>
      <c r="R64"/>
      <c r="S64"/>
      <c r="T64">
        <v>0</v>
      </c>
      <c r="U64" t="inlineStr">
        <is>
          <t>nonionic</t>
        </is>
      </c>
      <c r="V64"/>
      <c r="W64"/>
      <c r="X64"/>
      <c r="Y64"/>
      <c r="Z64"/>
      <c r="AA64"/>
      <c r="AB64"/>
      <c r="AC64"/>
      <c r="AD64"/>
      <c r="AE64"/>
      <c r="AF64"/>
      <c r="AG64"/>
      <c r="AH64"/>
      <c r="AI64">
        <v>17.3</v>
      </c>
      <c r="AJ64">
        <v>6.5</v>
      </c>
      <c r="AK64">
        <v>10.5</v>
      </c>
      <c r="AL64">
        <v>8.0</v>
      </c>
      <c r="AM64">
        <v>21.26</v>
      </c>
      <c r="AN64">
        <v>674.29</v>
      </c>
      <c r="AO64">
        <v>0.653</v>
      </c>
      <c r="AP64" t="inlineStr">
        <is>
          <t>C18:1 oleyl + EO10</t>
        </is>
      </c>
      <c r="AQ64">
        <v>18</v>
      </c>
      <c r="AR64">
        <v>1</v>
      </c>
      <c r="AS64"/>
      <c r="AT64"/>
      <c r="AU64"/>
      <c r="AV64"/>
      <c r="AW64">
        <v>1</v>
      </c>
      <c r="AX64"/>
      <c r="AY64" t="inlineStr">
        <is>
          <t>polyoxyethylene fatty alcohol</t>
        </is>
      </c>
      <c r="AZ64" t="inlineStr">
        <is>
          <t>edge activator / micellar solubilizer</t>
        </is>
      </c>
      <c r="BA64" t="inlineStr">
        <is>
          <t>yes</t>
        </is>
      </c>
      <c r="BB64" t="inlineStr">
        <is>
          <t>weak/conditional</t>
        </is>
      </c>
      <c r="BC64" t="inlineStr">
        <is>
          <t>high</t>
        </is>
      </c>
      <c r="BD64"/>
      <c r="BE64"/>
      <c r="BF64"/>
      <c r="BG64"/>
      <c r="BH64"/>
      <c r="BI64"/>
      <c r="BJ64"/>
      <c r="BK64"/>
      <c r="BL64"/>
      <c r="BM64"/>
      <c r="BN64"/>
      <c r="BO64"/>
      <c r="BP64"/>
      <c r="BQ64" t="inlineStr">
        <is>
          <t>oral/topical; parenteral/inhalation only if grade and safety justified</t>
        </is>
      </c>
      <c r="BR64"/>
      <c r="BS64"/>
      <c r="BT64"/>
      <c r="BU64"/>
      <c r="BV64"/>
      <c r="BW64"/>
      <c r="BX64" t="inlineStr">
        <is>
          <t>surfactant irritation/hemolysis is concentration-, route-, and grade-dependent; screen cytotoxicity and osmolality</t>
        </is>
      </c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</row>
    <row r="65">
      <c r="A65" t="inlineStr">
        <is>
          <t>SURF_BRIJ_98</t>
        </is>
      </c>
      <c r="B65" t="inlineStr">
        <is>
          <t>Brij 98</t>
        </is>
      </c>
      <c r="C65" t="inlineStr">
        <is>
          <t>Surfactant</t>
        </is>
      </c>
      <c r="D65" t="inlineStr">
        <is>
          <t>Nonionic surfactant</t>
        </is>
      </c>
      <c r="E65" t="inlineStr">
        <is>
          <t>Brij/fatty alcohol ethoxylate</t>
        </is>
      </c>
      <c r="F65">
        <v>1148</v>
      </c>
      <c r="G65"/>
      <c r="H65"/>
      <c r="I65"/>
      <c r="J65"/>
      <c r="K65">
        <v>15.3</v>
      </c>
      <c r="L65"/>
      <c r="M65"/>
      <c r="N65"/>
      <c r="O65"/>
      <c r="P65"/>
      <c r="Q65"/>
      <c r="R65"/>
      <c r="S65"/>
      <c r="T65">
        <v>0</v>
      </c>
      <c r="U65" t="inlineStr">
        <is>
          <t>nonionic</t>
        </is>
      </c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17.2</v>
      </c>
      <c r="AJ65">
        <v>8.5</v>
      </c>
      <c r="AK65">
        <v>14.0</v>
      </c>
      <c r="AL65">
        <v>9.0</v>
      </c>
      <c r="AM65">
        <v>23.75</v>
      </c>
      <c r="AN65">
        <v>1093.33</v>
      </c>
      <c r="AO65">
        <v>0.705</v>
      </c>
      <c r="AP65" t="inlineStr">
        <is>
          <t>C18:1 oleyl + EO20</t>
        </is>
      </c>
      <c r="AQ65">
        <v>18</v>
      </c>
      <c r="AR65">
        <v>1</v>
      </c>
      <c r="AS65"/>
      <c r="AT65"/>
      <c r="AU65"/>
      <c r="AV65"/>
      <c r="AW65">
        <v>1</v>
      </c>
      <c r="AX65"/>
      <c r="AY65" t="inlineStr">
        <is>
          <t>polyoxyethylene fatty alcohol</t>
        </is>
      </c>
      <c r="AZ65" t="inlineStr">
        <is>
          <t>edge activator / micellar solubilizer</t>
        </is>
      </c>
      <c r="BA65" t="inlineStr">
        <is>
          <t>yes</t>
        </is>
      </c>
      <c r="BB65" t="inlineStr">
        <is>
          <t>weak/conditional</t>
        </is>
      </c>
      <c r="BC65" t="inlineStr">
        <is>
          <t>high</t>
        </is>
      </c>
      <c r="BD65"/>
      <c r="BE65"/>
      <c r="BF65"/>
      <c r="BG65"/>
      <c r="BH65"/>
      <c r="BI65"/>
      <c r="BJ65"/>
      <c r="BK65"/>
      <c r="BL65"/>
      <c r="BM65"/>
      <c r="BN65"/>
      <c r="BO65"/>
      <c r="BP65"/>
      <c r="BQ65" t="inlineStr">
        <is>
          <t>oral/topical; parenteral/inhalation only if grade and safety justified</t>
        </is>
      </c>
      <c r="BR65"/>
      <c r="BS65"/>
      <c r="BT65"/>
      <c r="BU65"/>
      <c r="BV65"/>
      <c r="BW65"/>
      <c r="BX65" t="inlineStr">
        <is>
          <t>surfactant irritation/hemolysis is concentration-, route-, and grade-dependent; screen cytotoxicity and osmolality</t>
        </is>
      </c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</row>
    <row r="66">
      <c r="A66" t="inlineStr">
        <is>
          <t>SURF_MYRJ_45</t>
        </is>
      </c>
      <c r="B66" t="inlineStr">
        <is>
          <t>Myrj 45</t>
        </is>
      </c>
      <c r="C66" t="inlineStr">
        <is>
          <t>Surfactant</t>
        </is>
      </c>
      <c r="D66" t="inlineStr">
        <is>
          <t>Nonionic surfactant</t>
        </is>
      </c>
      <c r="E66" t="inlineStr">
        <is>
          <t>Myrj/polyoxyl stearate</t>
        </is>
      </c>
      <c r="F66">
        <v>600</v>
      </c>
      <c r="G66"/>
      <c r="H66"/>
      <c r="I66"/>
      <c r="J66"/>
      <c r="K66">
        <v>11.1</v>
      </c>
      <c r="L66"/>
      <c r="M66"/>
      <c r="N66"/>
      <c r="O66"/>
      <c r="P66"/>
      <c r="Q66"/>
      <c r="R66"/>
      <c r="S66"/>
      <c r="T66">
        <v>0</v>
      </c>
      <c r="U66" t="inlineStr">
        <is>
          <t>nonionic</t>
        </is>
      </c>
      <c r="V66"/>
      <c r="W66"/>
      <c r="X66"/>
      <c r="Y66"/>
      <c r="Z66"/>
      <c r="AA66"/>
      <c r="AB66"/>
      <c r="AC66"/>
      <c r="AD66"/>
      <c r="AE66"/>
      <c r="AF66"/>
      <c r="AG66"/>
      <c r="AH66"/>
      <c r="AI66">
        <v>17.3</v>
      </c>
      <c r="AJ66">
        <v>6.5</v>
      </c>
      <c r="AK66">
        <v>10.5</v>
      </c>
      <c r="AL66">
        <v>8.0</v>
      </c>
      <c r="AM66">
        <v>21.26</v>
      </c>
      <c r="AN66">
        <v>571.43</v>
      </c>
      <c r="AO66">
        <v>0.55</v>
      </c>
      <c r="AP66" t="inlineStr">
        <is>
          <t>C18:0 stearate + PEG</t>
        </is>
      </c>
      <c r="AQ66">
        <v>18</v>
      </c>
      <c r="AR66">
        <v>0</v>
      </c>
      <c r="AS66"/>
      <c r="AT66"/>
      <c r="AU66"/>
      <c r="AV66"/>
      <c r="AW66">
        <v>1</v>
      </c>
      <c r="AX66"/>
      <c r="AY66" t="inlineStr">
        <is>
          <t>polyoxyl stearate</t>
        </is>
      </c>
      <c r="AZ66" t="inlineStr">
        <is>
          <t>edge activator / micellar solubilizer</t>
        </is>
      </c>
      <c r="BA66" t="inlineStr">
        <is>
          <t>yes</t>
        </is>
      </c>
      <c r="BB66" t="inlineStr">
        <is>
          <t>yes</t>
        </is>
      </c>
      <c r="BC66" t="inlineStr">
        <is>
          <t>low-to-moderate</t>
        </is>
      </c>
      <c r="BD66"/>
      <c r="BE66"/>
      <c r="BF66"/>
      <c r="BG66"/>
      <c r="BH66"/>
      <c r="BI66"/>
      <c r="BJ66"/>
      <c r="BK66"/>
      <c r="BL66"/>
      <c r="BM66"/>
      <c r="BN66"/>
      <c r="BO66"/>
      <c r="BP66"/>
      <c r="BQ66" t="inlineStr">
        <is>
          <t>oral/topical; parenteral/inhalation only if grade and safety justified</t>
        </is>
      </c>
      <c r="BR66"/>
      <c r="BS66"/>
      <c r="BT66"/>
      <c r="BU66"/>
      <c r="BV66"/>
      <c r="BW66"/>
      <c r="BX66" t="inlineStr">
        <is>
          <t>surfactant irritation/hemolysis is concentration-, route-, and grade-dependent; screen cytotoxicity and osmolality</t>
        </is>
      </c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</row>
    <row r="67">
      <c r="A67" t="inlineStr">
        <is>
          <t>SURF_MYRJ_49</t>
        </is>
      </c>
      <c r="B67" t="inlineStr">
        <is>
          <t>Myrj 49</t>
        </is>
      </c>
      <c r="C67" t="inlineStr">
        <is>
          <t>Surfactant</t>
        </is>
      </c>
      <c r="D67" t="inlineStr">
        <is>
          <t>Nonionic surfactant</t>
        </is>
      </c>
      <c r="E67" t="inlineStr">
        <is>
          <t>Myrj/polyoxyl stearate</t>
        </is>
      </c>
      <c r="F67">
        <v>880</v>
      </c>
      <c r="G67"/>
      <c r="H67"/>
      <c r="I67"/>
      <c r="J67"/>
      <c r="K67">
        <v>15.0</v>
      </c>
      <c r="L67"/>
      <c r="M67"/>
      <c r="N67"/>
      <c r="O67"/>
      <c r="P67"/>
      <c r="Q67"/>
      <c r="R67"/>
      <c r="S67"/>
      <c r="T67">
        <v>0</v>
      </c>
      <c r="U67" t="inlineStr">
        <is>
          <t>nonionic</t>
        </is>
      </c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17.2</v>
      </c>
      <c r="AJ67">
        <v>8.5</v>
      </c>
      <c r="AK67">
        <v>14.0</v>
      </c>
      <c r="AL67">
        <v>9.0</v>
      </c>
      <c r="AM67">
        <v>23.75</v>
      </c>
      <c r="AN67">
        <v>838.1</v>
      </c>
      <c r="AO67">
        <v>0.62</v>
      </c>
      <c r="AP67" t="inlineStr">
        <is>
          <t>C18:0 stearate + PEG</t>
        </is>
      </c>
      <c r="AQ67">
        <v>18</v>
      </c>
      <c r="AR67">
        <v>0</v>
      </c>
      <c r="AS67"/>
      <c r="AT67"/>
      <c r="AU67"/>
      <c r="AV67"/>
      <c r="AW67">
        <v>1</v>
      </c>
      <c r="AX67"/>
      <c r="AY67" t="inlineStr">
        <is>
          <t>polyoxyl stearate</t>
        </is>
      </c>
      <c r="AZ67" t="inlineStr">
        <is>
          <t>edge activator / micellar solubilizer</t>
        </is>
      </c>
      <c r="BA67" t="inlineStr">
        <is>
          <t>yes</t>
        </is>
      </c>
      <c r="BB67" t="inlineStr">
        <is>
          <t>weak/conditional</t>
        </is>
      </c>
      <c r="BC67" t="inlineStr">
        <is>
          <t>high</t>
        </is>
      </c>
      <c r="BD67"/>
      <c r="BE67"/>
      <c r="BF67"/>
      <c r="BG67"/>
      <c r="BH67"/>
      <c r="BI67"/>
      <c r="BJ67"/>
      <c r="BK67"/>
      <c r="BL67"/>
      <c r="BM67"/>
      <c r="BN67"/>
      <c r="BO67"/>
      <c r="BP67"/>
      <c r="BQ67" t="inlineStr">
        <is>
          <t>oral/topical; parenteral/inhalation only if grade and safety justified</t>
        </is>
      </c>
      <c r="BR67"/>
      <c r="BS67"/>
      <c r="BT67"/>
      <c r="BU67"/>
      <c r="BV67"/>
      <c r="BW67"/>
      <c r="BX67" t="inlineStr">
        <is>
          <t>surfactant irritation/hemolysis is concentration-, route-, and grade-dependent; screen cytotoxicity and osmolality</t>
        </is>
      </c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</row>
    <row r="68">
      <c r="A68" t="inlineStr">
        <is>
          <t>SURF_MYRJ_52</t>
        </is>
      </c>
      <c r="B68" t="inlineStr">
        <is>
          <t>Myrj 52</t>
        </is>
      </c>
      <c r="C68" t="inlineStr">
        <is>
          <t>Surfactant</t>
        </is>
      </c>
      <c r="D68" t="inlineStr">
        <is>
          <t>Nonionic surfactant</t>
        </is>
      </c>
      <c r="E68" t="inlineStr">
        <is>
          <t>Myrj/polyoxyl stearate</t>
        </is>
      </c>
      <c r="F68">
        <v>1830</v>
      </c>
      <c r="G68"/>
      <c r="H68"/>
      <c r="I68"/>
      <c r="J68"/>
      <c r="K68">
        <v>16.9</v>
      </c>
      <c r="L68"/>
      <c r="M68"/>
      <c r="N68"/>
      <c r="O68"/>
      <c r="P68"/>
      <c r="Q68"/>
      <c r="R68"/>
      <c r="S68"/>
      <c r="T68">
        <v>0</v>
      </c>
      <c r="U68" t="inlineStr">
        <is>
          <t>nonionic</t>
        </is>
      </c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17.2</v>
      </c>
      <c r="AJ68">
        <v>8.5</v>
      </c>
      <c r="AK68">
        <v>14.0</v>
      </c>
      <c r="AL68">
        <v>9.0</v>
      </c>
      <c r="AM68">
        <v>23.75</v>
      </c>
      <c r="AN68">
        <v>1742.86</v>
      </c>
      <c r="AO68">
        <v>0.654</v>
      </c>
      <c r="AP68" t="inlineStr">
        <is>
          <t>C18:0 stearate + PEG</t>
        </is>
      </c>
      <c r="AQ68">
        <v>18</v>
      </c>
      <c r="AR68">
        <v>0</v>
      </c>
      <c r="AS68"/>
      <c r="AT68"/>
      <c r="AU68"/>
      <c r="AV68"/>
      <c r="AW68">
        <v>1</v>
      </c>
      <c r="AX68"/>
      <c r="AY68" t="inlineStr">
        <is>
          <t>polyoxyl stearate</t>
        </is>
      </c>
      <c r="AZ68" t="inlineStr">
        <is>
          <t>edge activator / micellar solubilizer</t>
        </is>
      </c>
      <c r="BA68" t="inlineStr">
        <is>
          <t>yes</t>
        </is>
      </c>
      <c r="BB68" t="inlineStr">
        <is>
          <t>weak/conditional</t>
        </is>
      </c>
      <c r="BC68" t="inlineStr">
        <is>
          <t>high</t>
        </is>
      </c>
      <c r="BD68"/>
      <c r="BE68"/>
      <c r="BF68"/>
      <c r="BG68"/>
      <c r="BH68"/>
      <c r="BI68"/>
      <c r="BJ68"/>
      <c r="BK68"/>
      <c r="BL68"/>
      <c r="BM68"/>
      <c r="BN68"/>
      <c r="BO68"/>
      <c r="BP68"/>
      <c r="BQ68" t="inlineStr">
        <is>
          <t>oral/topical; parenteral/inhalation only if grade and safety justified</t>
        </is>
      </c>
      <c r="BR68"/>
      <c r="BS68"/>
      <c r="BT68"/>
      <c r="BU68"/>
      <c r="BV68"/>
      <c r="BW68"/>
      <c r="BX68" t="inlineStr">
        <is>
          <t>surfactant irritation/hemolysis is concentration-, route-, and grade-dependent; screen cytotoxicity and osmolality</t>
        </is>
      </c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</row>
    <row r="69">
      <c r="A69" t="inlineStr">
        <is>
          <t>SURF_MYRJ_53</t>
        </is>
      </c>
      <c r="B69" t="inlineStr">
        <is>
          <t>Myrj 53</t>
        </is>
      </c>
      <c r="C69" t="inlineStr">
        <is>
          <t>Surfactant</t>
        </is>
      </c>
      <c r="D69" t="inlineStr">
        <is>
          <t>Nonionic surfactant</t>
        </is>
      </c>
      <c r="E69" t="inlineStr">
        <is>
          <t>Myrj/polyoxyl stearate</t>
        </is>
      </c>
      <c r="F69">
        <v>1980</v>
      </c>
      <c r="G69"/>
      <c r="H69"/>
      <c r="I69"/>
      <c r="J69"/>
      <c r="K69">
        <v>17.9</v>
      </c>
      <c r="L69"/>
      <c r="M69"/>
      <c r="N69"/>
      <c r="O69"/>
      <c r="P69"/>
      <c r="Q69"/>
      <c r="R69"/>
      <c r="S69"/>
      <c r="T69">
        <v>0</v>
      </c>
      <c r="U69" t="inlineStr">
        <is>
          <t>nonionic</t>
        </is>
      </c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17.2</v>
      </c>
      <c r="AJ69">
        <v>8.5</v>
      </c>
      <c r="AK69">
        <v>14.0</v>
      </c>
      <c r="AL69">
        <v>9.0</v>
      </c>
      <c r="AM69">
        <v>23.75</v>
      </c>
      <c r="AN69">
        <v>1885.71</v>
      </c>
      <c r="AO69">
        <v>0.672</v>
      </c>
      <c r="AP69" t="inlineStr">
        <is>
          <t>C18:0 stearate + PEG</t>
        </is>
      </c>
      <c r="AQ69">
        <v>18</v>
      </c>
      <c r="AR69">
        <v>0</v>
      </c>
      <c r="AS69"/>
      <c r="AT69"/>
      <c r="AU69"/>
      <c r="AV69"/>
      <c r="AW69">
        <v>1</v>
      </c>
      <c r="AX69"/>
      <c r="AY69" t="inlineStr">
        <is>
          <t>polyoxyl stearate</t>
        </is>
      </c>
      <c r="AZ69" t="inlineStr">
        <is>
          <t>edge activator / micellar solubilizer</t>
        </is>
      </c>
      <c r="BA69" t="inlineStr">
        <is>
          <t>yes</t>
        </is>
      </c>
      <c r="BB69" t="inlineStr">
        <is>
          <t>weak/conditional</t>
        </is>
      </c>
      <c r="BC69" t="inlineStr">
        <is>
          <t>high</t>
        </is>
      </c>
      <c r="BD69"/>
      <c r="BE69"/>
      <c r="BF69"/>
      <c r="BG69"/>
      <c r="BH69"/>
      <c r="BI69"/>
      <c r="BJ69"/>
      <c r="BK69"/>
      <c r="BL69"/>
      <c r="BM69"/>
      <c r="BN69"/>
      <c r="BO69"/>
      <c r="BP69"/>
      <c r="BQ69" t="inlineStr">
        <is>
          <t>oral/topical; parenteral/inhalation only if grade and safety justified</t>
        </is>
      </c>
      <c r="BR69"/>
      <c r="BS69"/>
      <c r="BT69"/>
      <c r="BU69"/>
      <c r="BV69"/>
      <c r="BW69"/>
      <c r="BX69" t="inlineStr">
        <is>
          <t>surfactant irritation/hemolysis is concentration-, route-, and grade-dependent; screen cytotoxicity and osmolality</t>
        </is>
      </c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</row>
    <row r="70">
      <c r="A70" t="inlineStr">
        <is>
          <t>SURF_MYRJ_59</t>
        </is>
      </c>
      <c r="B70" t="inlineStr">
        <is>
          <t>Myrj 59</t>
        </is>
      </c>
      <c r="C70" t="inlineStr">
        <is>
          <t>Surfactant</t>
        </is>
      </c>
      <c r="D70" t="inlineStr">
        <is>
          <t>Nonionic surfactant</t>
        </is>
      </c>
      <c r="E70" t="inlineStr">
        <is>
          <t>Myrj/polyoxyl stearate</t>
        </is>
      </c>
      <c r="F70">
        <v>2500</v>
      </c>
      <c r="G70"/>
      <c r="H70"/>
      <c r="I70"/>
      <c r="J70"/>
      <c r="K70">
        <v>18.8</v>
      </c>
      <c r="L70"/>
      <c r="M70"/>
      <c r="N70"/>
      <c r="O70"/>
      <c r="P70"/>
      <c r="Q70"/>
      <c r="R70"/>
      <c r="S70"/>
      <c r="T70">
        <v>0</v>
      </c>
      <c r="U70" t="inlineStr">
        <is>
          <t>nonionic</t>
        </is>
      </c>
      <c r="V70"/>
      <c r="W70"/>
      <c r="X70"/>
      <c r="Y70"/>
      <c r="Z70"/>
      <c r="AA70"/>
      <c r="AB70"/>
      <c r="AC70"/>
      <c r="AD70"/>
      <c r="AE70"/>
      <c r="AF70"/>
      <c r="AG70"/>
      <c r="AH70"/>
      <c r="AI70">
        <v>17.2</v>
      </c>
      <c r="AJ70">
        <v>8.5</v>
      </c>
      <c r="AK70">
        <v>14.0</v>
      </c>
      <c r="AL70">
        <v>9.0</v>
      </c>
      <c r="AM70">
        <v>23.75</v>
      </c>
      <c r="AN70">
        <v>2380.95</v>
      </c>
      <c r="AO70">
        <v>0.688</v>
      </c>
      <c r="AP70" t="inlineStr">
        <is>
          <t>C18:0 stearate + PEG</t>
        </is>
      </c>
      <c r="AQ70">
        <v>18</v>
      </c>
      <c r="AR70">
        <v>0</v>
      </c>
      <c r="AS70"/>
      <c r="AT70"/>
      <c r="AU70"/>
      <c r="AV70"/>
      <c r="AW70">
        <v>1</v>
      </c>
      <c r="AX70"/>
      <c r="AY70" t="inlineStr">
        <is>
          <t>polyoxyl stearate</t>
        </is>
      </c>
      <c r="AZ70" t="inlineStr">
        <is>
          <t>edge activator / micellar solubilizer</t>
        </is>
      </c>
      <c r="BA70" t="inlineStr">
        <is>
          <t>yes</t>
        </is>
      </c>
      <c r="BB70" t="inlineStr">
        <is>
          <t>weak/conditional</t>
        </is>
      </c>
      <c r="BC70" t="inlineStr">
        <is>
          <t>high</t>
        </is>
      </c>
      <c r="BD70"/>
      <c r="BE70"/>
      <c r="BF70"/>
      <c r="BG70"/>
      <c r="BH70"/>
      <c r="BI70"/>
      <c r="BJ70"/>
      <c r="BK70"/>
      <c r="BL70"/>
      <c r="BM70"/>
      <c r="BN70"/>
      <c r="BO70"/>
      <c r="BP70"/>
      <c r="BQ70" t="inlineStr">
        <is>
          <t>oral/topical; parenteral/inhalation only if grade and safety justified</t>
        </is>
      </c>
      <c r="BR70"/>
      <c r="BS70"/>
      <c r="BT70"/>
      <c r="BU70"/>
      <c r="BV70"/>
      <c r="BW70"/>
      <c r="BX70" t="inlineStr">
        <is>
          <t>surfactant irritation/hemolysis is concentration-, route-, and grade-dependent; screen cytotoxicity and osmolality</t>
        </is>
      </c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</row>
    <row r="71">
      <c r="A71" t="inlineStr">
        <is>
          <t>SURF_POLOXAMER_124</t>
        </is>
      </c>
      <c r="B71" t="inlineStr">
        <is>
          <t>Poloxamer 124</t>
        </is>
      </c>
      <c r="C71" t="inlineStr">
        <is>
          <t>Surfactant</t>
        </is>
      </c>
      <c r="D71" t="inlineStr">
        <is>
          <t>Nonionic surfactant</t>
        </is>
      </c>
      <c r="E71" t="inlineStr">
        <is>
          <t>poloxamer PEO-PPO-PEO</t>
        </is>
      </c>
      <c r="F71">
        <v>2090</v>
      </c>
      <c r="G71"/>
      <c r="H71"/>
      <c r="I71"/>
      <c r="J71"/>
      <c r="K71">
        <v>12</v>
      </c>
      <c r="L71"/>
      <c r="M71"/>
      <c r="N71"/>
      <c r="O71"/>
      <c r="P71"/>
      <c r="Q71"/>
      <c r="R71"/>
      <c r="S71"/>
      <c r="T71">
        <v>0</v>
      </c>
      <c r="U71" t="inlineStr">
        <is>
          <t>nonionic</t>
        </is>
      </c>
      <c r="V71"/>
      <c r="W71"/>
      <c r="X71"/>
      <c r="Y71"/>
      <c r="Z71"/>
      <c r="AA71"/>
      <c r="AB71"/>
      <c r="AC71"/>
      <c r="AD71"/>
      <c r="AE71"/>
      <c r="AF71"/>
      <c r="AG71"/>
      <c r="AH71"/>
      <c r="AI71">
        <v>17.3</v>
      </c>
      <c r="AJ71">
        <v>6.5</v>
      </c>
      <c r="AK71">
        <v>10.5</v>
      </c>
      <c r="AL71">
        <v>8.0</v>
      </c>
      <c r="AM71">
        <v>21.26</v>
      </c>
      <c r="AN71">
        <v>1990.48</v>
      </c>
      <c r="AO71">
        <v>0.566</v>
      </c>
      <c r="AP71" t="inlineStr">
        <is>
          <t>PPO block (not fatty acyl)</t>
        </is>
      </c>
      <c r="AQ71">
        <v>3</v>
      </c>
      <c r="AR71">
        <v>0</v>
      </c>
      <c r="AS71"/>
      <c r="AT71"/>
      <c r="AU71"/>
      <c r="AV71"/>
      <c r="AW71">
        <v>0</v>
      </c>
      <c r="AX71"/>
      <c r="AY71" t="inlineStr">
        <is>
          <t>PEO-PPO-PEO block copolymer</t>
        </is>
      </c>
      <c r="AZ71" t="inlineStr">
        <is>
          <t>edge activator / micellar solubilizer</t>
        </is>
      </c>
      <c r="BA71" t="inlineStr">
        <is>
          <t>yes</t>
        </is>
      </c>
      <c r="BB71" t="inlineStr">
        <is>
          <t>weak/conditional</t>
        </is>
      </c>
      <c r="BC71" t="inlineStr">
        <is>
          <t>high</t>
        </is>
      </c>
      <c r="BD71"/>
      <c r="BE71"/>
      <c r="BF71"/>
      <c r="BG71"/>
      <c r="BH71"/>
      <c r="BI71"/>
      <c r="BJ71"/>
      <c r="BK71"/>
      <c r="BL71"/>
      <c r="BM71"/>
      <c r="BN71"/>
      <c r="BO71"/>
      <c r="BP71"/>
      <c r="BQ71" t="inlineStr">
        <is>
          <t>oral/topical; parenteral/inhalation only if grade and safety justified</t>
        </is>
      </c>
      <c r="BR71"/>
      <c r="BS71"/>
      <c r="BT71"/>
      <c r="BU71"/>
      <c r="BV71"/>
      <c r="BW71"/>
      <c r="BX71" t="inlineStr">
        <is>
          <t>surfactant irritation/hemolysis is concentration-, route-, and grade-dependent; screen cytotoxicity and osmolality</t>
        </is>
      </c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</row>
    <row r="72">
      <c r="A72" t="inlineStr">
        <is>
          <t>SURF_POLOXAMER_188</t>
        </is>
      </c>
      <c r="B72" t="inlineStr">
        <is>
          <t>Poloxamer 188</t>
        </is>
      </c>
      <c r="C72" t="inlineStr">
        <is>
          <t>Surfactant</t>
        </is>
      </c>
      <c r="D72" t="inlineStr">
        <is>
          <t>Nonionic surfactant</t>
        </is>
      </c>
      <c r="E72" t="inlineStr">
        <is>
          <t>poloxamer PEO-PPO-PEO</t>
        </is>
      </c>
      <c r="F72">
        <v>8400</v>
      </c>
      <c r="G72"/>
      <c r="H72"/>
      <c r="I72"/>
      <c r="J72"/>
      <c r="K72">
        <v>29</v>
      </c>
      <c r="L72"/>
      <c r="M72"/>
      <c r="N72"/>
      <c r="O72"/>
      <c r="P72"/>
      <c r="Q72"/>
      <c r="R72"/>
      <c r="S72"/>
      <c r="T72">
        <v>0</v>
      </c>
      <c r="U72" t="inlineStr">
        <is>
          <t>nonionic</t>
        </is>
      </c>
      <c r="V72"/>
      <c r="W72" t="inlineStr">
        <is>
          <t>&gt;100</t>
        </is>
      </c>
      <c r="X72"/>
      <c r="Y72"/>
      <c r="Z72"/>
      <c r="AA72"/>
      <c r="AB72"/>
      <c r="AC72"/>
      <c r="AD72"/>
      <c r="AE72"/>
      <c r="AF72"/>
      <c r="AG72"/>
      <c r="AH72"/>
      <c r="AI72">
        <v>17.2</v>
      </c>
      <c r="AJ72">
        <v>8.5</v>
      </c>
      <c r="AK72">
        <v>14.0</v>
      </c>
      <c r="AL72">
        <v>9.0</v>
      </c>
      <c r="AM72">
        <v>23.75</v>
      </c>
      <c r="AN72">
        <v>8000.0</v>
      </c>
      <c r="AO72">
        <v>0.872</v>
      </c>
      <c r="AP72" t="inlineStr">
        <is>
          <t>PPO block (not fatty acyl)</t>
        </is>
      </c>
      <c r="AQ72">
        <v>3</v>
      </c>
      <c r="AR72">
        <v>0</v>
      </c>
      <c r="AS72"/>
      <c r="AT72"/>
      <c r="AU72"/>
      <c r="AV72"/>
      <c r="AW72">
        <v>0</v>
      </c>
      <c r="AX72"/>
      <c r="AY72" t="inlineStr">
        <is>
          <t>PEO-PPO-PEO block copolymer</t>
        </is>
      </c>
      <c r="AZ72" t="inlineStr">
        <is>
          <t>edge activator / micellar solubilizer</t>
        </is>
      </c>
      <c r="BA72" t="inlineStr">
        <is>
          <t>yes</t>
        </is>
      </c>
      <c r="BB72" t="inlineStr">
        <is>
          <t>weak/conditional</t>
        </is>
      </c>
      <c r="BC72" t="inlineStr">
        <is>
          <t>high</t>
        </is>
      </c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t="inlineStr">
        <is>
          <t>oral/topical; parenteral/inhalation only if grade and safety justified</t>
        </is>
      </c>
      <c r="BR72"/>
      <c r="BS72"/>
      <c r="BT72"/>
      <c r="BU72"/>
      <c r="BV72"/>
      <c r="BW72"/>
      <c r="BX72" t="inlineStr">
        <is>
          <t>surfactant irritation/hemolysis is concentration-, route-, and grade-dependent; screen cytotoxicity and osmolality</t>
        </is>
      </c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</row>
    <row r="73">
      <c r="A73" t="inlineStr">
        <is>
          <t>SURF_POLOXAMER_237</t>
        </is>
      </c>
      <c r="B73" t="inlineStr">
        <is>
          <t>Poloxamer 237</t>
        </is>
      </c>
      <c r="C73" t="inlineStr">
        <is>
          <t>Surfactant</t>
        </is>
      </c>
      <c r="D73" t="inlineStr">
        <is>
          <t>Nonionic surfactant</t>
        </is>
      </c>
      <c r="E73" t="inlineStr">
        <is>
          <t>poloxamer PEO-PPO-PEO</t>
        </is>
      </c>
      <c r="F73">
        <v>7700</v>
      </c>
      <c r="G73"/>
      <c r="H73"/>
      <c r="I73"/>
      <c r="J73"/>
      <c r="K73">
        <v>24</v>
      </c>
      <c r="L73"/>
      <c r="M73"/>
      <c r="N73"/>
      <c r="O73"/>
      <c r="P73"/>
      <c r="Q73"/>
      <c r="R73"/>
      <c r="S73"/>
      <c r="T73">
        <v>0</v>
      </c>
      <c r="U73" t="inlineStr">
        <is>
          <t>nonionic</t>
        </is>
      </c>
      <c r="V73"/>
      <c r="W73" t="inlineStr">
        <is>
          <t>&gt;100</t>
        </is>
      </c>
      <c r="X73"/>
      <c r="Y73"/>
      <c r="Z73"/>
      <c r="AA73"/>
      <c r="AB73"/>
      <c r="AC73"/>
      <c r="AD73"/>
      <c r="AE73"/>
      <c r="AF73"/>
      <c r="AG73"/>
      <c r="AH73"/>
      <c r="AI73">
        <v>17.2</v>
      </c>
      <c r="AJ73">
        <v>8.5</v>
      </c>
      <c r="AK73">
        <v>14.0</v>
      </c>
      <c r="AL73">
        <v>9.0</v>
      </c>
      <c r="AM73">
        <v>23.75</v>
      </c>
      <c r="AN73">
        <v>7333.33</v>
      </c>
      <c r="AO73">
        <v>0.782</v>
      </c>
      <c r="AP73" t="inlineStr">
        <is>
          <t>PPO block (not fatty acyl)</t>
        </is>
      </c>
      <c r="AQ73">
        <v>3</v>
      </c>
      <c r="AR73">
        <v>0</v>
      </c>
      <c r="AS73"/>
      <c r="AT73"/>
      <c r="AU73"/>
      <c r="AV73"/>
      <c r="AW73">
        <v>0</v>
      </c>
      <c r="AX73"/>
      <c r="AY73" t="inlineStr">
        <is>
          <t>PEO-PPO-PEO block copolymer</t>
        </is>
      </c>
      <c r="AZ73" t="inlineStr">
        <is>
          <t>edge activator / micellar solubilizer</t>
        </is>
      </c>
      <c r="BA73" t="inlineStr">
        <is>
          <t>yes</t>
        </is>
      </c>
      <c r="BB73" t="inlineStr">
        <is>
          <t>weak/conditional</t>
        </is>
      </c>
      <c r="BC73" t="inlineStr">
        <is>
          <t>high</t>
        </is>
      </c>
      <c r="BD73"/>
      <c r="BE73"/>
      <c r="BF73"/>
      <c r="BG73"/>
      <c r="BH73"/>
      <c r="BI73"/>
      <c r="BJ73"/>
      <c r="BK73"/>
      <c r="BL73"/>
      <c r="BM73"/>
      <c r="BN73"/>
      <c r="BO73"/>
      <c r="BP73"/>
      <c r="BQ73" t="inlineStr">
        <is>
          <t>oral/topical; parenteral/inhalation only if grade and safety justified</t>
        </is>
      </c>
      <c r="BR73"/>
      <c r="BS73"/>
      <c r="BT73"/>
      <c r="BU73"/>
      <c r="BV73"/>
      <c r="BW73"/>
      <c r="BX73" t="inlineStr">
        <is>
          <t>surfactant irritation/hemolysis is concentration-, route-, and grade-dependent; screen cytotoxicity and osmolality</t>
        </is>
      </c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</row>
    <row r="74">
      <c r="A74" t="inlineStr">
        <is>
          <t>SURF_POLOXAMER_338</t>
        </is>
      </c>
      <c r="B74" t="inlineStr">
        <is>
          <t>Poloxamer 338</t>
        </is>
      </c>
      <c r="C74" t="inlineStr">
        <is>
          <t>Surfactant</t>
        </is>
      </c>
      <c r="D74" t="inlineStr">
        <is>
          <t>Nonionic surfactant</t>
        </is>
      </c>
      <c r="E74" t="inlineStr">
        <is>
          <t>poloxamer PEO-PPO-PEO</t>
        </is>
      </c>
      <c r="F74">
        <v>14600</v>
      </c>
      <c r="G74"/>
      <c r="H74"/>
      <c r="I74"/>
      <c r="J74"/>
      <c r="K74">
        <v>27</v>
      </c>
      <c r="L74"/>
      <c r="M74"/>
      <c r="N74"/>
      <c r="O74"/>
      <c r="P74"/>
      <c r="Q74"/>
      <c r="R74"/>
      <c r="S74"/>
      <c r="T74">
        <v>0</v>
      </c>
      <c r="U74" t="inlineStr">
        <is>
          <t>nonionic</t>
        </is>
      </c>
      <c r="V74"/>
      <c r="W74" t="inlineStr">
        <is>
          <t>&gt;100</t>
        </is>
      </c>
      <c r="X74"/>
      <c r="Y74"/>
      <c r="Z74"/>
      <c r="AA74"/>
      <c r="AB74"/>
      <c r="AC74"/>
      <c r="AD74"/>
      <c r="AE74"/>
      <c r="AF74"/>
      <c r="AG74"/>
      <c r="AH74"/>
      <c r="AI74">
        <v>17.2</v>
      </c>
      <c r="AJ74">
        <v>8.5</v>
      </c>
      <c r="AK74">
        <v>14.0</v>
      </c>
      <c r="AL74">
        <v>9.0</v>
      </c>
      <c r="AM74">
        <v>23.75</v>
      </c>
      <c r="AN74">
        <v>13904.76</v>
      </c>
      <c r="AO74">
        <v>0.836</v>
      </c>
      <c r="AP74" t="inlineStr">
        <is>
          <t>PPO block (not fatty acyl)</t>
        </is>
      </c>
      <c r="AQ74">
        <v>3</v>
      </c>
      <c r="AR74">
        <v>0</v>
      </c>
      <c r="AS74"/>
      <c r="AT74"/>
      <c r="AU74"/>
      <c r="AV74"/>
      <c r="AW74">
        <v>0</v>
      </c>
      <c r="AX74"/>
      <c r="AY74" t="inlineStr">
        <is>
          <t>PEO-PPO-PEO block copolymer</t>
        </is>
      </c>
      <c r="AZ74" t="inlineStr">
        <is>
          <t>edge activator / micellar solubilizer</t>
        </is>
      </c>
      <c r="BA74" t="inlineStr">
        <is>
          <t>yes</t>
        </is>
      </c>
      <c r="BB74" t="inlineStr">
        <is>
          <t>weak/conditional</t>
        </is>
      </c>
      <c r="BC74" t="inlineStr">
        <is>
          <t>high</t>
        </is>
      </c>
      <c r="BD74"/>
      <c r="BE74"/>
      <c r="BF74"/>
      <c r="BG74"/>
      <c r="BH74"/>
      <c r="BI74"/>
      <c r="BJ74"/>
      <c r="BK74"/>
      <c r="BL74"/>
      <c r="BM74"/>
      <c r="BN74"/>
      <c r="BO74"/>
      <c r="BP74"/>
      <c r="BQ74" t="inlineStr">
        <is>
          <t>oral/topical; parenteral/inhalation only if grade and safety justified</t>
        </is>
      </c>
      <c r="BR74"/>
      <c r="BS74"/>
      <c r="BT74"/>
      <c r="BU74"/>
      <c r="BV74"/>
      <c r="BW74"/>
      <c r="BX74" t="inlineStr">
        <is>
          <t>surfactant irritation/hemolysis is concentration-, route-, and grade-dependent; screen cytotoxicity and osmolality</t>
        </is>
      </c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</row>
    <row r="75">
      <c r="A75" t="inlineStr">
        <is>
          <t>SURF_POLOXAMER_407</t>
        </is>
      </c>
      <c r="B75" t="inlineStr">
        <is>
          <t>Poloxamer 407</t>
        </is>
      </c>
      <c r="C75" t="inlineStr">
        <is>
          <t>Surfactant</t>
        </is>
      </c>
      <c r="D75" t="inlineStr">
        <is>
          <t>Nonionic surfactant</t>
        </is>
      </c>
      <c r="E75" t="inlineStr">
        <is>
          <t>poloxamer PEO-PPO-PEO</t>
        </is>
      </c>
      <c r="F75">
        <v>12600</v>
      </c>
      <c r="G75"/>
      <c r="H75"/>
      <c r="I75"/>
      <c r="J75"/>
      <c r="K75">
        <v>21</v>
      </c>
      <c r="L75"/>
      <c r="M75"/>
      <c r="N75"/>
      <c r="O75"/>
      <c r="P75"/>
      <c r="Q75"/>
      <c r="R75"/>
      <c r="S75"/>
      <c r="T75">
        <v>0</v>
      </c>
      <c r="U75" t="inlineStr">
        <is>
          <t>nonionic</t>
        </is>
      </c>
      <c r="V75"/>
      <c r="W75" t="inlineStr">
        <is>
          <t>&gt;100</t>
        </is>
      </c>
      <c r="X75"/>
      <c r="Y75"/>
      <c r="Z75"/>
      <c r="AA75"/>
      <c r="AB75"/>
      <c r="AC75"/>
      <c r="AD75"/>
      <c r="AE75"/>
      <c r="AF75"/>
      <c r="AG75"/>
      <c r="AH75"/>
      <c r="AI75">
        <v>17.2</v>
      </c>
      <c r="AJ75">
        <v>8.5</v>
      </c>
      <c r="AK75">
        <v>14.0</v>
      </c>
      <c r="AL75">
        <v>9.0</v>
      </c>
      <c r="AM75">
        <v>23.75</v>
      </c>
      <c r="AN75">
        <v>12000.0</v>
      </c>
      <c r="AO75">
        <v>0.728</v>
      </c>
      <c r="AP75" t="inlineStr">
        <is>
          <t>PPO block (not fatty acyl)</t>
        </is>
      </c>
      <c r="AQ75">
        <v>3</v>
      </c>
      <c r="AR75">
        <v>0</v>
      </c>
      <c r="AS75"/>
      <c r="AT75"/>
      <c r="AU75"/>
      <c r="AV75"/>
      <c r="AW75">
        <v>0</v>
      </c>
      <c r="AX75"/>
      <c r="AY75" t="inlineStr">
        <is>
          <t>PEO-PPO-PEO block copolymer</t>
        </is>
      </c>
      <c r="AZ75" t="inlineStr">
        <is>
          <t>edge activator / micellar solubilizer</t>
        </is>
      </c>
      <c r="BA75" t="inlineStr">
        <is>
          <t>yes</t>
        </is>
      </c>
      <c r="BB75" t="inlineStr">
        <is>
          <t>weak/conditional</t>
        </is>
      </c>
      <c r="BC75" t="inlineStr">
        <is>
          <t>high</t>
        </is>
      </c>
      <c r="BD75"/>
      <c r="BE75"/>
      <c r="BF75"/>
      <c r="BG75"/>
      <c r="BH75"/>
      <c r="BI75"/>
      <c r="BJ75"/>
      <c r="BK75"/>
      <c r="BL75"/>
      <c r="BM75"/>
      <c r="BN75"/>
      <c r="BO75"/>
      <c r="BP75"/>
      <c r="BQ75" t="inlineStr">
        <is>
          <t>oral/topical; parenteral/inhalation only if grade and safety justified</t>
        </is>
      </c>
      <c r="BR75"/>
      <c r="BS75"/>
      <c r="BT75"/>
      <c r="BU75"/>
      <c r="BV75"/>
      <c r="BW75"/>
      <c r="BX75" t="inlineStr">
        <is>
          <t>surfactant irritation/hemolysis is concentration-, route-, and grade-dependent; screen cytotoxicity and osmolality</t>
        </is>
      </c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</row>
    <row r="76">
      <c r="A76" t="inlineStr">
        <is>
          <t>SURF_POLOXAMER_P85</t>
        </is>
      </c>
      <c r="B76" t="inlineStr">
        <is>
          <t>Poloxamer P85</t>
        </is>
      </c>
      <c r="C76" t="inlineStr">
        <is>
          <t>Surfactant</t>
        </is>
      </c>
      <c r="D76" t="inlineStr">
        <is>
          <t>Nonionic surfactant</t>
        </is>
      </c>
      <c r="E76" t="inlineStr">
        <is>
          <t>poloxamer PEO-PPO-PEO</t>
        </is>
      </c>
      <c r="F76">
        <v>4600</v>
      </c>
      <c r="G76"/>
      <c r="H76"/>
      <c r="I76"/>
      <c r="J76"/>
      <c r="K76">
        <v>16</v>
      </c>
      <c r="L76"/>
      <c r="M76"/>
      <c r="N76"/>
      <c r="O76"/>
      <c r="P76"/>
      <c r="Q76"/>
      <c r="R76"/>
      <c r="S76"/>
      <c r="T76">
        <v>0</v>
      </c>
      <c r="U76" t="inlineStr">
        <is>
          <t>nonionic</t>
        </is>
      </c>
      <c r="V76"/>
      <c r="W76"/>
      <c r="X76"/>
      <c r="Y76"/>
      <c r="Z76"/>
      <c r="AA76"/>
      <c r="AB76"/>
      <c r="AC76"/>
      <c r="AD76"/>
      <c r="AE76"/>
      <c r="AF76"/>
      <c r="AG76"/>
      <c r="AH76"/>
      <c r="AI76">
        <v>17.2</v>
      </c>
      <c r="AJ76">
        <v>8.5</v>
      </c>
      <c r="AK76">
        <v>14.0</v>
      </c>
      <c r="AL76">
        <v>9.0</v>
      </c>
      <c r="AM76">
        <v>23.75</v>
      </c>
      <c r="AN76">
        <v>4380.95</v>
      </c>
      <c r="AO76">
        <v>0.638</v>
      </c>
      <c r="AP76" t="inlineStr">
        <is>
          <t>PPO block (not fatty acyl)</t>
        </is>
      </c>
      <c r="AQ76">
        <v>3</v>
      </c>
      <c r="AR76">
        <v>0</v>
      </c>
      <c r="AS76"/>
      <c r="AT76"/>
      <c r="AU76"/>
      <c r="AV76"/>
      <c r="AW76">
        <v>0</v>
      </c>
      <c r="AX76"/>
      <c r="AY76" t="inlineStr">
        <is>
          <t>PEO-PPO-PEO block copolymer</t>
        </is>
      </c>
      <c r="AZ76" t="inlineStr">
        <is>
          <t>edge activator / micellar solubilizer</t>
        </is>
      </c>
      <c r="BA76" t="inlineStr">
        <is>
          <t>yes</t>
        </is>
      </c>
      <c r="BB76" t="inlineStr">
        <is>
          <t>weak/conditional</t>
        </is>
      </c>
      <c r="BC76" t="inlineStr">
        <is>
          <t>high</t>
        </is>
      </c>
      <c r="BD76"/>
      <c r="BE76"/>
      <c r="BF76"/>
      <c r="BG76"/>
      <c r="BH76"/>
      <c r="BI76"/>
      <c r="BJ76"/>
      <c r="BK76"/>
      <c r="BL76"/>
      <c r="BM76"/>
      <c r="BN76"/>
      <c r="BO76"/>
      <c r="BP76"/>
      <c r="BQ76" t="inlineStr">
        <is>
          <t>oral/topical; parenteral/inhalation only if grade and safety justified</t>
        </is>
      </c>
      <c r="BR76"/>
      <c r="BS76"/>
      <c r="BT76"/>
      <c r="BU76"/>
      <c r="BV76"/>
      <c r="BW76"/>
      <c r="BX76" t="inlineStr">
        <is>
          <t>surfactant irritation/hemolysis is concentration-, route-, and grade-dependent; screen cytotoxicity and osmolality</t>
        </is>
      </c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</row>
    <row r="77">
      <c r="A77" t="inlineStr">
        <is>
          <t>SURF_POLOXAMER_L64</t>
        </is>
      </c>
      <c r="B77" t="inlineStr">
        <is>
          <t>Poloxamer L64</t>
        </is>
      </c>
      <c r="C77" t="inlineStr">
        <is>
          <t>Surfactant</t>
        </is>
      </c>
      <c r="D77" t="inlineStr">
        <is>
          <t>Nonionic surfactant</t>
        </is>
      </c>
      <c r="E77" t="inlineStr">
        <is>
          <t>poloxamer PEO-PPO-PEO</t>
        </is>
      </c>
      <c r="F77">
        <v>2900</v>
      </c>
      <c r="G77"/>
      <c r="H77"/>
      <c r="I77"/>
      <c r="J77"/>
      <c r="K77">
        <v>15</v>
      </c>
      <c r="L77"/>
      <c r="M77"/>
      <c r="N77"/>
      <c r="O77"/>
      <c r="P77"/>
      <c r="Q77"/>
      <c r="R77"/>
      <c r="S77"/>
      <c r="T77">
        <v>0</v>
      </c>
      <c r="U77" t="inlineStr">
        <is>
          <t>nonionic</t>
        </is>
      </c>
      <c r="V77"/>
      <c r="W77"/>
      <c r="X77"/>
      <c r="Y77"/>
      <c r="Z77"/>
      <c r="AA77"/>
      <c r="AB77"/>
      <c r="AC77"/>
      <c r="AD77"/>
      <c r="AE77"/>
      <c r="AF77"/>
      <c r="AG77"/>
      <c r="AH77"/>
      <c r="AI77">
        <v>17.2</v>
      </c>
      <c r="AJ77">
        <v>8.5</v>
      </c>
      <c r="AK77">
        <v>14.0</v>
      </c>
      <c r="AL77">
        <v>9.0</v>
      </c>
      <c r="AM77">
        <v>23.75</v>
      </c>
      <c r="AN77">
        <v>2761.9</v>
      </c>
      <c r="AO77">
        <v>0.62</v>
      </c>
      <c r="AP77" t="inlineStr">
        <is>
          <t>PPO block (not fatty acyl)</t>
        </is>
      </c>
      <c r="AQ77">
        <v>3</v>
      </c>
      <c r="AR77">
        <v>0</v>
      </c>
      <c r="AS77"/>
      <c r="AT77"/>
      <c r="AU77"/>
      <c r="AV77"/>
      <c r="AW77">
        <v>0</v>
      </c>
      <c r="AX77"/>
      <c r="AY77" t="inlineStr">
        <is>
          <t>PEO-PPO-PEO block copolymer</t>
        </is>
      </c>
      <c r="AZ77" t="inlineStr">
        <is>
          <t>edge activator / micellar solubilizer</t>
        </is>
      </c>
      <c r="BA77" t="inlineStr">
        <is>
          <t>yes</t>
        </is>
      </c>
      <c r="BB77" t="inlineStr">
        <is>
          <t>weak/conditional</t>
        </is>
      </c>
      <c r="BC77" t="inlineStr">
        <is>
          <t>high</t>
        </is>
      </c>
      <c r="BD77"/>
      <c r="BE77"/>
      <c r="BF77"/>
      <c r="BG77"/>
      <c r="BH77"/>
      <c r="BI77"/>
      <c r="BJ77"/>
      <c r="BK77"/>
      <c r="BL77"/>
      <c r="BM77"/>
      <c r="BN77"/>
      <c r="BO77"/>
      <c r="BP77"/>
      <c r="BQ77" t="inlineStr">
        <is>
          <t>oral/topical; parenteral/inhalation only if grade and safety justified</t>
        </is>
      </c>
      <c r="BR77"/>
      <c r="BS77"/>
      <c r="BT77"/>
      <c r="BU77"/>
      <c r="BV77"/>
      <c r="BW77"/>
      <c r="BX77" t="inlineStr">
        <is>
          <t>surfactant irritation/hemolysis is concentration-, route-, and grade-dependent; screen cytotoxicity and osmolality</t>
        </is>
      </c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</row>
    <row r="78">
      <c r="A78" t="inlineStr">
        <is>
          <t>SURF_KOLLIPHOR_P188</t>
        </is>
      </c>
      <c r="B78" t="inlineStr">
        <is>
          <t>Kolliphor P188</t>
        </is>
      </c>
      <c r="C78" t="inlineStr">
        <is>
          <t>Surfactant</t>
        </is>
      </c>
      <c r="D78" t="inlineStr">
        <is>
          <t>Nonionic surfactant</t>
        </is>
      </c>
      <c r="E78" t="inlineStr">
        <is>
          <t>Kolliphor/poloxamer</t>
        </is>
      </c>
      <c r="F78">
        <v>8400</v>
      </c>
      <c r="G78"/>
      <c r="H78"/>
      <c r="I78"/>
      <c r="J78"/>
      <c r="K78">
        <v>29</v>
      </c>
      <c r="L78"/>
      <c r="M78"/>
      <c r="N78"/>
      <c r="O78"/>
      <c r="P78"/>
      <c r="Q78"/>
      <c r="R78"/>
      <c r="S78"/>
      <c r="T78">
        <v>0</v>
      </c>
      <c r="U78" t="inlineStr">
        <is>
          <t>nonionic</t>
        </is>
      </c>
      <c r="V78"/>
      <c r="W78" t="inlineStr">
        <is>
          <t>&gt;100</t>
        </is>
      </c>
      <c r="X78"/>
      <c r="Y78"/>
      <c r="Z78"/>
      <c r="AA78"/>
      <c r="AB78"/>
      <c r="AC78"/>
      <c r="AD78"/>
      <c r="AE78"/>
      <c r="AF78"/>
      <c r="AG78"/>
      <c r="AH78"/>
      <c r="AI78">
        <v>17.2</v>
      </c>
      <c r="AJ78">
        <v>8.5</v>
      </c>
      <c r="AK78">
        <v>14.0</v>
      </c>
      <c r="AL78">
        <v>9.0</v>
      </c>
      <c r="AM78">
        <v>23.75</v>
      </c>
      <c r="AN78">
        <v>8000.0</v>
      </c>
      <c r="AO78">
        <v>0.872</v>
      </c>
      <c r="AP78" t="inlineStr">
        <is>
          <t>PPO block (not fatty acyl)</t>
        </is>
      </c>
      <c r="AQ78">
        <v>3</v>
      </c>
      <c r="AR78">
        <v>0</v>
      </c>
      <c r="AS78"/>
      <c r="AT78"/>
      <c r="AU78"/>
      <c r="AV78"/>
      <c r="AW78">
        <v>0</v>
      </c>
      <c r="AX78"/>
      <c r="AY78" t="inlineStr">
        <is>
          <t>PEO-PPO-PEO block copolymer</t>
        </is>
      </c>
      <c r="AZ78" t="inlineStr">
        <is>
          <t>edge activator / micellar solubilizer</t>
        </is>
      </c>
      <c r="BA78" t="inlineStr">
        <is>
          <t>yes</t>
        </is>
      </c>
      <c r="BB78" t="inlineStr">
        <is>
          <t>weak/conditional</t>
        </is>
      </c>
      <c r="BC78" t="inlineStr">
        <is>
          <t>high</t>
        </is>
      </c>
      <c r="BD78"/>
      <c r="BE78"/>
      <c r="BF78"/>
      <c r="BG78"/>
      <c r="BH78"/>
      <c r="BI78"/>
      <c r="BJ78"/>
      <c r="BK78"/>
      <c r="BL78"/>
      <c r="BM78"/>
      <c r="BN78"/>
      <c r="BO78"/>
      <c r="BP78"/>
      <c r="BQ78" t="inlineStr">
        <is>
          <t>oral/topical; parenteral/inhalation only if grade and safety justified</t>
        </is>
      </c>
      <c r="BR78"/>
      <c r="BS78"/>
      <c r="BT78"/>
      <c r="BU78"/>
      <c r="BV78"/>
      <c r="BW78"/>
      <c r="BX78" t="inlineStr">
        <is>
          <t>surfactant irritation/hemolysis is concentration-, route-, and grade-dependent; screen cytotoxicity and osmolality</t>
        </is>
      </c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</row>
    <row r="79">
      <c r="A79" t="inlineStr">
        <is>
          <t>SURF_KOLLIPHOR_P407</t>
        </is>
      </c>
      <c r="B79" t="inlineStr">
        <is>
          <t>Kolliphor P407</t>
        </is>
      </c>
      <c r="C79" t="inlineStr">
        <is>
          <t>Surfactant</t>
        </is>
      </c>
      <c r="D79" t="inlineStr">
        <is>
          <t>Nonionic surfactant</t>
        </is>
      </c>
      <c r="E79" t="inlineStr">
        <is>
          <t>Kolliphor/poloxamer</t>
        </is>
      </c>
      <c r="F79">
        <v>12600</v>
      </c>
      <c r="G79"/>
      <c r="H79"/>
      <c r="I79"/>
      <c r="J79"/>
      <c r="K79">
        <v>21</v>
      </c>
      <c r="L79"/>
      <c r="M79"/>
      <c r="N79"/>
      <c r="O79"/>
      <c r="P79"/>
      <c r="Q79"/>
      <c r="R79"/>
      <c r="S79"/>
      <c r="T79">
        <v>0</v>
      </c>
      <c r="U79" t="inlineStr">
        <is>
          <t>nonionic</t>
        </is>
      </c>
      <c r="V79"/>
      <c r="W79" t="inlineStr">
        <is>
          <t>&gt;100</t>
        </is>
      </c>
      <c r="X79"/>
      <c r="Y79"/>
      <c r="Z79"/>
      <c r="AA79"/>
      <c r="AB79"/>
      <c r="AC79"/>
      <c r="AD79"/>
      <c r="AE79"/>
      <c r="AF79"/>
      <c r="AG79"/>
      <c r="AH79"/>
      <c r="AI79">
        <v>17.2</v>
      </c>
      <c r="AJ79">
        <v>8.5</v>
      </c>
      <c r="AK79">
        <v>14.0</v>
      </c>
      <c r="AL79">
        <v>9.0</v>
      </c>
      <c r="AM79">
        <v>23.75</v>
      </c>
      <c r="AN79">
        <v>12000.0</v>
      </c>
      <c r="AO79">
        <v>0.728</v>
      </c>
      <c r="AP79" t="inlineStr">
        <is>
          <t>PPO block (not fatty acyl)</t>
        </is>
      </c>
      <c r="AQ79">
        <v>3</v>
      </c>
      <c r="AR79">
        <v>0</v>
      </c>
      <c r="AS79"/>
      <c r="AT79"/>
      <c r="AU79"/>
      <c r="AV79"/>
      <c r="AW79">
        <v>0</v>
      </c>
      <c r="AX79"/>
      <c r="AY79" t="inlineStr">
        <is>
          <t>PEO-PPO-PEO block copolymer</t>
        </is>
      </c>
      <c r="AZ79" t="inlineStr">
        <is>
          <t>edge activator / micellar solubilizer</t>
        </is>
      </c>
      <c r="BA79" t="inlineStr">
        <is>
          <t>yes</t>
        </is>
      </c>
      <c r="BB79" t="inlineStr">
        <is>
          <t>weak/conditional</t>
        </is>
      </c>
      <c r="BC79" t="inlineStr">
        <is>
          <t>high</t>
        </is>
      </c>
      <c r="BD79"/>
      <c r="BE79"/>
      <c r="BF79"/>
      <c r="BG79"/>
      <c r="BH79"/>
      <c r="BI79"/>
      <c r="BJ79"/>
      <c r="BK79"/>
      <c r="BL79"/>
      <c r="BM79"/>
      <c r="BN79"/>
      <c r="BO79"/>
      <c r="BP79"/>
      <c r="BQ79" t="inlineStr">
        <is>
          <t>oral/topical; parenteral/inhalation only if grade and safety justified</t>
        </is>
      </c>
      <c r="BR79"/>
      <c r="BS79"/>
      <c r="BT79"/>
      <c r="BU79"/>
      <c r="BV79"/>
      <c r="BW79"/>
      <c r="BX79" t="inlineStr">
        <is>
          <t>surfactant irritation/hemolysis is concentration-, route-, and grade-dependent; screen cytotoxicity and osmolality</t>
        </is>
      </c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</row>
    <row r="80">
      <c r="A80" t="inlineStr">
        <is>
          <t>SURF_KOLLIPHOR_HS15_SOLUTOL_HS15</t>
        </is>
      </c>
      <c r="B80" t="inlineStr">
        <is>
          <t>Kolliphor HS15 / Solutol HS15</t>
        </is>
      </c>
      <c r="C80" t="inlineStr">
        <is>
          <t>Surfactant</t>
        </is>
      </c>
      <c r="D80" t="inlineStr">
        <is>
          <t>Nonionic surfactant</t>
        </is>
      </c>
      <c r="E80" t="inlineStr">
        <is>
          <t>Kolliphor/Cremophor</t>
        </is>
      </c>
      <c r="F80">
        <v>963</v>
      </c>
      <c r="G80"/>
      <c r="H80"/>
      <c r="I80"/>
      <c r="J80"/>
      <c r="K80">
        <v>15</v>
      </c>
      <c r="L80"/>
      <c r="M80"/>
      <c r="N80"/>
      <c r="O80"/>
      <c r="P80"/>
      <c r="Q80"/>
      <c r="R80"/>
      <c r="S80"/>
      <c r="T80">
        <v>0</v>
      </c>
      <c r="U80" t="inlineStr">
        <is>
          <t>nonionic</t>
        </is>
      </c>
      <c r="V80"/>
      <c r="W80"/>
      <c r="X80"/>
      <c r="Y80"/>
      <c r="Z80"/>
      <c r="AA80"/>
      <c r="AB80"/>
      <c r="AC80"/>
      <c r="AD80"/>
      <c r="AE80"/>
      <c r="AF80"/>
      <c r="AG80"/>
      <c r="AH80"/>
      <c r="AI80">
        <v>17.2</v>
      </c>
      <c r="AJ80">
        <v>8.5</v>
      </c>
      <c r="AK80">
        <v>14.0</v>
      </c>
      <c r="AL80">
        <v>9.0</v>
      </c>
      <c r="AM80">
        <v>23.75</v>
      </c>
      <c r="AN80">
        <v>917.14</v>
      </c>
      <c r="AO80">
        <v>0.62</v>
      </c>
      <c r="AP80" t="inlineStr">
        <is>
          <t>hydroxystearate + PEG</t>
        </is>
      </c>
      <c r="AQ80">
        <v>18</v>
      </c>
      <c r="AR80">
        <v>0</v>
      </c>
      <c r="AS80"/>
      <c r="AT80"/>
      <c r="AU80"/>
      <c r="AV80"/>
      <c r="AW80">
        <v>1</v>
      </c>
      <c r="AX80"/>
      <c r="AY80" t="inlineStr">
        <is>
          <t>polyoxyethylated lipid ester</t>
        </is>
      </c>
      <c r="AZ80" t="inlineStr">
        <is>
          <t>edge activator / micellar solubilizer</t>
        </is>
      </c>
      <c r="BA80" t="inlineStr">
        <is>
          <t>yes</t>
        </is>
      </c>
      <c r="BB80" t="inlineStr">
        <is>
          <t>weak/conditional</t>
        </is>
      </c>
      <c r="BC80" t="inlineStr">
        <is>
          <t>high</t>
        </is>
      </c>
      <c r="BD80"/>
      <c r="BE80"/>
      <c r="BF80"/>
      <c r="BG80"/>
      <c r="BH80"/>
      <c r="BI80"/>
      <c r="BJ80"/>
      <c r="BK80"/>
      <c r="BL80"/>
      <c r="BM80"/>
      <c r="BN80"/>
      <c r="BO80"/>
      <c r="BP80"/>
      <c r="BQ80" t="inlineStr">
        <is>
          <t>oral/topical; parenteral/inhalation only if grade and safety justified</t>
        </is>
      </c>
      <c r="BR80"/>
      <c r="BS80"/>
      <c r="BT80"/>
      <c r="BU80"/>
      <c r="BV80"/>
      <c r="BW80"/>
      <c r="BX80" t="inlineStr">
        <is>
          <t>surfactant irritation/hemolysis is concentration-, route-, and grade-dependent; screen cytotoxicity and osmolality</t>
        </is>
      </c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</row>
    <row r="81">
      <c r="A81" t="inlineStr">
        <is>
          <t>SURF_KOLLIPHOR_EL_CREMOPHOR_EL</t>
        </is>
      </c>
      <c r="B81" t="inlineStr">
        <is>
          <t>Kolliphor EL / Cremophor EL</t>
        </is>
      </c>
      <c r="C81" t="inlineStr">
        <is>
          <t>Surfactant</t>
        </is>
      </c>
      <c r="D81" t="inlineStr">
        <is>
          <t>Nonionic surfactant</t>
        </is>
      </c>
      <c r="E81" t="inlineStr">
        <is>
          <t>Kolliphor/Cremophor</t>
        </is>
      </c>
      <c r="F81">
        <v>2500</v>
      </c>
      <c r="G81"/>
      <c r="H81"/>
      <c r="I81"/>
      <c r="J81"/>
      <c r="K81">
        <v>13.5</v>
      </c>
      <c r="L81"/>
      <c r="M81"/>
      <c r="N81"/>
      <c r="O81"/>
      <c r="P81"/>
      <c r="Q81"/>
      <c r="R81"/>
      <c r="S81"/>
      <c r="T81">
        <v>0</v>
      </c>
      <c r="U81" t="inlineStr">
        <is>
          <t>nonionic</t>
        </is>
      </c>
      <c r="V81"/>
      <c r="W81"/>
      <c r="X81"/>
      <c r="Y81"/>
      <c r="Z81"/>
      <c r="AA81"/>
      <c r="AB81"/>
      <c r="AC81"/>
      <c r="AD81"/>
      <c r="AE81"/>
      <c r="AF81"/>
      <c r="AG81"/>
      <c r="AH81"/>
      <c r="AI81">
        <v>17.3</v>
      </c>
      <c r="AJ81">
        <v>6.5</v>
      </c>
      <c r="AK81">
        <v>10.5</v>
      </c>
      <c r="AL81">
        <v>8.0</v>
      </c>
      <c r="AM81">
        <v>21.26</v>
      </c>
      <c r="AN81">
        <v>2380.95</v>
      </c>
      <c r="AO81">
        <v>0.593</v>
      </c>
      <c r="AP81" t="inlineStr">
        <is>
          <t>castor oil ethoxylate</t>
        </is>
      </c>
      <c r="AQ81">
        <v>18</v>
      </c>
      <c r="AR81">
        <v>1</v>
      </c>
      <c r="AS81"/>
      <c r="AT81"/>
      <c r="AU81"/>
      <c r="AV81"/>
      <c r="AW81">
        <v>1</v>
      </c>
      <c r="AX81"/>
      <c r="AY81" t="inlineStr">
        <is>
          <t>polyoxyethylated lipid ester</t>
        </is>
      </c>
      <c r="AZ81" t="inlineStr">
        <is>
          <t>edge activator / micellar solubilizer</t>
        </is>
      </c>
      <c r="BA81" t="inlineStr">
        <is>
          <t>yes</t>
        </is>
      </c>
      <c r="BB81" t="inlineStr">
        <is>
          <t>weak/conditional</t>
        </is>
      </c>
      <c r="BC81" t="inlineStr">
        <is>
          <t>high</t>
        </is>
      </c>
      <c r="BD81"/>
      <c r="BE81"/>
      <c r="BF81"/>
      <c r="BG81"/>
      <c r="BH81"/>
      <c r="BI81"/>
      <c r="BJ81"/>
      <c r="BK81"/>
      <c r="BL81"/>
      <c r="BM81"/>
      <c r="BN81"/>
      <c r="BO81"/>
      <c r="BP81"/>
      <c r="BQ81" t="inlineStr">
        <is>
          <t>oral/topical; parenteral/inhalation only if grade and safety justified</t>
        </is>
      </c>
      <c r="BR81"/>
      <c r="BS81"/>
      <c r="BT81"/>
      <c r="BU81"/>
      <c r="BV81"/>
      <c r="BW81"/>
      <c r="BX81" t="inlineStr">
        <is>
          <t>surfactant irritation/hemolysis is concentration-, route-, and grade-dependent; screen cytotoxicity and osmolality</t>
        </is>
      </c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</row>
    <row r="82">
      <c r="A82" t="inlineStr">
        <is>
          <t>SURF_KOLLIPHOR_RH40_CREMOPHOR_RH40</t>
        </is>
      </c>
      <c r="B82" t="inlineStr">
        <is>
          <t>Kolliphor RH40 / Cremophor RH40</t>
        </is>
      </c>
      <c r="C82" t="inlineStr">
        <is>
          <t>Surfactant</t>
        </is>
      </c>
      <c r="D82" t="inlineStr">
        <is>
          <t>Nonionic surfactant</t>
        </is>
      </c>
      <c r="E82" t="inlineStr">
        <is>
          <t>Kolliphor/Cremophor</t>
        </is>
      </c>
      <c r="F82">
        <v>2500</v>
      </c>
      <c r="G82"/>
      <c r="H82"/>
      <c r="I82"/>
      <c r="J82"/>
      <c r="K82">
        <v>14.5</v>
      </c>
      <c r="L82"/>
      <c r="M82"/>
      <c r="N82"/>
      <c r="O82"/>
      <c r="P82"/>
      <c r="Q82"/>
      <c r="R82"/>
      <c r="S82"/>
      <c r="T82">
        <v>0</v>
      </c>
      <c r="U82" t="inlineStr">
        <is>
          <t>nonionic</t>
        </is>
      </c>
      <c r="V82"/>
      <c r="W82"/>
      <c r="X82"/>
      <c r="Y82"/>
      <c r="Z82"/>
      <c r="AA82"/>
      <c r="AB82"/>
      <c r="AC82"/>
      <c r="AD82"/>
      <c r="AE82"/>
      <c r="AF82"/>
      <c r="AG82"/>
      <c r="AH82"/>
      <c r="AI82">
        <v>17.2</v>
      </c>
      <c r="AJ82">
        <v>8.5</v>
      </c>
      <c r="AK82">
        <v>14.0</v>
      </c>
      <c r="AL82">
        <v>9.0</v>
      </c>
      <c r="AM82">
        <v>23.75</v>
      </c>
      <c r="AN82">
        <v>2380.95</v>
      </c>
      <c r="AO82">
        <v>0.611</v>
      </c>
      <c r="AP82" t="inlineStr">
        <is>
          <t>hydrogenated castor oil ethoxylate</t>
        </is>
      </c>
      <c r="AQ82">
        <v>18</v>
      </c>
      <c r="AR82">
        <v>0</v>
      </c>
      <c r="AS82"/>
      <c r="AT82"/>
      <c r="AU82"/>
      <c r="AV82"/>
      <c r="AW82">
        <v>1</v>
      </c>
      <c r="AX82"/>
      <c r="AY82" t="inlineStr">
        <is>
          <t>polyoxyethylated lipid ester</t>
        </is>
      </c>
      <c r="AZ82" t="inlineStr">
        <is>
          <t>edge activator / micellar solubilizer</t>
        </is>
      </c>
      <c r="BA82" t="inlineStr">
        <is>
          <t>yes</t>
        </is>
      </c>
      <c r="BB82" t="inlineStr">
        <is>
          <t>weak/conditional</t>
        </is>
      </c>
      <c r="BC82" t="inlineStr">
        <is>
          <t>high</t>
        </is>
      </c>
      <c r="BD82"/>
      <c r="BE82"/>
      <c r="BF82"/>
      <c r="BG82"/>
      <c r="BH82"/>
      <c r="BI82"/>
      <c r="BJ82"/>
      <c r="BK82"/>
      <c r="BL82"/>
      <c r="BM82"/>
      <c r="BN82"/>
      <c r="BO82"/>
      <c r="BP82"/>
      <c r="BQ82" t="inlineStr">
        <is>
          <t>oral/topical; parenteral/inhalation only if grade and safety justified</t>
        </is>
      </c>
      <c r="BR82"/>
      <c r="BS82"/>
      <c r="BT82"/>
      <c r="BU82"/>
      <c r="BV82"/>
      <c r="BW82"/>
      <c r="BX82" t="inlineStr">
        <is>
          <t>surfactant irritation/hemolysis is concentration-, route-, and grade-dependent; screen cytotoxicity and osmolality</t>
        </is>
      </c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</row>
    <row r="83">
      <c r="A83" t="inlineStr">
        <is>
          <t>SURF_LABRASOL</t>
        </is>
      </c>
      <c r="B83" t="inlineStr">
        <is>
          <t>Labrasol</t>
        </is>
      </c>
      <c r="C83" t="inlineStr">
        <is>
          <t>Surfactant</t>
        </is>
      </c>
      <c r="D83" t="inlineStr">
        <is>
          <t>Nonionic surfactant</t>
        </is>
      </c>
      <c r="E83" t="inlineStr">
        <is>
          <t>Gattefossé solubilizer</t>
        </is>
      </c>
      <c r="F83">
        <v>0</v>
      </c>
      <c r="G83"/>
      <c r="H83"/>
      <c r="I83"/>
      <c r="J83"/>
      <c r="K83">
        <v>14</v>
      </c>
      <c r="L83"/>
      <c r="M83"/>
      <c r="N83"/>
      <c r="O83"/>
      <c r="P83"/>
      <c r="Q83"/>
      <c r="R83"/>
      <c r="S83"/>
      <c r="T83">
        <v>0</v>
      </c>
      <c r="U83" t="inlineStr">
        <is>
          <t>nonionic</t>
        </is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>
        <v>17.2</v>
      </c>
      <c r="AJ83">
        <v>8.5</v>
      </c>
      <c r="AK83">
        <v>14.0</v>
      </c>
      <c r="AL83">
        <v>9.0</v>
      </c>
      <c r="AM83">
        <v>23.75</v>
      </c>
      <c r="AN83"/>
      <c r="AO83">
        <v>0.602</v>
      </c>
      <c r="AP83" t="inlineStr">
        <is>
          <t>caprylocaproyl polyoxylglycerides</t>
        </is>
      </c>
      <c r="AQ83">
        <v>8</v>
      </c>
      <c r="AR83">
        <v>0</v>
      </c>
      <c r="AS83"/>
      <c r="AT83"/>
      <c r="AU83"/>
      <c r="AV83"/>
      <c r="AW83">
        <v>1</v>
      </c>
      <c r="AX83"/>
      <c r="AY83" t="inlineStr">
        <is>
          <t>polyoxylglyceride</t>
        </is>
      </c>
      <c r="AZ83" t="inlineStr">
        <is>
          <t>edge activator / micellar solubilizer</t>
        </is>
      </c>
      <c r="BA83" t="inlineStr">
        <is>
          <t>yes</t>
        </is>
      </c>
      <c r="BB83" t="inlineStr">
        <is>
          <t>weak/conditional</t>
        </is>
      </c>
      <c r="BC83" t="inlineStr">
        <is>
          <t>high</t>
        </is>
      </c>
      <c r="BD83"/>
      <c r="BE83"/>
      <c r="BF83"/>
      <c r="BG83"/>
      <c r="BH83"/>
      <c r="BI83"/>
      <c r="BJ83"/>
      <c r="BK83"/>
      <c r="BL83"/>
      <c r="BM83"/>
      <c r="BN83"/>
      <c r="BO83"/>
      <c r="BP83"/>
      <c r="BQ83" t="inlineStr">
        <is>
          <t>oral/topical; parenteral/inhalation only if grade and safety justified</t>
        </is>
      </c>
      <c r="BR83"/>
      <c r="BS83"/>
      <c r="BT83"/>
      <c r="BU83"/>
      <c r="BV83"/>
      <c r="BW83"/>
      <c r="BX83" t="inlineStr">
        <is>
          <t>surfactant irritation/hemolysis is concentration-, route-, and grade-dependent; screen cytotoxicity and osmolality</t>
        </is>
      </c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</row>
    <row r="84">
      <c r="A84" t="inlineStr">
        <is>
          <t>SURF_TRANSCUTOL_P</t>
        </is>
      </c>
      <c r="B84" t="inlineStr">
        <is>
          <t>Transcutol P</t>
        </is>
      </c>
      <c r="C84" t="inlineStr">
        <is>
          <t>Surfactant</t>
        </is>
      </c>
      <c r="D84" t="inlineStr">
        <is>
          <t>Nonionic surfactant</t>
        </is>
      </c>
      <c r="E84" t="inlineStr">
        <is>
          <t>cosolvent/solubilizer</t>
        </is>
      </c>
      <c r="F84">
        <v>134.17</v>
      </c>
      <c r="G84"/>
      <c r="H84"/>
      <c r="I84"/>
      <c r="J84"/>
      <c r="K84">
        <v>4.2</v>
      </c>
      <c r="L84"/>
      <c r="M84"/>
      <c r="N84"/>
      <c r="O84"/>
      <c r="P84"/>
      <c r="Q84"/>
      <c r="R84"/>
      <c r="S84"/>
      <c r="T84">
        <v>0</v>
      </c>
      <c r="U84" t="inlineStr">
        <is>
          <t>nonionic</t>
        </is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>
        <v>17.0</v>
      </c>
      <c r="AJ84">
        <v>4.0</v>
      </c>
      <c r="AK84">
        <v>7.0</v>
      </c>
      <c r="AL84">
        <v>7.0</v>
      </c>
      <c r="AM84">
        <v>18.81</v>
      </c>
      <c r="AN84">
        <v>136.91</v>
      </c>
      <c r="AO84">
        <v>0.426</v>
      </c>
      <c r="AP84" t="inlineStr">
        <is>
          <t>diethylene glycol monoethyl ether</t>
        </is>
      </c>
      <c r="AQ84">
        <v>2</v>
      </c>
      <c r="AR84">
        <v>0</v>
      </c>
      <c r="AS84"/>
      <c r="AT84"/>
      <c r="AU84"/>
      <c r="AV84"/>
      <c r="AW84">
        <v>0</v>
      </c>
      <c r="AX84"/>
      <c r="AY84" t="inlineStr">
        <is>
          <t>glycol ether</t>
        </is>
      </c>
      <c r="AZ84" t="inlineStr">
        <is>
          <t>edge activator / micellar solubilizer</t>
        </is>
      </c>
      <c r="BA84" t="inlineStr">
        <is>
          <t>conditional</t>
        </is>
      </c>
      <c r="BB84" t="inlineStr">
        <is>
          <t>weak/conditional</t>
        </is>
      </c>
      <c r="BC84" t="inlineStr">
        <is>
          <t>low-to-moderate</t>
        </is>
      </c>
      <c r="BD84"/>
      <c r="BE84"/>
      <c r="BF84"/>
      <c r="BG84"/>
      <c r="BH84"/>
      <c r="BI84"/>
      <c r="BJ84"/>
      <c r="BK84"/>
      <c r="BL84"/>
      <c r="BM84"/>
      <c r="BN84"/>
      <c r="BO84"/>
      <c r="BP84"/>
      <c r="BQ84" t="inlineStr">
        <is>
          <t>oral/topical; parenteral/inhalation only if grade and safety justified</t>
        </is>
      </c>
      <c r="BR84"/>
      <c r="BS84"/>
      <c r="BT84"/>
      <c r="BU84"/>
      <c r="BV84"/>
      <c r="BW84"/>
      <c r="BX84" t="inlineStr">
        <is>
          <t>surfactant irritation/hemolysis is concentration-, route-, and grade-dependent; screen cytotoxicity and osmolality</t>
        </is>
      </c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</row>
    <row r="85">
      <c r="A85" t="inlineStr">
        <is>
          <t>SURF_VITAMIN_E_TPGS</t>
        </is>
      </c>
      <c r="B85" t="inlineStr">
        <is>
          <t>Vitamin E TPGS</t>
        </is>
      </c>
      <c r="C85" t="inlineStr">
        <is>
          <t>Surfactant</t>
        </is>
      </c>
      <c r="D85" t="inlineStr">
        <is>
          <t>Nonionic surfactant</t>
        </is>
      </c>
      <c r="E85" t="inlineStr">
        <is>
          <t>vitamin-E surfactant</t>
        </is>
      </c>
      <c r="F85">
        <v>1513</v>
      </c>
      <c r="G85"/>
      <c r="H85"/>
      <c r="I85"/>
      <c r="J85"/>
      <c r="K85">
        <v>13.2</v>
      </c>
      <c r="L85"/>
      <c r="M85"/>
      <c r="N85"/>
      <c r="O85"/>
      <c r="P85"/>
      <c r="Q85"/>
      <c r="R85"/>
      <c r="S85"/>
      <c r="T85">
        <v>0</v>
      </c>
      <c r="U85" t="inlineStr">
        <is>
          <t>nonionic</t>
        </is>
      </c>
      <c r="V85"/>
      <c r="W85"/>
      <c r="X85"/>
      <c r="Y85"/>
      <c r="Z85"/>
      <c r="AA85"/>
      <c r="AB85"/>
      <c r="AC85"/>
      <c r="AD85"/>
      <c r="AE85"/>
      <c r="AF85"/>
      <c r="AG85"/>
      <c r="AH85"/>
      <c r="AI85">
        <v>17.3</v>
      </c>
      <c r="AJ85">
        <v>6.5</v>
      </c>
      <c r="AK85">
        <v>10.5</v>
      </c>
      <c r="AL85">
        <v>8.0</v>
      </c>
      <c r="AM85">
        <v>21.26</v>
      </c>
      <c r="AN85">
        <v>1440.95</v>
      </c>
      <c r="AO85">
        <v>0.588</v>
      </c>
      <c r="AP85" t="inlineStr">
        <is>
          <t>tocopherol succinate + PEG1000</t>
        </is>
      </c>
      <c r="AQ85">
        <v>16</v>
      </c>
      <c r="AR85">
        <v>0</v>
      </c>
      <c r="AS85"/>
      <c r="AT85"/>
      <c r="AU85"/>
      <c r="AV85"/>
      <c r="AW85">
        <v>1</v>
      </c>
      <c r="AX85"/>
      <c r="AY85" t="inlineStr">
        <is>
          <t>PEGylated tocopherol succinate</t>
        </is>
      </c>
      <c r="AZ85" t="inlineStr">
        <is>
          <t>edge activator / micellar solubilizer</t>
        </is>
      </c>
      <c r="BA85" t="inlineStr">
        <is>
          <t>yes</t>
        </is>
      </c>
      <c r="BB85" t="inlineStr">
        <is>
          <t>weak/conditional</t>
        </is>
      </c>
      <c r="BC85" t="inlineStr">
        <is>
          <t>high</t>
        </is>
      </c>
      <c r="BD85"/>
      <c r="BE85"/>
      <c r="BF85"/>
      <c r="BG85"/>
      <c r="BH85"/>
      <c r="BI85"/>
      <c r="BJ85"/>
      <c r="BK85"/>
      <c r="BL85"/>
      <c r="BM85"/>
      <c r="BN85"/>
      <c r="BO85"/>
      <c r="BP85"/>
      <c r="BQ85" t="inlineStr">
        <is>
          <t>oral/topical; parenteral/inhalation only if grade and safety justified</t>
        </is>
      </c>
      <c r="BR85"/>
      <c r="BS85"/>
      <c r="BT85"/>
      <c r="BU85"/>
      <c r="BV85"/>
      <c r="BW85"/>
      <c r="BX85" t="inlineStr">
        <is>
          <t>surfactant irritation/hemolysis is concentration-, route-, and grade-dependent; screen cytotoxicity and osmolality</t>
        </is>
      </c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</row>
    <row r="86">
      <c r="A86" t="inlineStr">
        <is>
          <t>SURF_SLS_SODIUM_LAURYL_SULFATE</t>
        </is>
      </c>
      <c r="B86" t="inlineStr">
        <is>
          <t>SLS / sodium lauryl sulfate</t>
        </is>
      </c>
      <c r="C86" t="inlineStr">
        <is>
          <t>Surfactant</t>
        </is>
      </c>
      <c r="D86" t="inlineStr">
        <is>
          <t>Ionic surfactant</t>
        </is>
      </c>
      <c r="E86" t="inlineStr">
        <is>
          <t>anionic surfactant</t>
        </is>
      </c>
      <c r="F86">
        <v>288.38</v>
      </c>
      <c r="G86"/>
      <c r="H86"/>
      <c r="I86"/>
      <c r="J86"/>
      <c r="K86">
        <v>40</v>
      </c>
      <c r="L86"/>
      <c r="M86"/>
      <c r="N86"/>
      <c r="O86"/>
      <c r="P86"/>
      <c r="Q86"/>
      <c r="R86"/>
      <c r="S86"/>
      <c r="T86">
        <v>-1</v>
      </c>
      <c r="U86" t="inlineStr">
        <is>
          <t>anionic</t>
        </is>
      </c>
      <c r="V86">
        <v>8.2</v>
      </c>
      <c r="W86"/>
      <c r="X86"/>
      <c r="Y86"/>
      <c r="Z86"/>
      <c r="AA86"/>
      <c r="AB86"/>
      <c r="AC86"/>
      <c r="AD86"/>
      <c r="AE86"/>
      <c r="AF86"/>
      <c r="AG86"/>
      <c r="AH86"/>
      <c r="AI86">
        <v>17.2</v>
      </c>
      <c r="AJ86">
        <v>8.5</v>
      </c>
      <c r="AK86">
        <v>14.0</v>
      </c>
      <c r="AL86">
        <v>9.0</v>
      </c>
      <c r="AM86">
        <v>23.75</v>
      </c>
      <c r="AN86">
        <v>274.65</v>
      </c>
      <c r="AO86">
        <v>1.07</v>
      </c>
      <c r="AP86" t="inlineStr">
        <is>
          <t>C12:0 sulfate</t>
        </is>
      </c>
      <c r="AQ86">
        <v>12</v>
      </c>
      <c r="AR86">
        <v>0</v>
      </c>
      <c r="AS86"/>
      <c r="AT86"/>
      <c r="AU86"/>
      <c r="AV86"/>
      <c r="AW86">
        <v>1</v>
      </c>
      <c r="AX86"/>
      <c r="AY86" t="inlineStr">
        <is>
          <t>sulfate</t>
        </is>
      </c>
      <c r="AZ86" t="inlineStr">
        <is>
          <t>edge activator / micellar solubilizer</t>
        </is>
      </c>
      <c r="BA86" t="inlineStr">
        <is>
          <t>yes</t>
        </is>
      </c>
      <c r="BB86" t="inlineStr">
        <is>
          <t>weak/conditional</t>
        </is>
      </c>
      <c r="BC86" t="inlineStr">
        <is>
          <t>high</t>
        </is>
      </c>
      <c r="BD86"/>
      <c r="BE86"/>
      <c r="BF86"/>
      <c r="BG86"/>
      <c r="BH86"/>
      <c r="BI86"/>
      <c r="BJ86"/>
      <c r="BK86"/>
      <c r="BL86"/>
      <c r="BM86"/>
      <c r="BN86"/>
      <c r="BO86"/>
      <c r="BP86"/>
      <c r="BQ86" t="inlineStr">
        <is>
          <t>oral/topical; parenteral/inhalation only if grade and safety justified</t>
        </is>
      </c>
      <c r="BR86"/>
      <c r="BS86"/>
      <c r="BT86"/>
      <c r="BU86"/>
      <c r="BV86"/>
      <c r="BW86"/>
      <c r="BX86" t="inlineStr">
        <is>
          <t>surfactant irritation/hemolysis is concentration-, route-, and grade-dependent; screen cytotoxicity and osmolality</t>
        </is>
      </c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</row>
    <row r="87">
      <c r="A87" t="inlineStr">
        <is>
          <t>SURF_CTAB</t>
        </is>
      </c>
      <c r="B87" t="inlineStr">
        <is>
          <t>CTAB</t>
        </is>
      </c>
      <c r="C87" t="inlineStr">
        <is>
          <t>Surfactant</t>
        </is>
      </c>
      <c r="D87" t="inlineStr">
        <is>
          <t>Ionic surfactant</t>
        </is>
      </c>
      <c r="E87" t="inlineStr">
        <is>
          <t>cationic surfactant</t>
        </is>
      </c>
      <c r="F87">
        <v>364.45</v>
      </c>
      <c r="G87"/>
      <c r="H87"/>
      <c r="I87"/>
      <c r="J87"/>
      <c r="K87">
        <v>10</v>
      </c>
      <c r="L87"/>
      <c r="M87"/>
      <c r="N87"/>
      <c r="O87"/>
      <c r="P87"/>
      <c r="Q87"/>
      <c r="R87"/>
      <c r="S87"/>
      <c r="T87">
        <v>1</v>
      </c>
      <c r="U87" t="inlineStr">
        <is>
          <t>cationic</t>
        </is>
      </c>
      <c r="V87">
        <v>0.9</v>
      </c>
      <c r="W87"/>
      <c r="X87"/>
      <c r="Y87"/>
      <c r="Z87"/>
      <c r="AA87"/>
      <c r="AB87"/>
      <c r="AC87"/>
      <c r="AD87"/>
      <c r="AE87"/>
      <c r="AF87"/>
      <c r="AG87"/>
      <c r="AH87"/>
      <c r="AI87">
        <v>17.3</v>
      </c>
      <c r="AJ87">
        <v>6.5</v>
      </c>
      <c r="AK87">
        <v>10.5</v>
      </c>
      <c r="AL87">
        <v>8.0</v>
      </c>
      <c r="AM87">
        <v>21.26</v>
      </c>
      <c r="AN87">
        <v>347.1</v>
      </c>
      <c r="AO87">
        <v>0.53</v>
      </c>
      <c r="AP87" t="inlineStr">
        <is>
          <t>C16:0 quaternary ammonium</t>
        </is>
      </c>
      <c r="AQ87">
        <v>16</v>
      </c>
      <c r="AR87">
        <v>0</v>
      </c>
      <c r="AS87"/>
      <c r="AT87"/>
      <c r="AU87"/>
      <c r="AV87"/>
      <c r="AW87">
        <v>1</v>
      </c>
      <c r="AX87"/>
      <c r="AY87" t="inlineStr">
        <is>
          <t>quaternary ammonium</t>
        </is>
      </c>
      <c r="AZ87" t="inlineStr">
        <is>
          <t>edge activator / micellar solubilizer</t>
        </is>
      </c>
      <c r="BA87" t="inlineStr">
        <is>
          <t>yes</t>
        </is>
      </c>
      <c r="BB87" t="inlineStr">
        <is>
          <t>yes</t>
        </is>
      </c>
      <c r="BC87" t="inlineStr">
        <is>
          <t>low-to-moderate</t>
        </is>
      </c>
      <c r="BD87"/>
      <c r="BE87"/>
      <c r="BF87"/>
      <c r="BG87"/>
      <c r="BH87"/>
      <c r="BI87"/>
      <c r="BJ87"/>
      <c r="BK87"/>
      <c r="BL87"/>
      <c r="BM87"/>
      <c r="BN87"/>
      <c r="BO87"/>
      <c r="BP87"/>
      <c r="BQ87" t="inlineStr">
        <is>
          <t>oral/topical; parenteral/inhalation only if grade and safety justified</t>
        </is>
      </c>
      <c r="BR87"/>
      <c r="BS87"/>
      <c r="BT87"/>
      <c r="BU87"/>
      <c r="BV87"/>
      <c r="BW87"/>
      <c r="BX87" t="inlineStr">
        <is>
          <t>surfactant irritation/hemolysis is concentration-, route-, and grade-dependent; screen cytotoxicity and osmolality</t>
        </is>
      </c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</row>
    <row r="88">
      <c r="A88" t="inlineStr">
        <is>
          <t>SURF_SUCROSE_MONOLAURATE</t>
        </is>
      </c>
      <c r="B88" t="inlineStr">
        <is>
          <t>Sucrose monolaurate</t>
        </is>
      </c>
      <c r="C88" t="inlineStr">
        <is>
          <t>Surfactant</t>
        </is>
      </c>
      <c r="D88" t="inlineStr">
        <is>
          <t>Nonionic surfactant</t>
        </is>
      </c>
      <c r="E88" t="inlineStr">
        <is>
          <t>sucrose ester</t>
        </is>
      </c>
      <c r="F88">
        <v>524.6</v>
      </c>
      <c r="G88"/>
      <c r="H88"/>
      <c r="I88"/>
      <c r="J88"/>
      <c r="K88">
        <v>15</v>
      </c>
      <c r="L88"/>
      <c r="M88"/>
      <c r="N88"/>
      <c r="O88"/>
      <c r="P88"/>
      <c r="Q88"/>
      <c r="R88"/>
      <c r="S88"/>
      <c r="T88">
        <v>0</v>
      </c>
      <c r="U88" t="inlineStr">
        <is>
          <t>nonionic</t>
        </is>
      </c>
      <c r="V88"/>
      <c r="W88"/>
      <c r="X88"/>
      <c r="Y88"/>
      <c r="Z88"/>
      <c r="AA88"/>
      <c r="AB88"/>
      <c r="AC88"/>
      <c r="AD88"/>
      <c r="AE88"/>
      <c r="AF88"/>
      <c r="AG88"/>
      <c r="AH88"/>
      <c r="AI88">
        <v>17.2</v>
      </c>
      <c r="AJ88">
        <v>8.5</v>
      </c>
      <c r="AK88">
        <v>14.0</v>
      </c>
      <c r="AL88">
        <v>9.0</v>
      </c>
      <c r="AM88">
        <v>23.75</v>
      </c>
      <c r="AN88">
        <v>499.62</v>
      </c>
      <c r="AO88">
        <v>0.62</v>
      </c>
      <c r="AP88" t="inlineStr">
        <is>
          <t>C12:0 sucrose ester</t>
        </is>
      </c>
      <c r="AQ88">
        <v>12</v>
      </c>
      <c r="AR88">
        <v>0</v>
      </c>
      <c r="AS88"/>
      <c r="AT88"/>
      <c r="AU88"/>
      <c r="AV88"/>
      <c r="AW88">
        <v>1</v>
      </c>
      <c r="AX88"/>
      <c r="AY88" t="inlineStr">
        <is>
          <t>sucrose ester</t>
        </is>
      </c>
      <c r="AZ88" t="inlineStr">
        <is>
          <t>edge activator / micellar solubilizer</t>
        </is>
      </c>
      <c r="BA88" t="inlineStr">
        <is>
          <t>yes</t>
        </is>
      </c>
      <c r="BB88" t="inlineStr">
        <is>
          <t>weak/conditional</t>
        </is>
      </c>
      <c r="BC88" t="inlineStr">
        <is>
          <t>high</t>
        </is>
      </c>
      <c r="BD88"/>
      <c r="BE88"/>
      <c r="BF88"/>
      <c r="BG88"/>
      <c r="BH88"/>
      <c r="BI88"/>
      <c r="BJ88"/>
      <c r="BK88"/>
      <c r="BL88"/>
      <c r="BM88"/>
      <c r="BN88"/>
      <c r="BO88"/>
      <c r="BP88"/>
      <c r="BQ88" t="inlineStr">
        <is>
          <t>oral/topical; parenteral/inhalation only if grade and safety justified</t>
        </is>
      </c>
      <c r="BR88"/>
      <c r="BS88"/>
      <c r="BT88"/>
      <c r="BU88"/>
      <c r="BV88"/>
      <c r="BW88"/>
      <c r="BX88" t="inlineStr">
        <is>
          <t>surfactant irritation/hemolysis is concentration-, route-, and grade-dependent; screen cytotoxicity and osmolality</t>
        </is>
      </c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</row>
    <row r="89">
      <c r="A89" t="inlineStr">
        <is>
          <t>SURF_SUCROSE_MONOPALMITATE</t>
        </is>
      </c>
      <c r="B89" t="inlineStr">
        <is>
          <t>Sucrose monopalmitate</t>
        </is>
      </c>
      <c r="C89" t="inlineStr">
        <is>
          <t>Surfactant</t>
        </is>
      </c>
      <c r="D89" t="inlineStr">
        <is>
          <t>Nonionic surfactant</t>
        </is>
      </c>
      <c r="E89" t="inlineStr">
        <is>
          <t>sucrose ester</t>
        </is>
      </c>
      <c r="F89">
        <v>580.7</v>
      </c>
      <c r="G89"/>
      <c r="H89"/>
      <c r="I89"/>
      <c r="J89"/>
      <c r="K89">
        <v>15</v>
      </c>
      <c r="L89"/>
      <c r="M89"/>
      <c r="N89"/>
      <c r="O89"/>
      <c r="P89"/>
      <c r="Q89"/>
      <c r="R89"/>
      <c r="S89"/>
      <c r="T89">
        <v>0</v>
      </c>
      <c r="U89" t="inlineStr">
        <is>
          <t>nonionic</t>
        </is>
      </c>
      <c r="V89"/>
      <c r="W89"/>
      <c r="X89"/>
      <c r="Y89"/>
      <c r="Z89"/>
      <c r="AA89"/>
      <c r="AB89"/>
      <c r="AC89"/>
      <c r="AD89"/>
      <c r="AE89"/>
      <c r="AF89"/>
      <c r="AG89"/>
      <c r="AH89"/>
      <c r="AI89">
        <v>17.2</v>
      </c>
      <c r="AJ89">
        <v>8.5</v>
      </c>
      <c r="AK89">
        <v>14.0</v>
      </c>
      <c r="AL89">
        <v>9.0</v>
      </c>
      <c r="AM89">
        <v>23.75</v>
      </c>
      <c r="AN89">
        <v>553.05</v>
      </c>
      <c r="AO89">
        <v>0.62</v>
      </c>
      <c r="AP89" t="inlineStr">
        <is>
          <t>C16:0 sucrose ester</t>
        </is>
      </c>
      <c r="AQ89">
        <v>16</v>
      </c>
      <c r="AR89">
        <v>0</v>
      </c>
      <c r="AS89"/>
      <c r="AT89"/>
      <c r="AU89"/>
      <c r="AV89"/>
      <c r="AW89">
        <v>1</v>
      </c>
      <c r="AX89"/>
      <c r="AY89" t="inlineStr">
        <is>
          <t>sucrose ester</t>
        </is>
      </c>
      <c r="AZ89" t="inlineStr">
        <is>
          <t>edge activator / micellar solubilizer</t>
        </is>
      </c>
      <c r="BA89" t="inlineStr">
        <is>
          <t>yes</t>
        </is>
      </c>
      <c r="BB89" t="inlineStr">
        <is>
          <t>weak/conditional</t>
        </is>
      </c>
      <c r="BC89" t="inlineStr">
        <is>
          <t>high</t>
        </is>
      </c>
      <c r="BD89"/>
      <c r="BE89"/>
      <c r="BF89"/>
      <c r="BG89"/>
      <c r="BH89"/>
      <c r="BI89"/>
      <c r="BJ89"/>
      <c r="BK89"/>
      <c r="BL89"/>
      <c r="BM89"/>
      <c r="BN89"/>
      <c r="BO89"/>
      <c r="BP89"/>
      <c r="BQ89" t="inlineStr">
        <is>
          <t>oral/topical; parenteral/inhalation only if grade and safety justified</t>
        </is>
      </c>
      <c r="BR89"/>
      <c r="BS89"/>
      <c r="BT89"/>
      <c r="BU89"/>
      <c r="BV89"/>
      <c r="BW89"/>
      <c r="BX89" t="inlineStr">
        <is>
          <t>surfactant irritation/hemolysis is concentration-, route-, and grade-dependent; screen cytotoxicity and osmolality</t>
        </is>
      </c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</row>
    <row r="90">
      <c r="A90" t="inlineStr">
        <is>
          <t>SURF_SUCROSE_MONOSTEARATE</t>
        </is>
      </c>
      <c r="B90" t="inlineStr">
        <is>
          <t>Sucrose monostearate</t>
        </is>
      </c>
      <c r="C90" t="inlineStr">
        <is>
          <t>Surfactant</t>
        </is>
      </c>
      <c r="D90" t="inlineStr">
        <is>
          <t>Nonionic surfactant</t>
        </is>
      </c>
      <c r="E90" t="inlineStr">
        <is>
          <t>sucrose ester</t>
        </is>
      </c>
      <c r="F90">
        <v>608.8</v>
      </c>
      <c r="G90"/>
      <c r="H90"/>
      <c r="I90"/>
      <c r="J90"/>
      <c r="K90">
        <v>15</v>
      </c>
      <c r="L90"/>
      <c r="M90"/>
      <c r="N90"/>
      <c r="O90"/>
      <c r="P90"/>
      <c r="Q90"/>
      <c r="R90"/>
      <c r="S90"/>
      <c r="T90">
        <v>0</v>
      </c>
      <c r="U90" t="inlineStr">
        <is>
          <t>nonionic</t>
        </is>
      </c>
      <c r="V90"/>
      <c r="W90"/>
      <c r="X90"/>
      <c r="Y90"/>
      <c r="Z90"/>
      <c r="AA90"/>
      <c r="AB90"/>
      <c r="AC90"/>
      <c r="AD90"/>
      <c r="AE90"/>
      <c r="AF90"/>
      <c r="AG90"/>
      <c r="AH90"/>
      <c r="AI90">
        <v>17.2</v>
      </c>
      <c r="AJ90">
        <v>8.5</v>
      </c>
      <c r="AK90">
        <v>14.0</v>
      </c>
      <c r="AL90">
        <v>9.0</v>
      </c>
      <c r="AM90">
        <v>23.75</v>
      </c>
      <c r="AN90">
        <v>579.81</v>
      </c>
      <c r="AO90">
        <v>0.62</v>
      </c>
      <c r="AP90" t="inlineStr">
        <is>
          <t>C18:0 sucrose ester</t>
        </is>
      </c>
      <c r="AQ90">
        <v>18</v>
      </c>
      <c r="AR90">
        <v>0</v>
      </c>
      <c r="AS90"/>
      <c r="AT90"/>
      <c r="AU90"/>
      <c r="AV90"/>
      <c r="AW90">
        <v>1</v>
      </c>
      <c r="AX90"/>
      <c r="AY90" t="inlineStr">
        <is>
          <t>sucrose ester</t>
        </is>
      </c>
      <c r="AZ90" t="inlineStr">
        <is>
          <t>edge activator / micellar solubilizer</t>
        </is>
      </c>
      <c r="BA90" t="inlineStr">
        <is>
          <t>yes</t>
        </is>
      </c>
      <c r="BB90" t="inlineStr">
        <is>
          <t>weak/conditional</t>
        </is>
      </c>
      <c r="BC90" t="inlineStr">
        <is>
          <t>high</t>
        </is>
      </c>
      <c r="BD90"/>
      <c r="BE90"/>
      <c r="BF90"/>
      <c r="BG90"/>
      <c r="BH90"/>
      <c r="BI90"/>
      <c r="BJ90"/>
      <c r="BK90"/>
      <c r="BL90"/>
      <c r="BM90"/>
      <c r="BN90"/>
      <c r="BO90"/>
      <c r="BP90"/>
      <c r="BQ90" t="inlineStr">
        <is>
          <t>oral/topical; parenteral/inhalation only if grade and safety justified</t>
        </is>
      </c>
      <c r="BR90"/>
      <c r="BS90"/>
      <c r="BT90"/>
      <c r="BU90"/>
      <c r="BV90"/>
      <c r="BW90"/>
      <c r="BX90" t="inlineStr">
        <is>
          <t>surfactant irritation/hemolysis is concentration-, route-, and grade-dependent; screen cytotoxicity and osmolality</t>
        </is>
      </c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</row>
    <row r="91">
      <c r="A91" t="inlineStr">
        <is>
          <t>SURF_SUCROSE_MONOOLEATE</t>
        </is>
      </c>
      <c r="B91" t="inlineStr">
        <is>
          <t>Sucrose monooleate</t>
        </is>
      </c>
      <c r="C91" t="inlineStr">
        <is>
          <t>Surfactant</t>
        </is>
      </c>
      <c r="D91" t="inlineStr">
        <is>
          <t>Nonionic surfactant</t>
        </is>
      </c>
      <c r="E91" t="inlineStr">
        <is>
          <t>sucrose ester</t>
        </is>
      </c>
      <c r="F91">
        <v>606.8</v>
      </c>
      <c r="G91"/>
      <c r="H91"/>
      <c r="I91"/>
      <c r="J91"/>
      <c r="K91">
        <v>15</v>
      </c>
      <c r="L91"/>
      <c r="M91"/>
      <c r="N91"/>
      <c r="O91"/>
      <c r="P91"/>
      <c r="Q91"/>
      <c r="R91"/>
      <c r="S91"/>
      <c r="T91">
        <v>0</v>
      </c>
      <c r="U91" t="inlineStr">
        <is>
          <t>nonionic</t>
        </is>
      </c>
      <c r="V91"/>
      <c r="W91"/>
      <c r="X91"/>
      <c r="Y91"/>
      <c r="Z91"/>
      <c r="AA91"/>
      <c r="AB91"/>
      <c r="AC91"/>
      <c r="AD91"/>
      <c r="AE91"/>
      <c r="AF91"/>
      <c r="AG91"/>
      <c r="AH91"/>
      <c r="AI91">
        <v>17.2</v>
      </c>
      <c r="AJ91">
        <v>8.5</v>
      </c>
      <c r="AK91">
        <v>14.0</v>
      </c>
      <c r="AL91">
        <v>9.0</v>
      </c>
      <c r="AM91">
        <v>23.75</v>
      </c>
      <c r="AN91">
        <v>577.9</v>
      </c>
      <c r="AO91">
        <v>0.62</v>
      </c>
      <c r="AP91" t="inlineStr">
        <is>
          <t>C18:1 sucrose ester</t>
        </is>
      </c>
      <c r="AQ91">
        <v>18</v>
      </c>
      <c r="AR91">
        <v>1</v>
      </c>
      <c r="AS91"/>
      <c r="AT91"/>
      <c r="AU91"/>
      <c r="AV91"/>
      <c r="AW91">
        <v>1</v>
      </c>
      <c r="AX91"/>
      <c r="AY91" t="inlineStr">
        <is>
          <t>sucrose ester</t>
        </is>
      </c>
      <c r="AZ91" t="inlineStr">
        <is>
          <t>edge activator / micellar solubilizer</t>
        </is>
      </c>
      <c r="BA91" t="inlineStr">
        <is>
          <t>yes</t>
        </is>
      </c>
      <c r="BB91" t="inlineStr">
        <is>
          <t>weak/conditional</t>
        </is>
      </c>
      <c r="BC91" t="inlineStr">
        <is>
          <t>high</t>
        </is>
      </c>
      <c r="BD91"/>
      <c r="BE91"/>
      <c r="BF91"/>
      <c r="BG91"/>
      <c r="BH91"/>
      <c r="BI91"/>
      <c r="BJ91"/>
      <c r="BK91"/>
      <c r="BL91"/>
      <c r="BM91"/>
      <c r="BN91"/>
      <c r="BO91"/>
      <c r="BP91"/>
      <c r="BQ91" t="inlineStr">
        <is>
          <t>oral/topical; parenteral/inhalation only if grade and safety justified</t>
        </is>
      </c>
      <c r="BR91"/>
      <c r="BS91"/>
      <c r="BT91"/>
      <c r="BU91"/>
      <c r="BV91"/>
      <c r="BW91"/>
      <c r="BX91" t="inlineStr">
        <is>
          <t>surfactant irritation/hemolysis is concentration-, route-, and grade-dependent; screen cytotoxicity and osmolality</t>
        </is>
      </c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</row>
    <row r="92">
      <c r="A92" t="inlineStr">
        <is>
          <t>SURF_OCTYL_GLUCOSIDE</t>
        </is>
      </c>
      <c r="B92" t="inlineStr">
        <is>
          <t>Octyl glucoside</t>
        </is>
      </c>
      <c r="C92" t="inlineStr">
        <is>
          <t>Surfactant</t>
        </is>
      </c>
      <c r="D92" t="inlineStr">
        <is>
          <t>Nonionic surfactant</t>
        </is>
      </c>
      <c r="E92" t="inlineStr">
        <is>
          <t>alkyl glycoside</t>
        </is>
      </c>
      <c r="F92">
        <v>292.37</v>
      </c>
      <c r="G92"/>
      <c r="H92"/>
      <c r="I92"/>
      <c r="J92"/>
      <c r="K92">
        <v>13.6</v>
      </c>
      <c r="L92"/>
      <c r="M92"/>
      <c r="N92"/>
      <c r="O92"/>
      <c r="P92"/>
      <c r="Q92"/>
      <c r="R92"/>
      <c r="S92"/>
      <c r="T92">
        <v>0</v>
      </c>
      <c r="U92" t="inlineStr">
        <is>
          <t>nonionic</t>
        </is>
      </c>
      <c r="V92">
        <v>22</v>
      </c>
      <c r="W92"/>
      <c r="X92"/>
      <c r="Y92"/>
      <c r="Z92"/>
      <c r="AA92"/>
      <c r="AB92"/>
      <c r="AC92"/>
      <c r="AD92"/>
      <c r="AE92"/>
      <c r="AF92"/>
      <c r="AG92"/>
      <c r="AH92"/>
      <c r="AI92">
        <v>17.3</v>
      </c>
      <c r="AJ92">
        <v>6.5</v>
      </c>
      <c r="AK92">
        <v>10.5</v>
      </c>
      <c r="AL92">
        <v>8.0</v>
      </c>
      <c r="AM92">
        <v>21.26</v>
      </c>
      <c r="AN92">
        <v>278.45</v>
      </c>
      <c r="AO92">
        <v>0.595</v>
      </c>
      <c r="AP92" t="inlineStr">
        <is>
          <t>C8 glucoside</t>
        </is>
      </c>
      <c r="AQ92">
        <v>8</v>
      </c>
      <c r="AR92">
        <v>0</v>
      </c>
      <c r="AS92"/>
      <c r="AT92"/>
      <c r="AU92"/>
      <c r="AV92"/>
      <c r="AW92">
        <v>1</v>
      </c>
      <c r="AX92"/>
      <c r="AY92" t="inlineStr">
        <is>
          <t>alkyl glycoside</t>
        </is>
      </c>
      <c r="AZ92" t="inlineStr">
        <is>
          <t>edge activator / micellar solubilizer</t>
        </is>
      </c>
      <c r="BA92" t="inlineStr">
        <is>
          <t>yes</t>
        </is>
      </c>
      <c r="BB92" t="inlineStr">
        <is>
          <t>weak/conditional</t>
        </is>
      </c>
      <c r="BC92" t="inlineStr">
        <is>
          <t>high</t>
        </is>
      </c>
      <c r="BD92"/>
      <c r="BE92"/>
      <c r="BF92"/>
      <c r="BG92"/>
      <c r="BH92"/>
      <c r="BI92"/>
      <c r="BJ92"/>
      <c r="BK92"/>
      <c r="BL92"/>
      <c r="BM92"/>
      <c r="BN92"/>
      <c r="BO92"/>
      <c r="BP92"/>
      <c r="BQ92" t="inlineStr">
        <is>
          <t>oral/topical; parenteral/inhalation only if grade and safety justified</t>
        </is>
      </c>
      <c r="BR92"/>
      <c r="BS92"/>
      <c r="BT92"/>
      <c r="BU92"/>
      <c r="BV92"/>
      <c r="BW92"/>
      <c r="BX92" t="inlineStr">
        <is>
          <t>surfactant irritation/hemolysis is concentration-, route-, and grade-dependent; screen cytotoxicity and osmolality</t>
        </is>
      </c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</row>
    <row r="93">
      <c r="A93" t="inlineStr">
        <is>
          <t>SURF_DECYL_MALTOSIDE</t>
        </is>
      </c>
      <c r="B93" t="inlineStr">
        <is>
          <t>Decyl maltoside</t>
        </is>
      </c>
      <c r="C93" t="inlineStr">
        <is>
          <t>Surfactant</t>
        </is>
      </c>
      <c r="D93" t="inlineStr">
        <is>
          <t>Nonionic surfactant</t>
        </is>
      </c>
      <c r="E93" t="inlineStr">
        <is>
          <t>alkyl glycoside</t>
        </is>
      </c>
      <c r="F93">
        <v>482.6</v>
      </c>
      <c r="G93"/>
      <c r="H93"/>
      <c r="I93"/>
      <c r="J93"/>
      <c r="K93">
        <v>12.9</v>
      </c>
      <c r="L93"/>
      <c r="M93"/>
      <c r="N93"/>
      <c r="O93"/>
      <c r="P93"/>
      <c r="Q93"/>
      <c r="R93"/>
      <c r="S93"/>
      <c r="T93">
        <v>0</v>
      </c>
      <c r="U93" t="inlineStr">
        <is>
          <t>nonionic</t>
        </is>
      </c>
      <c r="V93">
        <v>1.8</v>
      </c>
      <c r="W93"/>
      <c r="X93"/>
      <c r="Y93"/>
      <c r="Z93"/>
      <c r="AA93"/>
      <c r="AB93"/>
      <c r="AC93"/>
      <c r="AD93"/>
      <c r="AE93"/>
      <c r="AF93"/>
      <c r="AG93"/>
      <c r="AH93"/>
      <c r="AI93">
        <v>17.3</v>
      </c>
      <c r="AJ93">
        <v>6.5</v>
      </c>
      <c r="AK93">
        <v>10.5</v>
      </c>
      <c r="AL93">
        <v>8.0</v>
      </c>
      <c r="AM93">
        <v>21.26</v>
      </c>
      <c r="AN93">
        <v>459.62</v>
      </c>
      <c r="AO93">
        <v>0.582</v>
      </c>
      <c r="AP93" t="inlineStr">
        <is>
          <t>C10 maltoside</t>
        </is>
      </c>
      <c r="AQ93">
        <v>10</v>
      </c>
      <c r="AR93">
        <v>0</v>
      </c>
      <c r="AS93"/>
      <c r="AT93"/>
      <c r="AU93"/>
      <c r="AV93"/>
      <c r="AW93">
        <v>1</v>
      </c>
      <c r="AX93"/>
      <c r="AY93" t="inlineStr">
        <is>
          <t>alkyl maltoside</t>
        </is>
      </c>
      <c r="AZ93" t="inlineStr">
        <is>
          <t>edge activator / micellar solubilizer</t>
        </is>
      </c>
      <c r="BA93" t="inlineStr">
        <is>
          <t>yes</t>
        </is>
      </c>
      <c r="BB93" t="inlineStr">
        <is>
          <t>weak/conditional</t>
        </is>
      </c>
      <c r="BC93" t="inlineStr">
        <is>
          <t>high</t>
        </is>
      </c>
      <c r="BD93"/>
      <c r="BE93"/>
      <c r="BF93"/>
      <c r="BG93"/>
      <c r="BH93"/>
      <c r="BI93"/>
      <c r="BJ93"/>
      <c r="BK93"/>
      <c r="BL93"/>
      <c r="BM93"/>
      <c r="BN93"/>
      <c r="BO93"/>
      <c r="BP93"/>
      <c r="BQ93" t="inlineStr">
        <is>
          <t>oral/topical; parenteral/inhalation only if grade and safety justified</t>
        </is>
      </c>
      <c r="BR93"/>
      <c r="BS93"/>
      <c r="BT93"/>
      <c r="BU93"/>
      <c r="BV93"/>
      <c r="BW93"/>
      <c r="BX93" t="inlineStr">
        <is>
          <t>surfactant irritation/hemolysis is concentration-, route-, and grade-dependent; screen cytotoxicity and osmolality</t>
        </is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</row>
    <row r="94">
      <c r="A94" t="inlineStr">
        <is>
          <t>SURF_LAURYL_MALTOSIDE</t>
        </is>
      </c>
      <c r="B94" t="inlineStr">
        <is>
          <t>Lauryl maltoside</t>
        </is>
      </c>
      <c r="C94" t="inlineStr">
        <is>
          <t>Surfactant</t>
        </is>
      </c>
      <c r="D94" t="inlineStr">
        <is>
          <t>Nonionic surfactant</t>
        </is>
      </c>
      <c r="E94" t="inlineStr">
        <is>
          <t>alkyl glycoside</t>
        </is>
      </c>
      <c r="F94">
        <v>510.6</v>
      </c>
      <c r="G94"/>
      <c r="H94"/>
      <c r="I94"/>
      <c r="J94"/>
      <c r="K94">
        <v>12.0</v>
      </c>
      <c r="L94"/>
      <c r="M94"/>
      <c r="N94"/>
      <c r="O94"/>
      <c r="P94"/>
      <c r="Q94"/>
      <c r="R94"/>
      <c r="S94"/>
      <c r="T94">
        <v>0</v>
      </c>
      <c r="U94" t="inlineStr">
        <is>
          <t>nonionic</t>
        </is>
      </c>
      <c r="V94">
        <v>0.17</v>
      </c>
      <c r="W94"/>
      <c r="X94"/>
      <c r="Y94"/>
      <c r="Z94"/>
      <c r="AA94"/>
      <c r="AB94"/>
      <c r="AC94"/>
      <c r="AD94"/>
      <c r="AE94"/>
      <c r="AF94"/>
      <c r="AG94"/>
      <c r="AH94"/>
      <c r="AI94">
        <v>17.3</v>
      </c>
      <c r="AJ94">
        <v>6.5</v>
      </c>
      <c r="AK94">
        <v>10.5</v>
      </c>
      <c r="AL94">
        <v>8.0</v>
      </c>
      <c r="AM94">
        <v>21.26</v>
      </c>
      <c r="AN94">
        <v>486.29</v>
      </c>
      <c r="AO94">
        <v>0.566</v>
      </c>
      <c r="AP94" t="inlineStr">
        <is>
          <t>C12 maltoside</t>
        </is>
      </c>
      <c r="AQ94">
        <v>12</v>
      </c>
      <c r="AR94">
        <v>0</v>
      </c>
      <c r="AS94"/>
      <c r="AT94"/>
      <c r="AU94"/>
      <c r="AV94"/>
      <c r="AW94">
        <v>1</v>
      </c>
      <c r="AX94"/>
      <c r="AY94" t="inlineStr">
        <is>
          <t>alkyl maltoside</t>
        </is>
      </c>
      <c r="AZ94" t="inlineStr">
        <is>
          <t>edge activator / micellar solubilizer</t>
        </is>
      </c>
      <c r="BA94" t="inlineStr">
        <is>
          <t>yes</t>
        </is>
      </c>
      <c r="BB94" t="inlineStr">
        <is>
          <t>weak/conditional</t>
        </is>
      </c>
      <c r="BC94" t="inlineStr">
        <is>
          <t>high</t>
        </is>
      </c>
      <c r="BD94"/>
      <c r="BE94"/>
      <c r="BF94"/>
      <c r="BG94"/>
      <c r="BH94"/>
      <c r="BI94"/>
      <c r="BJ94"/>
      <c r="BK94"/>
      <c r="BL94"/>
      <c r="BM94"/>
      <c r="BN94"/>
      <c r="BO94"/>
      <c r="BP94"/>
      <c r="BQ94" t="inlineStr">
        <is>
          <t>oral/topical; parenteral/inhalation only if grade and safety justified</t>
        </is>
      </c>
      <c r="BR94"/>
      <c r="BS94"/>
      <c r="BT94"/>
      <c r="BU94"/>
      <c r="BV94"/>
      <c r="BW94"/>
      <c r="BX94" t="inlineStr">
        <is>
          <t>surfactant irritation/hemolysis is concentration-, route-, and grade-dependent; screen cytotoxicity and osmolality</t>
        </is>
      </c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</row>
    <row r="95">
      <c r="A95" t="inlineStr">
        <is>
          <t>LIP_LECITHIN</t>
        </is>
      </c>
      <c r="B95" t="inlineStr">
        <is>
          <t>Lecithin</t>
        </is>
      </c>
      <c r="C95" t="inlineStr">
        <is>
          <t>Lipid</t>
        </is>
      </c>
      <c r="D95" t="inlineStr">
        <is>
          <t>Phospholipid/membrane lipid</t>
        </is>
      </c>
      <c r="E95" t="inlineStr">
        <is>
          <t>natural/mixed phospholipid</t>
        </is>
      </c>
      <c r="F95">
        <v>770</v>
      </c>
      <c r="G95"/>
      <c r="H95"/>
      <c r="I95"/>
      <c r="J95"/>
      <c r="K95"/>
      <c r="L95"/>
      <c r="M95"/>
      <c r="N95"/>
      <c r="O95"/>
      <c r="P95"/>
      <c r="Q95"/>
      <c r="R95"/>
      <c r="S95"/>
      <c r="T95">
        <v>0</v>
      </c>
      <c r="U95" t="inlineStr">
        <is>
          <t>zwitterionic</t>
        </is>
      </c>
      <c r="V95"/>
      <c r="W95"/>
      <c r="X95"/>
      <c r="Y95"/>
      <c r="Z95"/>
      <c r="AA95"/>
      <c r="AB95"/>
      <c r="AC95"/>
      <c r="AD95"/>
      <c r="AE95"/>
      <c r="AF95"/>
      <c r="AG95"/>
      <c r="AH95"/>
      <c r="AI95">
        <v>17.5</v>
      </c>
      <c r="AJ95">
        <v>5.5</v>
      </c>
      <c r="AK95">
        <v>8.0</v>
      </c>
      <c r="AL95">
        <v>8.0</v>
      </c>
      <c r="AM95">
        <v>20.01</v>
      </c>
      <c r="AN95">
        <v>770.0</v>
      </c>
      <c r="AO95">
        <v>0.64</v>
      </c>
      <c r="AP95"/>
      <c r="AQ95"/>
      <c r="AR95"/>
      <c r="AS95">
        <v>16</v>
      </c>
      <c r="AT95">
        <v>0</v>
      </c>
      <c r="AU95">
        <v>18</v>
      </c>
      <c r="AV95">
        <v>1</v>
      </c>
      <c r="AW95">
        <v>2</v>
      </c>
      <c r="AX95" t="inlineStr">
        <is>
          <t>PC-rich mixture</t>
        </is>
      </c>
      <c r="AY95" t="inlineStr">
        <is>
          <t>PC</t>
        </is>
      </c>
      <c r="AZ95"/>
      <c r="BA95"/>
      <c r="BB95"/>
      <c r="BC95"/>
      <c r="BD95" t="inlineStr">
        <is>
          <t>fluidizing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H95"/>
      <c r="BI95"/>
      <c r="BJ95"/>
      <c r="BK95"/>
      <c r="BL95"/>
      <c r="BM95"/>
      <c r="BN95"/>
      <c r="BO95"/>
      <c r="BP95"/>
      <c r="BQ95" t="inlineStr">
        <is>
          <t>liposome/LNP; route depends on purity, grade, residual solvents/endotoxin</t>
        </is>
      </c>
      <c r="BR95"/>
      <c r="BS95"/>
      <c r="BT95"/>
      <c r="BU95"/>
      <c r="BV95"/>
      <c r="BW95"/>
      <c r="BX95"/>
      <c r="BY95" t="inlineStr">
        <is>
          <t>bilayer-forming cylindrical lipid</t>
        </is>
      </c>
      <c r="BZ95" t="inlineStr">
        <is>
          <t>store cold, dry, inert gas; protect unsaturated/ionizable lipids from oxidation/hydrolysis</t>
        </is>
      </c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</row>
    <row r="96">
      <c r="A96" t="inlineStr">
        <is>
          <t>LIP_EGG_PHOSPHATIDYLCHOLINE_EPC</t>
        </is>
      </c>
      <c r="B96" t="inlineStr">
        <is>
          <t>Egg phosphatidylcholine / EPC</t>
        </is>
      </c>
      <c r="C96" t="inlineStr">
        <is>
          <t>Lipid</t>
        </is>
      </c>
      <c r="D96" t="inlineStr">
        <is>
          <t>Phospholipid/membrane lipid</t>
        </is>
      </c>
      <c r="E96" t="inlineStr">
        <is>
          <t>natural/mixed phospholipid</t>
        </is>
      </c>
      <c r="F96">
        <v>760</v>
      </c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 t="inlineStr">
        <is>
          <t>zwitterionic</t>
        </is>
      </c>
      <c r="V96"/>
      <c r="W96"/>
      <c r="X96"/>
      <c r="Y96">
        <v>-15</v>
      </c>
      <c r="Z96"/>
      <c r="AA96"/>
      <c r="AB96"/>
      <c r="AC96"/>
      <c r="AD96"/>
      <c r="AE96"/>
      <c r="AF96"/>
      <c r="AG96"/>
      <c r="AH96"/>
      <c r="AI96">
        <v>17.5</v>
      </c>
      <c r="AJ96">
        <v>5.5</v>
      </c>
      <c r="AK96">
        <v>8.0</v>
      </c>
      <c r="AL96">
        <v>8.0</v>
      </c>
      <c r="AM96">
        <v>20.01</v>
      </c>
      <c r="AN96">
        <v>760.0</v>
      </c>
      <c r="AO96">
        <v>0.64</v>
      </c>
      <c r="AP96"/>
      <c r="AQ96"/>
      <c r="AR96"/>
      <c r="AS96">
        <v>16</v>
      </c>
      <c r="AT96">
        <v>0</v>
      </c>
      <c r="AU96">
        <v>18</v>
      </c>
      <c r="AV96">
        <v>1</v>
      </c>
      <c r="AW96">
        <v>2</v>
      </c>
      <c r="AX96" t="inlineStr">
        <is>
          <t>PC-rich mixture</t>
        </is>
      </c>
      <c r="AY96" t="inlineStr">
        <is>
          <t>PC</t>
        </is>
      </c>
      <c r="AZ96"/>
      <c r="BA96"/>
      <c r="BB96"/>
      <c r="BC96"/>
      <c r="BD96" t="inlineStr">
        <is>
          <t>fluidizing</t>
        </is>
      </c>
      <c r="BE96" t="inlineStr">
        <is>
          <t>no</t>
        </is>
      </c>
      <c r="BF96" t="inlineStr">
        <is>
          <t>no</t>
        </is>
      </c>
      <c r="BG96" t="inlineStr">
        <is>
          <t>no</t>
        </is>
      </c>
      <c r="BH96"/>
      <c r="BI96"/>
      <c r="BJ96"/>
      <c r="BK96"/>
      <c r="BL96"/>
      <c r="BM96"/>
      <c r="BN96"/>
      <c r="BO96"/>
      <c r="BP96"/>
      <c r="BQ96" t="inlineStr">
        <is>
          <t>liposome/LNP; route depends on purity, grade, residual solvents/endotoxin</t>
        </is>
      </c>
      <c r="BR96"/>
      <c r="BS96"/>
      <c r="BT96"/>
      <c r="BU96"/>
      <c r="BV96"/>
      <c r="BW96"/>
      <c r="BX96"/>
      <c r="BY96" t="inlineStr">
        <is>
          <t>bilayer-forming cylindrical lipid</t>
        </is>
      </c>
      <c r="BZ96" t="inlineStr">
        <is>
          <t>store cold, dry, inert gas; protect unsaturated/ionizable lipids from oxidation/hydrolysis</t>
        </is>
      </c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</row>
    <row r="97">
      <c r="A97" t="inlineStr">
        <is>
          <t>LIP_SOY_PHOSPHATIDYLCHOLINE_SPC</t>
        </is>
      </c>
      <c r="B97" t="inlineStr">
        <is>
          <t>Soy phosphatidylcholine / SPC</t>
        </is>
      </c>
      <c r="C97" t="inlineStr">
        <is>
          <t>Lipid</t>
        </is>
      </c>
      <c r="D97" t="inlineStr">
        <is>
          <t>Phospholipid/membrane lipid</t>
        </is>
      </c>
      <c r="E97" t="inlineStr">
        <is>
          <t>natural/mixed phospholipid</t>
        </is>
      </c>
      <c r="F97">
        <v>780</v>
      </c>
      <c r="G97"/>
      <c r="H97"/>
      <c r="I97"/>
      <c r="J97"/>
      <c r="K97"/>
      <c r="L97"/>
      <c r="M97"/>
      <c r="N97"/>
      <c r="O97"/>
      <c r="P97"/>
      <c r="Q97"/>
      <c r="R97"/>
      <c r="S97"/>
      <c r="T97">
        <v>0</v>
      </c>
      <c r="U97" t="inlineStr">
        <is>
          <t>zwitterionic</t>
        </is>
      </c>
      <c r="V97"/>
      <c r="W97"/>
      <c r="X97"/>
      <c r="Y97">
        <v>-20</v>
      </c>
      <c r="Z97"/>
      <c r="AA97"/>
      <c r="AB97"/>
      <c r="AC97"/>
      <c r="AD97"/>
      <c r="AE97"/>
      <c r="AF97"/>
      <c r="AG97"/>
      <c r="AH97"/>
      <c r="AI97">
        <v>17.5</v>
      </c>
      <c r="AJ97">
        <v>5.5</v>
      </c>
      <c r="AK97">
        <v>8.0</v>
      </c>
      <c r="AL97">
        <v>8.0</v>
      </c>
      <c r="AM97">
        <v>20.01</v>
      </c>
      <c r="AN97">
        <v>780.0</v>
      </c>
      <c r="AO97">
        <v>0.64</v>
      </c>
      <c r="AP97"/>
      <c r="AQ97"/>
      <c r="AR97"/>
      <c r="AS97">
        <v>16</v>
      </c>
      <c r="AT97">
        <v>0</v>
      </c>
      <c r="AU97">
        <v>18</v>
      </c>
      <c r="AV97">
        <v>1</v>
      </c>
      <c r="AW97">
        <v>2</v>
      </c>
      <c r="AX97" t="inlineStr">
        <is>
          <t>PC-rich mixture</t>
        </is>
      </c>
      <c r="AY97" t="inlineStr">
        <is>
          <t>PC</t>
        </is>
      </c>
      <c r="AZ97"/>
      <c r="BA97"/>
      <c r="BB97"/>
      <c r="BC97"/>
      <c r="BD97" t="inlineStr">
        <is>
          <t>fluidizing</t>
        </is>
      </c>
      <c r="BE97" t="inlineStr">
        <is>
          <t>no</t>
        </is>
      </c>
      <c r="BF97" t="inlineStr">
        <is>
          <t>no</t>
        </is>
      </c>
      <c r="BG97" t="inlineStr">
        <is>
          <t>no</t>
        </is>
      </c>
      <c r="BH97"/>
      <c r="BI97"/>
      <c r="BJ97"/>
      <c r="BK97"/>
      <c r="BL97"/>
      <c r="BM97"/>
      <c r="BN97"/>
      <c r="BO97"/>
      <c r="BP97"/>
      <c r="BQ97" t="inlineStr">
        <is>
          <t>liposome/LNP; route depends on purity, grade, residual solvents/endotoxin</t>
        </is>
      </c>
      <c r="BR97"/>
      <c r="BS97"/>
      <c r="BT97"/>
      <c r="BU97"/>
      <c r="BV97"/>
      <c r="BW97"/>
      <c r="BX97"/>
      <c r="BY97" t="inlineStr">
        <is>
          <t>bilayer-forming cylindrical lipid</t>
        </is>
      </c>
      <c r="BZ97" t="inlineStr">
        <is>
          <t>store cold, dry, inert gas; protect unsaturated/ionizable lipids from oxidation/hydrolysis</t>
        </is>
      </c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</row>
    <row r="98">
      <c r="A98" t="inlineStr">
        <is>
          <t>LIP_HYDROGENATED_SOY_PHOSPHATIDYLCHOLINE_HSPC</t>
        </is>
      </c>
      <c r="B98" t="inlineStr">
        <is>
          <t>Hydrogenated soy phosphatidylcholine / HSPC</t>
        </is>
      </c>
      <c r="C98" t="inlineStr">
        <is>
          <t>Lipid</t>
        </is>
      </c>
      <c r="D98" t="inlineStr">
        <is>
          <t>Phospholipid/membrane lipid</t>
        </is>
      </c>
      <c r="E98" t="inlineStr">
        <is>
          <t>natural/mixed phospholipid</t>
        </is>
      </c>
      <c r="F98">
        <v>790</v>
      </c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 t="inlineStr">
        <is>
          <t>zwitterionic</t>
        </is>
      </c>
      <c r="V98"/>
      <c r="W98"/>
      <c r="X98"/>
      <c r="Y98">
        <v>52</v>
      </c>
      <c r="Z98"/>
      <c r="AA98"/>
      <c r="AB98"/>
      <c r="AC98"/>
      <c r="AD98"/>
      <c r="AE98"/>
      <c r="AF98"/>
      <c r="AG98"/>
      <c r="AH98"/>
      <c r="AI98">
        <v>17.5</v>
      </c>
      <c r="AJ98">
        <v>5.5</v>
      </c>
      <c r="AK98">
        <v>8.0</v>
      </c>
      <c r="AL98">
        <v>8.0</v>
      </c>
      <c r="AM98">
        <v>20.01</v>
      </c>
      <c r="AN98">
        <v>790.0</v>
      </c>
      <c r="AO98">
        <v>0.64</v>
      </c>
      <c r="AP98"/>
      <c r="AQ98"/>
      <c r="AR98"/>
      <c r="AS98">
        <v>16</v>
      </c>
      <c r="AT98">
        <v>0</v>
      </c>
      <c r="AU98">
        <v>18</v>
      </c>
      <c r="AV98">
        <v>1</v>
      </c>
      <c r="AW98">
        <v>2</v>
      </c>
      <c r="AX98" t="inlineStr">
        <is>
          <t>PC-rich mixture</t>
        </is>
      </c>
      <c r="AY98" t="inlineStr">
        <is>
          <t>PC</t>
        </is>
      </c>
      <c r="AZ98"/>
      <c r="BA98"/>
      <c r="BB98"/>
      <c r="BC98"/>
      <c r="BD98" t="inlineStr">
        <is>
          <t>fluidizing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H98"/>
      <c r="BI98"/>
      <c r="BJ98"/>
      <c r="BK98"/>
      <c r="BL98"/>
      <c r="BM98"/>
      <c r="BN98"/>
      <c r="BO98"/>
      <c r="BP98"/>
      <c r="BQ98" t="inlineStr">
        <is>
          <t>liposome/LNP; route depends on purity, grade, residual solvents/endotoxin</t>
        </is>
      </c>
      <c r="BR98"/>
      <c r="BS98"/>
      <c r="BT98"/>
      <c r="BU98"/>
      <c r="BV98"/>
      <c r="BW98"/>
      <c r="BX98"/>
      <c r="BY98" t="inlineStr">
        <is>
          <t>bilayer-forming cylindrical lipid</t>
        </is>
      </c>
      <c r="BZ98" t="inlineStr">
        <is>
          <t>store cold, dry, inert gas; protect unsaturated/ionizable lipids from oxidation/hydrolysis</t>
        </is>
      </c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</row>
    <row r="99">
      <c r="A99" t="inlineStr">
        <is>
          <t>LIP_DLPC</t>
        </is>
      </c>
      <c r="B99" t="inlineStr">
        <is>
          <t>DLPC</t>
        </is>
      </c>
      <c r="C99" t="inlineStr">
        <is>
          <t>Lipid</t>
        </is>
      </c>
      <c r="D99" t="inlineStr">
        <is>
          <t>Phospholipid/membrane lipid</t>
        </is>
      </c>
      <c r="E99" t="inlineStr">
        <is>
          <t>PC lipid</t>
        </is>
      </c>
      <c r="F99">
        <v>621.8</v>
      </c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 t="inlineStr">
        <is>
          <t>zwitterionic</t>
        </is>
      </c>
      <c r="V99"/>
      <c r="W99"/>
      <c r="X99"/>
      <c r="Y99">
        <v>-1</v>
      </c>
      <c r="Z99"/>
      <c r="AA99"/>
      <c r="AB99"/>
      <c r="AC99"/>
      <c r="AD99"/>
      <c r="AE99"/>
      <c r="AF99"/>
      <c r="AG99"/>
      <c r="AH99"/>
      <c r="AI99">
        <v>17.5</v>
      </c>
      <c r="AJ99">
        <v>5.5</v>
      </c>
      <c r="AK99">
        <v>8.0</v>
      </c>
      <c r="AL99">
        <v>8.0</v>
      </c>
      <c r="AM99">
        <v>20.01</v>
      </c>
      <c r="AN99">
        <v>621.8</v>
      </c>
      <c r="AO99">
        <v>0.64</v>
      </c>
      <c r="AP99"/>
      <c r="AQ99"/>
      <c r="AR99"/>
      <c r="AS99">
        <v>12</v>
      </c>
      <c r="AT99">
        <v>0</v>
      </c>
      <c r="AU99">
        <v>12</v>
      </c>
      <c r="AV99">
        <v>0</v>
      </c>
      <c r="AW99">
        <v>2</v>
      </c>
      <c r="AX99" t="inlineStr">
        <is>
          <t>PC</t>
        </is>
      </c>
      <c r="AY99" t="inlineStr">
        <is>
          <t>PC</t>
        </is>
      </c>
      <c r="AZ99"/>
      <c r="BA99"/>
      <c r="BB99"/>
      <c r="BC99"/>
      <c r="BD99" t="inlineStr">
        <is>
          <t>moderate</t>
        </is>
      </c>
      <c r="BE99" t="inlineStr">
        <is>
          <t>no</t>
        </is>
      </c>
      <c r="BF99" t="inlineStr">
        <is>
          <t>no</t>
        </is>
      </c>
      <c r="BG99" t="inlineStr">
        <is>
          <t>no</t>
        </is>
      </c>
      <c r="BH99"/>
      <c r="BI99"/>
      <c r="BJ99"/>
      <c r="BK99"/>
      <c r="BL99"/>
      <c r="BM99"/>
      <c r="BN99"/>
      <c r="BO99"/>
      <c r="BP99"/>
      <c r="BQ99" t="inlineStr">
        <is>
          <t>liposome/LNP; route depends on purity, grade, residual solvents/endotoxin</t>
        </is>
      </c>
      <c r="BR99"/>
      <c r="BS99"/>
      <c r="BT99"/>
      <c r="BU99"/>
      <c r="BV99"/>
      <c r="BW99"/>
      <c r="BX99"/>
      <c r="BY99" t="inlineStr">
        <is>
          <t>bilayer-forming cylindrical lipid</t>
        </is>
      </c>
      <c r="BZ99" t="inlineStr">
        <is>
          <t>store cold, dry, inert gas; protect unsaturated/ionizable lipids from oxidation/hydrolysis</t>
        </is>
      </c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</row>
    <row r="100">
      <c r="A100" t="inlineStr">
        <is>
          <t>LIP_DMPC</t>
        </is>
      </c>
      <c r="B100" t="inlineStr">
        <is>
          <t>DMPC</t>
        </is>
      </c>
      <c r="C100" t="inlineStr">
        <is>
          <t>Lipid</t>
        </is>
      </c>
      <c r="D100" t="inlineStr">
        <is>
          <t>Phospholipid/membrane lipid</t>
        </is>
      </c>
      <c r="E100" t="inlineStr">
        <is>
          <t>PC lipid</t>
        </is>
      </c>
      <c r="F100">
        <v>677.9</v>
      </c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 t="inlineStr">
        <is>
          <t>zwitterionic</t>
        </is>
      </c>
      <c r="V100"/>
      <c r="W100"/>
      <c r="X100"/>
      <c r="Y100">
        <v>23</v>
      </c>
      <c r="Z100"/>
      <c r="AA100"/>
      <c r="AB100"/>
      <c r="AC100"/>
      <c r="AD100"/>
      <c r="AE100"/>
      <c r="AF100"/>
      <c r="AG100"/>
      <c r="AH100"/>
      <c r="AI100">
        <v>17.5</v>
      </c>
      <c r="AJ100">
        <v>5.5</v>
      </c>
      <c r="AK100">
        <v>8.0</v>
      </c>
      <c r="AL100">
        <v>8.0</v>
      </c>
      <c r="AM100">
        <v>20.01</v>
      </c>
      <c r="AN100">
        <v>677.9</v>
      </c>
      <c r="AO100">
        <v>0.64</v>
      </c>
      <c r="AP100"/>
      <c r="AQ100"/>
      <c r="AR100"/>
      <c r="AS100">
        <v>14</v>
      </c>
      <c r="AT100">
        <v>0</v>
      </c>
      <c r="AU100">
        <v>14</v>
      </c>
      <c r="AV100">
        <v>0</v>
      </c>
      <c r="AW100">
        <v>2</v>
      </c>
      <c r="AX100" t="inlineStr">
        <is>
          <t>PC</t>
        </is>
      </c>
      <c r="AY100" t="inlineStr">
        <is>
          <t>PC</t>
        </is>
      </c>
      <c r="AZ100"/>
      <c r="BA100"/>
      <c r="BB100"/>
      <c r="BC100"/>
      <c r="BD100" t="inlineStr">
        <is>
          <t>moderate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H100"/>
      <c r="BI100"/>
      <c r="BJ100"/>
      <c r="BK100"/>
      <c r="BL100"/>
      <c r="BM100"/>
      <c r="BN100"/>
      <c r="BO100"/>
      <c r="BP100"/>
      <c r="BQ100" t="inlineStr">
        <is>
          <t>liposome/LNP; route depends on purity, grade, residual solvents/endotoxin</t>
        </is>
      </c>
      <c r="BR100"/>
      <c r="BS100"/>
      <c r="BT100"/>
      <c r="BU100"/>
      <c r="BV100"/>
      <c r="BW100"/>
      <c r="BX100"/>
      <c r="BY100" t="inlineStr">
        <is>
          <t>bilayer-forming cylindrical lipid</t>
        </is>
      </c>
      <c r="BZ100" t="inlineStr">
        <is>
          <t>store cold, dry, inert gas; protect unsaturated/ionizable lipids from oxidation/hydrolysis</t>
        </is>
      </c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</row>
    <row r="101">
      <c r="A101" t="inlineStr">
        <is>
          <t>LIP_DPPC</t>
        </is>
      </c>
      <c r="B101" t="inlineStr">
        <is>
          <t>DPPC</t>
        </is>
      </c>
      <c r="C101" t="inlineStr">
        <is>
          <t>Lipid</t>
        </is>
      </c>
      <c r="D101" t="inlineStr">
        <is>
          <t>Phospholipid/membrane lipid</t>
        </is>
      </c>
      <c r="E101" t="inlineStr">
        <is>
          <t>PC lipid</t>
        </is>
      </c>
      <c r="F101">
        <v>734.04</v>
      </c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 t="inlineStr">
        <is>
          <t>zwitterionic</t>
        </is>
      </c>
      <c r="V101"/>
      <c r="W101"/>
      <c r="X101"/>
      <c r="Y101">
        <v>41.4</v>
      </c>
      <c r="Z101"/>
      <c r="AA101"/>
      <c r="AB101"/>
      <c r="AC101"/>
      <c r="AD101"/>
      <c r="AE101"/>
      <c r="AF101"/>
      <c r="AG101"/>
      <c r="AH101"/>
      <c r="AI101">
        <v>17.5</v>
      </c>
      <c r="AJ101">
        <v>5.5</v>
      </c>
      <c r="AK101">
        <v>8.0</v>
      </c>
      <c r="AL101">
        <v>8.0</v>
      </c>
      <c r="AM101">
        <v>20.01</v>
      </c>
      <c r="AN101">
        <v>734.04</v>
      </c>
      <c r="AO101">
        <v>0.64</v>
      </c>
      <c r="AP101"/>
      <c r="AQ101"/>
      <c r="AR101"/>
      <c r="AS101">
        <v>16</v>
      </c>
      <c r="AT101">
        <v>0</v>
      </c>
      <c r="AU101">
        <v>16</v>
      </c>
      <c r="AV101">
        <v>0</v>
      </c>
      <c r="AW101">
        <v>2</v>
      </c>
      <c r="AX101" t="inlineStr">
        <is>
          <t>PC</t>
        </is>
      </c>
      <c r="AY101" t="inlineStr">
        <is>
          <t>PC</t>
        </is>
      </c>
      <c r="AZ101"/>
      <c r="BA101"/>
      <c r="BB101"/>
      <c r="BC101"/>
      <c r="BD101" t="inlineStr">
        <is>
          <t>high</t>
        </is>
      </c>
      <c r="BE101" t="inlineStr">
        <is>
          <t>no</t>
        </is>
      </c>
      <c r="BF101" t="inlineStr">
        <is>
          <t>no</t>
        </is>
      </c>
      <c r="BG101" t="inlineStr">
        <is>
          <t>no</t>
        </is>
      </c>
      <c r="BH101"/>
      <c r="BI101"/>
      <c r="BJ101"/>
      <c r="BK101"/>
      <c r="BL101"/>
      <c r="BM101"/>
      <c r="BN101"/>
      <c r="BO101"/>
      <c r="BP101"/>
      <c r="BQ101" t="inlineStr">
        <is>
          <t>liposome/LNP; route depends on purity, grade, residual solvents/endotoxin</t>
        </is>
      </c>
      <c r="BR101"/>
      <c r="BS101"/>
      <c r="BT101"/>
      <c r="BU101"/>
      <c r="BV101"/>
      <c r="BW101"/>
      <c r="BX101"/>
      <c r="BY101" t="inlineStr">
        <is>
          <t>bilayer-forming cylindrical lipid</t>
        </is>
      </c>
      <c r="BZ101" t="inlineStr">
        <is>
          <t>store cold, dry, inert gas; protect unsaturated/ionizable lipids from oxidation/hydrolysis</t>
        </is>
      </c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</row>
    <row r="102">
      <c r="A102" t="inlineStr">
        <is>
          <t>LIP_DSPC</t>
        </is>
      </c>
      <c r="B102" t="inlineStr">
        <is>
          <t>DSPC</t>
        </is>
      </c>
      <c r="C102" t="inlineStr">
        <is>
          <t>Lipid</t>
        </is>
      </c>
      <c r="D102" t="inlineStr">
        <is>
          <t>Phospholipid/membrane lipid</t>
        </is>
      </c>
      <c r="E102" t="inlineStr">
        <is>
          <t>PC lipid</t>
        </is>
      </c>
      <c r="F102">
        <v>790.15</v>
      </c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 t="inlineStr">
        <is>
          <t>zwitterionic</t>
        </is>
      </c>
      <c r="V102"/>
      <c r="W102"/>
      <c r="X102"/>
      <c r="Y102">
        <v>55</v>
      </c>
      <c r="Z102"/>
      <c r="AA102"/>
      <c r="AB102"/>
      <c r="AC102"/>
      <c r="AD102"/>
      <c r="AE102"/>
      <c r="AF102"/>
      <c r="AG102"/>
      <c r="AH102"/>
      <c r="AI102">
        <v>17.5</v>
      </c>
      <c r="AJ102">
        <v>5.5</v>
      </c>
      <c r="AK102">
        <v>8.0</v>
      </c>
      <c r="AL102">
        <v>8.0</v>
      </c>
      <c r="AM102">
        <v>20.01</v>
      </c>
      <c r="AN102">
        <v>790.15</v>
      </c>
      <c r="AO102">
        <v>0.64</v>
      </c>
      <c r="AP102"/>
      <c r="AQ102"/>
      <c r="AR102"/>
      <c r="AS102">
        <v>18</v>
      </c>
      <c r="AT102">
        <v>0</v>
      </c>
      <c r="AU102">
        <v>18</v>
      </c>
      <c r="AV102">
        <v>0</v>
      </c>
      <c r="AW102">
        <v>2</v>
      </c>
      <c r="AX102" t="inlineStr">
        <is>
          <t>PC</t>
        </is>
      </c>
      <c r="AY102" t="inlineStr">
        <is>
          <t>PC</t>
        </is>
      </c>
      <c r="AZ102"/>
      <c r="BA102"/>
      <c r="BB102"/>
      <c r="BC102"/>
      <c r="BD102" t="inlineStr">
        <is>
          <t>high</t>
        </is>
      </c>
      <c r="BE102" t="inlineStr">
        <is>
          <t>no</t>
        </is>
      </c>
      <c r="BF102" t="inlineStr">
        <is>
          <t>no</t>
        </is>
      </c>
      <c r="BG102" t="inlineStr">
        <is>
          <t>no</t>
        </is>
      </c>
      <c r="BH102"/>
      <c r="BI102"/>
      <c r="BJ102"/>
      <c r="BK102"/>
      <c r="BL102"/>
      <c r="BM102"/>
      <c r="BN102"/>
      <c r="BO102"/>
      <c r="BP102"/>
      <c r="BQ102" t="inlineStr">
        <is>
          <t>liposome/LNP; route depends on purity, grade, residual solvents/endotoxin</t>
        </is>
      </c>
      <c r="BR102"/>
      <c r="BS102"/>
      <c r="BT102"/>
      <c r="BU102"/>
      <c r="BV102"/>
      <c r="BW102"/>
      <c r="BX102"/>
      <c r="BY102" t="inlineStr">
        <is>
          <t>bilayer-forming cylindrical lipid</t>
        </is>
      </c>
      <c r="BZ102" t="inlineStr">
        <is>
          <t>store cold, dry, inert gas; protect unsaturated/ionizable lipids from oxidation/hydrolysis</t>
        </is>
      </c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</row>
    <row r="103">
      <c r="A103" t="inlineStr">
        <is>
          <t>LIP_DOPC</t>
        </is>
      </c>
      <c r="B103" t="inlineStr">
        <is>
          <t>DOPC</t>
        </is>
      </c>
      <c r="C103" t="inlineStr">
        <is>
          <t>Lipid</t>
        </is>
      </c>
      <c r="D103" t="inlineStr">
        <is>
          <t>Phospholipid/membrane lipid</t>
        </is>
      </c>
      <c r="E103" t="inlineStr">
        <is>
          <t>PC lipid</t>
        </is>
      </c>
      <c r="F103">
        <v>786.11</v>
      </c>
      <c r="G103"/>
      <c r="H103"/>
      <c r="I103"/>
      <c r="J103"/>
      <c r="K103"/>
      <c r="L103"/>
      <c r="M103"/>
      <c r="N103"/>
      <c r="O103"/>
      <c r="P103"/>
      <c r="Q103"/>
      <c r="R103"/>
      <c r="S103"/>
      <c r="T103">
        <v>0</v>
      </c>
      <c r="U103" t="inlineStr">
        <is>
          <t>zwitterionic</t>
        </is>
      </c>
      <c r="V103"/>
      <c r="W103"/>
      <c r="X103"/>
      <c r="Y103">
        <v>-17</v>
      </c>
      <c r="Z103"/>
      <c r="AA103"/>
      <c r="AB103"/>
      <c r="AC103"/>
      <c r="AD103"/>
      <c r="AE103"/>
      <c r="AF103"/>
      <c r="AG103"/>
      <c r="AH103"/>
      <c r="AI103">
        <v>17.5</v>
      </c>
      <c r="AJ103">
        <v>5.5</v>
      </c>
      <c r="AK103">
        <v>8.0</v>
      </c>
      <c r="AL103">
        <v>8.0</v>
      </c>
      <c r="AM103">
        <v>20.01</v>
      </c>
      <c r="AN103">
        <v>786.11</v>
      </c>
      <c r="AO103">
        <v>0.64</v>
      </c>
      <c r="AP103"/>
      <c r="AQ103"/>
      <c r="AR103"/>
      <c r="AS103">
        <v>18</v>
      </c>
      <c r="AT103">
        <v>1</v>
      </c>
      <c r="AU103">
        <v>18</v>
      </c>
      <c r="AV103">
        <v>1</v>
      </c>
      <c r="AW103">
        <v>2</v>
      </c>
      <c r="AX103" t="inlineStr">
        <is>
          <t>PC</t>
        </is>
      </c>
      <c r="AY103" t="inlineStr">
        <is>
          <t>PC</t>
        </is>
      </c>
      <c r="AZ103"/>
      <c r="BA103"/>
      <c r="BB103"/>
      <c r="BC103"/>
      <c r="BD103" t="inlineStr">
        <is>
          <t>fluidizing</t>
        </is>
      </c>
      <c r="BE103" t="inlineStr">
        <is>
          <t>no</t>
        </is>
      </c>
      <c r="BF103" t="inlineStr">
        <is>
          <t>no</t>
        </is>
      </c>
      <c r="BG103" t="inlineStr">
        <is>
          <t>no</t>
        </is>
      </c>
      <c r="BH103"/>
      <c r="BI103"/>
      <c r="BJ103"/>
      <c r="BK103"/>
      <c r="BL103"/>
      <c r="BM103"/>
      <c r="BN103"/>
      <c r="BO103"/>
      <c r="BP103"/>
      <c r="BQ103" t="inlineStr">
        <is>
          <t>liposome/LNP; route depends on purity, grade, residual solvents/endotoxin</t>
        </is>
      </c>
      <c r="BR103"/>
      <c r="BS103"/>
      <c r="BT103"/>
      <c r="BU103"/>
      <c r="BV103"/>
      <c r="BW103"/>
      <c r="BX103"/>
      <c r="BY103" t="inlineStr">
        <is>
          <t>bilayer-forming cylindrical lipid</t>
        </is>
      </c>
      <c r="BZ103" t="inlineStr">
        <is>
          <t>store cold, dry, inert gas; protect unsaturated/ionizable lipids from oxidation/hydrolysis</t>
        </is>
      </c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</row>
    <row r="104">
      <c r="A104" t="inlineStr">
        <is>
          <t>LIP_POPC</t>
        </is>
      </c>
      <c r="B104" t="inlineStr">
        <is>
          <t>POPC</t>
        </is>
      </c>
      <c r="C104" t="inlineStr">
        <is>
          <t>Lipid</t>
        </is>
      </c>
      <c r="D104" t="inlineStr">
        <is>
          <t>Phospholipid/membrane lipid</t>
        </is>
      </c>
      <c r="E104" t="inlineStr">
        <is>
          <t>PC lipid</t>
        </is>
      </c>
      <c r="F104">
        <v>760.08</v>
      </c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 t="inlineStr">
        <is>
          <t>zwitterionic</t>
        </is>
      </c>
      <c r="V104"/>
      <c r="W104"/>
      <c r="X104"/>
      <c r="Y104">
        <v>-2</v>
      </c>
      <c r="Z104"/>
      <c r="AA104"/>
      <c r="AB104"/>
      <c r="AC104"/>
      <c r="AD104"/>
      <c r="AE104"/>
      <c r="AF104"/>
      <c r="AG104"/>
      <c r="AH104"/>
      <c r="AI104">
        <v>17.5</v>
      </c>
      <c r="AJ104">
        <v>5.5</v>
      </c>
      <c r="AK104">
        <v>8.0</v>
      </c>
      <c r="AL104">
        <v>8.0</v>
      </c>
      <c r="AM104">
        <v>20.01</v>
      </c>
      <c r="AN104">
        <v>760.08</v>
      </c>
      <c r="AO104">
        <v>0.64</v>
      </c>
      <c r="AP104"/>
      <c r="AQ104"/>
      <c r="AR104"/>
      <c r="AS104">
        <v>16</v>
      </c>
      <c r="AT104">
        <v>0</v>
      </c>
      <c r="AU104">
        <v>18</v>
      </c>
      <c r="AV104">
        <v>1</v>
      </c>
      <c r="AW104">
        <v>2</v>
      </c>
      <c r="AX104" t="inlineStr">
        <is>
          <t>PC</t>
        </is>
      </c>
      <c r="AY104" t="inlineStr">
        <is>
          <t>PC</t>
        </is>
      </c>
      <c r="AZ104"/>
      <c r="BA104"/>
      <c r="BB104"/>
      <c r="BC104"/>
      <c r="BD104" t="inlineStr">
        <is>
          <t>fluidizing</t>
        </is>
      </c>
      <c r="BE104" t="inlineStr">
        <is>
          <t>no</t>
        </is>
      </c>
      <c r="BF104" t="inlineStr">
        <is>
          <t>no</t>
        </is>
      </c>
      <c r="BG104" t="inlineStr">
        <is>
          <t>no</t>
        </is>
      </c>
      <c r="BH104"/>
      <c r="BI104"/>
      <c r="BJ104"/>
      <c r="BK104"/>
      <c r="BL104"/>
      <c r="BM104"/>
      <c r="BN104"/>
      <c r="BO104"/>
      <c r="BP104"/>
      <c r="BQ104" t="inlineStr">
        <is>
          <t>liposome/LNP; route depends on purity, grade, residual solvents/endotoxin</t>
        </is>
      </c>
      <c r="BR104"/>
      <c r="BS104"/>
      <c r="BT104"/>
      <c r="BU104"/>
      <c r="BV104"/>
      <c r="BW104"/>
      <c r="BX104"/>
      <c r="BY104" t="inlineStr">
        <is>
          <t>bilayer-forming cylindrical lipid</t>
        </is>
      </c>
      <c r="BZ104" t="inlineStr">
        <is>
          <t>store cold, dry, inert gas; protect unsaturated/ionizable lipids from oxidation/hydrolysis</t>
        </is>
      </c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</row>
    <row r="105">
      <c r="A105" t="inlineStr">
        <is>
          <t>LIP_SOPC</t>
        </is>
      </c>
      <c r="B105" t="inlineStr">
        <is>
          <t>SOPC</t>
        </is>
      </c>
      <c r="C105" t="inlineStr">
        <is>
          <t>Lipid</t>
        </is>
      </c>
      <c r="D105" t="inlineStr">
        <is>
          <t>Phospholipid/membrane lipid</t>
        </is>
      </c>
      <c r="E105" t="inlineStr">
        <is>
          <t>PC lipid</t>
        </is>
      </c>
      <c r="F105">
        <v>788.13</v>
      </c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 t="inlineStr">
        <is>
          <t>zwitterionic</t>
        </is>
      </c>
      <c r="V105"/>
      <c r="W105"/>
      <c r="X105"/>
      <c r="Y105">
        <v>6.7</v>
      </c>
      <c r="Z105"/>
      <c r="AA105"/>
      <c r="AB105"/>
      <c r="AC105"/>
      <c r="AD105"/>
      <c r="AE105"/>
      <c r="AF105"/>
      <c r="AG105"/>
      <c r="AH105"/>
      <c r="AI105">
        <v>17.5</v>
      </c>
      <c r="AJ105">
        <v>5.5</v>
      </c>
      <c r="AK105">
        <v>8.0</v>
      </c>
      <c r="AL105">
        <v>8.0</v>
      </c>
      <c r="AM105">
        <v>20.01</v>
      </c>
      <c r="AN105">
        <v>788.13</v>
      </c>
      <c r="AO105">
        <v>0.64</v>
      </c>
      <c r="AP105"/>
      <c r="AQ105"/>
      <c r="AR105"/>
      <c r="AS105">
        <v>18</v>
      </c>
      <c r="AT105">
        <v>0</v>
      </c>
      <c r="AU105">
        <v>18</v>
      </c>
      <c r="AV105">
        <v>1</v>
      </c>
      <c r="AW105">
        <v>2</v>
      </c>
      <c r="AX105" t="inlineStr">
        <is>
          <t>PC</t>
        </is>
      </c>
      <c r="AY105" t="inlineStr">
        <is>
          <t>PC</t>
        </is>
      </c>
      <c r="AZ105"/>
      <c r="BA105"/>
      <c r="BB105"/>
      <c r="BC105"/>
      <c r="BD105" t="inlineStr">
        <is>
          <t>fluidizing</t>
        </is>
      </c>
      <c r="BE105" t="inlineStr">
        <is>
          <t>no</t>
        </is>
      </c>
      <c r="BF105" t="inlineStr">
        <is>
          <t>no</t>
        </is>
      </c>
      <c r="BG105" t="inlineStr">
        <is>
          <t>no</t>
        </is>
      </c>
      <c r="BH105"/>
      <c r="BI105"/>
      <c r="BJ105"/>
      <c r="BK105"/>
      <c r="BL105"/>
      <c r="BM105"/>
      <c r="BN105"/>
      <c r="BO105"/>
      <c r="BP105"/>
      <c r="BQ105" t="inlineStr">
        <is>
          <t>liposome/LNP; route depends on purity, grade, residual solvents/endotoxin</t>
        </is>
      </c>
      <c r="BR105"/>
      <c r="BS105"/>
      <c r="BT105"/>
      <c r="BU105"/>
      <c r="BV105"/>
      <c r="BW105"/>
      <c r="BX105"/>
      <c r="BY105" t="inlineStr">
        <is>
          <t>bilayer-forming cylindrical lipid</t>
        </is>
      </c>
      <c r="BZ105" t="inlineStr">
        <is>
          <t>store cold, dry, inert gas; protect unsaturated/ionizable lipids from oxidation/hydrolysis</t>
        </is>
      </c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</row>
    <row r="106">
      <c r="A106" t="inlineStr">
        <is>
          <t>LIP_DOPE</t>
        </is>
      </c>
      <c r="B106" t="inlineStr">
        <is>
          <t>DOPE</t>
        </is>
      </c>
      <c r="C106" t="inlineStr">
        <is>
          <t>Lipid</t>
        </is>
      </c>
      <c r="D106" t="inlineStr">
        <is>
          <t>Phospholipid/membrane lipid</t>
        </is>
      </c>
      <c r="E106" t="inlineStr">
        <is>
          <t>PE lipid</t>
        </is>
      </c>
      <c r="F106">
        <v>744.04</v>
      </c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 t="inlineStr">
        <is>
          <t>zwitterionic</t>
        </is>
      </c>
      <c r="V106"/>
      <c r="W106"/>
      <c r="X106"/>
      <c r="Y106">
        <v>-16</v>
      </c>
      <c r="Z106"/>
      <c r="AA106"/>
      <c r="AB106"/>
      <c r="AC106"/>
      <c r="AD106"/>
      <c r="AE106"/>
      <c r="AF106"/>
      <c r="AG106"/>
      <c r="AH106"/>
      <c r="AI106">
        <v>17.5</v>
      </c>
      <c r="AJ106">
        <v>5.5</v>
      </c>
      <c r="AK106">
        <v>8.0</v>
      </c>
      <c r="AL106">
        <v>8.0</v>
      </c>
      <c r="AM106">
        <v>20.01</v>
      </c>
      <c r="AN106">
        <v>744.04</v>
      </c>
      <c r="AO106">
        <v>0.55</v>
      </c>
      <c r="AP106"/>
      <c r="AQ106"/>
      <c r="AR106"/>
      <c r="AS106">
        <v>18</v>
      </c>
      <c r="AT106">
        <v>1</v>
      </c>
      <c r="AU106">
        <v>18</v>
      </c>
      <c r="AV106">
        <v>1</v>
      </c>
      <c r="AW106">
        <v>2</v>
      </c>
      <c r="AX106" t="inlineStr">
        <is>
          <t>PE</t>
        </is>
      </c>
      <c r="AY106" t="inlineStr">
        <is>
          <t>PE</t>
        </is>
      </c>
      <c r="AZ106"/>
      <c r="BA106"/>
      <c r="BB106"/>
      <c r="BC106"/>
      <c r="BD106" t="inlineStr">
        <is>
          <t>fluidizing</t>
        </is>
      </c>
      <c r="BE106" t="inlineStr">
        <is>
          <t>yes</t>
        </is>
      </c>
      <c r="BF106" t="inlineStr">
        <is>
          <t>no</t>
        </is>
      </c>
      <c r="BG106" t="inlineStr">
        <is>
          <t>no</t>
        </is>
      </c>
      <c r="BH106"/>
      <c r="BI106"/>
      <c r="BJ106"/>
      <c r="BK106"/>
      <c r="BL106"/>
      <c r="BM106"/>
      <c r="BN106"/>
      <c r="BO106"/>
      <c r="BP106"/>
      <c r="BQ106" t="inlineStr">
        <is>
          <t>liposome/LNP; route depends on purity, grade, residual solvents/endotoxin</t>
        </is>
      </c>
      <c r="BR106"/>
      <c r="BS106"/>
      <c r="BT106"/>
      <c r="BU106"/>
      <c r="BV106"/>
      <c r="BW106"/>
      <c r="BX106"/>
      <c r="BY106" t="inlineStr">
        <is>
          <t>bilayer-forming cylindrical lipid</t>
        </is>
      </c>
      <c r="BZ106" t="inlineStr">
        <is>
          <t>store cold, dry, inert gas; protect unsaturated/ionizable lipids from oxidation/hydrolysis</t>
        </is>
      </c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</row>
    <row r="107">
      <c r="A107" t="inlineStr">
        <is>
          <t>LIP_POPE</t>
        </is>
      </c>
      <c r="B107" t="inlineStr">
        <is>
          <t>POPE</t>
        </is>
      </c>
      <c r="C107" t="inlineStr">
        <is>
          <t>Lipid</t>
        </is>
      </c>
      <c r="D107" t="inlineStr">
        <is>
          <t>Phospholipid/membrane lipid</t>
        </is>
      </c>
      <c r="E107" t="inlineStr">
        <is>
          <t>PE lipid</t>
        </is>
      </c>
      <c r="F107">
        <v>718.0</v>
      </c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 t="inlineStr">
        <is>
          <t>zwitterionic</t>
        </is>
      </c>
      <c r="V107"/>
      <c r="W107"/>
      <c r="X107"/>
      <c r="Y107">
        <v>25</v>
      </c>
      <c r="Z107"/>
      <c r="AA107"/>
      <c r="AB107"/>
      <c r="AC107"/>
      <c r="AD107"/>
      <c r="AE107"/>
      <c r="AF107"/>
      <c r="AG107"/>
      <c r="AH107"/>
      <c r="AI107">
        <v>17.5</v>
      </c>
      <c r="AJ107">
        <v>5.5</v>
      </c>
      <c r="AK107">
        <v>8.0</v>
      </c>
      <c r="AL107">
        <v>8.0</v>
      </c>
      <c r="AM107">
        <v>20.01</v>
      </c>
      <c r="AN107">
        <v>718.0</v>
      </c>
      <c r="AO107">
        <v>0.55</v>
      </c>
      <c r="AP107"/>
      <c r="AQ107"/>
      <c r="AR107"/>
      <c r="AS107">
        <v>16</v>
      </c>
      <c r="AT107">
        <v>0</v>
      </c>
      <c r="AU107">
        <v>18</v>
      </c>
      <c r="AV107">
        <v>1</v>
      </c>
      <c r="AW107">
        <v>2</v>
      </c>
      <c r="AX107" t="inlineStr">
        <is>
          <t>PE</t>
        </is>
      </c>
      <c r="AY107" t="inlineStr">
        <is>
          <t>PE</t>
        </is>
      </c>
      <c r="AZ107"/>
      <c r="BA107"/>
      <c r="BB107"/>
      <c r="BC107"/>
      <c r="BD107" t="inlineStr">
        <is>
          <t>fluidizing</t>
        </is>
      </c>
      <c r="BE107" t="inlineStr">
        <is>
          <t>yes</t>
        </is>
      </c>
      <c r="BF107" t="inlineStr">
        <is>
          <t>no</t>
        </is>
      </c>
      <c r="BG107" t="inlineStr">
        <is>
          <t>no</t>
        </is>
      </c>
      <c r="BH107"/>
      <c r="BI107"/>
      <c r="BJ107"/>
      <c r="BK107"/>
      <c r="BL107"/>
      <c r="BM107"/>
      <c r="BN107"/>
      <c r="BO107"/>
      <c r="BP107"/>
      <c r="BQ107" t="inlineStr">
        <is>
          <t>liposome/LNP; route depends on purity, grade, residual solvents/endotoxin</t>
        </is>
      </c>
      <c r="BR107"/>
      <c r="BS107"/>
      <c r="BT107"/>
      <c r="BU107"/>
      <c r="BV107"/>
      <c r="BW107"/>
      <c r="BX107"/>
      <c r="BY107" t="inlineStr">
        <is>
          <t>bilayer-forming cylindrical lipid</t>
        </is>
      </c>
      <c r="BZ107" t="inlineStr">
        <is>
          <t>store cold, dry, inert gas; protect unsaturated/ionizable lipids from oxidation/hydrolysis</t>
        </is>
      </c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</row>
    <row r="108">
      <c r="A108" t="inlineStr">
        <is>
          <t>LIP_DSPE</t>
        </is>
      </c>
      <c r="B108" t="inlineStr">
        <is>
          <t>DSPE</t>
        </is>
      </c>
      <c r="C108" t="inlineStr">
        <is>
          <t>Lipid</t>
        </is>
      </c>
      <c r="D108" t="inlineStr">
        <is>
          <t>Phospholipid/membrane lipid</t>
        </is>
      </c>
      <c r="E108" t="inlineStr">
        <is>
          <t>PE lipid</t>
        </is>
      </c>
      <c r="F108">
        <v>748.08</v>
      </c>
      <c r="G108"/>
      <c r="H108"/>
      <c r="I108"/>
      <c r="J108"/>
      <c r="K108"/>
      <c r="L108"/>
      <c r="M108"/>
      <c r="N108"/>
      <c r="O108"/>
      <c r="P108"/>
      <c r="Q108"/>
      <c r="R108"/>
      <c r="S108"/>
      <c r="T108">
        <v>0</v>
      </c>
      <c r="U108" t="inlineStr">
        <is>
          <t>zwitterionic</t>
        </is>
      </c>
      <c r="V108"/>
      <c r="W108"/>
      <c r="X108"/>
      <c r="Y108">
        <v>74</v>
      </c>
      <c r="Z108"/>
      <c r="AA108"/>
      <c r="AB108"/>
      <c r="AC108"/>
      <c r="AD108"/>
      <c r="AE108"/>
      <c r="AF108"/>
      <c r="AG108"/>
      <c r="AH108"/>
      <c r="AI108">
        <v>17.5</v>
      </c>
      <c r="AJ108">
        <v>5.5</v>
      </c>
      <c r="AK108">
        <v>8.0</v>
      </c>
      <c r="AL108">
        <v>8.0</v>
      </c>
      <c r="AM108">
        <v>20.01</v>
      </c>
      <c r="AN108">
        <v>748.08</v>
      </c>
      <c r="AO108">
        <v>0.55</v>
      </c>
      <c r="AP108"/>
      <c r="AQ108"/>
      <c r="AR108"/>
      <c r="AS108">
        <v>18</v>
      </c>
      <c r="AT108">
        <v>0</v>
      </c>
      <c r="AU108">
        <v>18</v>
      </c>
      <c r="AV108">
        <v>0</v>
      </c>
      <c r="AW108">
        <v>2</v>
      </c>
      <c r="AX108" t="inlineStr">
        <is>
          <t>PE</t>
        </is>
      </c>
      <c r="AY108" t="inlineStr">
        <is>
          <t>PE</t>
        </is>
      </c>
      <c r="AZ108"/>
      <c r="BA108"/>
      <c r="BB108"/>
      <c r="BC108"/>
      <c r="BD108" t="inlineStr">
        <is>
          <t>high</t>
        </is>
      </c>
      <c r="BE108" t="inlineStr">
        <is>
          <t>conditional</t>
        </is>
      </c>
      <c r="BF108" t="inlineStr">
        <is>
          <t>no</t>
        </is>
      </c>
      <c r="BG108" t="inlineStr">
        <is>
          <t>no</t>
        </is>
      </c>
      <c r="BH108"/>
      <c r="BI108"/>
      <c r="BJ108"/>
      <c r="BK108"/>
      <c r="BL108"/>
      <c r="BM108"/>
      <c r="BN108"/>
      <c r="BO108"/>
      <c r="BP108"/>
      <c r="BQ108" t="inlineStr">
        <is>
          <t>liposome/LNP; route depends on purity, grade, residual solvents/endotoxin</t>
        </is>
      </c>
      <c r="BR108"/>
      <c r="BS108"/>
      <c r="BT108"/>
      <c r="BU108"/>
      <c r="BV108"/>
      <c r="BW108"/>
      <c r="BX108"/>
      <c r="BY108" t="inlineStr">
        <is>
          <t>bilayer-forming cylindrical lipid</t>
        </is>
      </c>
      <c r="BZ108" t="inlineStr">
        <is>
          <t>store cold, dry, inert gas; protect unsaturated/ionizable lipids from oxidation/hydrolysis</t>
        </is>
      </c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</row>
    <row r="109">
      <c r="A109" t="inlineStr">
        <is>
          <t>LIP_DPPE</t>
        </is>
      </c>
      <c r="B109" t="inlineStr">
        <is>
          <t>DPPE</t>
        </is>
      </c>
      <c r="C109" t="inlineStr">
        <is>
          <t>Lipid</t>
        </is>
      </c>
      <c r="D109" t="inlineStr">
        <is>
          <t>Phospholipid/membrane lipid</t>
        </is>
      </c>
      <c r="E109" t="inlineStr">
        <is>
          <t>PE lipid</t>
        </is>
      </c>
      <c r="F109">
        <v>691.97</v>
      </c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 t="inlineStr">
        <is>
          <t>zwitterionic</t>
        </is>
      </c>
      <c r="V109"/>
      <c r="W109"/>
      <c r="X109"/>
      <c r="Y109">
        <v>63</v>
      </c>
      <c r="Z109"/>
      <c r="AA109"/>
      <c r="AB109"/>
      <c r="AC109"/>
      <c r="AD109"/>
      <c r="AE109"/>
      <c r="AF109"/>
      <c r="AG109"/>
      <c r="AH109"/>
      <c r="AI109">
        <v>17.5</v>
      </c>
      <c r="AJ109">
        <v>5.5</v>
      </c>
      <c r="AK109">
        <v>8.0</v>
      </c>
      <c r="AL109">
        <v>8.0</v>
      </c>
      <c r="AM109">
        <v>20.01</v>
      </c>
      <c r="AN109">
        <v>691.97</v>
      </c>
      <c r="AO109">
        <v>0.55</v>
      </c>
      <c r="AP109"/>
      <c r="AQ109"/>
      <c r="AR109"/>
      <c r="AS109">
        <v>16</v>
      </c>
      <c r="AT109">
        <v>0</v>
      </c>
      <c r="AU109">
        <v>16</v>
      </c>
      <c r="AV109">
        <v>0</v>
      </c>
      <c r="AW109">
        <v>2</v>
      </c>
      <c r="AX109" t="inlineStr">
        <is>
          <t>PE</t>
        </is>
      </c>
      <c r="AY109" t="inlineStr">
        <is>
          <t>PE</t>
        </is>
      </c>
      <c r="AZ109"/>
      <c r="BA109"/>
      <c r="BB109"/>
      <c r="BC109"/>
      <c r="BD109" t="inlineStr">
        <is>
          <t>high</t>
        </is>
      </c>
      <c r="BE109" t="inlineStr">
        <is>
          <t>conditional</t>
        </is>
      </c>
      <c r="BF109" t="inlineStr">
        <is>
          <t>no</t>
        </is>
      </c>
      <c r="BG109" t="inlineStr">
        <is>
          <t>no</t>
        </is>
      </c>
      <c r="BH109"/>
      <c r="BI109"/>
      <c r="BJ109"/>
      <c r="BK109"/>
      <c r="BL109"/>
      <c r="BM109"/>
      <c r="BN109"/>
      <c r="BO109"/>
      <c r="BP109"/>
      <c r="BQ109" t="inlineStr">
        <is>
          <t>liposome/LNP; route depends on purity, grade, residual solvents/endotoxin</t>
        </is>
      </c>
      <c r="BR109"/>
      <c r="BS109"/>
      <c r="BT109"/>
      <c r="BU109"/>
      <c r="BV109"/>
      <c r="BW109"/>
      <c r="BX109"/>
      <c r="BY109" t="inlineStr">
        <is>
          <t>bilayer-forming cylindrical lipid</t>
        </is>
      </c>
      <c r="BZ109" t="inlineStr">
        <is>
          <t>store cold, dry, inert gas; protect unsaturated/ionizable lipids from oxidation/hydrolysis</t>
        </is>
      </c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</row>
    <row r="110">
      <c r="A110" t="inlineStr">
        <is>
          <t>LIP_DMPE</t>
        </is>
      </c>
      <c r="B110" t="inlineStr">
        <is>
          <t>DMPE</t>
        </is>
      </c>
      <c r="C110" t="inlineStr">
        <is>
          <t>Lipid</t>
        </is>
      </c>
      <c r="D110" t="inlineStr">
        <is>
          <t>Phospholipid/membrane lipid</t>
        </is>
      </c>
      <c r="E110" t="inlineStr">
        <is>
          <t>PE lipid</t>
        </is>
      </c>
      <c r="F110">
        <v>635.86</v>
      </c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 t="inlineStr">
        <is>
          <t>zwitterionic</t>
        </is>
      </c>
      <c r="V110"/>
      <c r="W110"/>
      <c r="X110"/>
      <c r="Y110">
        <v>50</v>
      </c>
      <c r="Z110"/>
      <c r="AA110"/>
      <c r="AB110"/>
      <c r="AC110"/>
      <c r="AD110"/>
      <c r="AE110"/>
      <c r="AF110"/>
      <c r="AG110"/>
      <c r="AH110"/>
      <c r="AI110">
        <v>17.5</v>
      </c>
      <c r="AJ110">
        <v>5.5</v>
      </c>
      <c r="AK110">
        <v>8.0</v>
      </c>
      <c r="AL110">
        <v>8.0</v>
      </c>
      <c r="AM110">
        <v>20.01</v>
      </c>
      <c r="AN110">
        <v>635.86</v>
      </c>
      <c r="AO110">
        <v>0.55</v>
      </c>
      <c r="AP110"/>
      <c r="AQ110"/>
      <c r="AR110"/>
      <c r="AS110">
        <v>14</v>
      </c>
      <c r="AT110">
        <v>0</v>
      </c>
      <c r="AU110">
        <v>14</v>
      </c>
      <c r="AV110">
        <v>0</v>
      </c>
      <c r="AW110">
        <v>2</v>
      </c>
      <c r="AX110" t="inlineStr">
        <is>
          <t>PE</t>
        </is>
      </c>
      <c r="AY110" t="inlineStr">
        <is>
          <t>PE</t>
        </is>
      </c>
      <c r="AZ110"/>
      <c r="BA110"/>
      <c r="BB110"/>
      <c r="BC110"/>
      <c r="BD110" t="inlineStr">
        <is>
          <t>high</t>
        </is>
      </c>
      <c r="BE110" t="inlineStr">
        <is>
          <t>conditional</t>
        </is>
      </c>
      <c r="BF110" t="inlineStr">
        <is>
          <t>no</t>
        </is>
      </c>
      <c r="BG110" t="inlineStr">
        <is>
          <t>no</t>
        </is>
      </c>
      <c r="BH110"/>
      <c r="BI110"/>
      <c r="BJ110"/>
      <c r="BK110"/>
      <c r="BL110"/>
      <c r="BM110"/>
      <c r="BN110"/>
      <c r="BO110"/>
      <c r="BP110"/>
      <c r="BQ110" t="inlineStr">
        <is>
          <t>liposome/LNP; route depends on purity, grade, residual solvents/endotoxin</t>
        </is>
      </c>
      <c r="BR110"/>
      <c r="BS110"/>
      <c r="BT110"/>
      <c r="BU110"/>
      <c r="BV110"/>
      <c r="BW110"/>
      <c r="BX110"/>
      <c r="BY110" t="inlineStr">
        <is>
          <t>bilayer-forming cylindrical lipid</t>
        </is>
      </c>
      <c r="BZ110" t="inlineStr">
        <is>
          <t>store cold, dry, inert gas; protect unsaturated/ionizable lipids from oxidation/hydrolysis</t>
        </is>
      </c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</row>
    <row r="111">
      <c r="A111" t="inlineStr">
        <is>
          <t>LIP_DPPG</t>
        </is>
      </c>
      <c r="B111" t="inlineStr">
        <is>
          <t>DPPG</t>
        </is>
      </c>
      <c r="C111" t="inlineStr">
        <is>
          <t>Lipid</t>
        </is>
      </c>
      <c r="D111" t="inlineStr">
        <is>
          <t>Phospholipid/membrane lipid</t>
        </is>
      </c>
      <c r="E111" t="inlineStr">
        <is>
          <t>PG lipid</t>
        </is>
      </c>
      <c r="F111">
        <v>744.0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-1</v>
      </c>
      <c r="U111" t="inlineStr">
        <is>
          <t>anionic</t>
        </is>
      </c>
      <c r="V111"/>
      <c r="W111"/>
      <c r="X111"/>
      <c r="Y111">
        <v>41</v>
      </c>
      <c r="Z111"/>
      <c r="AA111"/>
      <c r="AB111"/>
      <c r="AC111"/>
      <c r="AD111"/>
      <c r="AE111"/>
      <c r="AF111"/>
      <c r="AG111"/>
      <c r="AH111"/>
      <c r="AI111">
        <v>17.5</v>
      </c>
      <c r="AJ111">
        <v>7.5</v>
      </c>
      <c r="AK111">
        <v>10.0</v>
      </c>
      <c r="AL111">
        <v>8.0</v>
      </c>
      <c r="AM111">
        <v>21.51</v>
      </c>
      <c r="AN111">
        <v>744.0</v>
      </c>
      <c r="AO111">
        <v>0.62</v>
      </c>
      <c r="AP111"/>
      <c r="AQ111"/>
      <c r="AR111"/>
      <c r="AS111">
        <v>16</v>
      </c>
      <c r="AT111">
        <v>0</v>
      </c>
      <c r="AU111">
        <v>16</v>
      </c>
      <c r="AV111">
        <v>0</v>
      </c>
      <c r="AW111">
        <v>2</v>
      </c>
      <c r="AX111" t="inlineStr">
        <is>
          <t>PG</t>
        </is>
      </c>
      <c r="AY111" t="inlineStr">
        <is>
          <t>PG</t>
        </is>
      </c>
      <c r="AZ111"/>
      <c r="BA111"/>
      <c r="BB111"/>
      <c r="BC111"/>
      <c r="BD111" t="inlineStr">
        <is>
          <t>high</t>
        </is>
      </c>
      <c r="BE111" t="inlineStr">
        <is>
          <t>no</t>
        </is>
      </c>
      <c r="BF111" t="inlineStr">
        <is>
          <t>no</t>
        </is>
      </c>
      <c r="BG111" t="inlineStr">
        <is>
          <t>no</t>
        </is>
      </c>
      <c r="BH111"/>
      <c r="BI111"/>
      <c r="BJ111"/>
      <c r="BK111"/>
      <c r="BL111"/>
      <c r="BM111"/>
      <c r="BN111"/>
      <c r="BO111"/>
      <c r="BP111"/>
      <c r="BQ111" t="inlineStr">
        <is>
          <t>liposome/LNP; route depends on purity, grade, residual solvents/endotoxin</t>
        </is>
      </c>
      <c r="BR111"/>
      <c r="BS111"/>
      <c r="BT111"/>
      <c r="BU111"/>
      <c r="BV111"/>
      <c r="BW111"/>
      <c r="BX111"/>
      <c r="BY111" t="inlineStr">
        <is>
          <t>bilayer-forming cylindrical lipid</t>
        </is>
      </c>
      <c r="BZ111" t="inlineStr">
        <is>
          <t>store cold, dry, inert gas; protect unsaturated/ionizable lipids from oxidation/hydrolysis</t>
        </is>
      </c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</row>
    <row r="112">
      <c r="A112" t="inlineStr">
        <is>
          <t>LIP_DOPG</t>
        </is>
      </c>
      <c r="B112" t="inlineStr">
        <is>
          <t>DOPG</t>
        </is>
      </c>
      <c r="C112" t="inlineStr">
        <is>
          <t>Lipid</t>
        </is>
      </c>
      <c r="D112" t="inlineStr">
        <is>
          <t>Phospholipid/membrane lipid</t>
        </is>
      </c>
      <c r="E112" t="inlineStr">
        <is>
          <t>PG lipid</t>
        </is>
      </c>
      <c r="F112">
        <v>797.0</v>
      </c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-1</v>
      </c>
      <c r="U112" t="inlineStr">
        <is>
          <t>anionic</t>
        </is>
      </c>
      <c r="V112"/>
      <c r="W112"/>
      <c r="X112"/>
      <c r="Y112">
        <v>-18</v>
      </c>
      <c r="Z112"/>
      <c r="AA112"/>
      <c r="AB112"/>
      <c r="AC112"/>
      <c r="AD112"/>
      <c r="AE112"/>
      <c r="AF112"/>
      <c r="AG112"/>
      <c r="AH112"/>
      <c r="AI112">
        <v>17.5</v>
      </c>
      <c r="AJ112">
        <v>7.5</v>
      </c>
      <c r="AK112">
        <v>10.0</v>
      </c>
      <c r="AL112">
        <v>8.0</v>
      </c>
      <c r="AM112">
        <v>21.51</v>
      </c>
      <c r="AN112">
        <v>797.0</v>
      </c>
      <c r="AO112">
        <v>0.62</v>
      </c>
      <c r="AP112"/>
      <c r="AQ112"/>
      <c r="AR112"/>
      <c r="AS112">
        <v>18</v>
      </c>
      <c r="AT112">
        <v>1</v>
      </c>
      <c r="AU112">
        <v>18</v>
      </c>
      <c r="AV112">
        <v>1</v>
      </c>
      <c r="AW112">
        <v>2</v>
      </c>
      <c r="AX112" t="inlineStr">
        <is>
          <t>PG</t>
        </is>
      </c>
      <c r="AY112" t="inlineStr">
        <is>
          <t>PG</t>
        </is>
      </c>
      <c r="AZ112"/>
      <c r="BA112"/>
      <c r="BB112"/>
      <c r="BC112"/>
      <c r="BD112" t="inlineStr">
        <is>
          <t>fluidizing</t>
        </is>
      </c>
      <c r="BE112" t="inlineStr">
        <is>
          <t>no</t>
        </is>
      </c>
      <c r="BF112" t="inlineStr">
        <is>
          <t>no</t>
        </is>
      </c>
      <c r="BG112" t="inlineStr">
        <is>
          <t>no</t>
        </is>
      </c>
      <c r="BH112"/>
      <c r="BI112"/>
      <c r="BJ112"/>
      <c r="BK112"/>
      <c r="BL112"/>
      <c r="BM112"/>
      <c r="BN112"/>
      <c r="BO112"/>
      <c r="BP112"/>
      <c r="BQ112" t="inlineStr">
        <is>
          <t>liposome/LNP; route depends on purity, grade, residual solvents/endotoxin</t>
        </is>
      </c>
      <c r="BR112"/>
      <c r="BS112"/>
      <c r="BT112"/>
      <c r="BU112"/>
      <c r="BV112"/>
      <c r="BW112"/>
      <c r="BX112"/>
      <c r="BY112" t="inlineStr">
        <is>
          <t>bilayer-forming cylindrical lipid</t>
        </is>
      </c>
      <c r="BZ112" t="inlineStr">
        <is>
          <t>store cold, dry, inert gas; protect unsaturated/ionizable lipids from oxidation/hydrolysis</t>
        </is>
      </c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</row>
    <row r="113">
      <c r="A113" t="inlineStr">
        <is>
          <t>LIP_POPG</t>
        </is>
      </c>
      <c r="B113" t="inlineStr">
        <is>
          <t>POPG</t>
        </is>
      </c>
      <c r="C113" t="inlineStr">
        <is>
          <t>Lipid</t>
        </is>
      </c>
      <c r="D113" t="inlineStr">
        <is>
          <t>Phospholipid/membrane lipid</t>
        </is>
      </c>
      <c r="E113" t="inlineStr">
        <is>
          <t>PG lipid</t>
        </is>
      </c>
      <c r="F113">
        <v>771.0</v>
      </c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-1</v>
      </c>
      <c r="U113" t="inlineStr">
        <is>
          <t>anionic</t>
        </is>
      </c>
      <c r="V113"/>
      <c r="W113"/>
      <c r="X113"/>
      <c r="Y113">
        <v>-2</v>
      </c>
      <c r="Z113"/>
      <c r="AA113"/>
      <c r="AB113"/>
      <c r="AC113"/>
      <c r="AD113"/>
      <c r="AE113"/>
      <c r="AF113"/>
      <c r="AG113"/>
      <c r="AH113"/>
      <c r="AI113">
        <v>17.5</v>
      </c>
      <c r="AJ113">
        <v>7.5</v>
      </c>
      <c r="AK113">
        <v>10.0</v>
      </c>
      <c r="AL113">
        <v>8.0</v>
      </c>
      <c r="AM113">
        <v>21.51</v>
      </c>
      <c r="AN113">
        <v>771.0</v>
      </c>
      <c r="AO113">
        <v>0.62</v>
      </c>
      <c r="AP113"/>
      <c r="AQ113"/>
      <c r="AR113"/>
      <c r="AS113">
        <v>16</v>
      </c>
      <c r="AT113">
        <v>0</v>
      </c>
      <c r="AU113">
        <v>18</v>
      </c>
      <c r="AV113">
        <v>1</v>
      </c>
      <c r="AW113">
        <v>2</v>
      </c>
      <c r="AX113" t="inlineStr">
        <is>
          <t>PG</t>
        </is>
      </c>
      <c r="AY113" t="inlineStr">
        <is>
          <t>PG</t>
        </is>
      </c>
      <c r="AZ113"/>
      <c r="BA113"/>
      <c r="BB113"/>
      <c r="BC113"/>
      <c r="BD113" t="inlineStr">
        <is>
          <t>fluidizing</t>
        </is>
      </c>
      <c r="BE113" t="inlineStr">
        <is>
          <t>no</t>
        </is>
      </c>
      <c r="BF113" t="inlineStr">
        <is>
          <t>no</t>
        </is>
      </c>
      <c r="BG113" t="inlineStr">
        <is>
          <t>no</t>
        </is>
      </c>
      <c r="BH113"/>
      <c r="BI113"/>
      <c r="BJ113"/>
      <c r="BK113"/>
      <c r="BL113"/>
      <c r="BM113"/>
      <c r="BN113"/>
      <c r="BO113"/>
      <c r="BP113"/>
      <c r="BQ113" t="inlineStr">
        <is>
          <t>liposome/LNP; route depends on purity, grade, residual solvents/endotoxin</t>
        </is>
      </c>
      <c r="BR113"/>
      <c r="BS113"/>
      <c r="BT113"/>
      <c r="BU113"/>
      <c r="BV113"/>
      <c r="BW113"/>
      <c r="BX113"/>
      <c r="BY113" t="inlineStr">
        <is>
          <t>bilayer-forming cylindrical lipid</t>
        </is>
      </c>
      <c r="BZ113" t="inlineStr">
        <is>
          <t>store cold, dry, inert gas; protect unsaturated/ionizable lipids from oxidation/hydrolysis</t>
        </is>
      </c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</row>
    <row r="114">
      <c r="A114" t="inlineStr">
        <is>
          <t>LIP_DSPG</t>
        </is>
      </c>
      <c r="B114" t="inlineStr">
        <is>
          <t>DSPG</t>
        </is>
      </c>
      <c r="C114" t="inlineStr">
        <is>
          <t>Lipid</t>
        </is>
      </c>
      <c r="D114" t="inlineStr">
        <is>
          <t>Phospholipid/membrane lipid</t>
        </is>
      </c>
      <c r="E114" t="inlineStr">
        <is>
          <t>PG lipid</t>
        </is>
      </c>
      <c r="F114">
        <v>800.1</v>
      </c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-1</v>
      </c>
      <c r="U114" t="inlineStr">
        <is>
          <t>anionic</t>
        </is>
      </c>
      <c r="V114"/>
      <c r="W114"/>
      <c r="X114"/>
      <c r="Y114">
        <v>55</v>
      </c>
      <c r="Z114"/>
      <c r="AA114"/>
      <c r="AB114"/>
      <c r="AC114"/>
      <c r="AD114"/>
      <c r="AE114"/>
      <c r="AF114"/>
      <c r="AG114"/>
      <c r="AH114"/>
      <c r="AI114">
        <v>17.5</v>
      </c>
      <c r="AJ114">
        <v>7.5</v>
      </c>
      <c r="AK114">
        <v>10.0</v>
      </c>
      <c r="AL114">
        <v>8.0</v>
      </c>
      <c r="AM114">
        <v>21.51</v>
      </c>
      <c r="AN114">
        <v>800.1</v>
      </c>
      <c r="AO114">
        <v>0.62</v>
      </c>
      <c r="AP114"/>
      <c r="AQ114"/>
      <c r="AR114"/>
      <c r="AS114">
        <v>18</v>
      </c>
      <c r="AT114">
        <v>0</v>
      </c>
      <c r="AU114">
        <v>18</v>
      </c>
      <c r="AV114">
        <v>0</v>
      </c>
      <c r="AW114">
        <v>2</v>
      </c>
      <c r="AX114" t="inlineStr">
        <is>
          <t>PG</t>
        </is>
      </c>
      <c r="AY114" t="inlineStr">
        <is>
          <t>PG</t>
        </is>
      </c>
      <c r="AZ114"/>
      <c r="BA114"/>
      <c r="BB114"/>
      <c r="BC114"/>
      <c r="BD114" t="inlineStr">
        <is>
          <t>high</t>
        </is>
      </c>
      <c r="BE114" t="inlineStr">
        <is>
          <t>no</t>
        </is>
      </c>
      <c r="BF114" t="inlineStr">
        <is>
          <t>no</t>
        </is>
      </c>
      <c r="BG114" t="inlineStr">
        <is>
          <t>no</t>
        </is>
      </c>
      <c r="BH114"/>
      <c r="BI114"/>
      <c r="BJ114"/>
      <c r="BK114"/>
      <c r="BL114"/>
      <c r="BM114"/>
      <c r="BN114"/>
      <c r="BO114"/>
      <c r="BP114"/>
      <c r="BQ114" t="inlineStr">
        <is>
          <t>liposome/LNP; route depends on purity, grade, residual solvents/endotoxin</t>
        </is>
      </c>
      <c r="BR114"/>
      <c r="BS114"/>
      <c r="BT114"/>
      <c r="BU114"/>
      <c r="BV114"/>
      <c r="BW114"/>
      <c r="BX114"/>
      <c r="BY114" t="inlineStr">
        <is>
          <t>bilayer-forming cylindrical lipid</t>
        </is>
      </c>
      <c r="BZ114" t="inlineStr">
        <is>
          <t>store cold, dry, inert gas; protect unsaturated/ionizable lipids from oxidation/hydrolysis</t>
        </is>
      </c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</row>
    <row r="115">
      <c r="A115" t="inlineStr">
        <is>
          <t>LIP_DOPS</t>
        </is>
      </c>
      <c r="B115" t="inlineStr">
        <is>
          <t>DOPS</t>
        </is>
      </c>
      <c r="C115" t="inlineStr">
        <is>
          <t>Lipid</t>
        </is>
      </c>
      <c r="D115" t="inlineStr">
        <is>
          <t>Phospholipid/membrane lipid</t>
        </is>
      </c>
      <c r="E115" t="inlineStr">
        <is>
          <t>PS/PA lipid</t>
        </is>
      </c>
      <c r="F115">
        <v>810.0</v>
      </c>
      <c r="G115"/>
      <c r="H115"/>
      <c r="I115"/>
      <c r="J115"/>
      <c r="K115"/>
      <c r="L115"/>
      <c r="M115"/>
      <c r="N115"/>
      <c r="O115"/>
      <c r="P115"/>
      <c r="Q115"/>
      <c r="R115"/>
      <c r="S115"/>
      <c r="T115">
        <v>-1</v>
      </c>
      <c r="U115" t="inlineStr">
        <is>
          <t>anionic</t>
        </is>
      </c>
      <c r="V115"/>
      <c r="W115"/>
      <c r="X115"/>
      <c r="Y115">
        <v>-11</v>
      </c>
      <c r="Z115"/>
      <c r="AA115"/>
      <c r="AB115"/>
      <c r="AC115"/>
      <c r="AD115"/>
      <c r="AE115"/>
      <c r="AF115"/>
      <c r="AG115"/>
      <c r="AH115"/>
      <c r="AI115">
        <v>17.5</v>
      </c>
      <c r="AJ115">
        <v>7.5</v>
      </c>
      <c r="AK115">
        <v>10.0</v>
      </c>
      <c r="AL115">
        <v>8.0</v>
      </c>
      <c r="AM115">
        <v>21.51</v>
      </c>
      <c r="AN115">
        <v>810.0</v>
      </c>
      <c r="AO115">
        <v>0.62</v>
      </c>
      <c r="AP115"/>
      <c r="AQ115"/>
      <c r="AR115"/>
      <c r="AS115">
        <v>18</v>
      </c>
      <c r="AT115">
        <v>1</v>
      </c>
      <c r="AU115">
        <v>18</v>
      </c>
      <c r="AV115">
        <v>1</v>
      </c>
      <c r="AW115">
        <v>2</v>
      </c>
      <c r="AX115" t="inlineStr">
        <is>
          <t>PS</t>
        </is>
      </c>
      <c r="AY115" t="inlineStr">
        <is>
          <t>PS</t>
        </is>
      </c>
      <c r="AZ115"/>
      <c r="BA115"/>
      <c r="BB115"/>
      <c r="BC115"/>
      <c r="BD115" t="inlineStr">
        <is>
          <t>fluidizing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H115"/>
      <c r="BI115"/>
      <c r="BJ115"/>
      <c r="BK115"/>
      <c r="BL115"/>
      <c r="BM115"/>
      <c r="BN115"/>
      <c r="BO115"/>
      <c r="BP115"/>
      <c r="BQ115" t="inlineStr">
        <is>
          <t>liposome/LNP; route depends on purity, grade, residual solvents/endotoxin</t>
        </is>
      </c>
      <c r="BR115"/>
      <c r="BS115"/>
      <c r="BT115"/>
      <c r="BU115"/>
      <c r="BV115"/>
      <c r="BW115"/>
      <c r="BX115"/>
      <c r="BY115" t="inlineStr">
        <is>
          <t>bilayer-forming cylindrical lipid</t>
        </is>
      </c>
      <c r="BZ115" t="inlineStr">
        <is>
          <t>store cold, dry, inert gas; protect unsaturated/ionizable lipids from oxidation/hydrolysis</t>
        </is>
      </c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</row>
    <row r="116">
      <c r="A116" t="inlineStr">
        <is>
          <t>LIP_DPPS</t>
        </is>
      </c>
      <c r="B116" t="inlineStr">
        <is>
          <t>DPPS</t>
        </is>
      </c>
      <c r="C116" t="inlineStr">
        <is>
          <t>Lipid</t>
        </is>
      </c>
      <c r="D116" t="inlineStr">
        <is>
          <t>Phospholipid/membrane lipid</t>
        </is>
      </c>
      <c r="E116" t="inlineStr">
        <is>
          <t>PS/PA lipid</t>
        </is>
      </c>
      <c r="F116">
        <v>757.0</v>
      </c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-1</v>
      </c>
      <c r="U116" t="inlineStr">
        <is>
          <t>anionic</t>
        </is>
      </c>
      <c r="V116"/>
      <c r="W116"/>
      <c r="X116"/>
      <c r="Y116">
        <v>54</v>
      </c>
      <c r="Z116"/>
      <c r="AA116"/>
      <c r="AB116"/>
      <c r="AC116"/>
      <c r="AD116"/>
      <c r="AE116"/>
      <c r="AF116"/>
      <c r="AG116"/>
      <c r="AH116"/>
      <c r="AI116">
        <v>17.5</v>
      </c>
      <c r="AJ116">
        <v>7.5</v>
      </c>
      <c r="AK116">
        <v>10.0</v>
      </c>
      <c r="AL116">
        <v>8.0</v>
      </c>
      <c r="AM116">
        <v>21.51</v>
      </c>
      <c r="AN116">
        <v>757.0</v>
      </c>
      <c r="AO116">
        <v>0.62</v>
      </c>
      <c r="AP116"/>
      <c r="AQ116"/>
      <c r="AR116"/>
      <c r="AS116">
        <v>16</v>
      </c>
      <c r="AT116">
        <v>0</v>
      </c>
      <c r="AU116">
        <v>16</v>
      </c>
      <c r="AV116">
        <v>0</v>
      </c>
      <c r="AW116">
        <v>2</v>
      </c>
      <c r="AX116" t="inlineStr">
        <is>
          <t>PS</t>
        </is>
      </c>
      <c r="AY116" t="inlineStr">
        <is>
          <t>PS</t>
        </is>
      </c>
      <c r="AZ116"/>
      <c r="BA116"/>
      <c r="BB116"/>
      <c r="BC116"/>
      <c r="BD116" t="inlineStr">
        <is>
          <t>high</t>
        </is>
      </c>
      <c r="BE116" t="inlineStr">
        <is>
          <t>no</t>
        </is>
      </c>
      <c r="BF116" t="inlineStr">
        <is>
          <t>no</t>
        </is>
      </c>
      <c r="BG116" t="inlineStr">
        <is>
          <t>no</t>
        </is>
      </c>
      <c r="BH116"/>
      <c r="BI116"/>
      <c r="BJ116"/>
      <c r="BK116"/>
      <c r="BL116"/>
      <c r="BM116"/>
      <c r="BN116"/>
      <c r="BO116"/>
      <c r="BP116"/>
      <c r="BQ116" t="inlineStr">
        <is>
          <t>liposome/LNP; route depends on purity, grade, residual solvents/endotoxin</t>
        </is>
      </c>
      <c r="BR116"/>
      <c r="BS116"/>
      <c r="BT116"/>
      <c r="BU116"/>
      <c r="BV116"/>
      <c r="BW116"/>
      <c r="BX116"/>
      <c r="BY116" t="inlineStr">
        <is>
          <t>bilayer-forming cylindrical lipid</t>
        </is>
      </c>
      <c r="BZ116" t="inlineStr">
        <is>
          <t>store cold, dry, inert gas; protect unsaturated/ionizable lipids from oxidation/hydrolysis</t>
        </is>
      </c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</row>
    <row r="117">
      <c r="A117" t="inlineStr">
        <is>
          <t>LIP_DOPA</t>
        </is>
      </c>
      <c r="B117" t="inlineStr">
        <is>
          <t>DOPA</t>
        </is>
      </c>
      <c r="C117" t="inlineStr">
        <is>
          <t>Lipid</t>
        </is>
      </c>
      <c r="D117" t="inlineStr">
        <is>
          <t>Phospholipid/membrane lipid</t>
        </is>
      </c>
      <c r="E117" t="inlineStr">
        <is>
          <t>PS/PA lipid</t>
        </is>
      </c>
      <c r="F117">
        <v>699.9</v>
      </c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-1</v>
      </c>
      <c r="U117" t="inlineStr">
        <is>
          <t>anionic</t>
        </is>
      </c>
      <c r="V117"/>
      <c r="W117"/>
      <c r="X117"/>
      <c r="Y117">
        <v>-4</v>
      </c>
      <c r="Z117"/>
      <c r="AA117"/>
      <c r="AB117"/>
      <c r="AC117"/>
      <c r="AD117"/>
      <c r="AE117"/>
      <c r="AF117"/>
      <c r="AG117"/>
      <c r="AH117"/>
      <c r="AI117">
        <v>17.5</v>
      </c>
      <c r="AJ117">
        <v>7.5</v>
      </c>
      <c r="AK117">
        <v>10.0</v>
      </c>
      <c r="AL117">
        <v>8.0</v>
      </c>
      <c r="AM117">
        <v>21.51</v>
      </c>
      <c r="AN117">
        <v>699.9</v>
      </c>
      <c r="AO117">
        <v>0.62</v>
      </c>
      <c r="AP117"/>
      <c r="AQ117"/>
      <c r="AR117"/>
      <c r="AS117">
        <v>18</v>
      </c>
      <c r="AT117">
        <v>1</v>
      </c>
      <c r="AU117">
        <v>18</v>
      </c>
      <c r="AV117">
        <v>1</v>
      </c>
      <c r="AW117">
        <v>2</v>
      </c>
      <c r="AX117" t="inlineStr">
        <is>
          <t>PA</t>
        </is>
      </c>
      <c r="AY117" t="inlineStr">
        <is>
          <t>PA</t>
        </is>
      </c>
      <c r="AZ117"/>
      <c r="BA117"/>
      <c r="BB117"/>
      <c r="BC117"/>
      <c r="BD117" t="inlineStr">
        <is>
          <t>fluidizing</t>
        </is>
      </c>
      <c r="BE117" t="inlineStr">
        <is>
          <t>no</t>
        </is>
      </c>
      <c r="BF117" t="inlineStr">
        <is>
          <t>no</t>
        </is>
      </c>
      <c r="BG117" t="inlineStr">
        <is>
          <t>no</t>
        </is>
      </c>
      <c r="BH117"/>
      <c r="BI117"/>
      <c r="BJ117"/>
      <c r="BK117"/>
      <c r="BL117"/>
      <c r="BM117"/>
      <c r="BN117"/>
      <c r="BO117"/>
      <c r="BP117"/>
      <c r="BQ117" t="inlineStr">
        <is>
          <t>liposome/LNP; route depends on purity, grade, residual solvents/endotoxin</t>
        </is>
      </c>
      <c r="BR117"/>
      <c r="BS117"/>
      <c r="BT117"/>
      <c r="BU117"/>
      <c r="BV117"/>
      <c r="BW117"/>
      <c r="BX117"/>
      <c r="BY117" t="inlineStr">
        <is>
          <t>bilayer-forming cylindrical lipid</t>
        </is>
      </c>
      <c r="BZ117" t="inlineStr">
        <is>
          <t>store cold, dry, inert gas; protect unsaturated/ionizable lipids from oxidation/hydrolysis</t>
        </is>
      </c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</row>
    <row r="118">
      <c r="A118" t="inlineStr">
        <is>
          <t>LIP_DPPA</t>
        </is>
      </c>
      <c r="B118" t="inlineStr">
        <is>
          <t>DPPA</t>
        </is>
      </c>
      <c r="C118" t="inlineStr">
        <is>
          <t>Lipid</t>
        </is>
      </c>
      <c r="D118" t="inlineStr">
        <is>
          <t>Phospholipid/membrane lipid</t>
        </is>
      </c>
      <c r="E118" t="inlineStr">
        <is>
          <t>PS/PA lipid</t>
        </is>
      </c>
      <c r="F118">
        <v>670.9</v>
      </c>
      <c r="G118"/>
      <c r="H118"/>
      <c r="I118"/>
      <c r="J118"/>
      <c r="K118"/>
      <c r="L118"/>
      <c r="M118"/>
      <c r="N118"/>
      <c r="O118"/>
      <c r="P118"/>
      <c r="Q118"/>
      <c r="R118"/>
      <c r="S118"/>
      <c r="T118">
        <v>-1</v>
      </c>
      <c r="U118" t="inlineStr">
        <is>
          <t>anionic</t>
        </is>
      </c>
      <c r="V118"/>
      <c r="W118"/>
      <c r="X118"/>
      <c r="Y118">
        <v>65</v>
      </c>
      <c r="Z118"/>
      <c r="AA118"/>
      <c r="AB118"/>
      <c r="AC118"/>
      <c r="AD118"/>
      <c r="AE118"/>
      <c r="AF118"/>
      <c r="AG118"/>
      <c r="AH118"/>
      <c r="AI118">
        <v>17.5</v>
      </c>
      <c r="AJ118">
        <v>7.5</v>
      </c>
      <c r="AK118">
        <v>10.0</v>
      </c>
      <c r="AL118">
        <v>8.0</v>
      </c>
      <c r="AM118">
        <v>21.51</v>
      </c>
      <c r="AN118">
        <v>670.9</v>
      </c>
      <c r="AO118">
        <v>0.62</v>
      </c>
      <c r="AP118"/>
      <c r="AQ118"/>
      <c r="AR118"/>
      <c r="AS118">
        <v>16</v>
      </c>
      <c r="AT118">
        <v>0</v>
      </c>
      <c r="AU118">
        <v>16</v>
      </c>
      <c r="AV118">
        <v>0</v>
      </c>
      <c r="AW118">
        <v>2</v>
      </c>
      <c r="AX118" t="inlineStr">
        <is>
          <t>PA</t>
        </is>
      </c>
      <c r="AY118" t="inlineStr">
        <is>
          <t>PA</t>
        </is>
      </c>
      <c r="AZ118"/>
      <c r="BA118"/>
      <c r="BB118"/>
      <c r="BC118"/>
      <c r="BD118" t="inlineStr">
        <is>
          <t>high</t>
        </is>
      </c>
      <c r="BE118" t="inlineStr">
        <is>
          <t>no</t>
        </is>
      </c>
      <c r="BF118" t="inlineStr">
        <is>
          <t>no</t>
        </is>
      </c>
      <c r="BG118" t="inlineStr">
        <is>
          <t>no</t>
        </is>
      </c>
      <c r="BH118"/>
      <c r="BI118"/>
      <c r="BJ118"/>
      <c r="BK118"/>
      <c r="BL118"/>
      <c r="BM118"/>
      <c r="BN118"/>
      <c r="BO118"/>
      <c r="BP118"/>
      <c r="BQ118" t="inlineStr">
        <is>
          <t>liposome/LNP; route depends on purity, grade, residual solvents/endotoxin</t>
        </is>
      </c>
      <c r="BR118"/>
      <c r="BS118"/>
      <c r="BT118"/>
      <c r="BU118"/>
      <c r="BV118"/>
      <c r="BW118"/>
      <c r="BX118"/>
      <c r="BY118" t="inlineStr">
        <is>
          <t>bilayer-forming cylindrical lipid</t>
        </is>
      </c>
      <c r="BZ118" t="inlineStr">
        <is>
          <t>store cold, dry, inert gas; protect unsaturated/ionizable lipids from oxidation/hydrolysis</t>
        </is>
      </c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</row>
    <row r="119">
      <c r="A119" t="inlineStr">
        <is>
          <t>LIP_DSPE_PEG2000</t>
        </is>
      </c>
      <c r="B119" t="inlineStr">
        <is>
          <t>DSPE-PEG2000</t>
        </is>
      </c>
      <c r="C119" t="inlineStr">
        <is>
          <t>Lipid</t>
        </is>
      </c>
      <c r="D119" t="inlineStr">
        <is>
          <t>Phospholipid/membrane lipid</t>
        </is>
      </c>
      <c r="E119" t="inlineStr">
        <is>
          <t>PEG-lipid</t>
        </is>
      </c>
      <c r="F119">
        <v>2805</v>
      </c>
      <c r="G119"/>
      <c r="H119"/>
      <c r="I119"/>
      <c r="J119"/>
      <c r="K119"/>
      <c r="L119"/>
      <c r="M119"/>
      <c r="N119"/>
      <c r="O119"/>
      <c r="P119"/>
      <c r="Q119"/>
      <c r="R119"/>
      <c r="S119"/>
      <c r="T119">
        <v>0</v>
      </c>
      <c r="U119" t="inlineStr">
        <is>
          <t>neutral</t>
        </is>
      </c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>
        <v>17.5</v>
      </c>
      <c r="AJ119">
        <v>7.5</v>
      </c>
      <c r="AK119">
        <v>8.0</v>
      </c>
      <c r="AL119">
        <v>8.0</v>
      </c>
      <c r="AM119">
        <v>20.65</v>
      </c>
      <c r="AN119">
        <v>2805.0</v>
      </c>
      <c r="AO119">
        <v>0.7</v>
      </c>
      <c r="AP119"/>
      <c r="AQ119"/>
      <c r="AR119"/>
      <c r="AS119">
        <v>18</v>
      </c>
      <c r="AT119">
        <v>0</v>
      </c>
      <c r="AU119">
        <v>18</v>
      </c>
      <c r="AV119">
        <v>0</v>
      </c>
      <c r="AW119">
        <v>2</v>
      </c>
      <c r="AX119" t="inlineStr">
        <is>
          <t>PEGylated lipid</t>
        </is>
      </c>
      <c r="AY119" t="inlineStr">
        <is>
          <t>PEG-lipid</t>
        </is>
      </c>
      <c r="AZ119"/>
      <c r="BA119"/>
      <c r="BB119"/>
      <c r="BC119"/>
      <c r="BD119" t="inlineStr">
        <is>
          <t>moderate</t>
        </is>
      </c>
      <c r="BE119" t="inlineStr">
        <is>
          <t>no</t>
        </is>
      </c>
      <c r="BF119" t="inlineStr">
        <is>
          <t>yes</t>
        </is>
      </c>
      <c r="BG119" t="inlineStr">
        <is>
          <t>no</t>
        </is>
      </c>
      <c r="BH119"/>
      <c r="BI119"/>
      <c r="BJ119"/>
      <c r="BK119"/>
      <c r="BL119"/>
      <c r="BM119"/>
      <c r="BN119"/>
      <c r="BO119"/>
      <c r="BP119"/>
      <c r="BQ119" t="inlineStr">
        <is>
          <t>liposome/LNP; route depends on purity, grade, residual solvents/endotoxin</t>
        </is>
      </c>
      <c r="BR119"/>
      <c r="BS119"/>
      <c r="BT119"/>
      <c r="BU119"/>
      <c r="BV119"/>
      <c r="BW119"/>
      <c r="BX119"/>
      <c r="BY119" t="inlineStr">
        <is>
          <t>bilayer-forming cylindrical lipid</t>
        </is>
      </c>
      <c r="BZ119" t="inlineStr">
        <is>
          <t>store cold, dry, inert gas; protect unsaturated/ionizable lipids from oxidation/hydrolysis</t>
        </is>
      </c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</row>
    <row r="120">
      <c r="A120" t="inlineStr">
        <is>
          <t>LIP_DSPE_PEG5000</t>
        </is>
      </c>
      <c r="B120" t="inlineStr">
        <is>
          <t>DSPE-PEG5000</t>
        </is>
      </c>
      <c r="C120" t="inlineStr">
        <is>
          <t>Lipid</t>
        </is>
      </c>
      <c r="D120" t="inlineStr">
        <is>
          <t>Phospholipid/membrane lipid</t>
        </is>
      </c>
      <c r="E120" t="inlineStr">
        <is>
          <t>PEG-lipid</t>
        </is>
      </c>
      <c r="F120">
        <v>5805</v>
      </c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 t="inlineStr">
        <is>
          <t>neutral</t>
        </is>
      </c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>
        <v>17.5</v>
      </c>
      <c r="AJ120">
        <v>7.5</v>
      </c>
      <c r="AK120">
        <v>8.0</v>
      </c>
      <c r="AL120">
        <v>8.0</v>
      </c>
      <c r="AM120">
        <v>20.65</v>
      </c>
      <c r="AN120">
        <v>5805.0</v>
      </c>
      <c r="AO120">
        <v>0.7</v>
      </c>
      <c r="AP120"/>
      <c r="AQ120"/>
      <c r="AR120"/>
      <c r="AS120">
        <v>18</v>
      </c>
      <c r="AT120">
        <v>0</v>
      </c>
      <c r="AU120">
        <v>18</v>
      </c>
      <c r="AV120">
        <v>0</v>
      </c>
      <c r="AW120">
        <v>2</v>
      </c>
      <c r="AX120" t="inlineStr">
        <is>
          <t>PEGylated lipid</t>
        </is>
      </c>
      <c r="AY120" t="inlineStr">
        <is>
          <t>PEG-lipid</t>
        </is>
      </c>
      <c r="AZ120"/>
      <c r="BA120"/>
      <c r="BB120"/>
      <c r="BC120"/>
      <c r="BD120" t="inlineStr">
        <is>
          <t>moderate</t>
        </is>
      </c>
      <c r="BE120" t="inlineStr">
        <is>
          <t>no</t>
        </is>
      </c>
      <c r="BF120" t="inlineStr">
        <is>
          <t>yes</t>
        </is>
      </c>
      <c r="BG120" t="inlineStr">
        <is>
          <t>no</t>
        </is>
      </c>
      <c r="BH120"/>
      <c r="BI120"/>
      <c r="BJ120"/>
      <c r="BK120"/>
      <c r="BL120"/>
      <c r="BM120"/>
      <c r="BN120"/>
      <c r="BO120"/>
      <c r="BP120"/>
      <c r="BQ120" t="inlineStr">
        <is>
          <t>liposome/LNP; route depends on purity, grade, residual solvents/endotoxin</t>
        </is>
      </c>
      <c r="BR120"/>
      <c r="BS120"/>
      <c r="BT120"/>
      <c r="BU120"/>
      <c r="BV120"/>
      <c r="BW120"/>
      <c r="BX120"/>
      <c r="BY120" t="inlineStr">
        <is>
          <t>bilayer-forming cylindrical lipid</t>
        </is>
      </c>
      <c r="BZ120" t="inlineStr">
        <is>
          <t>store cold, dry, inert gas; protect unsaturated/ionizable lipids from oxidation/hydrolysis</t>
        </is>
      </c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</row>
    <row r="121">
      <c r="A121" t="inlineStr">
        <is>
          <t>LIP_DMG_PEG2000</t>
        </is>
      </c>
      <c r="B121" t="inlineStr">
        <is>
          <t>DMG-PEG2000</t>
        </is>
      </c>
      <c r="C121" t="inlineStr">
        <is>
          <t>Lipid</t>
        </is>
      </c>
      <c r="D121" t="inlineStr">
        <is>
          <t>Phospholipid/membrane lipid</t>
        </is>
      </c>
      <c r="E121" t="inlineStr">
        <is>
          <t>PEG-lipid</t>
        </is>
      </c>
      <c r="F121">
        <v>2509</v>
      </c>
      <c r="G121"/>
      <c r="H121"/>
      <c r="I121"/>
      <c r="J121"/>
      <c r="K121"/>
      <c r="L121"/>
      <c r="M121"/>
      <c r="N121"/>
      <c r="O121"/>
      <c r="P121"/>
      <c r="Q121"/>
      <c r="R121"/>
      <c r="S121"/>
      <c r="T121">
        <v>0</v>
      </c>
      <c r="U121" t="inlineStr">
        <is>
          <t>neutral</t>
        </is>
      </c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>
        <v>17.5</v>
      </c>
      <c r="AJ121">
        <v>7.5</v>
      </c>
      <c r="AK121">
        <v>8.0</v>
      </c>
      <c r="AL121">
        <v>8.0</v>
      </c>
      <c r="AM121">
        <v>20.65</v>
      </c>
      <c r="AN121">
        <v>2509.0</v>
      </c>
      <c r="AO121">
        <v>0.7</v>
      </c>
      <c r="AP121"/>
      <c r="AQ121"/>
      <c r="AR121"/>
      <c r="AS121">
        <v>14</v>
      </c>
      <c r="AT121">
        <v>0</v>
      </c>
      <c r="AU121">
        <v>14</v>
      </c>
      <c r="AV121">
        <v>0</v>
      </c>
      <c r="AW121">
        <v>2</v>
      </c>
      <c r="AX121" t="inlineStr">
        <is>
          <t>PEGylated lipid</t>
        </is>
      </c>
      <c r="AY121" t="inlineStr">
        <is>
          <t>PEG-lipid</t>
        </is>
      </c>
      <c r="AZ121"/>
      <c r="BA121"/>
      <c r="BB121"/>
      <c r="BC121"/>
      <c r="BD121" t="inlineStr">
        <is>
          <t>moderate</t>
        </is>
      </c>
      <c r="BE121" t="inlineStr">
        <is>
          <t>no</t>
        </is>
      </c>
      <c r="BF121" t="inlineStr">
        <is>
          <t>yes</t>
        </is>
      </c>
      <c r="BG121" t="inlineStr">
        <is>
          <t>no</t>
        </is>
      </c>
      <c r="BH121"/>
      <c r="BI121"/>
      <c r="BJ121"/>
      <c r="BK121"/>
      <c r="BL121"/>
      <c r="BM121"/>
      <c r="BN121"/>
      <c r="BO121"/>
      <c r="BP121"/>
      <c r="BQ121" t="inlineStr">
        <is>
          <t>liposome/LNP; route depends on purity, grade, residual solvents/endotoxin</t>
        </is>
      </c>
      <c r="BR121"/>
      <c r="BS121"/>
      <c r="BT121"/>
      <c r="BU121"/>
      <c r="BV121"/>
      <c r="BW121"/>
      <c r="BX121"/>
      <c r="BY121" t="inlineStr">
        <is>
          <t>bilayer-forming cylindrical lipid</t>
        </is>
      </c>
      <c r="BZ121" t="inlineStr">
        <is>
          <t>store cold, dry, inert gas; protect unsaturated/ionizable lipids from oxidation/hydrolysis</t>
        </is>
      </c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</row>
    <row r="122">
      <c r="A122" t="inlineStr">
        <is>
          <t>LIP_PEG_DMG</t>
        </is>
      </c>
      <c r="B122" t="inlineStr">
        <is>
          <t>PEG-DMG</t>
        </is>
      </c>
      <c r="C122" t="inlineStr">
        <is>
          <t>Lipid</t>
        </is>
      </c>
      <c r="D122" t="inlineStr">
        <is>
          <t>Phospholipid/membrane lipid</t>
        </is>
      </c>
      <c r="E122" t="inlineStr">
        <is>
          <t>PEG-lipid</t>
        </is>
      </c>
      <c r="F122">
        <v>2509</v>
      </c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 t="inlineStr">
        <is>
          <t>neutral</t>
        </is>
      </c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17.5</v>
      </c>
      <c r="AJ122">
        <v>7.5</v>
      </c>
      <c r="AK122">
        <v>8.0</v>
      </c>
      <c r="AL122">
        <v>8.0</v>
      </c>
      <c r="AM122">
        <v>20.65</v>
      </c>
      <c r="AN122">
        <v>2509.0</v>
      </c>
      <c r="AO122">
        <v>0.7</v>
      </c>
      <c r="AP122"/>
      <c r="AQ122"/>
      <c r="AR122"/>
      <c r="AS122">
        <v>14</v>
      </c>
      <c r="AT122">
        <v>0</v>
      </c>
      <c r="AU122">
        <v>14</v>
      </c>
      <c r="AV122">
        <v>0</v>
      </c>
      <c r="AW122">
        <v>2</v>
      </c>
      <c r="AX122" t="inlineStr">
        <is>
          <t>PEGylated lipid</t>
        </is>
      </c>
      <c r="AY122" t="inlineStr">
        <is>
          <t>PEG-lipid</t>
        </is>
      </c>
      <c r="AZ122"/>
      <c r="BA122"/>
      <c r="BB122"/>
      <c r="BC122"/>
      <c r="BD122" t="inlineStr">
        <is>
          <t>moderate</t>
        </is>
      </c>
      <c r="BE122" t="inlineStr">
        <is>
          <t>no</t>
        </is>
      </c>
      <c r="BF122" t="inlineStr">
        <is>
          <t>yes</t>
        </is>
      </c>
      <c r="BG122" t="inlineStr">
        <is>
          <t>no</t>
        </is>
      </c>
      <c r="BH122"/>
      <c r="BI122"/>
      <c r="BJ122"/>
      <c r="BK122"/>
      <c r="BL122"/>
      <c r="BM122"/>
      <c r="BN122"/>
      <c r="BO122"/>
      <c r="BP122"/>
      <c r="BQ122" t="inlineStr">
        <is>
          <t>liposome/LNP; route depends on purity, grade, residual solvents/endotoxin</t>
        </is>
      </c>
      <c r="BR122"/>
      <c r="BS122"/>
      <c r="BT122"/>
      <c r="BU122"/>
      <c r="BV122"/>
      <c r="BW122"/>
      <c r="BX122"/>
      <c r="BY122" t="inlineStr">
        <is>
          <t>bilayer-forming cylindrical lipid</t>
        </is>
      </c>
      <c r="BZ122" t="inlineStr">
        <is>
          <t>store cold, dry, inert gas; protect unsaturated/ionizable lipids from oxidation/hydrolysis</t>
        </is>
      </c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</row>
    <row r="123">
      <c r="A123" t="inlineStr">
        <is>
          <t>LIP_PEG_DSG</t>
        </is>
      </c>
      <c r="B123" t="inlineStr">
        <is>
          <t>PEG-DSG</t>
        </is>
      </c>
      <c r="C123" t="inlineStr">
        <is>
          <t>Lipid</t>
        </is>
      </c>
      <c r="D123" t="inlineStr">
        <is>
          <t>Phospholipid/membrane lipid</t>
        </is>
      </c>
      <c r="E123" t="inlineStr">
        <is>
          <t>PEG-lipid</t>
        </is>
      </c>
      <c r="F123">
        <v>2788</v>
      </c>
      <c r="G123"/>
      <c r="H123"/>
      <c r="I123"/>
      <c r="J123"/>
      <c r="K123"/>
      <c r="L123"/>
      <c r="M123"/>
      <c r="N123"/>
      <c r="O123"/>
      <c r="P123"/>
      <c r="Q123"/>
      <c r="R123"/>
      <c r="S123"/>
      <c r="T123">
        <v>0</v>
      </c>
      <c r="U123" t="inlineStr">
        <is>
          <t>neutral</t>
        </is>
      </c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>
        <v>17.5</v>
      </c>
      <c r="AJ123">
        <v>7.5</v>
      </c>
      <c r="AK123">
        <v>8.0</v>
      </c>
      <c r="AL123">
        <v>8.0</v>
      </c>
      <c r="AM123">
        <v>20.65</v>
      </c>
      <c r="AN123">
        <v>2788.0</v>
      </c>
      <c r="AO123">
        <v>0.7</v>
      </c>
      <c r="AP123"/>
      <c r="AQ123"/>
      <c r="AR123"/>
      <c r="AS123">
        <v>18</v>
      </c>
      <c r="AT123">
        <v>0</v>
      </c>
      <c r="AU123">
        <v>18</v>
      </c>
      <c r="AV123">
        <v>0</v>
      </c>
      <c r="AW123">
        <v>2</v>
      </c>
      <c r="AX123" t="inlineStr">
        <is>
          <t>PEGylated lipid</t>
        </is>
      </c>
      <c r="AY123" t="inlineStr">
        <is>
          <t>PEG-lipid</t>
        </is>
      </c>
      <c r="AZ123"/>
      <c r="BA123"/>
      <c r="BB123"/>
      <c r="BC123"/>
      <c r="BD123" t="inlineStr">
        <is>
          <t>moderate</t>
        </is>
      </c>
      <c r="BE123" t="inlineStr">
        <is>
          <t>no</t>
        </is>
      </c>
      <c r="BF123" t="inlineStr">
        <is>
          <t>yes</t>
        </is>
      </c>
      <c r="BG123" t="inlineStr">
        <is>
          <t>no</t>
        </is>
      </c>
      <c r="BH123"/>
      <c r="BI123"/>
      <c r="BJ123"/>
      <c r="BK123"/>
      <c r="BL123"/>
      <c r="BM123"/>
      <c r="BN123"/>
      <c r="BO123"/>
      <c r="BP123"/>
      <c r="BQ123" t="inlineStr">
        <is>
          <t>liposome/LNP; route depends on purity, grade, residual solvents/endotoxin</t>
        </is>
      </c>
      <c r="BR123"/>
      <c r="BS123"/>
      <c r="BT123"/>
      <c r="BU123"/>
      <c r="BV123"/>
      <c r="BW123"/>
      <c r="BX123"/>
      <c r="BY123" t="inlineStr">
        <is>
          <t>bilayer-forming cylindrical lipid</t>
        </is>
      </c>
      <c r="BZ123" t="inlineStr">
        <is>
          <t>store cold, dry, inert gas; protect unsaturated/ionizable lipids from oxidation/hydrolysis</t>
        </is>
      </c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</row>
    <row r="124">
      <c r="A124" t="inlineStr">
        <is>
          <t>LIP_PEG_DPPE</t>
        </is>
      </c>
      <c r="B124" t="inlineStr">
        <is>
          <t>PEG-DPPE</t>
        </is>
      </c>
      <c r="C124" t="inlineStr">
        <is>
          <t>Lipid</t>
        </is>
      </c>
      <c r="D124" t="inlineStr">
        <is>
          <t>Phospholipid/membrane lipid</t>
        </is>
      </c>
      <c r="E124" t="inlineStr">
        <is>
          <t>PEG-lipid</t>
        </is>
      </c>
      <c r="F124">
        <v>2750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>
        <v>0</v>
      </c>
      <c r="U124" t="inlineStr">
        <is>
          <t>neutral</t>
        </is>
      </c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>
        <v>17.5</v>
      </c>
      <c r="AJ124">
        <v>7.5</v>
      </c>
      <c r="AK124">
        <v>8.0</v>
      </c>
      <c r="AL124">
        <v>8.0</v>
      </c>
      <c r="AM124">
        <v>20.65</v>
      </c>
      <c r="AN124">
        <v>2750.0</v>
      </c>
      <c r="AO124">
        <v>0.7</v>
      </c>
      <c r="AP124"/>
      <c r="AQ124"/>
      <c r="AR124"/>
      <c r="AS124">
        <v>16</v>
      </c>
      <c r="AT124">
        <v>0</v>
      </c>
      <c r="AU124">
        <v>16</v>
      </c>
      <c r="AV124">
        <v>0</v>
      </c>
      <c r="AW124">
        <v>2</v>
      </c>
      <c r="AX124" t="inlineStr">
        <is>
          <t>PEGylated lipid</t>
        </is>
      </c>
      <c r="AY124" t="inlineStr">
        <is>
          <t>PEG-lipid</t>
        </is>
      </c>
      <c r="AZ124"/>
      <c r="BA124"/>
      <c r="BB124"/>
      <c r="BC124"/>
      <c r="BD124" t="inlineStr">
        <is>
          <t>moderate</t>
        </is>
      </c>
      <c r="BE124" t="inlineStr">
        <is>
          <t>no</t>
        </is>
      </c>
      <c r="BF124" t="inlineStr">
        <is>
          <t>yes</t>
        </is>
      </c>
      <c r="BG124" t="inlineStr">
        <is>
          <t>no</t>
        </is>
      </c>
      <c r="BH124"/>
      <c r="BI124"/>
      <c r="BJ124"/>
      <c r="BK124"/>
      <c r="BL124"/>
      <c r="BM124"/>
      <c r="BN124"/>
      <c r="BO124"/>
      <c r="BP124"/>
      <c r="BQ124" t="inlineStr">
        <is>
          <t>liposome/LNP; route depends on purity, grade, residual solvents/endotoxin</t>
        </is>
      </c>
      <c r="BR124"/>
      <c r="BS124"/>
      <c r="BT124"/>
      <c r="BU124"/>
      <c r="BV124"/>
      <c r="BW124"/>
      <c r="BX124"/>
      <c r="BY124" t="inlineStr">
        <is>
          <t>bilayer-forming cylindrical lipid</t>
        </is>
      </c>
      <c r="BZ124" t="inlineStr">
        <is>
          <t>store cold, dry, inert gas; protect unsaturated/ionizable lipids from oxidation/hydrolysis</t>
        </is>
      </c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</row>
    <row r="125">
      <c r="A125" t="inlineStr">
        <is>
          <t>LIP_DOTAP</t>
        </is>
      </c>
      <c r="B125" t="inlineStr">
        <is>
          <t>DOTAP</t>
        </is>
      </c>
      <c r="C125" t="inlineStr">
        <is>
          <t>Lipid</t>
        </is>
      </c>
      <c r="D125" t="inlineStr">
        <is>
          <t>Phospholipid/membrane lipid</t>
        </is>
      </c>
      <c r="E125" t="inlineStr">
        <is>
          <t>cationic lipid</t>
        </is>
      </c>
      <c r="F125">
        <v>698.5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1</v>
      </c>
      <c r="U125" t="inlineStr">
        <is>
          <t>cationic</t>
        </is>
      </c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17.5</v>
      </c>
      <c r="AJ125">
        <v>7.5</v>
      </c>
      <c r="AK125">
        <v>10.0</v>
      </c>
      <c r="AL125">
        <v>8.0</v>
      </c>
      <c r="AM125">
        <v>21.51</v>
      </c>
      <c r="AN125">
        <v>698.5</v>
      </c>
      <c r="AO125">
        <v>0.62</v>
      </c>
      <c r="AP125"/>
      <c r="AQ125"/>
      <c r="AR125"/>
      <c r="AS125">
        <v>18</v>
      </c>
      <c r="AT125">
        <v>1</v>
      </c>
      <c r="AU125">
        <v>18</v>
      </c>
      <c r="AV125">
        <v>1</v>
      </c>
      <c r="AW125">
        <v>2</v>
      </c>
      <c r="AX125" t="inlineStr">
        <is>
          <t>cationic lipid</t>
        </is>
      </c>
      <c r="AY125" t="inlineStr">
        <is>
          <t>quaternary ammonium</t>
        </is>
      </c>
      <c r="AZ125"/>
      <c r="BA125"/>
      <c r="BB125"/>
      <c r="BC125"/>
      <c r="BD125" t="inlineStr">
        <is>
          <t>fluidizing</t>
        </is>
      </c>
      <c r="BE125" t="inlineStr">
        <is>
          <t>no</t>
        </is>
      </c>
      <c r="BF125" t="inlineStr">
        <is>
          <t>no</t>
        </is>
      </c>
      <c r="BG125" t="inlineStr">
        <is>
          <t>no</t>
        </is>
      </c>
      <c r="BH125"/>
      <c r="BI125"/>
      <c r="BJ125"/>
      <c r="BK125"/>
      <c r="BL125"/>
      <c r="BM125"/>
      <c r="BN125"/>
      <c r="BO125"/>
      <c r="BP125"/>
      <c r="BQ125" t="inlineStr">
        <is>
          <t>liposome/LNP; route depends on purity, grade, residual solvents/endotoxin</t>
        </is>
      </c>
      <c r="BR125"/>
      <c r="BS125"/>
      <c r="BT125"/>
      <c r="BU125"/>
      <c r="BV125"/>
      <c r="BW125"/>
      <c r="BX125"/>
      <c r="BY125" t="inlineStr">
        <is>
          <t>bilayer-forming cylindrical lipid</t>
        </is>
      </c>
      <c r="BZ125" t="inlineStr">
        <is>
          <t>store cold, dry, inert gas; protect unsaturated/ionizable lipids from oxidation/hydrolysis</t>
        </is>
      </c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</row>
    <row r="126">
      <c r="A126" t="inlineStr">
        <is>
          <t>LIP_DOTMA</t>
        </is>
      </c>
      <c r="B126" t="inlineStr">
        <is>
          <t>DOTMA</t>
        </is>
      </c>
      <c r="C126" t="inlineStr">
        <is>
          <t>Lipid</t>
        </is>
      </c>
      <c r="D126" t="inlineStr">
        <is>
          <t>Phospholipid/membrane lipid</t>
        </is>
      </c>
      <c r="E126" t="inlineStr">
        <is>
          <t>cationic lipid</t>
        </is>
      </c>
      <c r="F126">
        <v>670.5</v>
      </c>
      <c r="G126"/>
      <c r="H126"/>
      <c r="I126"/>
      <c r="J126"/>
      <c r="K126"/>
      <c r="L126"/>
      <c r="M126"/>
      <c r="N126"/>
      <c r="O126"/>
      <c r="P126"/>
      <c r="Q126"/>
      <c r="R126"/>
      <c r="S126"/>
      <c r="T126">
        <v>1</v>
      </c>
      <c r="U126" t="inlineStr">
        <is>
          <t>cationic</t>
        </is>
      </c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>
        <v>17.5</v>
      </c>
      <c r="AJ126">
        <v>7.5</v>
      </c>
      <c r="AK126">
        <v>10.0</v>
      </c>
      <c r="AL126">
        <v>8.0</v>
      </c>
      <c r="AM126">
        <v>21.51</v>
      </c>
      <c r="AN126">
        <v>670.5</v>
      </c>
      <c r="AO126">
        <v>0.62</v>
      </c>
      <c r="AP126"/>
      <c r="AQ126"/>
      <c r="AR126"/>
      <c r="AS126">
        <v>18</v>
      </c>
      <c r="AT126">
        <v>1</v>
      </c>
      <c r="AU126">
        <v>18</v>
      </c>
      <c r="AV126">
        <v>1</v>
      </c>
      <c r="AW126">
        <v>2</v>
      </c>
      <c r="AX126" t="inlineStr">
        <is>
          <t>cationic lipid</t>
        </is>
      </c>
      <c r="AY126" t="inlineStr">
        <is>
          <t>quaternary ammonium</t>
        </is>
      </c>
      <c r="AZ126"/>
      <c r="BA126"/>
      <c r="BB126"/>
      <c r="BC126"/>
      <c r="BD126" t="inlineStr">
        <is>
          <t>fluidizing</t>
        </is>
      </c>
      <c r="BE126" t="inlineStr">
        <is>
          <t>no</t>
        </is>
      </c>
      <c r="BF126" t="inlineStr">
        <is>
          <t>no</t>
        </is>
      </c>
      <c r="BG126" t="inlineStr">
        <is>
          <t>no</t>
        </is>
      </c>
      <c r="BH126"/>
      <c r="BI126"/>
      <c r="BJ126"/>
      <c r="BK126"/>
      <c r="BL126"/>
      <c r="BM126"/>
      <c r="BN126"/>
      <c r="BO126"/>
      <c r="BP126"/>
      <c r="BQ126" t="inlineStr">
        <is>
          <t>liposome/LNP; route depends on purity, grade, residual solvents/endotoxin</t>
        </is>
      </c>
      <c r="BR126"/>
      <c r="BS126"/>
      <c r="BT126"/>
      <c r="BU126"/>
      <c r="BV126"/>
      <c r="BW126"/>
      <c r="BX126"/>
      <c r="BY126" t="inlineStr">
        <is>
          <t>bilayer-forming cylindrical lipid</t>
        </is>
      </c>
      <c r="BZ126" t="inlineStr">
        <is>
          <t>store cold, dry, inert gas; protect unsaturated/ionizable lipids from oxidation/hydrolysis</t>
        </is>
      </c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</row>
    <row r="127">
      <c r="A127" t="inlineStr">
        <is>
          <t>LIP_DDAB</t>
        </is>
      </c>
      <c r="B127" t="inlineStr">
        <is>
          <t>DDAB</t>
        </is>
      </c>
      <c r="C127" t="inlineStr">
        <is>
          <t>Lipid</t>
        </is>
      </c>
      <c r="D127" t="inlineStr">
        <is>
          <t>Phospholipid/membrane lipid</t>
        </is>
      </c>
      <c r="E127" t="inlineStr">
        <is>
          <t>cationic lipid</t>
        </is>
      </c>
      <c r="F127">
        <v>630.95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>
        <v>1</v>
      </c>
      <c r="U127" t="inlineStr">
        <is>
          <t>cationic</t>
        </is>
      </c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>
        <v>17.5</v>
      </c>
      <c r="AJ127">
        <v>7.5</v>
      </c>
      <c r="AK127">
        <v>10.0</v>
      </c>
      <c r="AL127">
        <v>8.0</v>
      </c>
      <c r="AM127">
        <v>21.51</v>
      </c>
      <c r="AN127">
        <v>630.95</v>
      </c>
      <c r="AO127">
        <v>0.62</v>
      </c>
      <c r="AP127"/>
      <c r="AQ127"/>
      <c r="AR127"/>
      <c r="AS127">
        <v>12</v>
      </c>
      <c r="AT127">
        <v>0</v>
      </c>
      <c r="AU127">
        <v>12</v>
      </c>
      <c r="AV127">
        <v>0</v>
      </c>
      <c r="AW127">
        <v>2</v>
      </c>
      <c r="AX127" t="inlineStr">
        <is>
          <t>cationic lipid</t>
        </is>
      </c>
      <c r="AY127" t="inlineStr">
        <is>
          <t>quaternary ammonium</t>
        </is>
      </c>
      <c r="AZ127"/>
      <c r="BA127"/>
      <c r="BB127"/>
      <c r="BC127"/>
      <c r="BD127" t="inlineStr">
        <is>
          <t>moderate</t>
        </is>
      </c>
      <c r="BE127" t="inlineStr">
        <is>
          <t>no</t>
        </is>
      </c>
      <c r="BF127" t="inlineStr">
        <is>
          <t>no</t>
        </is>
      </c>
      <c r="BG127" t="inlineStr">
        <is>
          <t>no</t>
        </is>
      </c>
      <c r="BH127"/>
      <c r="BI127"/>
      <c r="BJ127"/>
      <c r="BK127"/>
      <c r="BL127"/>
      <c r="BM127"/>
      <c r="BN127"/>
      <c r="BO127"/>
      <c r="BP127"/>
      <c r="BQ127" t="inlineStr">
        <is>
          <t>liposome/LNP; route depends on purity, grade, residual solvents/endotoxin</t>
        </is>
      </c>
      <c r="BR127"/>
      <c r="BS127"/>
      <c r="BT127"/>
      <c r="BU127"/>
      <c r="BV127"/>
      <c r="BW127"/>
      <c r="BX127"/>
      <c r="BY127" t="inlineStr">
        <is>
          <t>bilayer-forming cylindrical lipid</t>
        </is>
      </c>
      <c r="BZ127" t="inlineStr">
        <is>
          <t>store cold, dry, inert gas; protect unsaturated/ionizable lipids from oxidation/hydrolysis</t>
        </is>
      </c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</row>
    <row r="128">
      <c r="A128" t="inlineStr">
        <is>
          <t>LIP_DC_CHOL</t>
        </is>
      </c>
      <c r="B128" t="inlineStr">
        <is>
          <t>DC-Chol</t>
        </is>
      </c>
      <c r="C128" t="inlineStr">
        <is>
          <t>Lipid</t>
        </is>
      </c>
      <c r="D128" t="inlineStr">
        <is>
          <t>Phospholipid/membrane lipid</t>
        </is>
      </c>
      <c r="E128" t="inlineStr">
        <is>
          <t>cationic lipid</t>
        </is>
      </c>
      <c r="F128">
        <v>537.3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1</v>
      </c>
      <c r="U128" t="inlineStr">
        <is>
          <t>cationic</t>
        </is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>
        <v>17.5</v>
      </c>
      <c r="AJ128">
        <v>7.5</v>
      </c>
      <c r="AK128">
        <v>10.0</v>
      </c>
      <c r="AL128">
        <v>8.0</v>
      </c>
      <c r="AM128">
        <v>21.51</v>
      </c>
      <c r="AN128">
        <v>537.3</v>
      </c>
      <c r="AO128">
        <v>0.62</v>
      </c>
      <c r="AP128"/>
      <c r="AQ128"/>
      <c r="AR128"/>
      <c r="AS128">
        <v>27</v>
      </c>
      <c r="AT128">
        <v>0</v>
      </c>
      <c r="AU128">
        <v>0</v>
      </c>
      <c r="AV128">
        <v>0</v>
      </c>
      <c r="AW128">
        <v>1</v>
      </c>
      <c r="AX128" t="inlineStr">
        <is>
          <t>cationic cholesterol derivative</t>
        </is>
      </c>
      <c r="AY128" t="inlineStr">
        <is>
          <t>tertiary amine sterol</t>
        </is>
      </c>
      <c r="AZ128"/>
      <c r="BA128"/>
      <c r="BB128"/>
      <c r="BC128"/>
      <c r="BD128" t="inlineStr">
        <is>
          <t>moderate</t>
        </is>
      </c>
      <c r="BE128" t="inlineStr">
        <is>
          <t>no</t>
        </is>
      </c>
      <c r="BF128" t="inlineStr">
        <is>
          <t>no</t>
        </is>
      </c>
      <c r="BG128" t="inlineStr">
        <is>
          <t>no</t>
        </is>
      </c>
      <c r="BH128"/>
      <c r="BI128"/>
      <c r="BJ128"/>
      <c r="BK128"/>
      <c r="BL128"/>
      <c r="BM128"/>
      <c r="BN128"/>
      <c r="BO128"/>
      <c r="BP128"/>
      <c r="BQ128" t="inlineStr">
        <is>
          <t>liposome/LNP; route depends on purity, grade, residual solvents/endotoxin</t>
        </is>
      </c>
      <c r="BR128"/>
      <c r="BS128"/>
      <c r="BT128"/>
      <c r="BU128"/>
      <c r="BV128"/>
      <c r="BW128"/>
      <c r="BX128"/>
      <c r="BY128" t="inlineStr">
        <is>
          <t>shape depends on head/tail and ionization</t>
        </is>
      </c>
      <c r="BZ128" t="inlineStr">
        <is>
          <t>store cold, dry, inert gas; protect unsaturated/ionizable lipids from oxidation/hydrolysis</t>
        </is>
      </c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</row>
    <row r="129">
      <c r="A129" t="inlineStr">
        <is>
          <t>LIP_DODAP</t>
        </is>
      </c>
      <c r="B129" t="inlineStr">
        <is>
          <t>DODAP</t>
        </is>
      </c>
      <c r="C129" t="inlineStr">
        <is>
          <t>Lipid</t>
        </is>
      </c>
      <c r="D129" t="inlineStr">
        <is>
          <t>Phospholipid/membrane lipid</t>
        </is>
      </c>
      <c r="E129" t="inlineStr">
        <is>
          <t>ionizable lipid</t>
        </is>
      </c>
      <c r="F129">
        <v>698.5</v>
      </c>
      <c r="G129"/>
      <c r="H129"/>
      <c r="I129"/>
      <c r="J129"/>
      <c r="K129"/>
      <c r="L129"/>
      <c r="M129"/>
      <c r="N129"/>
      <c r="O129"/>
      <c r="P129"/>
      <c r="Q129"/>
      <c r="R129">
        <v>6.6</v>
      </c>
      <c r="S129"/>
      <c r="T129">
        <v>0</v>
      </c>
      <c r="U129" t="inlineStr">
        <is>
          <t>pH-dependent cationic/neutral</t>
        </is>
      </c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>
        <v>17.5</v>
      </c>
      <c r="AJ129">
        <v>7.5</v>
      </c>
      <c r="AK129">
        <v>10.0</v>
      </c>
      <c r="AL129">
        <v>8.0</v>
      </c>
      <c r="AM129">
        <v>21.51</v>
      </c>
      <c r="AN129">
        <v>698.5</v>
      </c>
      <c r="AO129">
        <v>0.62</v>
      </c>
      <c r="AP129"/>
      <c r="AQ129"/>
      <c r="AR129"/>
      <c r="AS129">
        <v>18</v>
      </c>
      <c r="AT129">
        <v>1</v>
      </c>
      <c r="AU129">
        <v>18</v>
      </c>
      <c r="AV129">
        <v>1</v>
      </c>
      <c r="AW129">
        <v>2</v>
      </c>
      <c r="AX129" t="inlineStr">
        <is>
          <t>ionizable lipid</t>
        </is>
      </c>
      <c r="AY129" t="inlineStr">
        <is>
          <t>tertiary amine lipid</t>
        </is>
      </c>
      <c r="AZ129"/>
      <c r="BA129"/>
      <c r="BB129"/>
      <c r="BC129"/>
      <c r="BD129" t="inlineStr">
        <is>
          <t>fluidizing</t>
        </is>
      </c>
      <c r="BE129" t="inlineStr">
        <is>
          <t>no</t>
        </is>
      </c>
      <c r="BF129" t="inlineStr">
        <is>
          <t>no</t>
        </is>
      </c>
      <c r="BG129" t="inlineStr">
        <is>
          <t>yes</t>
        </is>
      </c>
      <c r="BH129"/>
      <c r="BI129"/>
      <c r="BJ129"/>
      <c r="BK129"/>
      <c r="BL129"/>
      <c r="BM129"/>
      <c r="BN129"/>
      <c r="BO129"/>
      <c r="BP129"/>
      <c r="BQ129" t="inlineStr">
        <is>
          <t>liposome/LNP; route depends on purity, grade, residual solvents/endotoxin</t>
        </is>
      </c>
      <c r="BR129"/>
      <c r="BS129"/>
      <c r="BT129"/>
      <c r="BU129"/>
      <c r="BV129"/>
      <c r="BW129"/>
      <c r="BX129"/>
      <c r="BY129" t="inlineStr">
        <is>
          <t>bilayer-forming cylindrical lipid</t>
        </is>
      </c>
      <c r="BZ129" t="inlineStr">
        <is>
          <t>store cold, dry, inert gas; protect unsaturated/ionizable lipids from oxidation/hydrolysis</t>
        </is>
      </c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</row>
    <row r="130">
      <c r="A130" t="inlineStr">
        <is>
          <t>LIP_DLIN_MC3_DMA</t>
        </is>
      </c>
      <c r="B130" t="inlineStr">
        <is>
          <t>DLin-MC3-DMA</t>
        </is>
      </c>
      <c r="C130" t="inlineStr">
        <is>
          <t>Lipid</t>
        </is>
      </c>
      <c r="D130" t="inlineStr">
        <is>
          <t>Phospholipid/membrane lipid</t>
        </is>
      </c>
      <c r="E130" t="inlineStr">
        <is>
          <t>ionizable lipid</t>
        </is>
      </c>
      <c r="F130">
        <v>642.1</v>
      </c>
      <c r="G130"/>
      <c r="H130"/>
      <c r="I130"/>
      <c r="J130"/>
      <c r="K130"/>
      <c r="L130"/>
      <c r="M130"/>
      <c r="N130"/>
      <c r="O130"/>
      <c r="P130"/>
      <c r="Q130"/>
      <c r="R130">
        <v>6.4</v>
      </c>
      <c r="S130"/>
      <c r="T130">
        <v>0</v>
      </c>
      <c r="U130" t="inlineStr">
        <is>
          <t>pH-dependent cationic/neutral</t>
        </is>
      </c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17.5</v>
      </c>
      <c r="AJ130">
        <v>7.5</v>
      </c>
      <c r="AK130">
        <v>10.0</v>
      </c>
      <c r="AL130">
        <v>8.0</v>
      </c>
      <c r="AM130">
        <v>21.51</v>
      </c>
      <c r="AN130">
        <v>642.1</v>
      </c>
      <c r="AO130">
        <v>0.62</v>
      </c>
      <c r="AP130"/>
      <c r="AQ130"/>
      <c r="AR130"/>
      <c r="AS130">
        <v>18</v>
      </c>
      <c r="AT130">
        <v>2</v>
      </c>
      <c r="AU130">
        <v>18</v>
      </c>
      <c r="AV130">
        <v>2</v>
      </c>
      <c r="AW130">
        <v>2</v>
      </c>
      <c r="AX130" t="inlineStr">
        <is>
          <t>ionizable lipid</t>
        </is>
      </c>
      <c r="AY130" t="inlineStr">
        <is>
          <t>tertiary amine lipid</t>
        </is>
      </c>
      <c r="AZ130"/>
      <c r="BA130"/>
      <c r="BB130"/>
      <c r="BC130"/>
      <c r="BD130" t="inlineStr">
        <is>
          <t>fluidizing</t>
        </is>
      </c>
      <c r="BE130" t="inlineStr">
        <is>
          <t>no</t>
        </is>
      </c>
      <c r="BF130" t="inlineStr">
        <is>
          <t>no</t>
        </is>
      </c>
      <c r="BG130" t="inlineStr">
        <is>
          <t>yes</t>
        </is>
      </c>
      <c r="BH130"/>
      <c r="BI130"/>
      <c r="BJ130"/>
      <c r="BK130"/>
      <c r="BL130"/>
      <c r="BM130"/>
      <c r="BN130"/>
      <c r="BO130"/>
      <c r="BP130"/>
      <c r="BQ130" t="inlineStr">
        <is>
          <t>liposome/LNP; route depends on purity, grade, residual solvents/endotoxin</t>
        </is>
      </c>
      <c r="BR130"/>
      <c r="BS130"/>
      <c r="BT130"/>
      <c r="BU130"/>
      <c r="BV130"/>
      <c r="BW130"/>
      <c r="BX130"/>
      <c r="BY130" t="inlineStr">
        <is>
          <t>bilayer-forming cylindrical lipid</t>
        </is>
      </c>
      <c r="BZ130" t="inlineStr">
        <is>
          <t>store cold, dry, inert gas; protect unsaturated/ionizable lipids from oxidation/hydrolysis</t>
        </is>
      </c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</row>
    <row r="131">
      <c r="A131" t="inlineStr">
        <is>
          <t>LIP_SM_102</t>
        </is>
      </c>
      <c r="B131" t="inlineStr">
        <is>
          <t>SM-102</t>
        </is>
      </c>
      <c r="C131" t="inlineStr">
        <is>
          <t>Lipid</t>
        </is>
      </c>
      <c r="D131" t="inlineStr">
        <is>
          <t>Phospholipid/membrane lipid</t>
        </is>
      </c>
      <c r="E131" t="inlineStr">
        <is>
          <t>ionizable lipid</t>
        </is>
      </c>
      <c r="F131">
        <v>710.0</v>
      </c>
      <c r="G131"/>
      <c r="H131"/>
      <c r="I131"/>
      <c r="J131"/>
      <c r="K131"/>
      <c r="L131"/>
      <c r="M131"/>
      <c r="N131"/>
      <c r="O131"/>
      <c r="P131"/>
      <c r="Q131"/>
      <c r="R131">
        <v>6.7</v>
      </c>
      <c r="S131"/>
      <c r="T131">
        <v>0</v>
      </c>
      <c r="U131" t="inlineStr">
        <is>
          <t>pH-dependent cationic/neutral</t>
        </is>
      </c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>
        <v>17.5</v>
      </c>
      <c r="AJ131">
        <v>7.5</v>
      </c>
      <c r="AK131">
        <v>10.0</v>
      </c>
      <c r="AL131">
        <v>8.0</v>
      </c>
      <c r="AM131">
        <v>21.51</v>
      </c>
      <c r="AN131">
        <v>710.0</v>
      </c>
      <c r="AO131">
        <v>0.62</v>
      </c>
      <c r="AP131"/>
      <c r="AQ131"/>
      <c r="AR131"/>
      <c r="AS131">
        <v>18</v>
      </c>
      <c r="AT131">
        <v>1</v>
      </c>
      <c r="AU131">
        <v>18</v>
      </c>
      <c r="AV131">
        <v>1</v>
      </c>
      <c r="AW131">
        <v>2</v>
      </c>
      <c r="AX131" t="inlineStr">
        <is>
          <t>ionizable lipid</t>
        </is>
      </c>
      <c r="AY131" t="inlineStr">
        <is>
          <t>tertiary amine lipid</t>
        </is>
      </c>
      <c r="AZ131"/>
      <c r="BA131"/>
      <c r="BB131"/>
      <c r="BC131"/>
      <c r="BD131" t="inlineStr">
        <is>
          <t>fluidizing</t>
        </is>
      </c>
      <c r="BE131" t="inlineStr">
        <is>
          <t>no</t>
        </is>
      </c>
      <c r="BF131" t="inlineStr">
        <is>
          <t>no</t>
        </is>
      </c>
      <c r="BG131" t="inlineStr">
        <is>
          <t>yes</t>
        </is>
      </c>
      <c r="BH131"/>
      <c r="BI131"/>
      <c r="BJ131"/>
      <c r="BK131"/>
      <c r="BL131"/>
      <c r="BM131"/>
      <c r="BN131"/>
      <c r="BO131"/>
      <c r="BP131"/>
      <c r="BQ131" t="inlineStr">
        <is>
          <t>liposome/LNP; route depends on purity, grade, residual solvents/endotoxin</t>
        </is>
      </c>
      <c r="BR131"/>
      <c r="BS131"/>
      <c r="BT131"/>
      <c r="BU131"/>
      <c r="BV131"/>
      <c r="BW131"/>
      <c r="BX131"/>
      <c r="BY131" t="inlineStr">
        <is>
          <t>bilayer-forming cylindrical lipid</t>
        </is>
      </c>
      <c r="BZ131" t="inlineStr">
        <is>
          <t>store cold, dry, inert gas; protect unsaturated/ionizable lipids from oxidation/hydrolysis</t>
        </is>
      </c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</row>
    <row r="132">
      <c r="A132" t="inlineStr">
        <is>
          <t>LIP_ALC_0315</t>
        </is>
      </c>
      <c r="B132" t="inlineStr">
        <is>
          <t>ALC-0315</t>
        </is>
      </c>
      <c r="C132" t="inlineStr">
        <is>
          <t>Lipid</t>
        </is>
      </c>
      <c r="D132" t="inlineStr">
        <is>
          <t>Phospholipid/membrane lipid</t>
        </is>
      </c>
      <c r="E132" t="inlineStr">
        <is>
          <t>ionizable lipid</t>
        </is>
      </c>
      <c r="F132">
        <v>766.2</v>
      </c>
      <c r="G132"/>
      <c r="H132"/>
      <c r="I132"/>
      <c r="J132"/>
      <c r="K132"/>
      <c r="L132"/>
      <c r="M132"/>
      <c r="N132"/>
      <c r="O132"/>
      <c r="P132"/>
      <c r="Q132"/>
      <c r="R132">
        <v>6.1</v>
      </c>
      <c r="S132"/>
      <c r="T132">
        <v>0</v>
      </c>
      <c r="U132" t="inlineStr">
        <is>
          <t>pH-dependent cationic/neutral</t>
        </is>
      </c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>
        <v>17.5</v>
      </c>
      <c r="AJ132">
        <v>7.5</v>
      </c>
      <c r="AK132">
        <v>10.0</v>
      </c>
      <c r="AL132">
        <v>8.0</v>
      </c>
      <c r="AM132">
        <v>21.51</v>
      </c>
      <c r="AN132">
        <v>766.2</v>
      </c>
      <c r="AO132">
        <v>0.62</v>
      </c>
      <c r="AP132"/>
      <c r="AQ132"/>
      <c r="AR132"/>
      <c r="AS132">
        <v>18</v>
      </c>
      <c r="AT132">
        <v>1</v>
      </c>
      <c r="AU132">
        <v>18</v>
      </c>
      <c r="AV132">
        <v>1</v>
      </c>
      <c r="AW132">
        <v>2</v>
      </c>
      <c r="AX132" t="inlineStr">
        <is>
          <t>ionizable lipid</t>
        </is>
      </c>
      <c r="AY132" t="inlineStr">
        <is>
          <t>tertiary amine lipid</t>
        </is>
      </c>
      <c r="AZ132"/>
      <c r="BA132"/>
      <c r="BB132"/>
      <c r="BC132"/>
      <c r="BD132" t="inlineStr">
        <is>
          <t>fluidizing</t>
        </is>
      </c>
      <c r="BE132" t="inlineStr">
        <is>
          <t>no</t>
        </is>
      </c>
      <c r="BF132" t="inlineStr">
        <is>
          <t>no</t>
        </is>
      </c>
      <c r="BG132" t="inlineStr">
        <is>
          <t>yes</t>
        </is>
      </c>
      <c r="BH132"/>
      <c r="BI132"/>
      <c r="BJ132"/>
      <c r="BK132"/>
      <c r="BL132"/>
      <c r="BM132"/>
      <c r="BN132"/>
      <c r="BO132"/>
      <c r="BP132"/>
      <c r="BQ132" t="inlineStr">
        <is>
          <t>liposome/LNP; route depends on purity, grade, residual solvents/endotoxin</t>
        </is>
      </c>
      <c r="BR132"/>
      <c r="BS132"/>
      <c r="BT132"/>
      <c r="BU132"/>
      <c r="BV132"/>
      <c r="BW132"/>
      <c r="BX132"/>
      <c r="BY132" t="inlineStr">
        <is>
          <t>bilayer-forming cylindrical lipid</t>
        </is>
      </c>
      <c r="BZ132" t="inlineStr">
        <is>
          <t>store cold, dry, inert gas; protect unsaturated/ionizable lipids from oxidation/hydrolysis</t>
        </is>
      </c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</row>
    <row r="133">
      <c r="A133" t="inlineStr">
        <is>
          <t>LIP_DLIN_KC2_DMA</t>
        </is>
      </c>
      <c r="B133" t="inlineStr">
        <is>
          <t>Dlin-KC2-DMA</t>
        </is>
      </c>
      <c r="C133" t="inlineStr">
        <is>
          <t>Lipid</t>
        </is>
      </c>
      <c r="D133" t="inlineStr">
        <is>
          <t>Phospholipid/membrane lipid</t>
        </is>
      </c>
      <c r="E133" t="inlineStr">
        <is>
          <t>ionizable lipid</t>
        </is>
      </c>
      <c r="F133">
        <v>642.1</v>
      </c>
      <c r="G133"/>
      <c r="H133"/>
      <c r="I133"/>
      <c r="J133"/>
      <c r="K133"/>
      <c r="L133"/>
      <c r="M133"/>
      <c r="N133"/>
      <c r="O133"/>
      <c r="P133"/>
      <c r="Q133"/>
      <c r="R133">
        <v>6.7</v>
      </c>
      <c r="S133"/>
      <c r="T133">
        <v>0</v>
      </c>
      <c r="U133" t="inlineStr">
        <is>
          <t>pH-dependent cationic/neutral</t>
        </is>
      </c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>
        <v>17.5</v>
      </c>
      <c r="AJ133">
        <v>7.5</v>
      </c>
      <c r="AK133">
        <v>10.0</v>
      </c>
      <c r="AL133">
        <v>8.0</v>
      </c>
      <c r="AM133">
        <v>21.51</v>
      </c>
      <c r="AN133">
        <v>642.1</v>
      </c>
      <c r="AO133">
        <v>0.62</v>
      </c>
      <c r="AP133"/>
      <c r="AQ133"/>
      <c r="AR133"/>
      <c r="AS133">
        <v>18</v>
      </c>
      <c r="AT133">
        <v>2</v>
      </c>
      <c r="AU133">
        <v>18</v>
      </c>
      <c r="AV133">
        <v>2</v>
      </c>
      <c r="AW133">
        <v>2</v>
      </c>
      <c r="AX133" t="inlineStr">
        <is>
          <t>ionizable lipid</t>
        </is>
      </c>
      <c r="AY133" t="inlineStr">
        <is>
          <t>tertiary amine lipid</t>
        </is>
      </c>
      <c r="AZ133"/>
      <c r="BA133"/>
      <c r="BB133"/>
      <c r="BC133"/>
      <c r="BD133" t="inlineStr">
        <is>
          <t>fluidizing</t>
        </is>
      </c>
      <c r="BE133" t="inlineStr">
        <is>
          <t>no</t>
        </is>
      </c>
      <c r="BF133" t="inlineStr">
        <is>
          <t>no</t>
        </is>
      </c>
      <c r="BG133" t="inlineStr">
        <is>
          <t>yes</t>
        </is>
      </c>
      <c r="BH133"/>
      <c r="BI133"/>
      <c r="BJ133"/>
      <c r="BK133"/>
      <c r="BL133"/>
      <c r="BM133"/>
      <c r="BN133"/>
      <c r="BO133"/>
      <c r="BP133"/>
      <c r="BQ133" t="inlineStr">
        <is>
          <t>liposome/LNP; route depends on purity, grade, residual solvents/endotoxin</t>
        </is>
      </c>
      <c r="BR133"/>
      <c r="BS133"/>
      <c r="BT133"/>
      <c r="BU133"/>
      <c r="BV133"/>
      <c r="BW133"/>
      <c r="BX133"/>
      <c r="BY133" t="inlineStr">
        <is>
          <t>bilayer-forming cylindrical lipid</t>
        </is>
      </c>
      <c r="BZ133" t="inlineStr">
        <is>
          <t>store cold, dry, inert gas; protect unsaturated/ionizable lipids from oxidation/hydrolysis</t>
        </is>
      </c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</row>
    <row r="134">
      <c r="A134" t="inlineStr">
        <is>
          <t>LIP_DODMA</t>
        </is>
      </c>
      <c r="B134" t="inlineStr">
        <is>
          <t>DODMA</t>
        </is>
      </c>
      <c r="C134" t="inlineStr">
        <is>
          <t>Lipid</t>
        </is>
      </c>
      <c r="D134" t="inlineStr">
        <is>
          <t>Phospholipid/membrane lipid</t>
        </is>
      </c>
      <c r="E134" t="inlineStr">
        <is>
          <t>ionizable lipid</t>
        </is>
      </c>
      <c r="F134">
        <v>620.0</v>
      </c>
      <c r="G134"/>
      <c r="H134"/>
      <c r="I134"/>
      <c r="J134"/>
      <c r="K134"/>
      <c r="L134"/>
      <c r="M134"/>
      <c r="N134"/>
      <c r="O134"/>
      <c r="P134"/>
      <c r="Q134"/>
      <c r="R134">
        <v>6.5</v>
      </c>
      <c r="S134"/>
      <c r="T134">
        <v>0</v>
      </c>
      <c r="U134" t="inlineStr">
        <is>
          <t>pH-dependent cationic/neutral</t>
        </is>
      </c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>
        <v>17.5</v>
      </c>
      <c r="AJ134">
        <v>7.5</v>
      </c>
      <c r="AK134">
        <v>10.0</v>
      </c>
      <c r="AL134">
        <v>8.0</v>
      </c>
      <c r="AM134">
        <v>21.51</v>
      </c>
      <c r="AN134">
        <v>620.0</v>
      </c>
      <c r="AO134">
        <v>0.62</v>
      </c>
      <c r="AP134"/>
      <c r="AQ134"/>
      <c r="AR134"/>
      <c r="AS134">
        <v>18</v>
      </c>
      <c r="AT134">
        <v>1</v>
      </c>
      <c r="AU134">
        <v>18</v>
      </c>
      <c r="AV134">
        <v>1</v>
      </c>
      <c r="AW134">
        <v>2</v>
      </c>
      <c r="AX134" t="inlineStr">
        <is>
          <t>ionizable lipid</t>
        </is>
      </c>
      <c r="AY134" t="inlineStr">
        <is>
          <t>tertiary amine lipid</t>
        </is>
      </c>
      <c r="AZ134"/>
      <c r="BA134"/>
      <c r="BB134"/>
      <c r="BC134"/>
      <c r="BD134" t="inlineStr">
        <is>
          <t>fluidizing</t>
        </is>
      </c>
      <c r="BE134" t="inlineStr">
        <is>
          <t>no</t>
        </is>
      </c>
      <c r="BF134" t="inlineStr">
        <is>
          <t>no</t>
        </is>
      </c>
      <c r="BG134" t="inlineStr">
        <is>
          <t>yes</t>
        </is>
      </c>
      <c r="BH134"/>
      <c r="BI134"/>
      <c r="BJ134"/>
      <c r="BK134"/>
      <c r="BL134"/>
      <c r="BM134"/>
      <c r="BN134"/>
      <c r="BO134"/>
      <c r="BP134"/>
      <c r="BQ134" t="inlineStr">
        <is>
          <t>liposome/LNP; route depends on purity, grade, residual solvents/endotoxin</t>
        </is>
      </c>
      <c r="BR134"/>
      <c r="BS134"/>
      <c r="BT134"/>
      <c r="BU134"/>
      <c r="BV134"/>
      <c r="BW134"/>
      <c r="BX134"/>
      <c r="BY134" t="inlineStr">
        <is>
          <t>bilayer-forming cylindrical lipid</t>
        </is>
      </c>
      <c r="BZ134" t="inlineStr">
        <is>
          <t>store cold, dry, inert gas; protect unsaturated/ionizable lipids from oxidation/hydrolysis</t>
        </is>
      </c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</row>
    <row r="135">
      <c r="A135" t="inlineStr">
        <is>
          <t>LIP_SPHINGOMYELIN</t>
        </is>
      </c>
      <c r="B135" t="inlineStr">
        <is>
          <t>Sphingomyelin</t>
        </is>
      </c>
      <c r="C135" t="inlineStr">
        <is>
          <t>Lipid</t>
        </is>
      </c>
      <c r="D135" t="inlineStr">
        <is>
          <t>Phospholipid/membrane lipid</t>
        </is>
      </c>
      <c r="E135" t="inlineStr">
        <is>
          <t>sphingolipid</t>
        </is>
      </c>
      <c r="F135">
        <v>703</v>
      </c>
      <c r="G135"/>
      <c r="H135"/>
      <c r="I135"/>
      <c r="J135"/>
      <c r="K135"/>
      <c r="L135"/>
      <c r="M135"/>
      <c r="N135"/>
      <c r="O135"/>
      <c r="P135"/>
      <c r="Q135"/>
      <c r="R135"/>
      <c r="S135"/>
      <c r="T135">
        <v>0</v>
      </c>
      <c r="U135" t="inlineStr">
        <is>
          <t>neutral/zwitterionic</t>
        </is>
      </c>
      <c r="V135"/>
      <c r="W135"/>
      <c r="X135"/>
      <c r="Y135">
        <v>37</v>
      </c>
      <c r="Z135"/>
      <c r="AA135"/>
      <c r="AB135"/>
      <c r="AC135"/>
      <c r="AD135"/>
      <c r="AE135"/>
      <c r="AF135"/>
      <c r="AG135"/>
      <c r="AH135"/>
      <c r="AI135">
        <v>17.5</v>
      </c>
      <c r="AJ135">
        <v>7.5</v>
      </c>
      <c r="AK135">
        <v>10.0</v>
      </c>
      <c r="AL135">
        <v>8.0</v>
      </c>
      <c r="AM135">
        <v>21.51</v>
      </c>
      <c r="AN135">
        <v>703.0</v>
      </c>
      <c r="AO135">
        <v>0.62</v>
      </c>
      <c r="AP135"/>
      <c r="AQ135"/>
      <c r="AR135"/>
      <c r="AS135">
        <v>18</v>
      </c>
      <c r="AT135">
        <v>0</v>
      </c>
      <c r="AU135">
        <v>16</v>
      </c>
      <c r="AV135">
        <v>0</v>
      </c>
      <c r="AW135">
        <v>2</v>
      </c>
      <c r="AX135" t="inlineStr">
        <is>
          <t>sphingolipid</t>
        </is>
      </c>
      <c r="AY135" t="inlineStr">
        <is>
          <t>phosphocholine</t>
        </is>
      </c>
      <c r="AZ135"/>
      <c r="BA135"/>
      <c r="BB135"/>
      <c r="BC135"/>
      <c r="BD135" t="inlineStr">
        <is>
          <t>moderate</t>
        </is>
      </c>
      <c r="BE135" t="inlineStr">
        <is>
          <t>no</t>
        </is>
      </c>
      <c r="BF135" t="inlineStr">
        <is>
          <t>no</t>
        </is>
      </c>
      <c r="BG135" t="inlineStr">
        <is>
          <t>no</t>
        </is>
      </c>
      <c r="BH135"/>
      <c r="BI135"/>
      <c r="BJ135"/>
      <c r="BK135"/>
      <c r="BL135"/>
      <c r="BM135"/>
      <c r="BN135"/>
      <c r="BO135"/>
      <c r="BP135"/>
      <c r="BQ135" t="inlineStr">
        <is>
          <t>liposome/LNP; route depends on purity, grade, residual solvents/endotoxin</t>
        </is>
      </c>
      <c r="BR135"/>
      <c r="BS135"/>
      <c r="BT135"/>
      <c r="BU135"/>
      <c r="BV135"/>
      <c r="BW135"/>
      <c r="BX135"/>
      <c r="BY135" t="inlineStr">
        <is>
          <t>bilayer-forming cylindrical lipid</t>
        </is>
      </c>
      <c r="BZ135" t="inlineStr">
        <is>
          <t>store cold, dry, inert gas; protect unsaturated/ionizable lipids from oxidation/hydrolysis</t>
        </is>
      </c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</row>
    <row r="136">
      <c r="A136" t="inlineStr">
        <is>
          <t>LIP_CERAMIDE</t>
        </is>
      </c>
      <c r="B136" t="inlineStr">
        <is>
          <t>Ceramide</t>
        </is>
      </c>
      <c r="C136" t="inlineStr">
        <is>
          <t>Lipid</t>
        </is>
      </c>
      <c r="D136" t="inlineStr">
        <is>
          <t>Phospholipid/membrane lipid</t>
        </is>
      </c>
      <c r="E136" t="inlineStr">
        <is>
          <t>sphingolipid</t>
        </is>
      </c>
      <c r="F136">
        <v>537</v>
      </c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0</v>
      </c>
      <c r="U136" t="inlineStr">
        <is>
          <t>neutral/zwitterionic</t>
        </is>
      </c>
      <c r="V136"/>
      <c r="W136"/>
      <c r="X136"/>
      <c r="Y136">
        <v>90</v>
      </c>
      <c r="Z136"/>
      <c r="AA136"/>
      <c r="AB136"/>
      <c r="AC136"/>
      <c r="AD136"/>
      <c r="AE136"/>
      <c r="AF136"/>
      <c r="AG136"/>
      <c r="AH136"/>
      <c r="AI136">
        <v>17.5</v>
      </c>
      <c r="AJ136">
        <v>7.5</v>
      </c>
      <c r="AK136">
        <v>10.0</v>
      </c>
      <c r="AL136">
        <v>8.0</v>
      </c>
      <c r="AM136">
        <v>21.51</v>
      </c>
      <c r="AN136">
        <v>537.0</v>
      </c>
      <c r="AO136">
        <v>0.62</v>
      </c>
      <c r="AP136"/>
      <c r="AQ136"/>
      <c r="AR136"/>
      <c r="AS136">
        <v>18</v>
      </c>
      <c r="AT136">
        <v>0</v>
      </c>
      <c r="AU136">
        <v>16</v>
      </c>
      <c r="AV136">
        <v>0</v>
      </c>
      <c r="AW136">
        <v>2</v>
      </c>
      <c r="AX136" t="inlineStr">
        <is>
          <t>sphingolipid</t>
        </is>
      </c>
      <c r="AY136" t="inlineStr">
        <is>
          <t>amide/alcohol</t>
        </is>
      </c>
      <c r="AZ136"/>
      <c r="BA136"/>
      <c r="BB136"/>
      <c r="BC136"/>
      <c r="BD136" t="inlineStr">
        <is>
          <t>high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H136"/>
      <c r="BI136"/>
      <c r="BJ136"/>
      <c r="BK136"/>
      <c r="BL136"/>
      <c r="BM136"/>
      <c r="BN136"/>
      <c r="BO136"/>
      <c r="BP136"/>
      <c r="BQ136" t="inlineStr">
        <is>
          <t>liposome/LNP; route depends on purity, grade, residual solvents/endotoxin</t>
        </is>
      </c>
      <c r="BR136"/>
      <c r="BS136"/>
      <c r="BT136"/>
      <c r="BU136"/>
      <c r="BV136"/>
      <c r="BW136"/>
      <c r="BX136"/>
      <c r="BY136" t="inlineStr">
        <is>
          <t>bilayer-forming cylindrical lipid</t>
        </is>
      </c>
      <c r="BZ136" t="inlineStr">
        <is>
          <t>store cold, dry, inert gas; protect unsaturated/ionizable lipids from oxidation/hydrolysis</t>
        </is>
      </c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</row>
    <row r="137">
      <c r="A137" t="inlineStr">
        <is>
          <t>LIP_GLUCOSYLCERAMIDE</t>
        </is>
      </c>
      <c r="B137" t="inlineStr">
        <is>
          <t>Glucosylceramide</t>
        </is>
      </c>
      <c r="C137" t="inlineStr">
        <is>
          <t>Lipid</t>
        </is>
      </c>
      <c r="D137" t="inlineStr">
        <is>
          <t>Phospholipid/membrane lipid</t>
        </is>
      </c>
      <c r="E137" t="inlineStr">
        <is>
          <t>sphingolipid</t>
        </is>
      </c>
      <c r="F137">
        <v>700</v>
      </c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 t="inlineStr">
        <is>
          <t>neutral/zwitterionic</t>
        </is>
      </c>
      <c r="V137"/>
      <c r="W137"/>
      <c r="X137"/>
      <c r="Y137">
        <v>70</v>
      </c>
      <c r="Z137"/>
      <c r="AA137"/>
      <c r="AB137"/>
      <c r="AC137"/>
      <c r="AD137"/>
      <c r="AE137"/>
      <c r="AF137"/>
      <c r="AG137"/>
      <c r="AH137"/>
      <c r="AI137">
        <v>17.5</v>
      </c>
      <c r="AJ137">
        <v>7.5</v>
      </c>
      <c r="AK137">
        <v>10.0</v>
      </c>
      <c r="AL137">
        <v>8.0</v>
      </c>
      <c r="AM137">
        <v>21.51</v>
      </c>
      <c r="AN137">
        <v>700.0</v>
      </c>
      <c r="AO137">
        <v>0.62</v>
      </c>
      <c r="AP137"/>
      <c r="AQ137"/>
      <c r="AR137"/>
      <c r="AS137">
        <v>18</v>
      </c>
      <c r="AT137">
        <v>0</v>
      </c>
      <c r="AU137">
        <v>16</v>
      </c>
      <c r="AV137">
        <v>0</v>
      </c>
      <c r="AW137">
        <v>2</v>
      </c>
      <c r="AX137" t="inlineStr">
        <is>
          <t>glycosphingolipid</t>
        </is>
      </c>
      <c r="AY137" t="inlineStr">
        <is>
          <t>glucose</t>
        </is>
      </c>
      <c r="AZ137"/>
      <c r="BA137"/>
      <c r="BB137"/>
      <c r="BC137"/>
      <c r="BD137" t="inlineStr">
        <is>
          <t>high</t>
        </is>
      </c>
      <c r="BE137" t="inlineStr">
        <is>
          <t>no</t>
        </is>
      </c>
      <c r="BF137" t="inlineStr">
        <is>
          <t>no</t>
        </is>
      </c>
      <c r="BG137" t="inlineStr">
        <is>
          <t>no</t>
        </is>
      </c>
      <c r="BH137"/>
      <c r="BI137"/>
      <c r="BJ137"/>
      <c r="BK137"/>
      <c r="BL137"/>
      <c r="BM137"/>
      <c r="BN137"/>
      <c r="BO137"/>
      <c r="BP137"/>
      <c r="BQ137" t="inlineStr">
        <is>
          <t>liposome/LNP; route depends on purity, grade, residual solvents/endotoxin</t>
        </is>
      </c>
      <c r="BR137"/>
      <c r="BS137"/>
      <c r="BT137"/>
      <c r="BU137"/>
      <c r="BV137"/>
      <c r="BW137"/>
      <c r="BX137"/>
      <c r="BY137" t="inlineStr">
        <is>
          <t>bilayer-forming cylindrical lipid</t>
        </is>
      </c>
      <c r="BZ137" t="inlineStr">
        <is>
          <t>store cold, dry, inert gas; protect unsaturated/ionizable lipids from oxidation/hydrolysis</t>
        </is>
      </c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</row>
    <row r="138">
      <c r="A138" t="inlineStr">
        <is>
          <t>LIP_SAINT_LIPID_PLACEHOLDER</t>
        </is>
      </c>
      <c r="B138" t="inlineStr">
        <is>
          <t>SAINT lipid placeholder</t>
        </is>
      </c>
      <c r="C138" t="inlineStr">
        <is>
          <t>Lipid</t>
        </is>
      </c>
      <c r="D138" t="inlineStr">
        <is>
          <t>Phospholipid/membrane lipid</t>
        </is>
      </c>
      <c r="E138" t="inlineStr">
        <is>
          <t>cationic lipid placeholder</t>
        </is>
      </c>
      <c r="F138">
        <v>0</v>
      </c>
      <c r="G138"/>
      <c r="H138"/>
      <c r="I138"/>
      <c r="J138"/>
      <c r="K138"/>
      <c r="L138"/>
      <c r="M138"/>
      <c r="N138"/>
      <c r="O138"/>
      <c r="P138"/>
      <c r="Q138"/>
      <c r="R138"/>
      <c r="S138"/>
      <c r="T138">
        <v>1</v>
      </c>
      <c r="U138" t="inlineStr">
        <is>
          <t>cationic</t>
        </is>
      </c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>
        <v>17.5</v>
      </c>
      <c r="AJ138">
        <v>7.5</v>
      </c>
      <c r="AK138">
        <v>10.0</v>
      </c>
      <c r="AL138">
        <v>8.0</v>
      </c>
      <c r="AM138">
        <v>21.51</v>
      </c>
      <c r="AN138"/>
      <c r="AO138">
        <v>0.62</v>
      </c>
      <c r="AP138"/>
      <c r="AQ138"/>
      <c r="AR138"/>
      <c r="AS138">
        <v>18</v>
      </c>
      <c r="AT138">
        <v>1</v>
      </c>
      <c r="AU138">
        <v>18</v>
      </c>
      <c r="AV138">
        <v>1</v>
      </c>
      <c r="AW138">
        <v>2</v>
      </c>
      <c r="AX138" t="inlineStr">
        <is>
          <t>SAINT-family cationic lipid</t>
        </is>
      </c>
      <c r="AY138" t="inlineStr">
        <is>
          <t>cationic pyridinium/amine</t>
        </is>
      </c>
      <c r="AZ138"/>
      <c r="BA138"/>
      <c r="BB138"/>
      <c r="BC138"/>
      <c r="BD138" t="inlineStr">
        <is>
          <t>fluidizing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H138"/>
      <c r="BI138"/>
      <c r="BJ138"/>
      <c r="BK138"/>
      <c r="BL138"/>
      <c r="BM138"/>
      <c r="BN138"/>
      <c r="BO138"/>
      <c r="BP138"/>
      <c r="BQ138" t="inlineStr">
        <is>
          <t>liposome/LNP; route depends on purity, grade, residual solvents/endotoxin</t>
        </is>
      </c>
      <c r="BR138"/>
      <c r="BS138"/>
      <c r="BT138"/>
      <c r="BU138"/>
      <c r="BV138"/>
      <c r="BW138"/>
      <c r="BX138"/>
      <c r="BY138" t="inlineStr">
        <is>
          <t>bilayer-forming cylindrical lipid</t>
        </is>
      </c>
      <c r="BZ138" t="inlineStr">
        <is>
          <t>store cold, dry, inert gas; protect unsaturated/ionizable lipids from oxidation/hydrolysis</t>
        </is>
      </c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</row>
    <row r="139">
      <c r="A139" t="inlineStr">
        <is>
          <t>STE_CHOLESTEROL</t>
        </is>
      </c>
      <c r="B139" t="inlineStr">
        <is>
          <t>Cholesterol</t>
        </is>
      </c>
      <c r="C139" t="inlineStr">
        <is>
          <t>Sterol</t>
        </is>
      </c>
      <c r="D139" t="inlineStr">
        <is>
          <t>Sterol/sterol derivative</t>
        </is>
      </c>
      <c r="E139" t="inlineStr">
        <is>
          <t>cholesterol</t>
        </is>
      </c>
      <c r="F139">
        <v>386.65</v>
      </c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>
        <v>148</v>
      </c>
      <c r="Y139"/>
      <c r="Z139"/>
      <c r="AA139"/>
      <c r="AB139"/>
      <c r="AC139"/>
      <c r="AD139"/>
      <c r="AE139"/>
      <c r="AF139"/>
      <c r="AG139"/>
      <c r="AH139"/>
      <c r="AI139">
        <v>18.0</v>
      </c>
      <c r="AJ139">
        <v>2.0</v>
      </c>
      <c r="AK139">
        <v>4.5</v>
      </c>
      <c r="AL139">
        <v>6.5</v>
      </c>
      <c r="AM139">
        <v>18.66</v>
      </c>
      <c r="AN139">
        <v>364.76</v>
      </c>
      <c r="AO139">
        <v>0.4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 t="inlineStr">
        <is>
          <t>liposome/LNP/SLN; route-grade dependent</t>
        </is>
      </c>
      <c r="BR139"/>
      <c r="BS139"/>
      <c r="BT139"/>
      <c r="BU139"/>
      <c r="BV139"/>
      <c r="BW139"/>
      <c r="BX139"/>
      <c r="BY139"/>
      <c r="BZ139"/>
      <c r="CA139" t="inlineStr">
        <is>
          <t>cholesterol</t>
        </is>
      </c>
      <c r="CB139" t="inlineStr">
        <is>
          <t>high membrane-ordering/condensing agent</t>
        </is>
      </c>
      <c r="CC139" t="inlineStr">
        <is>
          <t>high for polyenes/steroid-like APIs; consider partition competition and cholesterol displacement</t>
        </is>
      </c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</row>
    <row r="140">
      <c r="A140" t="inlineStr">
        <is>
          <t>STE_CHOLESTERYL_HEMISUCCINATE</t>
        </is>
      </c>
      <c r="B140" t="inlineStr">
        <is>
          <t>Cholesteryl hemisuccinate</t>
        </is>
      </c>
      <c r="C140" t="inlineStr">
        <is>
          <t>Sterol</t>
        </is>
      </c>
      <c r="D140" t="inlineStr">
        <is>
          <t>Sterol/sterol derivative</t>
        </is>
      </c>
      <c r="E140" t="inlineStr">
        <is>
          <t>anionic cholesterol ester</t>
        </is>
      </c>
      <c r="F140">
        <v>486.7</v>
      </c>
      <c r="G140"/>
      <c r="H140"/>
      <c r="I140"/>
      <c r="J140"/>
      <c r="K140"/>
      <c r="L140"/>
      <c r="M140"/>
      <c r="N140"/>
      <c r="O140"/>
      <c r="P140"/>
      <c r="Q140">
        <v>5.6</v>
      </c>
      <c r="R140"/>
      <c r="S140"/>
      <c r="T140">
        <v>-1</v>
      </c>
      <c r="U140"/>
      <c r="V140"/>
      <c r="W140"/>
      <c r="X140">
        <v>173</v>
      </c>
      <c r="Y140"/>
      <c r="Z140"/>
      <c r="AA140"/>
      <c r="AB140"/>
      <c r="AC140"/>
      <c r="AD140"/>
      <c r="AE140"/>
      <c r="AF140"/>
      <c r="AG140"/>
      <c r="AH140"/>
      <c r="AI140">
        <v>18.0</v>
      </c>
      <c r="AJ140">
        <v>2.0</v>
      </c>
      <c r="AK140">
        <v>4.5</v>
      </c>
      <c r="AL140">
        <v>6.5</v>
      </c>
      <c r="AM140">
        <v>18.66</v>
      </c>
      <c r="AN140">
        <v>459.15</v>
      </c>
      <c r="AO140">
        <v>0.4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 t="inlineStr">
        <is>
          <t>liposome/LNP/SLN; route-grade dependent</t>
        </is>
      </c>
      <c r="BR140"/>
      <c r="BS140"/>
      <c r="BT140"/>
      <c r="BU140"/>
      <c r="BV140"/>
      <c r="BW140"/>
      <c r="BX140"/>
      <c r="BY140"/>
      <c r="BZ140"/>
      <c r="CA140" t="inlineStr">
        <is>
          <t>anionic cholesterol ester</t>
        </is>
      </c>
      <c r="CB140" t="inlineStr">
        <is>
          <t>high membrane-ordering/condensing agent</t>
        </is>
      </c>
      <c r="CC140" t="inlineStr">
        <is>
          <t>high for polyenes/steroid-like APIs; consider partition competition and cholesterol displacement</t>
        </is>
      </c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</row>
    <row r="141">
      <c r="A141" t="inlineStr">
        <is>
          <t>STE_ERGOSTEROL</t>
        </is>
      </c>
      <c r="B141" t="inlineStr">
        <is>
          <t>Ergosterol</t>
        </is>
      </c>
      <c r="C141" t="inlineStr">
        <is>
          <t>Sterol</t>
        </is>
      </c>
      <c r="D141" t="inlineStr">
        <is>
          <t>Sterol/sterol derivative</t>
        </is>
      </c>
      <c r="E141" t="inlineStr">
        <is>
          <t>fungal sterol</t>
        </is>
      </c>
      <c r="F141">
        <v>396.65</v>
      </c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>
        <v>160</v>
      </c>
      <c r="Y141"/>
      <c r="Z141"/>
      <c r="AA141"/>
      <c r="AB141"/>
      <c r="AC141"/>
      <c r="AD141"/>
      <c r="AE141"/>
      <c r="AF141"/>
      <c r="AG141"/>
      <c r="AH141"/>
      <c r="AI141">
        <v>18.0</v>
      </c>
      <c r="AJ141">
        <v>2.0</v>
      </c>
      <c r="AK141">
        <v>4.5</v>
      </c>
      <c r="AL141">
        <v>6.5</v>
      </c>
      <c r="AM141">
        <v>18.66</v>
      </c>
      <c r="AN141">
        <v>374.2</v>
      </c>
      <c r="AO141">
        <v>0.4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 t="inlineStr">
        <is>
          <t>liposome/LNP/SLN; route-grade dependent</t>
        </is>
      </c>
      <c r="BR141"/>
      <c r="BS141"/>
      <c r="BT141"/>
      <c r="BU141"/>
      <c r="BV141"/>
      <c r="BW141"/>
      <c r="BX141"/>
      <c r="BY141"/>
      <c r="BZ141"/>
      <c r="CA141" t="inlineStr">
        <is>
          <t>fungal sterol</t>
        </is>
      </c>
      <c r="CB141" t="inlineStr">
        <is>
          <t>high membrane-ordering/condensing agent</t>
        </is>
      </c>
      <c r="CC141" t="inlineStr">
        <is>
          <t>high for polyenes/steroid-like APIs; consider partition competition and cholesterol displacement</t>
        </is>
      </c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</row>
    <row r="142">
      <c r="A142" t="inlineStr">
        <is>
          <t>STE_BETA_SITOSTEROL</t>
        </is>
      </c>
      <c r="B142" t="inlineStr">
        <is>
          <t>Beta-sitosterol</t>
        </is>
      </c>
      <c r="C142" t="inlineStr">
        <is>
          <t>Sterol</t>
        </is>
      </c>
      <c r="D142" t="inlineStr">
        <is>
          <t>Sterol/sterol derivative</t>
        </is>
      </c>
      <c r="E142" t="inlineStr">
        <is>
          <t>phytosterol</t>
        </is>
      </c>
      <c r="F142">
        <v>414.71</v>
      </c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>
        <v>136</v>
      </c>
      <c r="Y142"/>
      <c r="Z142"/>
      <c r="AA142"/>
      <c r="AB142"/>
      <c r="AC142"/>
      <c r="AD142"/>
      <c r="AE142"/>
      <c r="AF142"/>
      <c r="AG142"/>
      <c r="AH142"/>
      <c r="AI142">
        <v>18.0</v>
      </c>
      <c r="AJ142">
        <v>2.0</v>
      </c>
      <c r="AK142">
        <v>4.5</v>
      </c>
      <c r="AL142">
        <v>6.5</v>
      </c>
      <c r="AM142">
        <v>18.66</v>
      </c>
      <c r="AN142">
        <v>391.24</v>
      </c>
      <c r="AO142">
        <v>0.4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 t="inlineStr">
        <is>
          <t>liposome/LNP/SLN; route-grade dependent</t>
        </is>
      </c>
      <c r="BR142"/>
      <c r="BS142"/>
      <c r="BT142"/>
      <c r="BU142"/>
      <c r="BV142"/>
      <c r="BW142"/>
      <c r="BX142"/>
      <c r="BY142"/>
      <c r="BZ142"/>
      <c r="CA142" t="inlineStr">
        <is>
          <t>phytosterol</t>
        </is>
      </c>
      <c r="CB142" t="inlineStr">
        <is>
          <t>high membrane-ordering/condensing agent</t>
        </is>
      </c>
      <c r="CC142" t="inlineStr">
        <is>
          <t>high for polyenes/steroid-like APIs; consider partition competition and cholesterol displacement</t>
        </is>
      </c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</row>
    <row r="143">
      <c r="A143" t="inlineStr">
        <is>
          <t>STE_LANOSTEROL</t>
        </is>
      </c>
      <c r="B143" t="inlineStr">
        <is>
          <t>Lanosterol</t>
        </is>
      </c>
      <c r="C143" t="inlineStr">
        <is>
          <t>Sterol</t>
        </is>
      </c>
      <c r="D143" t="inlineStr">
        <is>
          <t>Sterol/sterol derivative</t>
        </is>
      </c>
      <c r="E143" t="inlineStr">
        <is>
          <t>sterol precursor</t>
        </is>
      </c>
      <c r="F143">
        <v>426.72</v>
      </c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0</v>
      </c>
      <c r="U143"/>
      <c r="V143"/>
      <c r="W143"/>
      <c r="X143">
        <v>140</v>
      </c>
      <c r="Y143"/>
      <c r="Z143"/>
      <c r="AA143"/>
      <c r="AB143"/>
      <c r="AC143"/>
      <c r="AD143"/>
      <c r="AE143"/>
      <c r="AF143"/>
      <c r="AG143"/>
      <c r="AH143"/>
      <c r="AI143">
        <v>18.0</v>
      </c>
      <c r="AJ143">
        <v>2.0</v>
      </c>
      <c r="AK143">
        <v>4.5</v>
      </c>
      <c r="AL143">
        <v>6.5</v>
      </c>
      <c r="AM143">
        <v>18.66</v>
      </c>
      <c r="AN143">
        <v>402.57</v>
      </c>
      <c r="AO143">
        <v>0.4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 t="inlineStr">
        <is>
          <t>liposome/LNP/SLN; route-grade dependent</t>
        </is>
      </c>
      <c r="BR143"/>
      <c r="BS143"/>
      <c r="BT143"/>
      <c r="BU143"/>
      <c r="BV143"/>
      <c r="BW143"/>
      <c r="BX143"/>
      <c r="BY143"/>
      <c r="BZ143"/>
      <c r="CA143" t="inlineStr">
        <is>
          <t>sterol precursor</t>
        </is>
      </c>
      <c r="CB143" t="inlineStr">
        <is>
          <t>high membrane-ordering/condensing agent</t>
        </is>
      </c>
      <c r="CC143" t="inlineStr">
        <is>
          <t>high for polyenes/steroid-like APIs; consider partition competition and cholesterol displacement</t>
        </is>
      </c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</row>
    <row r="144">
      <c r="A144" t="inlineStr">
        <is>
          <t>BILE_SODIUM_CHOLATE</t>
        </is>
      </c>
      <c r="B144" t="inlineStr">
        <is>
          <t>Sodium cholate</t>
        </is>
      </c>
      <c r="C144" t="inlineStr">
        <is>
          <t>Bile salt</t>
        </is>
      </c>
      <c r="D144" t="inlineStr">
        <is>
          <t>Bile salt/bilosome edge material</t>
        </is>
      </c>
      <c r="E144" t="inlineStr">
        <is>
          <t>bile salt</t>
        </is>
      </c>
      <c r="F144">
        <v>430.55</v>
      </c>
      <c r="G144"/>
      <c r="H144"/>
      <c r="I144"/>
      <c r="J144"/>
      <c r="K144"/>
      <c r="L144"/>
      <c r="M144" t="inlineStr">
        <is>
          <t>facial amphiphile / steroidal anionic surfactant</t>
        </is>
      </c>
      <c r="N144"/>
      <c r="O144"/>
      <c r="P144"/>
      <c r="Q144">
        <v>5.0</v>
      </c>
      <c r="R144"/>
      <c r="S144"/>
      <c r="T144">
        <v>-1</v>
      </c>
      <c r="U144" t="inlineStr">
        <is>
          <t>anionic</t>
        </is>
      </c>
      <c r="V144">
        <v>14</v>
      </c>
      <c r="W144"/>
      <c r="X144"/>
      <c r="Y144"/>
      <c r="Z144"/>
      <c r="AA144"/>
      <c r="AB144"/>
      <c r="AC144"/>
      <c r="AD144"/>
      <c r="AE144"/>
      <c r="AF144"/>
      <c r="AG144"/>
      <c r="AH144"/>
      <c r="AI144">
        <v>17.2</v>
      </c>
      <c r="AJ144">
        <v>8.5</v>
      </c>
      <c r="AK144">
        <v>13.5</v>
      </c>
      <c r="AL144">
        <v>8.5</v>
      </c>
      <c r="AM144">
        <v>23.46</v>
      </c>
      <c r="AN144">
        <v>358.79</v>
      </c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 t="inlineStr">
        <is>
          <t>oral and topical screening; parenteral generally cautionary unless justified</t>
        </is>
      </c>
      <c r="BR144"/>
      <c r="BS144"/>
      <c r="BT144"/>
      <c r="BU144"/>
      <c r="BV144"/>
      <c r="BW144"/>
      <c r="BX144"/>
      <c r="BY144"/>
      <c r="BZ144"/>
      <c r="CA144"/>
      <c r="CB144"/>
      <c r="CC144"/>
      <c r="CD144" t="inlineStr">
        <is>
          <t>yes</t>
        </is>
      </c>
      <c r="CE144" t="inlineStr">
        <is>
          <t>bile salts can be membrane-disruptive; concentration and route are critical</t>
        </is>
      </c>
      <c r="CF144" t="inlineStr">
        <is>
          <t>edge activator / bile-salt stabilizer for bilosomes and oral vesicles</t>
        </is>
      </c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</row>
    <row r="145">
      <c r="A145" t="inlineStr">
        <is>
          <t>BILE_SODIUM_DEOXYCHOLATE</t>
        </is>
      </c>
      <c r="B145" t="inlineStr">
        <is>
          <t>Sodium deoxycholate</t>
        </is>
      </c>
      <c r="C145" t="inlineStr">
        <is>
          <t>Bile salt</t>
        </is>
      </c>
      <c r="D145" t="inlineStr">
        <is>
          <t>Bile salt/bilosome edge material</t>
        </is>
      </c>
      <c r="E145" t="inlineStr">
        <is>
          <t>bile salt</t>
        </is>
      </c>
      <c r="F145">
        <v>414.55</v>
      </c>
      <c r="G145"/>
      <c r="H145"/>
      <c r="I145"/>
      <c r="J145"/>
      <c r="K145"/>
      <c r="L145"/>
      <c r="M145" t="inlineStr">
        <is>
          <t>facial amphiphile / steroidal anionic surfactant</t>
        </is>
      </c>
      <c r="N145"/>
      <c r="O145"/>
      <c r="P145"/>
      <c r="Q145">
        <v>5.0</v>
      </c>
      <c r="R145"/>
      <c r="S145"/>
      <c r="T145">
        <v>-1</v>
      </c>
      <c r="U145" t="inlineStr">
        <is>
          <t>anionic</t>
        </is>
      </c>
      <c r="V145">
        <v>3</v>
      </c>
      <c r="W145"/>
      <c r="X145"/>
      <c r="Y145"/>
      <c r="Z145"/>
      <c r="AA145"/>
      <c r="AB145"/>
      <c r="AC145"/>
      <c r="AD145"/>
      <c r="AE145"/>
      <c r="AF145"/>
      <c r="AG145"/>
      <c r="AH145"/>
      <c r="AI145">
        <v>17.2</v>
      </c>
      <c r="AJ145">
        <v>8.5</v>
      </c>
      <c r="AK145">
        <v>13.5</v>
      </c>
      <c r="AL145">
        <v>8.5</v>
      </c>
      <c r="AM145">
        <v>23.46</v>
      </c>
      <c r="AN145">
        <v>345.46</v>
      </c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 t="inlineStr">
        <is>
          <t>oral and topical screening; parenteral generally cautionary unless justified</t>
        </is>
      </c>
      <c r="BR145"/>
      <c r="BS145"/>
      <c r="BT145"/>
      <c r="BU145"/>
      <c r="BV145"/>
      <c r="BW145"/>
      <c r="BX145"/>
      <c r="BY145"/>
      <c r="BZ145"/>
      <c r="CA145"/>
      <c r="CB145"/>
      <c r="CC145"/>
      <c r="CD145" t="inlineStr">
        <is>
          <t>yes</t>
        </is>
      </c>
      <c r="CE145" t="inlineStr">
        <is>
          <t>bile salts can be membrane-disruptive; concentration and route are critical</t>
        </is>
      </c>
      <c r="CF145" t="inlineStr">
        <is>
          <t>edge activator / bile-salt stabilizer for bilosomes and oral vesicles</t>
        </is>
      </c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</row>
    <row r="146">
      <c r="A146" t="inlineStr">
        <is>
          <t>BILE_SODIUM_TAUROCHOLATE</t>
        </is>
      </c>
      <c r="B146" t="inlineStr">
        <is>
          <t>Sodium taurocholate</t>
        </is>
      </c>
      <c r="C146" t="inlineStr">
        <is>
          <t>Bile salt</t>
        </is>
      </c>
      <c r="D146" t="inlineStr">
        <is>
          <t>Bile salt/bilosome edge material</t>
        </is>
      </c>
      <c r="E146" t="inlineStr">
        <is>
          <t>bile salt</t>
        </is>
      </c>
      <c r="F146">
        <v>537.68</v>
      </c>
      <c r="G146"/>
      <c r="H146"/>
      <c r="I146"/>
      <c r="J146"/>
      <c r="K146"/>
      <c r="L146"/>
      <c r="M146" t="inlineStr">
        <is>
          <t>facial amphiphile / steroidal anionic surfactant</t>
        </is>
      </c>
      <c r="N146"/>
      <c r="O146"/>
      <c r="P146"/>
      <c r="Q146">
        <v>5.0</v>
      </c>
      <c r="R146"/>
      <c r="S146"/>
      <c r="T146">
        <v>-1</v>
      </c>
      <c r="U146" t="inlineStr">
        <is>
          <t>anionic</t>
        </is>
      </c>
      <c r="V146">
        <v>6</v>
      </c>
      <c r="W146"/>
      <c r="X146"/>
      <c r="Y146"/>
      <c r="Z146"/>
      <c r="AA146"/>
      <c r="AB146"/>
      <c r="AC146"/>
      <c r="AD146"/>
      <c r="AE146"/>
      <c r="AF146"/>
      <c r="AG146"/>
      <c r="AH146"/>
      <c r="AI146">
        <v>17.2</v>
      </c>
      <c r="AJ146">
        <v>8.5</v>
      </c>
      <c r="AK146">
        <v>13.5</v>
      </c>
      <c r="AL146">
        <v>8.5</v>
      </c>
      <c r="AM146">
        <v>23.46</v>
      </c>
      <c r="AN146">
        <v>448.07</v>
      </c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 t="inlineStr">
        <is>
          <t>oral and topical screening; parenteral generally cautionary unless justified</t>
        </is>
      </c>
      <c r="BR146"/>
      <c r="BS146"/>
      <c r="BT146"/>
      <c r="BU146"/>
      <c r="BV146"/>
      <c r="BW146"/>
      <c r="BX146"/>
      <c r="BY146"/>
      <c r="BZ146"/>
      <c r="CA146"/>
      <c r="CB146"/>
      <c r="CC146"/>
      <c r="CD146" t="inlineStr">
        <is>
          <t>yes</t>
        </is>
      </c>
      <c r="CE146" t="inlineStr">
        <is>
          <t>bile salts can be membrane-disruptive; concentration and route are critical</t>
        </is>
      </c>
      <c r="CF146" t="inlineStr">
        <is>
          <t>edge activator / bile-salt stabilizer for bilosomes and oral vesicles</t>
        </is>
      </c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</row>
    <row r="147">
      <c r="A147" t="inlineStr">
        <is>
          <t>BILE_SODIUM_GLYCOCHOLATE</t>
        </is>
      </c>
      <c r="B147" t="inlineStr">
        <is>
          <t>Sodium glycocholate</t>
        </is>
      </c>
      <c r="C147" t="inlineStr">
        <is>
          <t>Bile salt</t>
        </is>
      </c>
      <c r="D147" t="inlineStr">
        <is>
          <t>Bile salt/bilosome edge material</t>
        </is>
      </c>
      <c r="E147" t="inlineStr">
        <is>
          <t>bile salt</t>
        </is>
      </c>
      <c r="F147">
        <v>487.61</v>
      </c>
      <c r="G147"/>
      <c r="H147"/>
      <c r="I147"/>
      <c r="J147"/>
      <c r="K147"/>
      <c r="L147"/>
      <c r="M147" t="inlineStr">
        <is>
          <t>facial amphiphile / steroidal anionic surfactant</t>
        </is>
      </c>
      <c r="N147"/>
      <c r="O147"/>
      <c r="P147"/>
      <c r="Q147">
        <v>5.0</v>
      </c>
      <c r="R147"/>
      <c r="S147"/>
      <c r="T147">
        <v>-1</v>
      </c>
      <c r="U147" t="inlineStr">
        <is>
          <t>anionic</t>
        </is>
      </c>
      <c r="V147">
        <v>13</v>
      </c>
      <c r="W147"/>
      <c r="X147"/>
      <c r="Y147"/>
      <c r="Z147"/>
      <c r="AA147"/>
      <c r="AB147"/>
      <c r="AC147"/>
      <c r="AD147"/>
      <c r="AE147"/>
      <c r="AF147"/>
      <c r="AG147"/>
      <c r="AH147"/>
      <c r="AI147">
        <v>17.2</v>
      </c>
      <c r="AJ147">
        <v>8.5</v>
      </c>
      <c r="AK147">
        <v>13.5</v>
      </c>
      <c r="AL147">
        <v>8.5</v>
      </c>
      <c r="AM147">
        <v>23.46</v>
      </c>
      <c r="AN147">
        <v>406.34</v>
      </c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 t="inlineStr">
        <is>
          <t>oral and topical screening; parenteral generally cautionary unless justified</t>
        </is>
      </c>
      <c r="BR147"/>
      <c r="BS147"/>
      <c r="BT147"/>
      <c r="BU147"/>
      <c r="BV147"/>
      <c r="BW147"/>
      <c r="BX147"/>
      <c r="BY147"/>
      <c r="BZ147"/>
      <c r="CA147"/>
      <c r="CB147"/>
      <c r="CC147"/>
      <c r="CD147" t="inlineStr">
        <is>
          <t>yes</t>
        </is>
      </c>
      <c r="CE147" t="inlineStr">
        <is>
          <t>bile salts can be membrane-disruptive; concentration and route are critical</t>
        </is>
      </c>
      <c r="CF147" t="inlineStr">
        <is>
          <t>edge activator / bile-salt stabilizer for bilosomes and oral vesicles</t>
        </is>
      </c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</row>
    <row r="148">
      <c r="A148" t="inlineStr">
        <is>
          <t>BILE_SODIUM_TAURODEOXYCHOLATE</t>
        </is>
      </c>
      <c r="B148" t="inlineStr">
        <is>
          <t>Sodium taurodeoxycholate</t>
        </is>
      </c>
      <c r="C148" t="inlineStr">
        <is>
          <t>Bile salt</t>
        </is>
      </c>
      <c r="D148" t="inlineStr">
        <is>
          <t>Bile salt/bilosome edge material</t>
        </is>
      </c>
      <c r="E148" t="inlineStr">
        <is>
          <t>bile salt</t>
        </is>
      </c>
      <c r="F148">
        <v>521.69</v>
      </c>
      <c r="G148"/>
      <c r="H148"/>
      <c r="I148"/>
      <c r="J148"/>
      <c r="K148"/>
      <c r="L148"/>
      <c r="M148" t="inlineStr">
        <is>
          <t>facial amphiphile / steroidal anionic surfactant</t>
        </is>
      </c>
      <c r="N148"/>
      <c r="O148"/>
      <c r="P148"/>
      <c r="Q148">
        <v>5.0</v>
      </c>
      <c r="R148"/>
      <c r="S148"/>
      <c r="T148">
        <v>-1</v>
      </c>
      <c r="U148" t="inlineStr">
        <is>
          <t>anionic</t>
        </is>
      </c>
      <c r="V148">
        <v>2.5</v>
      </c>
      <c r="W148"/>
      <c r="X148"/>
      <c r="Y148"/>
      <c r="Z148"/>
      <c r="AA148"/>
      <c r="AB148"/>
      <c r="AC148"/>
      <c r="AD148"/>
      <c r="AE148"/>
      <c r="AF148"/>
      <c r="AG148"/>
      <c r="AH148"/>
      <c r="AI148">
        <v>17.2</v>
      </c>
      <c r="AJ148">
        <v>8.5</v>
      </c>
      <c r="AK148">
        <v>13.5</v>
      </c>
      <c r="AL148">
        <v>8.5</v>
      </c>
      <c r="AM148">
        <v>23.46</v>
      </c>
      <c r="AN148">
        <v>434.74</v>
      </c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 t="inlineStr">
        <is>
          <t>oral and topical screening; parenteral generally cautionary unless justified</t>
        </is>
      </c>
      <c r="BR148"/>
      <c r="BS148"/>
      <c r="BT148"/>
      <c r="BU148"/>
      <c r="BV148"/>
      <c r="BW148"/>
      <c r="BX148"/>
      <c r="BY148"/>
      <c r="BZ148"/>
      <c r="CA148"/>
      <c r="CB148"/>
      <c r="CC148"/>
      <c r="CD148" t="inlineStr">
        <is>
          <t>yes</t>
        </is>
      </c>
      <c r="CE148" t="inlineStr">
        <is>
          <t>bile salts can be membrane-disruptive; concentration and route are critical</t>
        </is>
      </c>
      <c r="CF148" t="inlineStr">
        <is>
          <t>edge activator / bile-salt stabilizer for bilosomes and oral vesicles</t>
        </is>
      </c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</row>
    <row r="149">
      <c r="A149" t="inlineStr">
        <is>
          <t>BILE_SODIUM_GLYCODEOXYCHOLATE</t>
        </is>
      </c>
      <c r="B149" t="inlineStr">
        <is>
          <t>Sodium glycodeoxycholate</t>
        </is>
      </c>
      <c r="C149" t="inlineStr">
        <is>
          <t>Bile salt</t>
        </is>
      </c>
      <c r="D149" t="inlineStr">
        <is>
          <t>Bile salt/bilosome edge material</t>
        </is>
      </c>
      <c r="E149" t="inlineStr">
        <is>
          <t>bile salt</t>
        </is>
      </c>
      <c r="F149">
        <v>471.61</v>
      </c>
      <c r="G149"/>
      <c r="H149"/>
      <c r="I149"/>
      <c r="J149"/>
      <c r="K149"/>
      <c r="L149"/>
      <c r="M149" t="inlineStr">
        <is>
          <t>facial amphiphile / steroidal anionic surfactant</t>
        </is>
      </c>
      <c r="N149"/>
      <c r="O149"/>
      <c r="P149"/>
      <c r="Q149">
        <v>5.0</v>
      </c>
      <c r="R149"/>
      <c r="S149"/>
      <c r="T149">
        <v>-1</v>
      </c>
      <c r="U149" t="inlineStr">
        <is>
          <t>anionic</t>
        </is>
      </c>
      <c r="V149">
        <v>2.0</v>
      </c>
      <c r="W149"/>
      <c r="X149"/>
      <c r="Y149"/>
      <c r="Z149"/>
      <c r="AA149"/>
      <c r="AB149"/>
      <c r="AC149"/>
      <c r="AD149"/>
      <c r="AE149"/>
      <c r="AF149"/>
      <c r="AG149"/>
      <c r="AH149"/>
      <c r="AI149">
        <v>17.2</v>
      </c>
      <c r="AJ149">
        <v>8.5</v>
      </c>
      <c r="AK149">
        <v>13.5</v>
      </c>
      <c r="AL149">
        <v>8.5</v>
      </c>
      <c r="AM149">
        <v>23.46</v>
      </c>
      <c r="AN149">
        <v>393.01</v>
      </c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 t="inlineStr">
        <is>
          <t>oral and topical screening; parenteral generally cautionary unless justified</t>
        </is>
      </c>
      <c r="BR149"/>
      <c r="BS149"/>
      <c r="BT149"/>
      <c r="BU149"/>
      <c r="BV149"/>
      <c r="BW149"/>
      <c r="BX149"/>
      <c r="BY149"/>
      <c r="BZ149"/>
      <c r="CA149"/>
      <c r="CB149"/>
      <c r="CC149"/>
      <c r="CD149" t="inlineStr">
        <is>
          <t>yes</t>
        </is>
      </c>
      <c r="CE149" t="inlineStr">
        <is>
          <t>bile salts can be membrane-disruptive; concentration and route are critical</t>
        </is>
      </c>
      <c r="CF149" t="inlineStr">
        <is>
          <t>edge activator / bile-salt stabilizer for bilosomes and oral vesicles</t>
        </is>
      </c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</row>
    <row r="150">
      <c r="A150" t="inlineStr">
        <is>
          <t>BILE_SODIUM_TAUROCHENODEOXYCHOLATE</t>
        </is>
      </c>
      <c r="B150" t="inlineStr">
        <is>
          <t>Sodium taurochenodeoxycholate</t>
        </is>
      </c>
      <c r="C150" t="inlineStr">
        <is>
          <t>Bile salt</t>
        </is>
      </c>
      <c r="D150" t="inlineStr">
        <is>
          <t>Bile salt/bilosome edge material</t>
        </is>
      </c>
      <c r="E150" t="inlineStr">
        <is>
          <t>bile salt</t>
        </is>
      </c>
      <c r="F150">
        <v>521.69</v>
      </c>
      <c r="G150"/>
      <c r="H150"/>
      <c r="I150"/>
      <c r="J150"/>
      <c r="K150"/>
      <c r="L150"/>
      <c r="M150" t="inlineStr">
        <is>
          <t>facial amphiphile / steroidal anionic surfactant</t>
        </is>
      </c>
      <c r="N150"/>
      <c r="O150"/>
      <c r="P150"/>
      <c r="Q150">
        <v>5.0</v>
      </c>
      <c r="R150"/>
      <c r="S150"/>
      <c r="T150">
        <v>-1</v>
      </c>
      <c r="U150" t="inlineStr">
        <is>
          <t>anionic</t>
        </is>
      </c>
      <c r="V150">
        <v>3</v>
      </c>
      <c r="W150"/>
      <c r="X150"/>
      <c r="Y150"/>
      <c r="Z150"/>
      <c r="AA150"/>
      <c r="AB150"/>
      <c r="AC150"/>
      <c r="AD150"/>
      <c r="AE150"/>
      <c r="AF150"/>
      <c r="AG150"/>
      <c r="AH150"/>
      <c r="AI150">
        <v>17.2</v>
      </c>
      <c r="AJ150">
        <v>8.5</v>
      </c>
      <c r="AK150">
        <v>13.5</v>
      </c>
      <c r="AL150">
        <v>8.5</v>
      </c>
      <c r="AM150">
        <v>23.46</v>
      </c>
      <c r="AN150">
        <v>434.74</v>
      </c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 t="inlineStr">
        <is>
          <t>oral and topical screening; parenteral generally cautionary unless justified</t>
        </is>
      </c>
      <c r="BR150"/>
      <c r="BS150"/>
      <c r="BT150"/>
      <c r="BU150"/>
      <c r="BV150"/>
      <c r="BW150"/>
      <c r="BX150"/>
      <c r="BY150"/>
      <c r="BZ150"/>
      <c r="CA150"/>
      <c r="CB150"/>
      <c r="CC150"/>
      <c r="CD150" t="inlineStr">
        <is>
          <t>yes</t>
        </is>
      </c>
      <c r="CE150" t="inlineStr">
        <is>
          <t>bile salts can be membrane-disruptive; concentration and route are critical</t>
        </is>
      </c>
      <c r="CF150" t="inlineStr">
        <is>
          <t>edge activator / bile-salt stabilizer for bilosomes and oral vesicles</t>
        </is>
      </c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</row>
    <row r="151">
      <c r="A151" t="inlineStr">
        <is>
          <t>BILE_SODIUM_CHENODEOXYCHOLATE</t>
        </is>
      </c>
      <c r="B151" t="inlineStr">
        <is>
          <t>Sodium chenodeoxycholate</t>
        </is>
      </c>
      <c r="C151" t="inlineStr">
        <is>
          <t>Bile salt</t>
        </is>
      </c>
      <c r="D151" t="inlineStr">
        <is>
          <t>Bile salt/bilosome edge material</t>
        </is>
      </c>
      <c r="E151" t="inlineStr">
        <is>
          <t>bile salt</t>
        </is>
      </c>
      <c r="F151">
        <v>414.55</v>
      </c>
      <c r="G151"/>
      <c r="H151"/>
      <c r="I151"/>
      <c r="J151"/>
      <c r="K151"/>
      <c r="L151"/>
      <c r="M151" t="inlineStr">
        <is>
          <t>facial amphiphile / steroidal anionic surfactant</t>
        </is>
      </c>
      <c r="N151"/>
      <c r="O151"/>
      <c r="P151"/>
      <c r="Q151">
        <v>5.0</v>
      </c>
      <c r="R151"/>
      <c r="S151"/>
      <c r="T151">
        <v>-1</v>
      </c>
      <c r="U151" t="inlineStr">
        <is>
          <t>anionic</t>
        </is>
      </c>
      <c r="V151">
        <v>4</v>
      </c>
      <c r="W151"/>
      <c r="X151"/>
      <c r="Y151"/>
      <c r="Z151"/>
      <c r="AA151"/>
      <c r="AB151"/>
      <c r="AC151"/>
      <c r="AD151"/>
      <c r="AE151"/>
      <c r="AF151"/>
      <c r="AG151"/>
      <c r="AH151"/>
      <c r="AI151">
        <v>17.2</v>
      </c>
      <c r="AJ151">
        <v>8.5</v>
      </c>
      <c r="AK151">
        <v>13.5</v>
      </c>
      <c r="AL151">
        <v>8.5</v>
      </c>
      <c r="AM151">
        <v>23.46</v>
      </c>
      <c r="AN151">
        <v>345.46</v>
      </c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 t="inlineStr">
        <is>
          <t>oral and topical screening; parenteral generally cautionary unless justified</t>
        </is>
      </c>
      <c r="BR151"/>
      <c r="BS151"/>
      <c r="BT151"/>
      <c r="BU151"/>
      <c r="BV151"/>
      <c r="BW151"/>
      <c r="BX151"/>
      <c r="BY151"/>
      <c r="BZ151"/>
      <c r="CA151"/>
      <c r="CB151"/>
      <c r="CC151"/>
      <c r="CD151" t="inlineStr">
        <is>
          <t>yes</t>
        </is>
      </c>
      <c r="CE151" t="inlineStr">
        <is>
          <t>bile salts can be membrane-disruptive; concentration and route are critical</t>
        </is>
      </c>
      <c r="CF151" t="inlineStr">
        <is>
          <t>edge activator / bile-salt stabilizer for bilosomes and oral vesicles</t>
        </is>
      </c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</row>
    <row r="152">
      <c r="A152" t="inlineStr">
        <is>
          <t>OIL_STEARIC_ACID</t>
        </is>
      </c>
      <c r="B152" t="inlineStr">
        <is>
          <t>Stearic acid</t>
        </is>
      </c>
      <c r="C152" t="inlineStr">
        <is>
          <t>Solid lipid/oil</t>
        </is>
      </c>
      <c r="D152" t="inlineStr">
        <is>
          <t>Solid lipid/oil/wax</t>
        </is>
      </c>
      <c r="E152" t="inlineStr">
        <is>
          <t>fatty acid</t>
        </is>
      </c>
      <c r="F152">
        <v>284.48</v>
      </c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>
        <v>69</v>
      </c>
      <c r="Y152"/>
      <c r="Z152"/>
      <c r="AA152"/>
      <c r="AB152">
        <v>0.94</v>
      </c>
      <c r="AC152"/>
      <c r="AD152"/>
      <c r="AE152"/>
      <c r="AF152"/>
      <c r="AG152"/>
      <c r="AH152"/>
      <c r="AI152">
        <v>17.0</v>
      </c>
      <c r="AJ152">
        <v>2.5</v>
      </c>
      <c r="AK152">
        <v>5.0</v>
      </c>
      <c r="AL152">
        <v>7.0</v>
      </c>
      <c r="AM152">
        <v>17.9</v>
      </c>
      <c r="AN152">
        <v>302.64</v>
      </c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 t="inlineStr">
        <is>
          <t>high</t>
        </is>
      </c>
      <c r="BI152"/>
      <c r="BJ152"/>
      <c r="BK152"/>
      <c r="BL152"/>
      <c r="BM152"/>
      <c r="BN152"/>
      <c r="BO152"/>
      <c r="BP152"/>
      <c r="BQ152" t="inlineStr">
        <is>
          <t>SLN/NLC/nanoemulsion/lipid matrix; route-grade dependent</t>
        </is>
      </c>
      <c r="BR152"/>
      <c r="BS152"/>
      <c r="BT152"/>
      <c r="BU152"/>
      <c r="BV152"/>
      <c r="BW152"/>
      <c r="BX152"/>
      <c r="BY152"/>
      <c r="BZ152"/>
      <c r="CA152"/>
      <c r="CB152"/>
      <c r="CC152"/>
      <c r="CD152"/>
      <c r="CE152"/>
      <c r="CF152"/>
      <c r="CG152" t="inlineStr">
        <is>
          <t>solid</t>
        </is>
      </c>
      <c r="CH152" t="inlineStr">
        <is>
          <t>C18:0</t>
        </is>
      </c>
      <c r="CI152">
        <v>0</v>
      </c>
      <c r="CJ152" t="inlineStr">
        <is>
          <t>polymorphic behavior possible; DSC/XRPD required for final formulation</t>
        </is>
      </c>
      <c r="CK152" t="inlineStr">
        <is>
          <t>saturated fatty acid matrix former</t>
        </is>
      </c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</row>
    <row r="153">
      <c r="A153" t="inlineStr">
        <is>
          <t>OIL_PALMITIC_ACID</t>
        </is>
      </c>
      <c r="B153" t="inlineStr">
        <is>
          <t>Palmitic acid</t>
        </is>
      </c>
      <c r="C153" t="inlineStr">
        <is>
          <t>Solid lipid/oil</t>
        </is>
      </c>
      <c r="D153" t="inlineStr">
        <is>
          <t>Solid lipid/oil/wax</t>
        </is>
      </c>
      <c r="E153" t="inlineStr">
        <is>
          <t>fatty acid</t>
        </is>
      </c>
      <c r="F153">
        <v>256.42</v>
      </c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>
        <v>63</v>
      </c>
      <c r="Y153"/>
      <c r="Z153"/>
      <c r="AA153"/>
      <c r="AB153">
        <v>0.85</v>
      </c>
      <c r="AC153"/>
      <c r="AD153"/>
      <c r="AE153"/>
      <c r="AF153"/>
      <c r="AG153"/>
      <c r="AH153"/>
      <c r="AI153">
        <v>17.0</v>
      </c>
      <c r="AJ153">
        <v>2.5</v>
      </c>
      <c r="AK153">
        <v>5.0</v>
      </c>
      <c r="AL153">
        <v>7.0</v>
      </c>
      <c r="AM153">
        <v>17.9</v>
      </c>
      <c r="AN153">
        <v>301.67</v>
      </c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 t="inlineStr">
        <is>
          <t>high</t>
        </is>
      </c>
      <c r="BI153"/>
      <c r="BJ153"/>
      <c r="BK153"/>
      <c r="BL153"/>
      <c r="BM153"/>
      <c r="BN153"/>
      <c r="BO153"/>
      <c r="BP153"/>
      <c r="BQ153" t="inlineStr">
        <is>
          <t>SLN/NLC/nanoemulsion/lipid matrix; route-grade dependent</t>
        </is>
      </c>
      <c r="BR153"/>
      <c r="BS153"/>
      <c r="BT153"/>
      <c r="BU153"/>
      <c r="BV153"/>
      <c r="BW153"/>
      <c r="BX153"/>
      <c r="BY153"/>
      <c r="BZ153"/>
      <c r="CA153"/>
      <c r="CB153"/>
      <c r="CC153"/>
      <c r="CD153"/>
      <c r="CE153"/>
      <c r="CF153"/>
      <c r="CG153" t="inlineStr">
        <is>
          <t>solid</t>
        </is>
      </c>
      <c r="CH153" t="inlineStr">
        <is>
          <t>C16:0</t>
        </is>
      </c>
      <c r="CI153">
        <v>0</v>
      </c>
      <c r="CJ153" t="inlineStr">
        <is>
          <t>polymorphic behavior possible; DSC/XRPD required for final formulation</t>
        </is>
      </c>
      <c r="CK153" t="inlineStr">
        <is>
          <t>solid lipid matrix former</t>
        </is>
      </c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</row>
    <row r="154">
      <c r="A154" t="inlineStr">
        <is>
          <t>OIL_OLEIC_ACID</t>
        </is>
      </c>
      <c r="B154" t="inlineStr">
        <is>
          <t>Oleic acid</t>
        </is>
      </c>
      <c r="C154" t="inlineStr">
        <is>
          <t>Solid lipid/oil</t>
        </is>
      </c>
      <c r="D154" t="inlineStr">
        <is>
          <t>Solid lipid/oil/wax</t>
        </is>
      </c>
      <c r="E154" t="inlineStr">
        <is>
          <t>fatty acid/liquid lipid</t>
        </is>
      </c>
      <c r="F154">
        <v>282.47</v>
      </c>
      <c r="G154"/>
      <c r="H154"/>
      <c r="I154"/>
      <c r="J154"/>
      <c r="K154"/>
      <c r="L154">
        <v>1</v>
      </c>
      <c r="M154"/>
      <c r="N154"/>
      <c r="O154"/>
      <c r="P154"/>
      <c r="Q154"/>
      <c r="R154"/>
      <c r="S154"/>
      <c r="T154"/>
      <c r="U154"/>
      <c r="V154"/>
      <c r="W154"/>
      <c r="X154">
        <v>13</v>
      </c>
      <c r="Y154"/>
      <c r="Z154"/>
      <c r="AA154"/>
      <c r="AB154">
        <v>0.895</v>
      </c>
      <c r="AC154"/>
      <c r="AD154"/>
      <c r="AE154"/>
      <c r="AF154"/>
      <c r="AG154"/>
      <c r="AH154"/>
      <c r="AI154">
        <v>17.0</v>
      </c>
      <c r="AJ154">
        <v>4.5</v>
      </c>
      <c r="AK154">
        <v>7.0</v>
      </c>
      <c r="AL154">
        <v>7.0</v>
      </c>
      <c r="AM154">
        <v>18.93</v>
      </c>
      <c r="AN154">
        <v>315.61</v>
      </c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 t="inlineStr">
        <is>
          <t>low</t>
        </is>
      </c>
      <c r="BI154"/>
      <c r="BJ154"/>
      <c r="BK154"/>
      <c r="BL154"/>
      <c r="BM154"/>
      <c r="BN154"/>
      <c r="BO154"/>
      <c r="BP154"/>
      <c r="BQ154" t="inlineStr">
        <is>
          <t>SLN/NLC/nanoemulsion/lipid matrix; route-grade dependent</t>
        </is>
      </c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 t="inlineStr">
        <is>
          <t>liquid</t>
        </is>
      </c>
      <c r="CH154" t="inlineStr">
        <is>
          <t>C18:1</t>
        </is>
      </c>
      <c r="CI154">
        <v>1</v>
      </c>
      <c r="CJ154" t="inlineStr">
        <is>
          <t>polymorphic behavior possible; DSC/XRPD required for final formulation</t>
        </is>
      </c>
      <c r="CK154" t="inlineStr">
        <is>
          <t>fluidizing liquid lipid and penetration enhancer</t>
        </is>
      </c>
      <c r="CL154"/>
      <c r="CM154"/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</row>
    <row r="155">
      <c r="A155" t="inlineStr">
        <is>
          <t>OIL_MYRISTIC_ACID</t>
        </is>
      </c>
      <c r="B155" t="inlineStr">
        <is>
          <t>Myristic acid</t>
        </is>
      </c>
      <c r="C155" t="inlineStr">
        <is>
          <t>Solid lipid/oil</t>
        </is>
      </c>
      <c r="D155" t="inlineStr">
        <is>
          <t>Solid lipid/oil/wax</t>
        </is>
      </c>
      <c r="E155" t="inlineStr">
        <is>
          <t>fatty acid</t>
        </is>
      </c>
      <c r="F155">
        <v>228.37</v>
      </c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>
        <v>54</v>
      </c>
      <c r="Y155"/>
      <c r="Z155"/>
      <c r="AA155"/>
      <c r="AB155">
        <v>0.86</v>
      </c>
      <c r="AC155"/>
      <c r="AD155"/>
      <c r="AE155"/>
      <c r="AF155"/>
      <c r="AG155"/>
      <c r="AH155"/>
      <c r="AI155">
        <v>17.0</v>
      </c>
      <c r="AJ155">
        <v>2.5</v>
      </c>
      <c r="AK155">
        <v>5.0</v>
      </c>
      <c r="AL155">
        <v>7.0</v>
      </c>
      <c r="AM155">
        <v>17.9</v>
      </c>
      <c r="AN155">
        <v>265.55</v>
      </c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 t="inlineStr">
        <is>
          <t>high</t>
        </is>
      </c>
      <c r="BI155"/>
      <c r="BJ155"/>
      <c r="BK155"/>
      <c r="BL155"/>
      <c r="BM155"/>
      <c r="BN155"/>
      <c r="BO155"/>
      <c r="BP155"/>
      <c r="BQ155" t="inlineStr">
        <is>
          <t>SLN/NLC/nanoemulsion/lipid matrix; route-grade dependent</t>
        </is>
      </c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 t="inlineStr">
        <is>
          <t>solid</t>
        </is>
      </c>
      <c r="CH155" t="inlineStr">
        <is>
          <t>C14:0</t>
        </is>
      </c>
      <c r="CI155">
        <v>0</v>
      </c>
      <c r="CJ155" t="inlineStr">
        <is>
          <t>polymorphic behavior possible; DSC/XRPD required for final formulation</t>
        </is>
      </c>
      <c r="CK155" t="inlineStr">
        <is>
          <t>solid fatty acid</t>
        </is>
      </c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</row>
    <row r="156">
      <c r="A156" t="inlineStr">
        <is>
          <t>OIL_LAURIC_ACID</t>
        </is>
      </c>
      <c r="B156" t="inlineStr">
        <is>
          <t>Lauric acid</t>
        </is>
      </c>
      <c r="C156" t="inlineStr">
        <is>
          <t>Solid lipid/oil</t>
        </is>
      </c>
      <c r="D156" t="inlineStr">
        <is>
          <t>Solid lipid/oil/wax</t>
        </is>
      </c>
      <c r="E156" t="inlineStr">
        <is>
          <t>fatty acid</t>
        </is>
      </c>
      <c r="F156">
        <v>200.32</v>
      </c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>
        <v>44</v>
      </c>
      <c r="Y156"/>
      <c r="Z156"/>
      <c r="AA156"/>
      <c r="AB156">
        <v>0.88</v>
      </c>
      <c r="AC156"/>
      <c r="AD156"/>
      <c r="AE156"/>
      <c r="AF156"/>
      <c r="AG156"/>
      <c r="AH156"/>
      <c r="AI156">
        <v>17.0</v>
      </c>
      <c r="AJ156">
        <v>2.5</v>
      </c>
      <c r="AK156">
        <v>5.0</v>
      </c>
      <c r="AL156">
        <v>7.0</v>
      </c>
      <c r="AM156">
        <v>17.9</v>
      </c>
      <c r="AN156">
        <v>227.64</v>
      </c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 t="inlineStr">
        <is>
          <t>moderate</t>
        </is>
      </c>
      <c r="BI156"/>
      <c r="BJ156"/>
      <c r="BK156"/>
      <c r="BL156"/>
      <c r="BM156"/>
      <c r="BN156"/>
      <c r="BO156"/>
      <c r="BP156"/>
      <c r="BQ156" t="inlineStr">
        <is>
          <t>SLN/NLC/nanoemulsion/lipid matrix; route-grade dependent</t>
        </is>
      </c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 t="inlineStr">
        <is>
          <t>solid</t>
        </is>
      </c>
      <c r="CH156" t="inlineStr">
        <is>
          <t>C12:0</t>
        </is>
      </c>
      <c r="CI156">
        <v>0</v>
      </c>
      <c r="CJ156" t="inlineStr">
        <is>
          <t>polymorphic behavior possible; DSC/XRPD required for final formulation</t>
        </is>
      </c>
      <c r="CK156" t="inlineStr">
        <is>
          <t>medium chain solid fatty acid</t>
        </is>
      </c>
      <c r="CL156"/>
      <c r="CM156"/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</row>
    <row r="157">
      <c r="A157" t="inlineStr">
        <is>
          <t>OIL_CAPRIC_ACID</t>
        </is>
      </c>
      <c r="B157" t="inlineStr">
        <is>
          <t>Capric acid</t>
        </is>
      </c>
      <c r="C157" t="inlineStr">
        <is>
          <t>Solid lipid/oil</t>
        </is>
      </c>
      <c r="D157" t="inlineStr">
        <is>
          <t>Solid lipid/oil/wax</t>
        </is>
      </c>
      <c r="E157" t="inlineStr">
        <is>
          <t>fatty acid</t>
        </is>
      </c>
      <c r="F157">
        <v>172.26</v>
      </c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>
        <v>31</v>
      </c>
      <c r="Y157"/>
      <c r="Z157"/>
      <c r="AA157"/>
      <c r="AB157">
        <v>0.89</v>
      </c>
      <c r="AC157"/>
      <c r="AD157"/>
      <c r="AE157"/>
      <c r="AF157"/>
      <c r="AG157"/>
      <c r="AH157"/>
      <c r="AI157">
        <v>17.0</v>
      </c>
      <c r="AJ157">
        <v>2.5</v>
      </c>
      <c r="AK157">
        <v>5.0</v>
      </c>
      <c r="AL157">
        <v>7.0</v>
      </c>
      <c r="AM157">
        <v>17.9</v>
      </c>
      <c r="AN157">
        <v>193.55</v>
      </c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 t="inlineStr">
        <is>
          <t>moderate</t>
        </is>
      </c>
      <c r="BI157"/>
      <c r="BJ157"/>
      <c r="BK157"/>
      <c r="BL157"/>
      <c r="BM157"/>
      <c r="BN157"/>
      <c r="BO157"/>
      <c r="BP157"/>
      <c r="BQ157" t="inlineStr">
        <is>
          <t>SLN/NLC/nanoemulsion/lipid matrix; route-grade dependent</t>
        </is>
      </c>
      <c r="BR157"/>
      <c r="BS157"/>
      <c r="BT157"/>
      <c r="BU157"/>
      <c r="BV157"/>
      <c r="BW157"/>
      <c r="BX157"/>
      <c r="BY157"/>
      <c r="BZ157"/>
      <c r="CA157"/>
      <c r="CB157"/>
      <c r="CC157"/>
      <c r="CD157"/>
      <c r="CE157"/>
      <c r="CF157"/>
      <c r="CG157" t="inlineStr">
        <is>
          <t>solid</t>
        </is>
      </c>
      <c r="CH157" t="inlineStr">
        <is>
          <t>C10:0</t>
        </is>
      </c>
      <c r="CI157">
        <v>0</v>
      </c>
      <c r="CJ157" t="inlineStr">
        <is>
          <t>polymorphic behavior possible; DSC/XRPD required for final formulation</t>
        </is>
      </c>
      <c r="CK157" t="inlineStr">
        <is>
          <t>medium-chain fatty acid</t>
        </is>
      </c>
      <c r="CL157"/>
      <c r="CM157"/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</row>
    <row r="158">
      <c r="A158" t="inlineStr">
        <is>
          <t>OIL_CAPRYLIC_ACID</t>
        </is>
      </c>
      <c r="B158" t="inlineStr">
        <is>
          <t>Caprylic acid</t>
        </is>
      </c>
      <c r="C158" t="inlineStr">
        <is>
          <t>Solid lipid/oil</t>
        </is>
      </c>
      <c r="D158" t="inlineStr">
        <is>
          <t>Solid lipid/oil/wax</t>
        </is>
      </c>
      <c r="E158" t="inlineStr">
        <is>
          <t>fatty acid</t>
        </is>
      </c>
      <c r="F158">
        <v>144.21</v>
      </c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16</v>
      </c>
      <c r="Y158"/>
      <c r="Z158"/>
      <c r="AA158"/>
      <c r="AB158">
        <v>0.91</v>
      </c>
      <c r="AC158"/>
      <c r="AD158"/>
      <c r="AE158"/>
      <c r="AF158"/>
      <c r="AG158"/>
      <c r="AH158"/>
      <c r="AI158">
        <v>17.0</v>
      </c>
      <c r="AJ158">
        <v>2.5</v>
      </c>
      <c r="AK158">
        <v>5.0</v>
      </c>
      <c r="AL158">
        <v>7.0</v>
      </c>
      <c r="AM158">
        <v>17.9</v>
      </c>
      <c r="AN158">
        <v>158.47</v>
      </c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 t="inlineStr">
        <is>
          <t>low</t>
        </is>
      </c>
      <c r="BI158"/>
      <c r="BJ158"/>
      <c r="BK158"/>
      <c r="BL158"/>
      <c r="BM158"/>
      <c r="BN158"/>
      <c r="BO158"/>
      <c r="BP158"/>
      <c r="BQ158" t="inlineStr">
        <is>
          <t>SLN/NLC/nanoemulsion/lipid matrix; route-grade dependent</t>
        </is>
      </c>
      <c r="BR158"/>
      <c r="BS158"/>
      <c r="BT158"/>
      <c r="BU158"/>
      <c r="BV158"/>
      <c r="BW158"/>
      <c r="BX158"/>
      <c r="BY158"/>
      <c r="BZ158"/>
      <c r="CA158"/>
      <c r="CB158"/>
      <c r="CC158"/>
      <c r="CD158"/>
      <c r="CE158"/>
      <c r="CF158"/>
      <c r="CG158" t="inlineStr">
        <is>
          <t>liquid</t>
        </is>
      </c>
      <c r="CH158" t="inlineStr">
        <is>
          <t>C8:0</t>
        </is>
      </c>
      <c r="CI158">
        <v>0</v>
      </c>
      <c r="CJ158" t="inlineStr">
        <is>
          <t>polymorphic behavior possible; DSC/XRPD required for final formulation</t>
        </is>
      </c>
      <c r="CK158" t="inlineStr">
        <is>
          <t>medium-chain liquid lipid</t>
        </is>
      </c>
      <c r="CL158"/>
      <c r="CM158"/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</row>
    <row r="159">
      <c r="A159" t="inlineStr">
        <is>
          <t>OIL_GLYCERYL_MONOSTEARATE</t>
        </is>
      </c>
      <c r="B159" t="inlineStr">
        <is>
          <t>Glyceryl monostearate</t>
        </is>
      </c>
      <c r="C159" t="inlineStr">
        <is>
          <t>Solid lipid/oil</t>
        </is>
      </c>
      <c r="D159" t="inlineStr">
        <is>
          <t>Solid lipid/oil/wax</t>
        </is>
      </c>
      <c r="E159" t="inlineStr">
        <is>
          <t>glyceride/solid lipid</t>
        </is>
      </c>
      <c r="F159">
        <v>358.56</v>
      </c>
      <c r="G159"/>
      <c r="H159"/>
      <c r="I159"/>
      <c r="J159"/>
      <c r="K159"/>
      <c r="L159">
        <v>3.8</v>
      </c>
      <c r="M159"/>
      <c r="N159"/>
      <c r="O159"/>
      <c r="P159"/>
      <c r="Q159"/>
      <c r="R159"/>
      <c r="S159"/>
      <c r="T159"/>
      <c r="U159"/>
      <c r="V159"/>
      <c r="W159"/>
      <c r="X159">
        <v>58</v>
      </c>
      <c r="Y159"/>
      <c r="Z159"/>
      <c r="AA159"/>
      <c r="AB159">
        <v>0.97</v>
      </c>
      <c r="AC159"/>
      <c r="AD159"/>
      <c r="AE159"/>
      <c r="AF159"/>
      <c r="AG159"/>
      <c r="AH159"/>
      <c r="AI159">
        <v>17.0</v>
      </c>
      <c r="AJ159">
        <v>4.5</v>
      </c>
      <c r="AK159">
        <v>7.0</v>
      </c>
      <c r="AL159">
        <v>7.0</v>
      </c>
      <c r="AM159">
        <v>18.93</v>
      </c>
      <c r="AN159">
        <v>369.65</v>
      </c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 t="inlineStr">
        <is>
          <t>moderate</t>
        </is>
      </c>
      <c r="BI159"/>
      <c r="BJ159"/>
      <c r="BK159"/>
      <c r="BL159"/>
      <c r="BM159"/>
      <c r="BN159"/>
      <c r="BO159"/>
      <c r="BP159"/>
      <c r="BQ159" t="inlineStr">
        <is>
          <t>SLN/NLC/nanoemulsion/lipid matrix; route-grade dependent</t>
        </is>
      </c>
      <c r="BR159"/>
      <c r="BS159"/>
      <c r="BT159"/>
      <c r="BU159"/>
      <c r="BV159"/>
      <c r="BW159"/>
      <c r="BX159"/>
      <c r="BY159"/>
      <c r="BZ159"/>
      <c r="CA159"/>
      <c r="CB159"/>
      <c r="CC159"/>
      <c r="CD159"/>
      <c r="CE159"/>
      <c r="CF159"/>
      <c r="CG159" t="inlineStr">
        <is>
          <t>solid</t>
        </is>
      </c>
      <c r="CH159" t="inlineStr">
        <is>
          <t>C18:0 monoacylglycerol</t>
        </is>
      </c>
      <c r="CI159">
        <v>0</v>
      </c>
      <c r="CJ159" t="inlineStr">
        <is>
          <t>polymorphic behavior possible; DSC/XRPD required for final formulation</t>
        </is>
      </c>
      <c r="CK159" t="inlineStr">
        <is>
          <t>amphiphilic solid lipid/emulsifier</t>
        </is>
      </c>
      <c r="CL159"/>
      <c r="CM159"/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</row>
    <row r="160">
      <c r="A160" t="inlineStr">
        <is>
          <t>OIL_GLYCERYL_BEHENATE_COMPRITOL_888_ATO</t>
        </is>
      </c>
      <c r="B160" t="inlineStr">
        <is>
          <t>Glyceryl behenate / Compritol 888 ATO</t>
        </is>
      </c>
      <c r="C160" t="inlineStr">
        <is>
          <t>Solid lipid/oil</t>
        </is>
      </c>
      <c r="D160" t="inlineStr">
        <is>
          <t>Solid lipid/oil/wax</t>
        </is>
      </c>
      <c r="E160" t="inlineStr">
        <is>
          <t>glyceride/solid lipid</t>
        </is>
      </c>
      <c r="F160"/>
      <c r="G160">
        <v>900</v>
      </c>
      <c r="H160"/>
      <c r="I160"/>
      <c r="J160"/>
      <c r="K160"/>
      <c r="L160">
        <v>2</v>
      </c>
      <c r="M160"/>
      <c r="N160"/>
      <c r="O160"/>
      <c r="P160"/>
      <c r="Q160"/>
      <c r="R160"/>
      <c r="S160"/>
      <c r="T160"/>
      <c r="U160"/>
      <c r="V160"/>
      <c r="W160"/>
      <c r="X160">
        <v>70</v>
      </c>
      <c r="Y160"/>
      <c r="Z160"/>
      <c r="AA160"/>
      <c r="AB160">
        <v>0.98</v>
      </c>
      <c r="AC160"/>
      <c r="AD160"/>
      <c r="AE160"/>
      <c r="AF160"/>
      <c r="AG160"/>
      <c r="AH160"/>
      <c r="AI160">
        <v>17.0</v>
      </c>
      <c r="AJ160">
        <v>4.5</v>
      </c>
      <c r="AK160">
        <v>7.0</v>
      </c>
      <c r="AL160">
        <v>7.0</v>
      </c>
      <c r="AM160">
        <v>18.93</v>
      </c>
      <c r="AN160">
        <v>918.37</v>
      </c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 t="inlineStr">
        <is>
          <t>high</t>
        </is>
      </c>
      <c r="BI160"/>
      <c r="BJ160"/>
      <c r="BK160"/>
      <c r="BL160"/>
      <c r="BM160"/>
      <c r="BN160"/>
      <c r="BO160"/>
      <c r="BP160"/>
      <c r="BQ160" t="inlineStr">
        <is>
          <t>SLN/NLC/nanoemulsion/lipid matrix; route-grade dependent</t>
        </is>
      </c>
      <c r="BR160"/>
      <c r="BS160"/>
      <c r="BT160"/>
      <c r="BU160"/>
      <c r="BV160"/>
      <c r="BW160"/>
      <c r="BX160"/>
      <c r="BY160"/>
      <c r="BZ160"/>
      <c r="CA160"/>
      <c r="CB160"/>
      <c r="CC160"/>
      <c r="CD160"/>
      <c r="CE160"/>
      <c r="CF160"/>
      <c r="CG160" t="inlineStr">
        <is>
          <t>solid</t>
        </is>
      </c>
      <c r="CH160" t="inlineStr">
        <is>
          <t>C22 glyceride mixture</t>
        </is>
      </c>
      <c r="CI160">
        <v>0</v>
      </c>
      <c r="CJ160" t="inlineStr">
        <is>
          <t>polymorphic behavior possible; DSC/XRPD required for final formulation</t>
        </is>
      </c>
      <c r="CK160" t="inlineStr">
        <is>
          <t>sustained-release SLN matrix; mixture</t>
        </is>
      </c>
      <c r="CL160"/>
      <c r="CM160"/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</row>
    <row r="161">
      <c r="A161" t="inlineStr">
        <is>
          <t>OIL_GLYCERYL_PALMITOSTEARATE_PRECIROL_ATO_5</t>
        </is>
      </c>
      <c r="B161" t="inlineStr">
        <is>
          <t>Glyceryl palmitostearate / Precirol ATO 5</t>
        </is>
      </c>
      <c r="C161" t="inlineStr">
        <is>
          <t>Solid lipid/oil</t>
        </is>
      </c>
      <c r="D161" t="inlineStr">
        <is>
          <t>Solid lipid/oil/wax</t>
        </is>
      </c>
      <c r="E161" t="inlineStr">
        <is>
          <t>glyceride/solid lipid</t>
        </is>
      </c>
      <c r="F161"/>
      <c r="G161">
        <v>650</v>
      </c>
      <c r="H161"/>
      <c r="I161"/>
      <c r="J161"/>
      <c r="K161"/>
      <c r="L161">
        <v>2</v>
      </c>
      <c r="M161"/>
      <c r="N161"/>
      <c r="O161"/>
      <c r="P161"/>
      <c r="Q161"/>
      <c r="R161"/>
      <c r="S161"/>
      <c r="T161"/>
      <c r="U161"/>
      <c r="V161"/>
      <c r="W161"/>
      <c r="X161">
        <v>55</v>
      </c>
      <c r="Y161"/>
      <c r="Z161"/>
      <c r="AA161"/>
      <c r="AB161">
        <v>0.96</v>
      </c>
      <c r="AC161"/>
      <c r="AD161"/>
      <c r="AE161"/>
      <c r="AF161"/>
      <c r="AG161"/>
      <c r="AH161"/>
      <c r="AI161">
        <v>17.0</v>
      </c>
      <c r="AJ161">
        <v>4.5</v>
      </c>
      <c r="AK161">
        <v>7.0</v>
      </c>
      <c r="AL161">
        <v>7.0</v>
      </c>
      <c r="AM161">
        <v>18.93</v>
      </c>
      <c r="AN161">
        <v>677.08</v>
      </c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 t="inlineStr">
        <is>
          <t>high</t>
        </is>
      </c>
      <c r="BI161"/>
      <c r="BJ161"/>
      <c r="BK161"/>
      <c r="BL161"/>
      <c r="BM161"/>
      <c r="BN161"/>
      <c r="BO161"/>
      <c r="BP161"/>
      <c r="BQ161" t="inlineStr">
        <is>
          <t>SLN/NLC/nanoemulsion/lipid matrix; route-grade dependent</t>
        </is>
      </c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 t="inlineStr">
        <is>
          <t>solid</t>
        </is>
      </c>
      <c r="CH161" t="inlineStr">
        <is>
          <t>C16/C18 glyceride mixture</t>
        </is>
      </c>
      <c r="CI161">
        <v>0</v>
      </c>
      <c r="CJ161" t="inlineStr">
        <is>
          <t>polymorphic behavior possible; DSC/XRPD required for final formulation</t>
        </is>
      </c>
      <c r="CK161" t="inlineStr">
        <is>
          <t>solid lipid matrix</t>
        </is>
      </c>
      <c r="CL161"/>
      <c r="CM161"/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</row>
    <row r="162">
      <c r="A162" t="inlineStr">
        <is>
          <t>OIL_TRIMYRISTIN_DYNASAN_114</t>
        </is>
      </c>
      <c r="B162" t="inlineStr">
        <is>
          <t>Trimyristin / Dynasan 114</t>
        </is>
      </c>
      <c r="C162" t="inlineStr">
        <is>
          <t>Solid lipid/oil</t>
        </is>
      </c>
      <c r="D162" t="inlineStr">
        <is>
          <t>Solid lipid/oil/wax</t>
        </is>
      </c>
      <c r="E162" t="inlineStr">
        <is>
          <t>triglyceride/solid lipid</t>
        </is>
      </c>
      <c r="F162">
        <v>723.16</v>
      </c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>
        <v>56</v>
      </c>
      <c r="Y162"/>
      <c r="Z162"/>
      <c r="AA162"/>
      <c r="AB162">
        <v>0.9</v>
      </c>
      <c r="AC162"/>
      <c r="AD162"/>
      <c r="AE162"/>
      <c r="AF162"/>
      <c r="AG162"/>
      <c r="AH162"/>
      <c r="AI162">
        <v>17.0</v>
      </c>
      <c r="AJ162">
        <v>2.5</v>
      </c>
      <c r="AK162">
        <v>5.0</v>
      </c>
      <c r="AL162">
        <v>7.0</v>
      </c>
      <c r="AM162">
        <v>17.9</v>
      </c>
      <c r="AN162">
        <v>803.51</v>
      </c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 t="inlineStr">
        <is>
          <t>high</t>
        </is>
      </c>
      <c r="BI162"/>
      <c r="BJ162"/>
      <c r="BK162"/>
      <c r="BL162"/>
      <c r="BM162"/>
      <c r="BN162"/>
      <c r="BO162"/>
      <c r="BP162"/>
      <c r="BQ162" t="inlineStr">
        <is>
          <t>SLN/NLC/nanoemulsion/lipid matrix; route-grade dependent</t>
        </is>
      </c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 t="inlineStr">
        <is>
          <t>solid</t>
        </is>
      </c>
      <c r="CH162" t="inlineStr">
        <is>
          <t>3 x C14:0</t>
        </is>
      </c>
      <c r="CI162">
        <v>0</v>
      </c>
      <c r="CJ162" t="inlineStr">
        <is>
          <t>polymorphic behavior possible; DSC/XRPD required for final formulation</t>
        </is>
      </c>
      <c r="CK162" t="inlineStr">
        <is>
          <t>defined triglyceride</t>
        </is>
      </c>
      <c r="CL162"/>
      <c r="CM162"/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</row>
    <row r="163">
      <c r="A163" t="inlineStr">
        <is>
          <t>OIL_TRIPALMITIN_DYNASAN_116</t>
        </is>
      </c>
      <c r="B163" t="inlineStr">
        <is>
          <t>Tripalmitin / Dynasan 116</t>
        </is>
      </c>
      <c r="C163" t="inlineStr">
        <is>
          <t>Solid lipid/oil</t>
        </is>
      </c>
      <c r="D163" t="inlineStr">
        <is>
          <t>Solid lipid/oil/wax</t>
        </is>
      </c>
      <c r="E163" t="inlineStr">
        <is>
          <t>triglyceride/solid lipid</t>
        </is>
      </c>
      <c r="F163">
        <v>807.32</v>
      </c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>
        <v>66</v>
      </c>
      <c r="Y163"/>
      <c r="Z163"/>
      <c r="AA163"/>
      <c r="AB163">
        <v>0.88</v>
      </c>
      <c r="AC163"/>
      <c r="AD163"/>
      <c r="AE163"/>
      <c r="AF163"/>
      <c r="AG163"/>
      <c r="AH163"/>
      <c r="AI163">
        <v>17.0</v>
      </c>
      <c r="AJ163">
        <v>2.5</v>
      </c>
      <c r="AK163">
        <v>5.0</v>
      </c>
      <c r="AL163">
        <v>7.0</v>
      </c>
      <c r="AM163">
        <v>17.9</v>
      </c>
      <c r="AN163">
        <v>917.41</v>
      </c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 t="inlineStr">
        <is>
          <t>high</t>
        </is>
      </c>
      <c r="BI163"/>
      <c r="BJ163"/>
      <c r="BK163"/>
      <c r="BL163"/>
      <c r="BM163"/>
      <c r="BN163"/>
      <c r="BO163"/>
      <c r="BP163"/>
      <c r="BQ163" t="inlineStr">
        <is>
          <t>SLN/NLC/nanoemulsion/lipid matrix; route-grade dependent</t>
        </is>
      </c>
      <c r="BR163"/>
      <c r="BS163"/>
      <c r="BT163"/>
      <c r="BU163"/>
      <c r="BV163"/>
      <c r="BW163"/>
      <c r="BX163"/>
      <c r="BY163"/>
      <c r="BZ163"/>
      <c r="CA163"/>
      <c r="CB163"/>
      <c r="CC163"/>
      <c r="CD163"/>
      <c r="CE163"/>
      <c r="CF163"/>
      <c r="CG163" t="inlineStr">
        <is>
          <t>solid</t>
        </is>
      </c>
      <c r="CH163" t="inlineStr">
        <is>
          <t>3 x C16:0</t>
        </is>
      </c>
      <c r="CI163">
        <v>0</v>
      </c>
      <c r="CJ163" t="inlineStr">
        <is>
          <t>polymorphic behavior possible; DSC/XRPD required for final formulation</t>
        </is>
      </c>
      <c r="CK163" t="inlineStr">
        <is>
          <t>defined triglyceride</t>
        </is>
      </c>
      <c r="CL163"/>
      <c r="CM163"/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</row>
    <row r="164">
      <c r="A164" t="inlineStr">
        <is>
          <t>OIL_TRISTEARIN_DYNASAN_118</t>
        </is>
      </c>
      <c r="B164" t="inlineStr">
        <is>
          <t>Tristearin / Dynasan 118</t>
        </is>
      </c>
      <c r="C164" t="inlineStr">
        <is>
          <t>Solid lipid/oil</t>
        </is>
      </c>
      <c r="D164" t="inlineStr">
        <is>
          <t>Solid lipid/oil/wax</t>
        </is>
      </c>
      <c r="E164" t="inlineStr">
        <is>
          <t>triglyceride/solid lipid</t>
        </is>
      </c>
      <c r="F164">
        <v>891.48</v>
      </c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>
        <v>72</v>
      </c>
      <c r="Y164"/>
      <c r="Z164"/>
      <c r="AA164"/>
      <c r="AB164">
        <v>0.86</v>
      </c>
      <c r="AC164"/>
      <c r="AD164"/>
      <c r="AE164"/>
      <c r="AF164"/>
      <c r="AG164"/>
      <c r="AH164"/>
      <c r="AI164">
        <v>17.0</v>
      </c>
      <c r="AJ164">
        <v>2.5</v>
      </c>
      <c r="AK164">
        <v>5.0</v>
      </c>
      <c r="AL164">
        <v>7.0</v>
      </c>
      <c r="AM164">
        <v>17.9</v>
      </c>
      <c r="AN164">
        <v>1036.6</v>
      </c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 t="inlineStr">
        <is>
          <t>high</t>
        </is>
      </c>
      <c r="BI164"/>
      <c r="BJ164"/>
      <c r="BK164"/>
      <c r="BL164"/>
      <c r="BM164"/>
      <c r="BN164"/>
      <c r="BO164"/>
      <c r="BP164"/>
      <c r="BQ164" t="inlineStr">
        <is>
          <t>SLN/NLC/nanoemulsion/lipid matrix; route-grade dependent</t>
        </is>
      </c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 t="inlineStr">
        <is>
          <t>solid</t>
        </is>
      </c>
      <c r="CH164" t="inlineStr">
        <is>
          <t>3 x C18:0</t>
        </is>
      </c>
      <c r="CI164">
        <v>0</v>
      </c>
      <c r="CJ164" t="inlineStr">
        <is>
          <t>polymorphic behavior possible; DSC/XRPD required for final formulation</t>
        </is>
      </c>
      <c r="CK164" t="inlineStr">
        <is>
          <t>defined triglyceride</t>
        </is>
      </c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</row>
    <row r="165">
      <c r="A165" t="inlineStr">
        <is>
          <t>OIL_CETYL_PALMITATE</t>
        </is>
      </c>
      <c r="B165" t="inlineStr">
        <is>
          <t>Cetyl palmitate</t>
        </is>
      </c>
      <c r="C165" t="inlineStr">
        <is>
          <t>Solid lipid/oil</t>
        </is>
      </c>
      <c r="D165" t="inlineStr">
        <is>
          <t>Solid lipid/oil/wax</t>
        </is>
      </c>
      <c r="E165" t="inlineStr">
        <is>
          <t>wax ester</t>
        </is>
      </c>
      <c r="F165">
        <v>480.85</v>
      </c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>
        <v>50</v>
      </c>
      <c r="Y165"/>
      <c r="Z165"/>
      <c r="AA165"/>
      <c r="AB165">
        <v>0.82</v>
      </c>
      <c r="AC165"/>
      <c r="AD165"/>
      <c r="AE165"/>
      <c r="AF165"/>
      <c r="AG165"/>
      <c r="AH165"/>
      <c r="AI165">
        <v>17.0</v>
      </c>
      <c r="AJ165">
        <v>2.5</v>
      </c>
      <c r="AK165">
        <v>5.0</v>
      </c>
      <c r="AL165">
        <v>7.0</v>
      </c>
      <c r="AM165">
        <v>17.9</v>
      </c>
      <c r="AN165">
        <v>586.4</v>
      </c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 t="inlineStr">
        <is>
          <t>high</t>
        </is>
      </c>
      <c r="BI165"/>
      <c r="BJ165"/>
      <c r="BK165"/>
      <c r="BL165"/>
      <c r="BM165"/>
      <c r="BN165"/>
      <c r="BO165"/>
      <c r="BP165"/>
      <c r="BQ165" t="inlineStr">
        <is>
          <t>SLN/NLC/nanoemulsion/lipid matrix; route-grade dependent</t>
        </is>
      </c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 t="inlineStr">
        <is>
          <t>solid</t>
        </is>
      </c>
      <c r="CH165" t="inlineStr">
        <is>
          <t>C16 alcohol + C16 acid</t>
        </is>
      </c>
      <c r="CI165">
        <v>0</v>
      </c>
      <c r="CJ165" t="inlineStr">
        <is>
          <t>polymorphic behavior possible; DSC/XRPD required for final formulation</t>
        </is>
      </c>
      <c r="CK165" t="inlineStr">
        <is>
          <t>wax lipid matrix</t>
        </is>
      </c>
      <c r="CL165"/>
      <c r="CM165"/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</row>
    <row r="166">
      <c r="A166" t="inlineStr">
        <is>
          <t>OIL_WITEPSOL_H15</t>
        </is>
      </c>
      <c r="B166" t="inlineStr">
        <is>
          <t>Witepsol H15</t>
        </is>
      </c>
      <c r="C166" t="inlineStr">
        <is>
          <t>Solid lipid/oil</t>
        </is>
      </c>
      <c r="D166" t="inlineStr">
        <is>
          <t>Solid lipid/oil/wax</t>
        </is>
      </c>
      <c r="E166" t="inlineStr">
        <is>
          <t>hard fat suppository base</t>
        </is>
      </c>
      <c r="F166"/>
      <c r="G166">
        <v>650</v>
      </c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>
        <v>34</v>
      </c>
      <c r="Y166"/>
      <c r="Z166"/>
      <c r="AA166"/>
      <c r="AB166">
        <v>0.95</v>
      </c>
      <c r="AC166"/>
      <c r="AD166"/>
      <c r="AE166"/>
      <c r="AF166"/>
      <c r="AG166"/>
      <c r="AH166"/>
      <c r="AI166">
        <v>17.0</v>
      </c>
      <c r="AJ166">
        <v>2.5</v>
      </c>
      <c r="AK166">
        <v>5.0</v>
      </c>
      <c r="AL166">
        <v>7.0</v>
      </c>
      <c r="AM166">
        <v>17.9</v>
      </c>
      <c r="AN166">
        <v>684.21</v>
      </c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 t="inlineStr">
        <is>
          <t>moderate</t>
        </is>
      </c>
      <c r="BI166"/>
      <c r="BJ166"/>
      <c r="BK166"/>
      <c r="BL166"/>
      <c r="BM166"/>
      <c r="BN166"/>
      <c r="BO166"/>
      <c r="BP166"/>
      <c r="BQ166" t="inlineStr">
        <is>
          <t>SLN/NLC/nanoemulsion/lipid matrix; route-grade dependent</t>
        </is>
      </c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 t="inlineStr">
        <is>
          <t>solid/semi-solid</t>
        </is>
      </c>
      <c r="CH166" t="inlineStr">
        <is>
          <t>C12-C18 triglyceride mixture</t>
        </is>
      </c>
      <c r="CI166">
        <v>0</v>
      </c>
      <c r="CJ166" t="inlineStr">
        <is>
          <t>polymorphic behavior possible; DSC/XRPD required for final formulation</t>
        </is>
      </c>
      <c r="CK166" t="inlineStr">
        <is>
          <t>grade-specific hard fat</t>
        </is>
      </c>
      <c r="CL166"/>
      <c r="CM166"/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</row>
    <row r="167">
      <c r="A167" t="inlineStr">
        <is>
          <t>OIL_WITEPSOL_W35</t>
        </is>
      </c>
      <c r="B167" t="inlineStr">
        <is>
          <t>Witepsol W35</t>
        </is>
      </c>
      <c r="C167" t="inlineStr">
        <is>
          <t>Solid lipid/oil</t>
        </is>
      </c>
      <c r="D167" t="inlineStr">
        <is>
          <t>Solid lipid/oil/wax</t>
        </is>
      </c>
      <c r="E167" t="inlineStr">
        <is>
          <t>hard fat suppository base</t>
        </is>
      </c>
      <c r="F167"/>
      <c r="G167">
        <v>650</v>
      </c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>
        <v>35</v>
      </c>
      <c r="Y167"/>
      <c r="Z167"/>
      <c r="AA167"/>
      <c r="AB167">
        <v>0.95</v>
      </c>
      <c r="AC167"/>
      <c r="AD167"/>
      <c r="AE167"/>
      <c r="AF167"/>
      <c r="AG167"/>
      <c r="AH167"/>
      <c r="AI167">
        <v>17.0</v>
      </c>
      <c r="AJ167">
        <v>2.5</v>
      </c>
      <c r="AK167">
        <v>5.0</v>
      </c>
      <c r="AL167">
        <v>7.0</v>
      </c>
      <c r="AM167">
        <v>17.9</v>
      </c>
      <c r="AN167">
        <v>684.21</v>
      </c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 t="inlineStr">
        <is>
          <t>moderate</t>
        </is>
      </c>
      <c r="BI167"/>
      <c r="BJ167"/>
      <c r="BK167"/>
      <c r="BL167"/>
      <c r="BM167"/>
      <c r="BN167"/>
      <c r="BO167"/>
      <c r="BP167"/>
      <c r="BQ167" t="inlineStr">
        <is>
          <t>SLN/NLC/nanoemulsion/lipid matrix; route-grade dependent</t>
        </is>
      </c>
      <c r="BR167"/>
      <c r="BS167"/>
      <c r="BT167"/>
      <c r="BU167"/>
      <c r="BV167"/>
      <c r="BW167"/>
      <c r="BX167"/>
      <c r="BY167"/>
      <c r="BZ167"/>
      <c r="CA167"/>
      <c r="CB167"/>
      <c r="CC167"/>
      <c r="CD167"/>
      <c r="CE167"/>
      <c r="CF167"/>
      <c r="CG167" t="inlineStr">
        <is>
          <t>solid/semi-solid</t>
        </is>
      </c>
      <c r="CH167" t="inlineStr">
        <is>
          <t>C12-C18 triglyceride mixture</t>
        </is>
      </c>
      <c r="CI167">
        <v>0</v>
      </c>
      <c r="CJ167" t="inlineStr">
        <is>
          <t>polymorphic behavior possible; DSC/XRPD required for final formulation</t>
        </is>
      </c>
      <c r="CK167" t="inlineStr">
        <is>
          <t>grade-specific hard fat</t>
        </is>
      </c>
      <c r="CL167"/>
      <c r="CM167"/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</row>
    <row r="168">
      <c r="A168" t="inlineStr">
        <is>
          <t>OIL_GELUCIRE_44_14</t>
        </is>
      </c>
      <c r="B168" t="inlineStr">
        <is>
          <t>Gelucire 44/14</t>
        </is>
      </c>
      <c r="C168" t="inlineStr">
        <is>
          <t>Solid lipid/oil</t>
        </is>
      </c>
      <c r="D168" t="inlineStr">
        <is>
          <t>Solid lipid/oil/wax</t>
        </is>
      </c>
      <c r="E168" t="inlineStr">
        <is>
          <t>PEG glyceride</t>
        </is>
      </c>
      <c r="F168"/>
      <c r="G168">
        <v>1500</v>
      </c>
      <c r="H168"/>
      <c r="I168"/>
      <c r="J168"/>
      <c r="K168"/>
      <c r="L168">
        <v>14</v>
      </c>
      <c r="M168"/>
      <c r="N168"/>
      <c r="O168"/>
      <c r="P168"/>
      <c r="Q168"/>
      <c r="R168"/>
      <c r="S168"/>
      <c r="T168"/>
      <c r="U168"/>
      <c r="V168"/>
      <c r="W168"/>
      <c r="X168">
        <v>44</v>
      </c>
      <c r="Y168"/>
      <c r="Z168"/>
      <c r="AA168"/>
      <c r="AB168">
        <v>1.05</v>
      </c>
      <c r="AC168"/>
      <c r="AD168"/>
      <c r="AE168"/>
      <c r="AF168"/>
      <c r="AG168"/>
      <c r="AH168"/>
      <c r="AI168">
        <v>17.0</v>
      </c>
      <c r="AJ168">
        <v>4.5</v>
      </c>
      <c r="AK168">
        <v>7.0</v>
      </c>
      <c r="AL168">
        <v>7.0</v>
      </c>
      <c r="AM168">
        <v>18.93</v>
      </c>
      <c r="AN168">
        <v>1428.57</v>
      </c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 t="inlineStr">
        <is>
          <t>moderate</t>
        </is>
      </c>
      <c r="BI168"/>
      <c r="BJ168"/>
      <c r="BK168"/>
      <c r="BL168"/>
      <c r="BM168"/>
      <c r="BN168"/>
      <c r="BO168"/>
      <c r="BP168"/>
      <c r="BQ168" t="inlineStr">
        <is>
          <t>SLN/NLC/nanoemulsion/lipid matrix; route-grade dependent</t>
        </is>
      </c>
      <c r="BR168"/>
      <c r="BS168"/>
      <c r="BT168"/>
      <c r="BU168"/>
      <c r="BV168"/>
      <c r="BW168"/>
      <c r="BX168"/>
      <c r="BY168"/>
      <c r="BZ168"/>
      <c r="CA168"/>
      <c r="CB168"/>
      <c r="CC168"/>
      <c r="CD168"/>
      <c r="CE168"/>
      <c r="CF168"/>
      <c r="CG168" t="inlineStr">
        <is>
          <t>solid/semi-solid</t>
        </is>
      </c>
      <c r="CH168" t="inlineStr">
        <is>
          <t>PEG lauroyl glyceride mixture</t>
        </is>
      </c>
      <c r="CI168">
        <v>0</v>
      </c>
      <c r="CJ168" t="inlineStr">
        <is>
          <t>polymorphic behavior possible; DSC/XRPD required for final formulation</t>
        </is>
      </c>
      <c r="CK168" t="inlineStr">
        <is>
          <t>self-emulsifying solid surfactant lipid</t>
        </is>
      </c>
      <c r="CL168"/>
      <c r="CM168"/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</row>
    <row r="169">
      <c r="A169" t="inlineStr">
        <is>
          <t>OIL_GELUCIRE_50_13</t>
        </is>
      </c>
      <c r="B169" t="inlineStr">
        <is>
          <t>Gelucire 50/13</t>
        </is>
      </c>
      <c r="C169" t="inlineStr">
        <is>
          <t>Solid lipid/oil</t>
        </is>
      </c>
      <c r="D169" t="inlineStr">
        <is>
          <t>Solid lipid/oil/wax</t>
        </is>
      </c>
      <c r="E169" t="inlineStr">
        <is>
          <t>PEG glyceride</t>
        </is>
      </c>
      <c r="F169"/>
      <c r="G169">
        <v>1700</v>
      </c>
      <c r="H169"/>
      <c r="I169"/>
      <c r="J169"/>
      <c r="K169"/>
      <c r="L169">
        <v>13</v>
      </c>
      <c r="M169"/>
      <c r="N169"/>
      <c r="O169"/>
      <c r="P169"/>
      <c r="Q169"/>
      <c r="R169"/>
      <c r="S169"/>
      <c r="T169"/>
      <c r="U169"/>
      <c r="V169"/>
      <c r="W169"/>
      <c r="X169">
        <v>50</v>
      </c>
      <c r="Y169"/>
      <c r="Z169"/>
      <c r="AA169"/>
      <c r="AB169">
        <v>1.05</v>
      </c>
      <c r="AC169"/>
      <c r="AD169"/>
      <c r="AE169"/>
      <c r="AF169"/>
      <c r="AG169"/>
      <c r="AH169"/>
      <c r="AI169">
        <v>17.0</v>
      </c>
      <c r="AJ169">
        <v>4.5</v>
      </c>
      <c r="AK169">
        <v>7.0</v>
      </c>
      <c r="AL169">
        <v>7.0</v>
      </c>
      <c r="AM169">
        <v>18.93</v>
      </c>
      <c r="AN169">
        <v>1619.05</v>
      </c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 t="inlineStr">
        <is>
          <t>moderate</t>
        </is>
      </c>
      <c r="BI169"/>
      <c r="BJ169"/>
      <c r="BK169"/>
      <c r="BL169"/>
      <c r="BM169"/>
      <c r="BN169"/>
      <c r="BO169"/>
      <c r="BP169"/>
      <c r="BQ169" t="inlineStr">
        <is>
          <t>SLN/NLC/nanoemulsion/lipid matrix; route-grade dependent</t>
        </is>
      </c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 t="inlineStr">
        <is>
          <t>solid</t>
        </is>
      </c>
      <c r="CH169" t="inlineStr">
        <is>
          <t>PEG stearoyl glyceride mixture</t>
        </is>
      </c>
      <c r="CI169">
        <v>0</v>
      </c>
      <c r="CJ169" t="inlineStr">
        <is>
          <t>polymorphic behavior possible; DSC/XRPD required for final formulation</t>
        </is>
      </c>
      <c r="CK169" t="inlineStr">
        <is>
          <t>self-emulsifying solid surfactant lipid</t>
        </is>
      </c>
      <c r="CL169"/>
      <c r="CM169"/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</row>
    <row r="170">
      <c r="A170" t="inlineStr">
        <is>
          <t>OIL_GELUCIRE_43_01</t>
        </is>
      </c>
      <c r="B170" t="inlineStr">
        <is>
          <t>Gelucire 43/01</t>
        </is>
      </c>
      <c r="C170" t="inlineStr">
        <is>
          <t>Solid lipid/oil</t>
        </is>
      </c>
      <c r="D170" t="inlineStr">
        <is>
          <t>Solid lipid/oil/wax</t>
        </is>
      </c>
      <c r="E170" t="inlineStr">
        <is>
          <t>glyceride</t>
        </is>
      </c>
      <c r="F170"/>
      <c r="G170">
        <v>600</v>
      </c>
      <c r="H170"/>
      <c r="I170"/>
      <c r="J170"/>
      <c r="K170"/>
      <c r="L170">
        <v>1</v>
      </c>
      <c r="M170"/>
      <c r="N170"/>
      <c r="O170"/>
      <c r="P170"/>
      <c r="Q170"/>
      <c r="R170"/>
      <c r="S170"/>
      <c r="T170"/>
      <c r="U170"/>
      <c r="V170"/>
      <c r="W170"/>
      <c r="X170">
        <v>43</v>
      </c>
      <c r="Y170"/>
      <c r="Z170"/>
      <c r="AA170"/>
      <c r="AB170">
        <v>0.95</v>
      </c>
      <c r="AC170"/>
      <c r="AD170"/>
      <c r="AE170"/>
      <c r="AF170"/>
      <c r="AG170"/>
      <c r="AH170"/>
      <c r="AI170">
        <v>17.0</v>
      </c>
      <c r="AJ170">
        <v>4.5</v>
      </c>
      <c r="AK170">
        <v>7.0</v>
      </c>
      <c r="AL170">
        <v>7.0</v>
      </c>
      <c r="AM170">
        <v>18.93</v>
      </c>
      <c r="AN170">
        <v>631.58</v>
      </c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 t="inlineStr">
        <is>
          <t>high</t>
        </is>
      </c>
      <c r="BI170"/>
      <c r="BJ170"/>
      <c r="BK170"/>
      <c r="BL170"/>
      <c r="BM170"/>
      <c r="BN170"/>
      <c r="BO170"/>
      <c r="BP170"/>
      <c r="BQ170" t="inlineStr">
        <is>
          <t>SLN/NLC/nanoemulsion/lipid matrix; route-grade dependent</t>
        </is>
      </c>
      <c r="BR170"/>
      <c r="BS170"/>
      <c r="BT170"/>
      <c r="BU170"/>
      <c r="BV170"/>
      <c r="BW170"/>
      <c r="BX170"/>
      <c r="BY170"/>
      <c r="BZ170"/>
      <c r="CA170"/>
      <c r="CB170"/>
      <c r="CC170"/>
      <c r="CD170"/>
      <c r="CE170"/>
      <c r="CF170"/>
      <c r="CG170" t="inlineStr">
        <is>
          <t>solid</t>
        </is>
      </c>
      <c r="CH170" t="inlineStr">
        <is>
          <t>C12-C18 glyceride mixture</t>
        </is>
      </c>
      <c r="CI170">
        <v>0</v>
      </c>
      <c r="CJ170" t="inlineStr">
        <is>
          <t>polymorphic behavior possible; DSC/XRPD required for final formulation</t>
        </is>
      </c>
      <c r="CK170" t="inlineStr">
        <is>
          <t>hydrophobic sustained-release lipid</t>
        </is>
      </c>
      <c r="CL170"/>
      <c r="CM170"/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</row>
    <row r="171">
      <c r="A171" t="inlineStr">
        <is>
          <t>OIL_ETHYL_OLEATE</t>
        </is>
      </c>
      <c r="B171" t="inlineStr">
        <is>
          <t>Ethyl oleate</t>
        </is>
      </c>
      <c r="C171" t="inlineStr">
        <is>
          <t>Solid lipid/oil</t>
        </is>
      </c>
      <c r="D171" t="inlineStr">
        <is>
          <t>Solid lipid/oil/wax</t>
        </is>
      </c>
      <c r="E171" t="inlineStr">
        <is>
          <t>liquid lipid/oil</t>
        </is>
      </c>
      <c r="F171">
        <v>310.51</v>
      </c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>
        <v>-32</v>
      </c>
      <c r="Y171"/>
      <c r="Z171"/>
      <c r="AA171"/>
      <c r="AB171">
        <v>0.87</v>
      </c>
      <c r="AC171"/>
      <c r="AD171"/>
      <c r="AE171"/>
      <c r="AF171"/>
      <c r="AG171"/>
      <c r="AH171"/>
      <c r="AI171">
        <v>17.0</v>
      </c>
      <c r="AJ171">
        <v>2.5</v>
      </c>
      <c r="AK171">
        <v>5.0</v>
      </c>
      <c r="AL171">
        <v>7.0</v>
      </c>
      <c r="AM171">
        <v>17.9</v>
      </c>
      <c r="AN171">
        <v>356.91</v>
      </c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 t="inlineStr">
        <is>
          <t>low</t>
        </is>
      </c>
      <c r="BI171"/>
      <c r="BJ171"/>
      <c r="BK171"/>
      <c r="BL171"/>
      <c r="BM171"/>
      <c r="BN171"/>
      <c r="BO171"/>
      <c r="BP171"/>
      <c r="BQ171" t="inlineStr">
        <is>
          <t>SLN/NLC/nanoemulsion/lipid matrix; route-grade dependent</t>
        </is>
      </c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 t="inlineStr">
        <is>
          <t>liquid</t>
        </is>
      </c>
      <c r="CH171" t="inlineStr">
        <is>
          <t>C18:1 ethyl ester</t>
        </is>
      </c>
      <c r="CI171">
        <v>1</v>
      </c>
      <c r="CJ171" t="inlineStr">
        <is>
          <t>polymorphic behavior possible; DSC/XRPD required for final formulation</t>
        </is>
      </c>
      <c r="CK171" t="inlineStr">
        <is>
          <t>excellent lipophilic solvent for many BCS II APIs</t>
        </is>
      </c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</row>
    <row r="172">
      <c r="A172" t="inlineStr">
        <is>
          <t>OIL_MEDIUM_CHAIN_TRIGLYCERIDES</t>
        </is>
      </c>
      <c r="B172" t="inlineStr">
        <is>
          <t>Medium-chain triglycerides</t>
        </is>
      </c>
      <c r="C172" t="inlineStr">
        <is>
          <t>Solid lipid/oil</t>
        </is>
      </c>
      <c r="D172" t="inlineStr">
        <is>
          <t>Solid lipid/oil/wax</t>
        </is>
      </c>
      <c r="E172" t="inlineStr">
        <is>
          <t>oil/liquid lipid</t>
        </is>
      </c>
      <c r="F172"/>
      <c r="G172">
        <v>500</v>
      </c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>
        <v>-5</v>
      </c>
      <c r="Y172"/>
      <c r="Z172"/>
      <c r="AA172"/>
      <c r="AB172">
        <v>0.95</v>
      </c>
      <c r="AC172"/>
      <c r="AD172"/>
      <c r="AE172"/>
      <c r="AF172"/>
      <c r="AG172"/>
      <c r="AH172"/>
      <c r="AI172">
        <v>17.0</v>
      </c>
      <c r="AJ172">
        <v>2.5</v>
      </c>
      <c r="AK172">
        <v>5.0</v>
      </c>
      <c r="AL172">
        <v>7.0</v>
      </c>
      <c r="AM172">
        <v>17.9</v>
      </c>
      <c r="AN172">
        <v>526.32</v>
      </c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 t="inlineStr">
        <is>
          <t>low</t>
        </is>
      </c>
      <c r="BI172"/>
      <c r="BJ172"/>
      <c r="BK172"/>
      <c r="BL172"/>
      <c r="BM172"/>
      <c r="BN172"/>
      <c r="BO172"/>
      <c r="BP172"/>
      <c r="BQ172" t="inlineStr">
        <is>
          <t>SLN/NLC/nanoemulsion/lipid matrix; route-grade dependent</t>
        </is>
      </c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 t="inlineStr">
        <is>
          <t>liquid</t>
        </is>
      </c>
      <c r="CH172" t="inlineStr">
        <is>
          <t>C8-C10 triglycerides</t>
        </is>
      </c>
      <c r="CI172">
        <v>0</v>
      </c>
      <c r="CJ172" t="inlineStr">
        <is>
          <t>polymorphic behavior possible; DSC/XRPD required for final formulation</t>
        </is>
      </c>
      <c r="CK172" t="inlineStr">
        <is>
          <t>MCT oil for nanoemulsions/NLC</t>
        </is>
      </c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</row>
    <row r="173">
      <c r="A173" t="inlineStr">
        <is>
          <t>OIL_MIGLYOL_812</t>
        </is>
      </c>
      <c r="B173" t="inlineStr">
        <is>
          <t>Miglyol 812</t>
        </is>
      </c>
      <c r="C173" t="inlineStr">
        <is>
          <t>Solid lipid/oil</t>
        </is>
      </c>
      <c r="D173" t="inlineStr">
        <is>
          <t>Solid lipid/oil/wax</t>
        </is>
      </c>
      <c r="E173" t="inlineStr">
        <is>
          <t>oil/liquid lipid</t>
        </is>
      </c>
      <c r="F173"/>
      <c r="G173">
        <v>500</v>
      </c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>
        <v>-5</v>
      </c>
      <c r="Y173"/>
      <c r="Z173"/>
      <c r="AA173"/>
      <c r="AB173">
        <v>0.95</v>
      </c>
      <c r="AC173"/>
      <c r="AD173"/>
      <c r="AE173"/>
      <c r="AF173"/>
      <c r="AG173"/>
      <c r="AH173"/>
      <c r="AI173">
        <v>17.0</v>
      </c>
      <c r="AJ173">
        <v>2.5</v>
      </c>
      <c r="AK173">
        <v>5.0</v>
      </c>
      <c r="AL173">
        <v>7.0</v>
      </c>
      <c r="AM173">
        <v>17.9</v>
      </c>
      <c r="AN173">
        <v>526.32</v>
      </c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 t="inlineStr">
        <is>
          <t>low</t>
        </is>
      </c>
      <c r="BI173"/>
      <c r="BJ173"/>
      <c r="BK173"/>
      <c r="BL173"/>
      <c r="BM173"/>
      <c r="BN173"/>
      <c r="BO173"/>
      <c r="BP173"/>
      <c r="BQ173" t="inlineStr">
        <is>
          <t>SLN/NLC/nanoemulsion/lipid matrix; route-grade dependent</t>
        </is>
      </c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 t="inlineStr">
        <is>
          <t>liquid</t>
        </is>
      </c>
      <c r="CH173" t="inlineStr">
        <is>
          <t>C8-C10 triglycerides</t>
        </is>
      </c>
      <c r="CI173">
        <v>0</v>
      </c>
      <c r="CJ173" t="inlineStr">
        <is>
          <t>polymorphic behavior possible; DSC/XRPD required for final formulation</t>
        </is>
      </c>
      <c r="CK173" t="inlineStr">
        <is>
          <t>MCT oil; caprylic/capric triglycerides</t>
        </is>
      </c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</row>
    <row r="174">
      <c r="A174" t="inlineStr">
        <is>
          <t>OIL_MIGLYOL_840</t>
        </is>
      </c>
      <c r="B174" t="inlineStr">
        <is>
          <t>Miglyol 840</t>
        </is>
      </c>
      <c r="C174" t="inlineStr">
        <is>
          <t>Solid lipid/oil</t>
        </is>
      </c>
      <c r="D174" t="inlineStr">
        <is>
          <t>Solid lipid/oil/wax</t>
        </is>
      </c>
      <c r="E174" t="inlineStr">
        <is>
          <t>oil/liquid lipid</t>
        </is>
      </c>
      <c r="F174"/>
      <c r="G174">
        <v>540</v>
      </c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>
        <v>-10</v>
      </c>
      <c r="Y174"/>
      <c r="Z174"/>
      <c r="AA174"/>
      <c r="AB174">
        <v>0.94</v>
      </c>
      <c r="AC174"/>
      <c r="AD174"/>
      <c r="AE174"/>
      <c r="AF174"/>
      <c r="AG174"/>
      <c r="AH174"/>
      <c r="AI174">
        <v>17.0</v>
      </c>
      <c r="AJ174">
        <v>2.5</v>
      </c>
      <c r="AK174">
        <v>5.0</v>
      </c>
      <c r="AL174">
        <v>7.0</v>
      </c>
      <c r="AM174">
        <v>17.9</v>
      </c>
      <c r="AN174">
        <v>574.47</v>
      </c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 t="inlineStr">
        <is>
          <t>low</t>
        </is>
      </c>
      <c r="BI174"/>
      <c r="BJ174"/>
      <c r="BK174"/>
      <c r="BL174"/>
      <c r="BM174"/>
      <c r="BN174"/>
      <c r="BO174"/>
      <c r="BP174"/>
      <c r="BQ174" t="inlineStr">
        <is>
          <t>SLN/NLC/nanoemulsion/lipid matrix; route-grade dependent</t>
        </is>
      </c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 t="inlineStr">
        <is>
          <t>liquid</t>
        </is>
      </c>
      <c r="CH174" t="inlineStr">
        <is>
          <t>propylene glycol dicaprylocaprate</t>
        </is>
      </c>
      <c r="CI174">
        <v>0</v>
      </c>
      <c r="CJ174" t="inlineStr">
        <is>
          <t>polymorphic behavior possible; DSC/XRPD required for final formulation</t>
        </is>
      </c>
      <c r="CK174" t="inlineStr">
        <is>
          <t>low-viscosity liquid lipid</t>
        </is>
      </c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</row>
    <row r="175">
      <c r="A175" t="inlineStr">
        <is>
          <t>OIL_LABRAFAC_PG</t>
        </is>
      </c>
      <c r="B175" t="inlineStr">
        <is>
          <t>Labrafac PG</t>
        </is>
      </c>
      <c r="C175" t="inlineStr">
        <is>
          <t>Solid lipid/oil</t>
        </is>
      </c>
      <c r="D175" t="inlineStr">
        <is>
          <t>Solid lipid/oil/wax</t>
        </is>
      </c>
      <c r="E175" t="inlineStr">
        <is>
          <t>oil/liquid lipid</t>
        </is>
      </c>
      <c r="F175"/>
      <c r="G175">
        <v>400</v>
      </c>
      <c r="H175"/>
      <c r="I175"/>
      <c r="J175"/>
      <c r="K175"/>
      <c r="L175">
        <v>2</v>
      </c>
      <c r="M175"/>
      <c r="N175"/>
      <c r="O175"/>
      <c r="P175"/>
      <c r="Q175"/>
      <c r="R175"/>
      <c r="S175"/>
      <c r="T175"/>
      <c r="U175"/>
      <c r="V175"/>
      <c r="W175"/>
      <c r="X175">
        <v>-10</v>
      </c>
      <c r="Y175"/>
      <c r="Z175"/>
      <c r="AA175"/>
      <c r="AB175">
        <v>0.95</v>
      </c>
      <c r="AC175"/>
      <c r="AD175"/>
      <c r="AE175"/>
      <c r="AF175"/>
      <c r="AG175"/>
      <c r="AH175"/>
      <c r="AI175">
        <v>17.0</v>
      </c>
      <c r="AJ175">
        <v>4.5</v>
      </c>
      <c r="AK175">
        <v>7.0</v>
      </c>
      <c r="AL175">
        <v>7.0</v>
      </c>
      <c r="AM175">
        <v>18.93</v>
      </c>
      <c r="AN175">
        <v>421.05</v>
      </c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 t="inlineStr">
        <is>
          <t>low</t>
        </is>
      </c>
      <c r="BI175"/>
      <c r="BJ175"/>
      <c r="BK175"/>
      <c r="BL175"/>
      <c r="BM175"/>
      <c r="BN175"/>
      <c r="BO175"/>
      <c r="BP175"/>
      <c r="BQ175" t="inlineStr">
        <is>
          <t>SLN/NLC/nanoemulsion/lipid matrix; route-grade dependent</t>
        </is>
      </c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 t="inlineStr">
        <is>
          <t>liquid</t>
        </is>
      </c>
      <c r="CH175" t="inlineStr">
        <is>
          <t>propylene glycol caprylate/caprate</t>
        </is>
      </c>
      <c r="CI175">
        <v>0</v>
      </c>
      <c r="CJ175" t="inlineStr">
        <is>
          <t>polymorphic behavior possible; DSC/XRPD required for final formulation</t>
        </is>
      </c>
      <c r="CK175" t="inlineStr">
        <is>
          <t>cosurfactant/liquid lipid</t>
        </is>
      </c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</row>
    <row r="176">
      <c r="A176" t="inlineStr">
        <is>
          <t>OIL_CAPRYOL_90</t>
        </is>
      </c>
      <c r="B176" t="inlineStr">
        <is>
          <t>Capryol 90</t>
        </is>
      </c>
      <c r="C176" t="inlineStr">
        <is>
          <t>Solid lipid/oil</t>
        </is>
      </c>
      <c r="D176" t="inlineStr">
        <is>
          <t>Solid lipid/oil/wax</t>
        </is>
      </c>
      <c r="E176" t="inlineStr">
        <is>
          <t>oil/liquid lipid</t>
        </is>
      </c>
      <c r="F176"/>
      <c r="G176">
        <v>218</v>
      </c>
      <c r="H176"/>
      <c r="I176"/>
      <c r="J176"/>
      <c r="K176"/>
      <c r="L176">
        <v>6</v>
      </c>
      <c r="M176"/>
      <c r="N176"/>
      <c r="O176"/>
      <c r="P176"/>
      <c r="Q176"/>
      <c r="R176"/>
      <c r="S176"/>
      <c r="T176"/>
      <c r="U176"/>
      <c r="V176"/>
      <c r="W176"/>
      <c r="X176">
        <v>-10</v>
      </c>
      <c r="Y176"/>
      <c r="Z176"/>
      <c r="AA176"/>
      <c r="AB176">
        <v>0.95</v>
      </c>
      <c r="AC176"/>
      <c r="AD176"/>
      <c r="AE176"/>
      <c r="AF176"/>
      <c r="AG176"/>
      <c r="AH176"/>
      <c r="AI176">
        <v>17.0</v>
      </c>
      <c r="AJ176">
        <v>4.5</v>
      </c>
      <c r="AK176">
        <v>7.0</v>
      </c>
      <c r="AL176">
        <v>7.0</v>
      </c>
      <c r="AM176">
        <v>18.93</v>
      </c>
      <c r="AN176">
        <v>229.47</v>
      </c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 t="inlineStr">
        <is>
          <t>low</t>
        </is>
      </c>
      <c r="BI176"/>
      <c r="BJ176"/>
      <c r="BK176"/>
      <c r="BL176"/>
      <c r="BM176"/>
      <c r="BN176"/>
      <c r="BO176"/>
      <c r="BP176"/>
      <c r="BQ176" t="inlineStr">
        <is>
          <t>SLN/NLC/nanoemulsion/lipid matrix; route-grade dependent</t>
        </is>
      </c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 t="inlineStr">
        <is>
          <t>liquid</t>
        </is>
      </c>
      <c r="CH176" t="inlineStr">
        <is>
          <t>propylene glycol monocaprylate</t>
        </is>
      </c>
      <c r="CI176">
        <v>0</v>
      </c>
      <c r="CJ176" t="inlineStr">
        <is>
          <t>polymorphic behavior possible; DSC/XRPD required for final formulation</t>
        </is>
      </c>
      <c r="CK176" t="inlineStr">
        <is>
          <t>solubilizing liquid lipid</t>
        </is>
      </c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</row>
    <row r="177">
      <c r="A177" t="inlineStr">
        <is>
          <t>OIL_MAISINE_CC</t>
        </is>
      </c>
      <c r="B177" t="inlineStr">
        <is>
          <t>Maisine CC</t>
        </is>
      </c>
      <c r="C177" t="inlineStr">
        <is>
          <t>Solid lipid/oil</t>
        </is>
      </c>
      <c r="D177" t="inlineStr">
        <is>
          <t>Solid lipid/oil/wax</t>
        </is>
      </c>
      <c r="E177" t="inlineStr">
        <is>
          <t>oil/liquid lipid</t>
        </is>
      </c>
      <c r="F177"/>
      <c r="G177">
        <v>350</v>
      </c>
      <c r="H177"/>
      <c r="I177"/>
      <c r="J177"/>
      <c r="K177"/>
      <c r="L177">
        <v>1</v>
      </c>
      <c r="M177"/>
      <c r="N177"/>
      <c r="O177"/>
      <c r="P177"/>
      <c r="Q177"/>
      <c r="R177"/>
      <c r="S177"/>
      <c r="T177"/>
      <c r="U177"/>
      <c r="V177"/>
      <c r="W177"/>
      <c r="X177">
        <v>-10</v>
      </c>
      <c r="Y177"/>
      <c r="Z177"/>
      <c r="AA177"/>
      <c r="AB177">
        <v>0.93</v>
      </c>
      <c r="AC177"/>
      <c r="AD177"/>
      <c r="AE177"/>
      <c r="AF177"/>
      <c r="AG177"/>
      <c r="AH177"/>
      <c r="AI177">
        <v>17.0</v>
      </c>
      <c r="AJ177">
        <v>4.5</v>
      </c>
      <c r="AK177">
        <v>7.0</v>
      </c>
      <c r="AL177">
        <v>7.0</v>
      </c>
      <c r="AM177">
        <v>18.93</v>
      </c>
      <c r="AN177">
        <v>376.34</v>
      </c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 t="inlineStr">
        <is>
          <t>low</t>
        </is>
      </c>
      <c r="BI177"/>
      <c r="BJ177"/>
      <c r="BK177"/>
      <c r="BL177"/>
      <c r="BM177"/>
      <c r="BN177"/>
      <c r="BO177"/>
      <c r="BP177"/>
      <c r="BQ177" t="inlineStr">
        <is>
          <t>SLN/NLC/nanoemulsion/lipid matrix; route-grade dependent</t>
        </is>
      </c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 t="inlineStr">
        <is>
          <t>liquid</t>
        </is>
      </c>
      <c r="CH177" t="inlineStr">
        <is>
          <t>glyceryl monolinoleate-rich</t>
        </is>
      </c>
      <c r="CI177">
        <v>2</v>
      </c>
      <c r="CJ177" t="inlineStr">
        <is>
          <t>polymorphic behavior possible; DSC/XRPD required for final formulation</t>
        </is>
      </c>
      <c r="CK177" t="inlineStr">
        <is>
          <t>unsaturated glyceride mixture</t>
        </is>
      </c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</row>
    <row r="178">
      <c r="A178" t="inlineStr">
        <is>
          <t>OIL_PECEOL</t>
        </is>
      </c>
      <c r="B178" t="inlineStr">
        <is>
          <t>Peceol</t>
        </is>
      </c>
      <c r="C178" t="inlineStr">
        <is>
          <t>Solid lipid/oil</t>
        </is>
      </c>
      <c r="D178" t="inlineStr">
        <is>
          <t>Solid lipid/oil/wax</t>
        </is>
      </c>
      <c r="E178" t="inlineStr">
        <is>
          <t>oil/liquid lipid</t>
        </is>
      </c>
      <c r="F178"/>
      <c r="G178">
        <v>350</v>
      </c>
      <c r="H178"/>
      <c r="I178"/>
      <c r="J178"/>
      <c r="K178"/>
      <c r="L178">
        <v>3</v>
      </c>
      <c r="M178"/>
      <c r="N178"/>
      <c r="O178"/>
      <c r="P178"/>
      <c r="Q178"/>
      <c r="R178"/>
      <c r="S178"/>
      <c r="T178"/>
      <c r="U178"/>
      <c r="V178"/>
      <c r="W178"/>
      <c r="X178">
        <v>-10</v>
      </c>
      <c r="Y178"/>
      <c r="Z178"/>
      <c r="AA178"/>
      <c r="AB178">
        <v>0.94</v>
      </c>
      <c r="AC178"/>
      <c r="AD178"/>
      <c r="AE178"/>
      <c r="AF178"/>
      <c r="AG178"/>
      <c r="AH178"/>
      <c r="AI178">
        <v>17.0</v>
      </c>
      <c r="AJ178">
        <v>4.5</v>
      </c>
      <c r="AK178">
        <v>7.0</v>
      </c>
      <c r="AL178">
        <v>7.0</v>
      </c>
      <c r="AM178">
        <v>18.93</v>
      </c>
      <c r="AN178">
        <v>372.34</v>
      </c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 t="inlineStr">
        <is>
          <t>low</t>
        </is>
      </c>
      <c r="BI178"/>
      <c r="BJ178"/>
      <c r="BK178"/>
      <c r="BL178"/>
      <c r="BM178"/>
      <c r="BN178"/>
      <c r="BO178"/>
      <c r="BP178"/>
      <c r="BQ178" t="inlineStr">
        <is>
          <t>SLN/NLC/nanoemulsion/lipid matrix; route-grade dependent</t>
        </is>
      </c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 t="inlineStr">
        <is>
          <t>liquid</t>
        </is>
      </c>
      <c r="CH178" t="inlineStr">
        <is>
          <t>glyceryl monooleate</t>
        </is>
      </c>
      <c r="CI178">
        <v>1</v>
      </c>
      <c r="CJ178" t="inlineStr">
        <is>
          <t>polymorphic behavior possible; DSC/XRPD required for final formulation</t>
        </is>
      </c>
      <c r="CK178" t="inlineStr">
        <is>
          <t>monoglyceride liquid lipid</t>
        </is>
      </c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</row>
    <row r="179">
      <c r="A179" t="inlineStr">
        <is>
          <t>OIL_LABRAFIL_M1944CS</t>
        </is>
      </c>
      <c r="B179" t="inlineStr">
        <is>
          <t>Labrafil M1944CS</t>
        </is>
      </c>
      <c r="C179" t="inlineStr">
        <is>
          <t>Solid lipid/oil</t>
        </is>
      </c>
      <c r="D179" t="inlineStr">
        <is>
          <t>Solid lipid/oil/wax</t>
        </is>
      </c>
      <c r="E179" t="inlineStr">
        <is>
          <t>oil/liquid lipid</t>
        </is>
      </c>
      <c r="F179"/>
      <c r="G179">
        <v>600</v>
      </c>
      <c r="H179"/>
      <c r="I179"/>
      <c r="J179"/>
      <c r="K179"/>
      <c r="L179">
        <v>4</v>
      </c>
      <c r="M179"/>
      <c r="N179"/>
      <c r="O179"/>
      <c r="P179"/>
      <c r="Q179"/>
      <c r="R179"/>
      <c r="S179"/>
      <c r="T179"/>
      <c r="U179"/>
      <c r="V179"/>
      <c r="W179"/>
      <c r="X179">
        <v>-10</v>
      </c>
      <c r="Y179"/>
      <c r="Z179"/>
      <c r="AA179"/>
      <c r="AB179">
        <v>0.95</v>
      </c>
      <c r="AC179"/>
      <c r="AD179"/>
      <c r="AE179"/>
      <c r="AF179"/>
      <c r="AG179"/>
      <c r="AH179"/>
      <c r="AI179">
        <v>17.0</v>
      </c>
      <c r="AJ179">
        <v>4.5</v>
      </c>
      <c r="AK179">
        <v>7.0</v>
      </c>
      <c r="AL179">
        <v>7.0</v>
      </c>
      <c r="AM179">
        <v>18.93</v>
      </c>
      <c r="AN179">
        <v>631.58</v>
      </c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 t="inlineStr">
        <is>
          <t>low</t>
        </is>
      </c>
      <c r="BI179"/>
      <c r="BJ179"/>
      <c r="BK179"/>
      <c r="BL179"/>
      <c r="BM179"/>
      <c r="BN179"/>
      <c r="BO179"/>
      <c r="BP179"/>
      <c r="BQ179" t="inlineStr">
        <is>
          <t>SLN/NLC/nanoemulsion/lipid matrix; route-grade dependent</t>
        </is>
      </c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 t="inlineStr">
        <is>
          <t>liquid</t>
        </is>
      </c>
      <c r="CH179" t="inlineStr">
        <is>
          <t>oleoyl polyoxyl glycerides</t>
        </is>
      </c>
      <c r="CI179">
        <v>1</v>
      </c>
      <c r="CJ179" t="inlineStr">
        <is>
          <t>polymorphic behavior possible; DSC/XRPD required for final formulation</t>
        </is>
      </c>
      <c r="CK179" t="inlineStr">
        <is>
          <t>self-emulsifying oily surfactant</t>
        </is>
      </c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</row>
    <row r="180">
      <c r="A180" t="inlineStr">
        <is>
          <t>OIL_LABRAFIL_M2125CS</t>
        </is>
      </c>
      <c r="B180" t="inlineStr">
        <is>
          <t>Labrafil M2125CS</t>
        </is>
      </c>
      <c r="C180" t="inlineStr">
        <is>
          <t>Solid lipid/oil</t>
        </is>
      </c>
      <c r="D180" t="inlineStr">
        <is>
          <t>Solid lipid/oil/wax</t>
        </is>
      </c>
      <c r="E180" t="inlineStr">
        <is>
          <t>oil/liquid lipid</t>
        </is>
      </c>
      <c r="F180"/>
      <c r="G180">
        <v>600</v>
      </c>
      <c r="H180"/>
      <c r="I180"/>
      <c r="J180"/>
      <c r="K180"/>
      <c r="L180">
        <v>4</v>
      </c>
      <c r="M180"/>
      <c r="N180"/>
      <c r="O180"/>
      <c r="P180"/>
      <c r="Q180"/>
      <c r="R180"/>
      <c r="S180"/>
      <c r="T180"/>
      <c r="U180"/>
      <c r="V180"/>
      <c r="W180"/>
      <c r="X180">
        <v>-10</v>
      </c>
      <c r="Y180"/>
      <c r="Z180"/>
      <c r="AA180"/>
      <c r="AB180">
        <v>0.95</v>
      </c>
      <c r="AC180"/>
      <c r="AD180"/>
      <c r="AE180"/>
      <c r="AF180"/>
      <c r="AG180"/>
      <c r="AH180"/>
      <c r="AI180">
        <v>17.0</v>
      </c>
      <c r="AJ180">
        <v>4.5</v>
      </c>
      <c r="AK180">
        <v>7.0</v>
      </c>
      <c r="AL180">
        <v>7.0</v>
      </c>
      <c r="AM180">
        <v>18.93</v>
      </c>
      <c r="AN180">
        <v>631.58</v>
      </c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 t="inlineStr">
        <is>
          <t>low</t>
        </is>
      </c>
      <c r="BI180"/>
      <c r="BJ180"/>
      <c r="BK180"/>
      <c r="BL180"/>
      <c r="BM180"/>
      <c r="BN180"/>
      <c r="BO180"/>
      <c r="BP180"/>
      <c r="BQ180" t="inlineStr">
        <is>
          <t>SLN/NLC/nanoemulsion/lipid matrix; route-grade dependent</t>
        </is>
      </c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 t="inlineStr">
        <is>
          <t>liquid</t>
        </is>
      </c>
      <c r="CH180" t="inlineStr">
        <is>
          <t>linoleoyl polyoxyl glycerides</t>
        </is>
      </c>
      <c r="CI180">
        <v>2</v>
      </c>
      <c r="CJ180" t="inlineStr">
        <is>
          <t>polymorphic behavior possible; DSC/XRPD required for final formulation</t>
        </is>
      </c>
      <c r="CK180" t="inlineStr">
        <is>
          <t>self-emulsifying oily surfactant</t>
        </is>
      </c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</row>
    <row r="181">
      <c r="A181" t="inlineStr">
        <is>
          <t>OIL_ISOPROPYL_MYRISTATE</t>
        </is>
      </c>
      <c r="B181" t="inlineStr">
        <is>
          <t>Isopropyl myristate</t>
        </is>
      </c>
      <c r="C181" t="inlineStr">
        <is>
          <t>Solid lipid/oil</t>
        </is>
      </c>
      <c r="D181" t="inlineStr">
        <is>
          <t>Solid lipid/oil/wax</t>
        </is>
      </c>
      <c r="E181" t="inlineStr">
        <is>
          <t>oil/liquid lipid</t>
        </is>
      </c>
      <c r="F181">
        <v>270.45</v>
      </c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>
        <v>-5</v>
      </c>
      <c r="Y181"/>
      <c r="Z181"/>
      <c r="AA181"/>
      <c r="AB181">
        <v>0.85</v>
      </c>
      <c r="AC181"/>
      <c r="AD181"/>
      <c r="AE181"/>
      <c r="AF181"/>
      <c r="AG181"/>
      <c r="AH181"/>
      <c r="AI181">
        <v>17.0</v>
      </c>
      <c r="AJ181">
        <v>2.5</v>
      </c>
      <c r="AK181">
        <v>5.0</v>
      </c>
      <c r="AL181">
        <v>7.0</v>
      </c>
      <c r="AM181">
        <v>17.9</v>
      </c>
      <c r="AN181">
        <v>318.18</v>
      </c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 t="inlineStr">
        <is>
          <t>low</t>
        </is>
      </c>
      <c r="BI181"/>
      <c r="BJ181"/>
      <c r="BK181"/>
      <c r="BL181"/>
      <c r="BM181"/>
      <c r="BN181"/>
      <c r="BO181"/>
      <c r="BP181"/>
      <c r="BQ181" t="inlineStr">
        <is>
          <t>SLN/NLC/nanoemulsion/lipid matrix; route-grade dependent</t>
        </is>
      </c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 t="inlineStr">
        <is>
          <t>liquid</t>
        </is>
      </c>
      <c r="CH181" t="inlineStr">
        <is>
          <t>C14 ester</t>
        </is>
      </c>
      <c r="CI181">
        <v>0</v>
      </c>
      <c r="CJ181" t="inlineStr">
        <is>
          <t>polymorphic behavior possible; DSC/XRPD required for final formulation</t>
        </is>
      </c>
      <c r="CK181" t="inlineStr">
        <is>
          <t>lipophilic solvent/penetration enhancer</t>
        </is>
      </c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</row>
    <row r="182">
      <c r="A182" t="inlineStr">
        <is>
          <t>OIL_CASTOR_OIL</t>
        </is>
      </c>
      <c r="B182" t="inlineStr">
        <is>
          <t>Castor oil</t>
        </is>
      </c>
      <c r="C182" t="inlineStr">
        <is>
          <t>Solid lipid/oil</t>
        </is>
      </c>
      <c r="D182" t="inlineStr">
        <is>
          <t>Solid lipid/oil/wax</t>
        </is>
      </c>
      <c r="E182" t="inlineStr">
        <is>
          <t>fixed oil</t>
        </is>
      </c>
      <c r="F182"/>
      <c r="G182">
        <v>930</v>
      </c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>
        <v>-10</v>
      </c>
      <c r="Y182"/>
      <c r="Z182"/>
      <c r="AA182"/>
      <c r="AB182">
        <v>0.96</v>
      </c>
      <c r="AC182"/>
      <c r="AD182"/>
      <c r="AE182"/>
      <c r="AF182"/>
      <c r="AG182"/>
      <c r="AH182"/>
      <c r="AI182">
        <v>17.0</v>
      </c>
      <c r="AJ182">
        <v>2.5</v>
      </c>
      <c r="AK182">
        <v>5.0</v>
      </c>
      <c r="AL182">
        <v>7.0</v>
      </c>
      <c r="AM182">
        <v>17.9</v>
      </c>
      <c r="AN182">
        <v>968.75</v>
      </c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 t="inlineStr">
        <is>
          <t>low</t>
        </is>
      </c>
      <c r="BI182"/>
      <c r="BJ182"/>
      <c r="BK182"/>
      <c r="BL182"/>
      <c r="BM182"/>
      <c r="BN182"/>
      <c r="BO182"/>
      <c r="BP182"/>
      <c r="BQ182" t="inlineStr">
        <is>
          <t>SLN/NLC/nanoemulsion/lipid matrix; route-grade dependent</t>
        </is>
      </c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 t="inlineStr">
        <is>
          <t>liquid</t>
        </is>
      </c>
      <c r="CH182" t="inlineStr">
        <is>
          <t>ricinoleic triglycerides</t>
        </is>
      </c>
      <c r="CI182">
        <v>1</v>
      </c>
      <c r="CJ182" t="inlineStr">
        <is>
          <t>polymorphic behavior possible; DSC/XRPD required for final formulation</t>
        </is>
      </c>
      <c r="CK182" t="inlineStr">
        <is>
          <t>viscous hydroxylated oil</t>
        </is>
      </c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</row>
    <row r="183">
      <c r="A183" t="inlineStr">
        <is>
          <t>OIL_SOYBEAN_OIL</t>
        </is>
      </c>
      <c r="B183" t="inlineStr">
        <is>
          <t>Soybean oil</t>
        </is>
      </c>
      <c r="C183" t="inlineStr">
        <is>
          <t>Solid lipid/oil</t>
        </is>
      </c>
      <c r="D183" t="inlineStr">
        <is>
          <t>Solid lipid/oil/wax</t>
        </is>
      </c>
      <c r="E183" t="inlineStr">
        <is>
          <t>fixed oil</t>
        </is>
      </c>
      <c r="F183"/>
      <c r="G183">
        <v>880</v>
      </c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>
        <v>-15</v>
      </c>
      <c r="Y183"/>
      <c r="Z183"/>
      <c r="AA183"/>
      <c r="AB183">
        <v>0.92</v>
      </c>
      <c r="AC183"/>
      <c r="AD183"/>
      <c r="AE183"/>
      <c r="AF183"/>
      <c r="AG183"/>
      <c r="AH183"/>
      <c r="AI183">
        <v>17.0</v>
      </c>
      <c r="AJ183">
        <v>2.5</v>
      </c>
      <c r="AK183">
        <v>5.0</v>
      </c>
      <c r="AL183">
        <v>7.0</v>
      </c>
      <c r="AM183">
        <v>17.9</v>
      </c>
      <c r="AN183">
        <v>956.52</v>
      </c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 t="inlineStr">
        <is>
          <t>low</t>
        </is>
      </c>
      <c r="BI183"/>
      <c r="BJ183"/>
      <c r="BK183"/>
      <c r="BL183"/>
      <c r="BM183"/>
      <c r="BN183"/>
      <c r="BO183"/>
      <c r="BP183"/>
      <c r="BQ183" t="inlineStr">
        <is>
          <t>SLN/NLC/nanoemulsion/lipid matrix; route-grade dependent</t>
        </is>
      </c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 t="inlineStr">
        <is>
          <t>liquid</t>
        </is>
      </c>
      <c r="CH183" t="inlineStr">
        <is>
          <t>mixed unsaturated triglycerides</t>
        </is>
      </c>
      <c r="CI183">
        <v>2</v>
      </c>
      <c r="CJ183" t="inlineStr">
        <is>
          <t>polymorphic behavior possible; DSC/XRPD required for final formulation</t>
        </is>
      </c>
      <c r="CK183" t="inlineStr">
        <is>
          <t>parenteral lipid emulsion precedent</t>
        </is>
      </c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</row>
    <row r="184">
      <c r="A184" t="inlineStr">
        <is>
          <t>OIL_SESAME_OIL</t>
        </is>
      </c>
      <c r="B184" t="inlineStr">
        <is>
          <t>Sesame oil</t>
        </is>
      </c>
      <c r="C184" t="inlineStr">
        <is>
          <t>Solid lipid/oil</t>
        </is>
      </c>
      <c r="D184" t="inlineStr">
        <is>
          <t>Solid lipid/oil/wax</t>
        </is>
      </c>
      <c r="E184" t="inlineStr">
        <is>
          <t>fixed oil</t>
        </is>
      </c>
      <c r="F184"/>
      <c r="G184">
        <v>880</v>
      </c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>
        <v>-5</v>
      </c>
      <c r="Y184"/>
      <c r="Z184"/>
      <c r="AA184"/>
      <c r="AB184">
        <v>0.92</v>
      </c>
      <c r="AC184"/>
      <c r="AD184"/>
      <c r="AE184"/>
      <c r="AF184"/>
      <c r="AG184"/>
      <c r="AH184"/>
      <c r="AI184">
        <v>17.0</v>
      </c>
      <c r="AJ184">
        <v>2.5</v>
      </c>
      <c r="AK184">
        <v>5.0</v>
      </c>
      <c r="AL184">
        <v>7.0</v>
      </c>
      <c r="AM184">
        <v>17.9</v>
      </c>
      <c r="AN184">
        <v>956.52</v>
      </c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 t="inlineStr">
        <is>
          <t>low</t>
        </is>
      </c>
      <c r="BI184"/>
      <c r="BJ184"/>
      <c r="BK184"/>
      <c r="BL184"/>
      <c r="BM184"/>
      <c r="BN184"/>
      <c r="BO184"/>
      <c r="BP184"/>
      <c r="BQ184" t="inlineStr">
        <is>
          <t>SLN/NLC/nanoemulsion/lipid matrix; route-grade dependent</t>
        </is>
      </c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 t="inlineStr">
        <is>
          <t>liquid</t>
        </is>
      </c>
      <c r="CH184" t="inlineStr">
        <is>
          <t>mixed unsaturated triglycerides</t>
        </is>
      </c>
      <c r="CI184">
        <v>2</v>
      </c>
      <c r="CJ184" t="inlineStr">
        <is>
          <t>polymorphic behavior possible; DSC/XRPD required for final formulation</t>
        </is>
      </c>
      <c r="CK184" t="inlineStr">
        <is>
          <t>fixed oil</t>
        </is>
      </c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</row>
    <row r="185">
      <c r="A185" t="inlineStr">
        <is>
          <t>OIL_CORN_OIL</t>
        </is>
      </c>
      <c r="B185" t="inlineStr">
        <is>
          <t>Corn oil</t>
        </is>
      </c>
      <c r="C185" t="inlineStr">
        <is>
          <t>Solid lipid/oil</t>
        </is>
      </c>
      <c r="D185" t="inlineStr">
        <is>
          <t>Solid lipid/oil/wax</t>
        </is>
      </c>
      <c r="E185" t="inlineStr">
        <is>
          <t>fixed oil</t>
        </is>
      </c>
      <c r="F185"/>
      <c r="G185">
        <v>880</v>
      </c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>
        <v>-15</v>
      </c>
      <c r="Y185"/>
      <c r="Z185"/>
      <c r="AA185"/>
      <c r="AB185">
        <v>0.92</v>
      </c>
      <c r="AC185"/>
      <c r="AD185"/>
      <c r="AE185"/>
      <c r="AF185"/>
      <c r="AG185"/>
      <c r="AH185"/>
      <c r="AI185">
        <v>17.0</v>
      </c>
      <c r="AJ185">
        <v>2.5</v>
      </c>
      <c r="AK185">
        <v>5.0</v>
      </c>
      <c r="AL185">
        <v>7.0</v>
      </c>
      <c r="AM185">
        <v>17.9</v>
      </c>
      <c r="AN185">
        <v>956.52</v>
      </c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 t="inlineStr">
        <is>
          <t>low</t>
        </is>
      </c>
      <c r="BI185"/>
      <c r="BJ185"/>
      <c r="BK185"/>
      <c r="BL185"/>
      <c r="BM185"/>
      <c r="BN185"/>
      <c r="BO185"/>
      <c r="BP185"/>
      <c r="BQ185" t="inlineStr">
        <is>
          <t>SLN/NLC/nanoemulsion/lipid matrix; route-grade dependent</t>
        </is>
      </c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 t="inlineStr">
        <is>
          <t>liquid</t>
        </is>
      </c>
      <c r="CH185" t="inlineStr">
        <is>
          <t>mixed unsaturated triglycerides</t>
        </is>
      </c>
      <c r="CI185">
        <v>2</v>
      </c>
      <c r="CJ185" t="inlineStr">
        <is>
          <t>polymorphic behavior possible; DSC/XRPD required for final formulation</t>
        </is>
      </c>
      <c r="CK185" t="inlineStr">
        <is>
          <t>fixed oil</t>
        </is>
      </c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</row>
    <row r="186">
      <c r="A186" t="inlineStr">
        <is>
          <t>OIL_OLIVE_OIL</t>
        </is>
      </c>
      <c r="B186" t="inlineStr">
        <is>
          <t>Olive oil</t>
        </is>
      </c>
      <c r="C186" t="inlineStr">
        <is>
          <t>Solid lipid/oil</t>
        </is>
      </c>
      <c r="D186" t="inlineStr">
        <is>
          <t>Solid lipid/oil/wax</t>
        </is>
      </c>
      <c r="E186" t="inlineStr">
        <is>
          <t>fixed oil</t>
        </is>
      </c>
      <c r="F186"/>
      <c r="G186">
        <v>880</v>
      </c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>
        <v>-6</v>
      </c>
      <c r="Y186"/>
      <c r="Z186"/>
      <c r="AA186"/>
      <c r="AB186">
        <v>0.91</v>
      </c>
      <c r="AC186"/>
      <c r="AD186"/>
      <c r="AE186"/>
      <c r="AF186"/>
      <c r="AG186"/>
      <c r="AH186"/>
      <c r="AI186">
        <v>17.0</v>
      </c>
      <c r="AJ186">
        <v>2.5</v>
      </c>
      <c r="AK186">
        <v>5.0</v>
      </c>
      <c r="AL186">
        <v>7.0</v>
      </c>
      <c r="AM186">
        <v>17.9</v>
      </c>
      <c r="AN186">
        <v>967.03</v>
      </c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 t="inlineStr">
        <is>
          <t>low</t>
        </is>
      </c>
      <c r="BI186"/>
      <c r="BJ186"/>
      <c r="BK186"/>
      <c r="BL186"/>
      <c r="BM186"/>
      <c r="BN186"/>
      <c r="BO186"/>
      <c r="BP186"/>
      <c r="BQ186" t="inlineStr">
        <is>
          <t>SLN/NLC/nanoemulsion/lipid matrix; route-grade dependent</t>
        </is>
      </c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 t="inlineStr">
        <is>
          <t>liquid</t>
        </is>
      </c>
      <c r="CH186" t="inlineStr">
        <is>
          <t>oleic-rich triglycerides</t>
        </is>
      </c>
      <c r="CI186">
        <v>1</v>
      </c>
      <c r="CJ186" t="inlineStr">
        <is>
          <t>polymorphic behavior possible; DSC/XRPD required for final formulation</t>
        </is>
      </c>
      <c r="CK186" t="inlineStr">
        <is>
          <t>fixed oil</t>
        </is>
      </c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</row>
    <row r="187">
      <c r="A187" t="inlineStr">
        <is>
          <t>SOLV_WATER</t>
        </is>
      </c>
      <c r="B187" t="inlineStr">
        <is>
          <t>Water</t>
        </is>
      </c>
      <c r="C187" t="inlineStr">
        <is>
          <t>Solvent</t>
        </is>
      </c>
      <c r="D187" t="inlineStr">
        <is>
          <t>Solvent/co-solvent</t>
        </is>
      </c>
      <c r="E187" t="inlineStr">
        <is>
          <t>organic/aqueous solvent</t>
        </is>
      </c>
      <c r="F187">
        <v>18.015</v>
      </c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>
        <v>0</v>
      </c>
      <c r="Y187"/>
      <c r="Z187"/>
      <c r="AA187"/>
      <c r="AB187">
        <v>0.997</v>
      </c>
      <c r="AC187">
        <v>100</v>
      </c>
      <c r="AD187">
        <v>78.4</v>
      </c>
      <c r="AE187">
        <v>10.2</v>
      </c>
      <c r="AF187" t="inlineStr">
        <is>
          <t>miscible</t>
        </is>
      </c>
      <c r="AG187" t="inlineStr">
        <is>
          <t>not applicable</t>
        </is>
      </c>
      <c r="AH187"/>
      <c r="AI187">
        <v>15.5</v>
      </c>
      <c r="AJ187">
        <v>16.0</v>
      </c>
      <c r="AK187">
        <v>42.3</v>
      </c>
      <c r="AL187"/>
      <c r="AM187">
        <v>47.81</v>
      </c>
      <c r="AN187">
        <v>18.07</v>
      </c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 t="inlineStr">
        <is>
          <t>process solvent only unless excipient grade and residual solvent justified</t>
        </is>
      </c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>
        <v>0</v>
      </c>
      <c r="CM187" t="inlineStr">
        <is>
          <t>not an ICH residual solvent or not applicable</t>
        </is>
      </c>
      <c r="CN187" t="inlineStr">
        <is>
          <t>excellent</t>
        </is>
      </c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</row>
    <row r="188">
      <c r="A188" t="inlineStr">
        <is>
          <t>SOLV_ETHANOL</t>
        </is>
      </c>
      <c r="B188" t="inlineStr">
        <is>
          <t>Ethanol</t>
        </is>
      </c>
      <c r="C188" t="inlineStr">
        <is>
          <t>Solvent</t>
        </is>
      </c>
      <c r="D188" t="inlineStr">
        <is>
          <t>Solvent/co-solvent</t>
        </is>
      </c>
      <c r="E188" t="inlineStr">
        <is>
          <t>organic/aqueous solvent</t>
        </is>
      </c>
      <c r="F188">
        <v>46.07</v>
      </c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>
        <v>-114.1</v>
      </c>
      <c r="Y188"/>
      <c r="Z188"/>
      <c r="AA188"/>
      <c r="AB188">
        <v>0.789</v>
      </c>
      <c r="AC188">
        <v>78.37</v>
      </c>
      <c r="AD188">
        <v>24.3</v>
      </c>
      <c r="AE188">
        <v>5.2</v>
      </c>
      <c r="AF188" t="inlineStr">
        <is>
          <t>miscible</t>
        </is>
      </c>
      <c r="AG188" t="inlineStr">
        <is>
          <t>Class 3</t>
        </is>
      </c>
      <c r="AH188">
        <v>50</v>
      </c>
      <c r="AI188">
        <v>15.8</v>
      </c>
      <c r="AJ188">
        <v>8.8</v>
      </c>
      <c r="AK188">
        <v>19.4</v>
      </c>
      <c r="AL188"/>
      <c r="AM188">
        <v>26.52</v>
      </c>
      <c r="AN188">
        <v>58.39</v>
      </c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 t="inlineStr">
        <is>
          <t>process solvent only unless excipient grade and residual solvent justified</t>
        </is>
      </c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>
        <v>1</v>
      </c>
      <c r="CM188" t="inlineStr">
        <is>
          <t>low toxic potential under ICH Class 3 limits</t>
        </is>
      </c>
      <c r="CN188" t="inlineStr">
        <is>
          <t>limited; residual/irritation caution</t>
        </is>
      </c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</row>
    <row r="189">
      <c r="A189" t="inlineStr">
        <is>
          <t>SOLV_METHANOL</t>
        </is>
      </c>
      <c r="B189" t="inlineStr">
        <is>
          <t>Methanol</t>
        </is>
      </c>
      <c r="C189" t="inlineStr">
        <is>
          <t>Solvent</t>
        </is>
      </c>
      <c r="D189" t="inlineStr">
        <is>
          <t>Solvent/co-solvent</t>
        </is>
      </c>
      <c r="E189" t="inlineStr">
        <is>
          <t>organic/aqueous solvent</t>
        </is>
      </c>
      <c r="F189">
        <v>32.04</v>
      </c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-97.6</v>
      </c>
      <c r="Y189"/>
      <c r="Z189"/>
      <c r="AA189"/>
      <c r="AB189">
        <v>0.792</v>
      </c>
      <c r="AC189">
        <v>64.7</v>
      </c>
      <c r="AD189">
        <v>32.6</v>
      </c>
      <c r="AE189">
        <v>5.1</v>
      </c>
      <c r="AF189" t="inlineStr">
        <is>
          <t>miscible</t>
        </is>
      </c>
      <c r="AG189" t="inlineStr">
        <is>
          <t>Class 2</t>
        </is>
      </c>
      <c r="AH189">
        <v>30</v>
      </c>
      <c r="AI189">
        <v>15.1</v>
      </c>
      <c r="AJ189">
        <v>12.3</v>
      </c>
      <c r="AK189">
        <v>22.3</v>
      </c>
      <c r="AL189"/>
      <c r="AM189">
        <v>29.61</v>
      </c>
      <c r="AN189">
        <v>40.45</v>
      </c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 t="inlineStr">
        <is>
          <t>process solvent only unless excipient grade and residual solvent justified</t>
        </is>
      </c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>
        <v>4</v>
      </c>
      <c r="CM189" t="inlineStr">
        <is>
          <t>avoid/strictly limit</t>
        </is>
      </c>
      <c r="CN189" t="inlineStr">
        <is>
          <t>poor; toxic residual concern</t>
        </is>
      </c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</row>
    <row r="190">
      <c r="A190" t="inlineStr">
        <is>
          <t>SOLV_ACETONE</t>
        </is>
      </c>
      <c r="B190" t="inlineStr">
        <is>
          <t>Acetone</t>
        </is>
      </c>
      <c r="C190" t="inlineStr">
        <is>
          <t>Solvent</t>
        </is>
      </c>
      <c r="D190" t="inlineStr">
        <is>
          <t>Solvent/co-solvent</t>
        </is>
      </c>
      <c r="E190" t="inlineStr">
        <is>
          <t>organic/aqueous solvent</t>
        </is>
      </c>
      <c r="F190">
        <v>58.08</v>
      </c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>
        <v>-94.7</v>
      </c>
      <c r="Y190"/>
      <c r="Z190"/>
      <c r="AA190"/>
      <c r="AB190">
        <v>0.785</v>
      </c>
      <c r="AC190">
        <v>56.1</v>
      </c>
      <c r="AD190">
        <v>20.7</v>
      </c>
      <c r="AE190">
        <v>5.1</v>
      </c>
      <c r="AF190" t="inlineStr">
        <is>
          <t>miscible</t>
        </is>
      </c>
      <c r="AG190" t="inlineStr">
        <is>
          <t>Class 3</t>
        </is>
      </c>
      <c r="AH190">
        <v>50</v>
      </c>
      <c r="AI190">
        <v>15.5</v>
      </c>
      <c r="AJ190">
        <v>10.4</v>
      </c>
      <c r="AK190">
        <v>7.0</v>
      </c>
      <c r="AL190"/>
      <c r="AM190">
        <v>19.94</v>
      </c>
      <c r="AN190">
        <v>73.99</v>
      </c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 t="inlineStr">
        <is>
          <t>process solvent only unless excipient grade and residual solvent justified</t>
        </is>
      </c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>
        <v>1</v>
      </c>
      <c r="CM190" t="inlineStr">
        <is>
          <t>low toxic potential under ICH Class 3 limits</t>
        </is>
      </c>
      <c r="CN190" t="inlineStr">
        <is>
          <t>poor; process solvent only</t>
        </is>
      </c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</row>
    <row r="191">
      <c r="A191" t="inlineStr">
        <is>
          <t>SOLV_ETHYL_ACETATE</t>
        </is>
      </c>
      <c r="B191" t="inlineStr">
        <is>
          <t>Ethyl acetate</t>
        </is>
      </c>
      <c r="C191" t="inlineStr">
        <is>
          <t>Solvent</t>
        </is>
      </c>
      <c r="D191" t="inlineStr">
        <is>
          <t>Solvent/co-solvent</t>
        </is>
      </c>
      <c r="E191" t="inlineStr">
        <is>
          <t>organic/aqueous solvent</t>
        </is>
      </c>
      <c r="F191">
        <v>88.11</v>
      </c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>
        <v>-83.6</v>
      </c>
      <c r="Y191"/>
      <c r="Z191"/>
      <c r="AA191"/>
      <c r="AB191">
        <v>0.902</v>
      </c>
      <c r="AC191">
        <v>77.1</v>
      </c>
      <c r="AD191">
        <v>6.0</v>
      </c>
      <c r="AE191">
        <v>4.4</v>
      </c>
      <c r="AF191" t="inlineStr">
        <is>
          <t>slightly miscible</t>
        </is>
      </c>
      <c r="AG191" t="inlineStr">
        <is>
          <t>Class 3</t>
        </is>
      </c>
      <c r="AH191">
        <v>50</v>
      </c>
      <c r="AI191">
        <v>15.8</v>
      </c>
      <c r="AJ191">
        <v>5.3</v>
      </c>
      <c r="AK191">
        <v>7.2</v>
      </c>
      <c r="AL191"/>
      <c r="AM191">
        <v>18.15</v>
      </c>
      <c r="AN191">
        <v>97.68</v>
      </c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 t="inlineStr">
        <is>
          <t>process solvent only unless excipient grade and residual solvent justified</t>
        </is>
      </c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>
        <v>1</v>
      </c>
      <c r="CM191" t="inlineStr">
        <is>
          <t>low toxic potential under ICH Class 3 limits</t>
        </is>
      </c>
      <c r="CN191" t="inlineStr">
        <is>
          <t>poor; process solvent only</t>
        </is>
      </c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</row>
    <row r="192">
      <c r="A192" t="inlineStr">
        <is>
          <t>SOLV_CHLOROFORM</t>
        </is>
      </c>
      <c r="B192" t="inlineStr">
        <is>
          <t>Chloroform</t>
        </is>
      </c>
      <c r="C192" t="inlineStr">
        <is>
          <t>Solvent</t>
        </is>
      </c>
      <c r="D192" t="inlineStr">
        <is>
          <t>Solvent/co-solvent</t>
        </is>
      </c>
      <c r="E192" t="inlineStr">
        <is>
          <t>organic/aqueous solvent</t>
        </is>
      </c>
      <c r="F192">
        <v>119.38</v>
      </c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>
        <v>-63.5</v>
      </c>
      <c r="Y192"/>
      <c r="Z192"/>
      <c r="AA192"/>
      <c r="AB192">
        <v>1.489</v>
      </c>
      <c r="AC192">
        <v>61.2</v>
      </c>
      <c r="AD192">
        <v>4.8</v>
      </c>
      <c r="AE192">
        <v>4.1</v>
      </c>
      <c r="AF192" t="inlineStr">
        <is>
          <t>slightly soluble</t>
        </is>
      </c>
      <c r="AG192" t="inlineStr">
        <is>
          <t>Class 2</t>
        </is>
      </c>
      <c r="AH192">
        <v>0.6</v>
      </c>
      <c r="AI192">
        <v>17.8</v>
      </c>
      <c r="AJ192">
        <v>3.1</v>
      </c>
      <c r="AK192">
        <v>5.7</v>
      </c>
      <c r="AL192"/>
      <c r="AM192">
        <v>18.95</v>
      </c>
      <c r="AN192">
        <v>80.17</v>
      </c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 t="inlineStr">
        <is>
          <t>process solvent only unless excipient grade and residual solvent justified</t>
        </is>
      </c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>
        <v>5</v>
      </c>
      <c r="CM192" t="inlineStr">
        <is>
          <t>avoid/strictly limit</t>
        </is>
      </c>
      <c r="CN192" t="inlineStr">
        <is>
          <t>not suitable</t>
        </is>
      </c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</row>
    <row r="193">
      <c r="A193" t="inlineStr">
        <is>
          <t>SOLV_DICHLOROMETHANE</t>
        </is>
      </c>
      <c r="B193" t="inlineStr">
        <is>
          <t>Dichloromethane</t>
        </is>
      </c>
      <c r="C193" t="inlineStr">
        <is>
          <t>Solvent</t>
        </is>
      </c>
      <c r="D193" t="inlineStr">
        <is>
          <t>Solvent/co-solvent</t>
        </is>
      </c>
      <c r="E193" t="inlineStr">
        <is>
          <t>organic/aqueous solvent</t>
        </is>
      </c>
      <c r="F193">
        <v>84.93</v>
      </c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>
        <v>-96.7</v>
      </c>
      <c r="Y193"/>
      <c r="Z193"/>
      <c r="AA193"/>
      <c r="AB193">
        <v>1.326</v>
      </c>
      <c r="AC193">
        <v>39.6</v>
      </c>
      <c r="AD193">
        <v>8.9</v>
      </c>
      <c r="AE193">
        <v>3.1</v>
      </c>
      <c r="AF193" t="inlineStr">
        <is>
          <t>slightly soluble</t>
        </is>
      </c>
      <c r="AG193" t="inlineStr">
        <is>
          <t>Class 2</t>
        </is>
      </c>
      <c r="AH193">
        <v>6</v>
      </c>
      <c r="AI193">
        <v>18.2</v>
      </c>
      <c r="AJ193">
        <v>6.3</v>
      </c>
      <c r="AK193">
        <v>6.1</v>
      </c>
      <c r="AL193"/>
      <c r="AM193">
        <v>20.2</v>
      </c>
      <c r="AN193">
        <v>64.05</v>
      </c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 t="inlineStr">
        <is>
          <t>process solvent only unless excipient grade and residual solvent justified</t>
        </is>
      </c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>
        <v>4</v>
      </c>
      <c r="CM193" t="inlineStr">
        <is>
          <t>avoid/strictly limit</t>
        </is>
      </c>
      <c r="CN193" t="inlineStr">
        <is>
          <t>not suitable</t>
        </is>
      </c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</row>
    <row r="194">
      <c r="A194" t="inlineStr">
        <is>
          <t>SOLV_DMSO</t>
        </is>
      </c>
      <c r="B194" t="inlineStr">
        <is>
          <t>DMSO</t>
        </is>
      </c>
      <c r="C194" t="inlineStr">
        <is>
          <t>Solvent</t>
        </is>
      </c>
      <c r="D194" t="inlineStr">
        <is>
          <t>Solvent/co-solvent</t>
        </is>
      </c>
      <c r="E194" t="inlineStr">
        <is>
          <t>organic/aqueous solvent</t>
        </is>
      </c>
      <c r="F194">
        <v>78.13</v>
      </c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>
        <v>18.5</v>
      </c>
      <c r="Y194"/>
      <c r="Z194"/>
      <c r="AA194"/>
      <c r="AB194">
        <v>1.095</v>
      </c>
      <c r="AC194">
        <v>189</v>
      </c>
      <c r="AD194">
        <v>46.7</v>
      </c>
      <c r="AE194">
        <v>7.2</v>
      </c>
      <c r="AF194" t="inlineStr">
        <is>
          <t>miscible</t>
        </is>
      </c>
      <c r="AG194" t="inlineStr">
        <is>
          <t>Class 3</t>
        </is>
      </c>
      <c r="AH194">
        <v>50</v>
      </c>
      <c r="AI194">
        <v>18.4</v>
      </c>
      <c r="AJ194">
        <v>16.4</v>
      </c>
      <c r="AK194">
        <v>10.2</v>
      </c>
      <c r="AL194"/>
      <c r="AM194">
        <v>26.68</v>
      </c>
      <c r="AN194">
        <v>71.35</v>
      </c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 t="inlineStr">
        <is>
          <t>process solvent only unless excipient grade and residual solvent justified</t>
        </is>
      </c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>
        <v>1</v>
      </c>
      <c r="CM194" t="inlineStr">
        <is>
          <t>low toxic potential under ICH Class 3 limits</t>
        </is>
      </c>
      <c r="CN194" t="inlineStr">
        <is>
          <t>very limited; strong penetration/irritation</t>
        </is>
      </c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</row>
    <row r="195">
      <c r="A195" t="inlineStr">
        <is>
          <t>SOLV_ACETONITRILE</t>
        </is>
      </c>
      <c r="B195" t="inlineStr">
        <is>
          <t>Acetonitrile</t>
        </is>
      </c>
      <c r="C195" t="inlineStr">
        <is>
          <t>Solvent</t>
        </is>
      </c>
      <c r="D195" t="inlineStr">
        <is>
          <t>Solvent/co-solvent</t>
        </is>
      </c>
      <c r="E195" t="inlineStr">
        <is>
          <t>organic/aqueous solvent</t>
        </is>
      </c>
      <c r="F195">
        <v>41.05</v>
      </c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>
        <v>-45.7</v>
      </c>
      <c r="Y195"/>
      <c r="Z195"/>
      <c r="AA195"/>
      <c r="AB195">
        <v>0.786</v>
      </c>
      <c r="AC195">
        <v>81.6</v>
      </c>
      <c r="AD195">
        <v>37.5</v>
      </c>
      <c r="AE195">
        <v>5.8</v>
      </c>
      <c r="AF195" t="inlineStr">
        <is>
          <t>miscible</t>
        </is>
      </c>
      <c r="AG195" t="inlineStr">
        <is>
          <t>Class 2</t>
        </is>
      </c>
      <c r="AH195">
        <v>4.1</v>
      </c>
      <c r="AI195">
        <v>15.3</v>
      </c>
      <c r="AJ195">
        <v>18.0</v>
      </c>
      <c r="AK195">
        <v>6.1</v>
      </c>
      <c r="AL195"/>
      <c r="AM195">
        <v>24.4</v>
      </c>
      <c r="AN195">
        <v>52.23</v>
      </c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 t="inlineStr">
        <is>
          <t>process solvent only unless excipient grade and residual solvent justified</t>
        </is>
      </c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>
        <v>4</v>
      </c>
      <c r="CM195" t="inlineStr">
        <is>
          <t>avoid/strictly limit</t>
        </is>
      </c>
      <c r="CN195" t="inlineStr">
        <is>
          <t>not suitable</t>
        </is>
      </c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</row>
    <row r="196">
      <c r="A196" t="inlineStr">
        <is>
          <t>SOLV_ISOPROPANOL</t>
        </is>
      </c>
      <c r="B196" t="inlineStr">
        <is>
          <t>Isopropanol</t>
        </is>
      </c>
      <c r="C196" t="inlineStr">
        <is>
          <t>Solvent</t>
        </is>
      </c>
      <c r="D196" t="inlineStr">
        <is>
          <t>Solvent/co-solvent</t>
        </is>
      </c>
      <c r="E196" t="inlineStr">
        <is>
          <t>organic/aqueous solvent</t>
        </is>
      </c>
      <c r="F196">
        <v>60.1</v>
      </c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>
        <v>-89.5</v>
      </c>
      <c r="Y196"/>
      <c r="Z196"/>
      <c r="AA196"/>
      <c r="AB196">
        <v>0.786</v>
      </c>
      <c r="AC196">
        <v>82.5</v>
      </c>
      <c r="AD196">
        <v>18.3</v>
      </c>
      <c r="AE196">
        <v>3.9</v>
      </c>
      <c r="AF196" t="inlineStr">
        <is>
          <t>miscible</t>
        </is>
      </c>
      <c r="AG196" t="inlineStr">
        <is>
          <t>Class 3</t>
        </is>
      </c>
      <c r="AH196">
        <v>50</v>
      </c>
      <c r="AI196">
        <v>15.8</v>
      </c>
      <c r="AJ196">
        <v>6.1</v>
      </c>
      <c r="AK196">
        <v>16.4</v>
      </c>
      <c r="AL196"/>
      <c r="AM196">
        <v>23.58</v>
      </c>
      <c r="AN196">
        <v>76.46</v>
      </c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 t="inlineStr">
        <is>
          <t>process solvent only unless excipient grade and residual solvent justified</t>
        </is>
      </c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>
        <v>1</v>
      </c>
      <c r="CM196" t="inlineStr">
        <is>
          <t>low toxic potential under ICH Class 3 limits</t>
        </is>
      </c>
      <c r="CN196" t="inlineStr">
        <is>
          <t>process solvent only</t>
        </is>
      </c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</row>
    <row r="197">
      <c r="A197" t="inlineStr">
        <is>
          <t>SOLV_PROPYLENE_GLYCOL</t>
        </is>
      </c>
      <c r="B197" t="inlineStr">
        <is>
          <t>Propylene glycol</t>
        </is>
      </c>
      <c r="C197" t="inlineStr">
        <is>
          <t>Solvent</t>
        </is>
      </c>
      <c r="D197" t="inlineStr">
        <is>
          <t>Solvent/co-solvent</t>
        </is>
      </c>
      <c r="E197" t="inlineStr">
        <is>
          <t>organic/aqueous solvent</t>
        </is>
      </c>
      <c r="F197">
        <v>76.09</v>
      </c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>
        <v>-59</v>
      </c>
      <c r="Y197"/>
      <c r="Z197"/>
      <c r="AA197"/>
      <c r="AB197">
        <v>1.036</v>
      </c>
      <c r="AC197">
        <v>188</v>
      </c>
      <c r="AD197">
        <v>32.0</v>
      </c>
      <c r="AE197">
        <v>6.6</v>
      </c>
      <c r="AF197" t="inlineStr">
        <is>
          <t>miscible</t>
        </is>
      </c>
      <c r="AG197" t="inlineStr">
        <is>
          <t>Class 3/low toxic potential</t>
        </is>
      </c>
      <c r="AH197">
        <v>50</v>
      </c>
      <c r="AI197">
        <v>16.8</v>
      </c>
      <c r="AJ197">
        <v>9.4</v>
      </c>
      <c r="AK197">
        <v>23.3</v>
      </c>
      <c r="AL197"/>
      <c r="AM197">
        <v>30.22</v>
      </c>
      <c r="AN197">
        <v>73.45</v>
      </c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 t="inlineStr">
        <is>
          <t>process solvent only unless excipient grade and residual solvent justified</t>
        </is>
      </c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>
        <v>1</v>
      </c>
      <c r="CM197" t="inlineStr">
        <is>
          <t>low toxic potential under ICH Class 3 limits</t>
        </is>
      </c>
      <c r="CN197" t="inlineStr">
        <is>
          <t>possible excipient; osmolality caution</t>
        </is>
      </c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</row>
    <row r="198">
      <c r="A198" t="inlineStr">
        <is>
          <t>SOLV_PEG_400</t>
        </is>
      </c>
      <c r="B198" t="inlineStr">
        <is>
          <t>PEG 400</t>
        </is>
      </c>
      <c r="C198" t="inlineStr">
        <is>
          <t>Solvent</t>
        </is>
      </c>
      <c r="D198" t="inlineStr">
        <is>
          <t>Solvent/co-solvent</t>
        </is>
      </c>
      <c r="E198" t="inlineStr">
        <is>
          <t>organic/aqueous solvent</t>
        </is>
      </c>
      <c r="F198">
        <v>400</v>
      </c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>
        <v>4</v>
      </c>
      <c r="Y198"/>
      <c r="Z198"/>
      <c r="AA198"/>
      <c r="AB198">
        <v>1.125</v>
      </c>
      <c r="AC198">
        <v>250</v>
      </c>
      <c r="AD198">
        <v>12.4</v>
      </c>
      <c r="AE198">
        <v>5.8</v>
      </c>
      <c r="AF198" t="inlineStr">
        <is>
          <t>miscible</t>
        </is>
      </c>
      <c r="AG198" t="inlineStr">
        <is>
          <t>not listed / excipient</t>
        </is>
      </c>
      <c r="AH198"/>
      <c r="AI198">
        <v>17.4</v>
      </c>
      <c r="AJ198">
        <v>4.3</v>
      </c>
      <c r="AK198">
        <v>12.3</v>
      </c>
      <c r="AL198"/>
      <c r="AM198">
        <v>21.74</v>
      </c>
      <c r="AN198">
        <v>355.56</v>
      </c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 t="inlineStr">
        <is>
          <t>process solvent only unless excipient grade and residual solvent justified</t>
        </is>
      </c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>
        <v>1</v>
      </c>
      <c r="CM198" t="inlineStr">
        <is>
          <t>not an ICH residual solvent or not applicable</t>
        </is>
      </c>
      <c r="CN198" t="inlineStr">
        <is>
          <t>possible excipient; viscosity/osmolality caution</t>
        </is>
      </c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</row>
    <row r="199">
      <c r="A199" t="inlineStr">
        <is>
          <t>SOLV_GLYCEROL</t>
        </is>
      </c>
      <c r="B199" t="inlineStr">
        <is>
          <t>Glycerol</t>
        </is>
      </c>
      <c r="C199" t="inlineStr">
        <is>
          <t>Solvent</t>
        </is>
      </c>
      <c r="D199" t="inlineStr">
        <is>
          <t>Solvent/co-solvent</t>
        </is>
      </c>
      <c r="E199" t="inlineStr">
        <is>
          <t>organic/aqueous solvent</t>
        </is>
      </c>
      <c r="F199">
        <v>92.09</v>
      </c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>
        <v>17.8</v>
      </c>
      <c r="Y199"/>
      <c r="Z199"/>
      <c r="AA199"/>
      <c r="AB199">
        <v>1.261</v>
      </c>
      <c r="AC199">
        <v>290</v>
      </c>
      <c r="AD199">
        <v>42.5</v>
      </c>
      <c r="AE199">
        <v>9.0</v>
      </c>
      <c r="AF199" t="inlineStr">
        <is>
          <t>miscible</t>
        </is>
      </c>
      <c r="AG199" t="inlineStr">
        <is>
          <t>not listed / excipient</t>
        </is>
      </c>
      <c r="AH199"/>
      <c r="AI199">
        <v>17.4</v>
      </c>
      <c r="AJ199">
        <v>12.1</v>
      </c>
      <c r="AK199">
        <v>29.3</v>
      </c>
      <c r="AL199"/>
      <c r="AM199">
        <v>36.16</v>
      </c>
      <c r="AN199">
        <v>73.03</v>
      </c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 t="inlineStr">
        <is>
          <t>process solvent only unless excipient grade and residual solvent justified</t>
        </is>
      </c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>
        <v>1</v>
      </c>
      <c r="CM199" t="inlineStr">
        <is>
          <t>not an ICH residual solvent or not applicable</t>
        </is>
      </c>
      <c r="CN199" t="inlineStr">
        <is>
          <t>possible excipient; osmolality caution</t>
        </is>
      </c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</row>
    <row r="200">
      <c r="A200" t="inlineStr">
        <is>
          <t>SOLV_TRANSCUTOL_P</t>
        </is>
      </c>
      <c r="B200" t="inlineStr">
        <is>
          <t>Transcutol P</t>
        </is>
      </c>
      <c r="C200" t="inlineStr">
        <is>
          <t>Solvent</t>
        </is>
      </c>
      <c r="D200" t="inlineStr">
        <is>
          <t>Solvent/co-solvent</t>
        </is>
      </c>
      <c r="E200" t="inlineStr">
        <is>
          <t>organic/aqueous solvent</t>
        </is>
      </c>
      <c r="F200">
        <v>134.17</v>
      </c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>
        <v>-76</v>
      </c>
      <c r="Y200"/>
      <c r="Z200"/>
      <c r="AA200"/>
      <c r="AB200">
        <v>0.988</v>
      </c>
      <c r="AC200">
        <v>196</v>
      </c>
      <c r="AD200">
        <v>13.0</v>
      </c>
      <c r="AE200">
        <v>4.2</v>
      </c>
      <c r="AF200" t="inlineStr">
        <is>
          <t>miscible</t>
        </is>
      </c>
      <c r="AG200" t="inlineStr">
        <is>
          <t>not listed / excipient</t>
        </is>
      </c>
      <c r="AH200"/>
      <c r="AI200">
        <v>16.4</v>
      </c>
      <c r="AJ200">
        <v>9.2</v>
      </c>
      <c r="AK200">
        <v>14.3</v>
      </c>
      <c r="AL200"/>
      <c r="AM200">
        <v>23.62</v>
      </c>
      <c r="AN200">
        <v>135.8</v>
      </c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 t="inlineStr">
        <is>
          <t>process solvent only unless excipient grade and residual solvent justified</t>
        </is>
      </c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>
        <v>1</v>
      </c>
      <c r="CM200" t="inlineStr">
        <is>
          <t>not an ICH residual solvent or not applicable</t>
        </is>
      </c>
      <c r="CN200" t="inlineStr">
        <is>
          <t>limited; route-specific excipient precedent</t>
        </is>
      </c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</row>
    <row r="201">
      <c r="A201" t="inlineStr">
        <is>
          <t>SOLV_DIMETHYLACETAMIDE</t>
        </is>
      </c>
      <c r="B201" t="inlineStr">
        <is>
          <t>Dimethylacetamide</t>
        </is>
      </c>
      <c r="C201" t="inlineStr">
        <is>
          <t>Solvent</t>
        </is>
      </c>
      <c r="D201" t="inlineStr">
        <is>
          <t>Solvent/co-solvent</t>
        </is>
      </c>
      <c r="E201" t="inlineStr">
        <is>
          <t>organic/aqueous solvent</t>
        </is>
      </c>
      <c r="F201">
        <v>87.12</v>
      </c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-20</v>
      </c>
      <c r="Y201"/>
      <c r="Z201"/>
      <c r="AA201"/>
      <c r="AB201">
        <v>0.937</v>
      </c>
      <c r="AC201">
        <v>165</v>
      </c>
      <c r="AD201">
        <v>37.8</v>
      </c>
      <c r="AE201">
        <v>6.5</v>
      </c>
      <c r="AF201" t="inlineStr">
        <is>
          <t>miscible</t>
        </is>
      </c>
      <c r="AG201" t="inlineStr">
        <is>
          <t>Class 2</t>
        </is>
      </c>
      <c r="AH201">
        <v>10.9</v>
      </c>
      <c r="AI201">
        <v>16.8</v>
      </c>
      <c r="AJ201">
        <v>11.5</v>
      </c>
      <c r="AK201">
        <v>10.2</v>
      </c>
      <c r="AL201"/>
      <c r="AM201">
        <v>22.77</v>
      </c>
      <c r="AN201">
        <v>92.98</v>
      </c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 t="inlineStr">
        <is>
          <t>process solvent only unless excipient grade and residual solvent justified</t>
        </is>
      </c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>
        <v>4</v>
      </c>
      <c r="CM201" t="inlineStr">
        <is>
          <t>avoid/strictly limit</t>
        </is>
      </c>
      <c r="CN201" t="inlineStr">
        <is>
          <t>not suitable</t>
        </is>
      </c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</row>
    <row r="202">
      <c r="A202" t="inlineStr">
        <is>
          <t>SOLV_N_METHYL_2_PYRROLIDONE</t>
        </is>
      </c>
      <c r="B202" t="inlineStr">
        <is>
          <t>N-methyl-2-pyrrolidone</t>
        </is>
      </c>
      <c r="C202" t="inlineStr">
        <is>
          <t>Solvent</t>
        </is>
      </c>
      <c r="D202" t="inlineStr">
        <is>
          <t>Solvent/co-solvent</t>
        </is>
      </c>
      <c r="E202" t="inlineStr">
        <is>
          <t>organic/aqueous solvent</t>
        </is>
      </c>
      <c r="F202">
        <v>99.13</v>
      </c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-24</v>
      </c>
      <c r="Y202"/>
      <c r="Z202"/>
      <c r="AA202"/>
      <c r="AB202">
        <v>1.028</v>
      </c>
      <c r="AC202">
        <v>202</v>
      </c>
      <c r="AD202">
        <v>32.0</v>
      </c>
      <c r="AE202">
        <v>6.7</v>
      </c>
      <c r="AF202" t="inlineStr">
        <is>
          <t>miscible</t>
        </is>
      </c>
      <c r="AG202" t="inlineStr">
        <is>
          <t>Class 2</t>
        </is>
      </c>
      <c r="AH202">
        <v>5.3</v>
      </c>
      <c r="AI202">
        <v>18.0</v>
      </c>
      <c r="AJ202">
        <v>12.3</v>
      </c>
      <c r="AK202">
        <v>7.2</v>
      </c>
      <c r="AL202"/>
      <c r="AM202">
        <v>22.96</v>
      </c>
      <c r="AN202">
        <v>96.43</v>
      </c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 t="inlineStr">
        <is>
          <t>process solvent only unless excipient grade and residual solvent justified</t>
        </is>
      </c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>
        <v>4</v>
      </c>
      <c r="CM202" t="inlineStr">
        <is>
          <t>avoid/strictly limit</t>
        </is>
      </c>
      <c r="CN202" t="inlineStr">
        <is>
          <t>not suitable</t>
        </is>
      </c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</row>
    <row r="203">
      <c r="A203" t="inlineStr">
        <is>
          <t>SOLV_TERT_BUTANOL</t>
        </is>
      </c>
      <c r="B203" t="inlineStr">
        <is>
          <t>Tert-butanol</t>
        </is>
      </c>
      <c r="C203" t="inlineStr">
        <is>
          <t>Solvent</t>
        </is>
      </c>
      <c r="D203" t="inlineStr">
        <is>
          <t>Solvent/co-solvent</t>
        </is>
      </c>
      <c r="E203" t="inlineStr">
        <is>
          <t>organic/aqueous solvent</t>
        </is>
      </c>
      <c r="F203">
        <v>74.12</v>
      </c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>
        <v>25.5</v>
      </c>
      <c r="Y203"/>
      <c r="Z203"/>
      <c r="AA203"/>
      <c r="AB203">
        <v>0.781</v>
      </c>
      <c r="AC203">
        <v>82.2</v>
      </c>
      <c r="AD203">
        <v>12.5</v>
      </c>
      <c r="AE203">
        <v>3.9</v>
      </c>
      <c r="AF203" t="inlineStr">
        <is>
          <t>miscible</t>
        </is>
      </c>
      <c r="AG203" t="inlineStr">
        <is>
          <t>Class 3</t>
        </is>
      </c>
      <c r="AH203">
        <v>50</v>
      </c>
      <c r="AI203">
        <v>14.8</v>
      </c>
      <c r="AJ203">
        <v>5.7</v>
      </c>
      <c r="AK203">
        <v>15.8</v>
      </c>
      <c r="AL203"/>
      <c r="AM203">
        <v>22.39</v>
      </c>
      <c r="AN203">
        <v>94.9</v>
      </c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 t="inlineStr">
        <is>
          <t>process solvent only unless excipient grade and residual solvent justified</t>
        </is>
      </c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>
        <v>1</v>
      </c>
      <c r="CM203" t="inlineStr">
        <is>
          <t>low toxic potential under ICH Class 3 limits</t>
        </is>
      </c>
      <c r="CN203" t="inlineStr">
        <is>
          <t>lyophilization co-solvent; residual caution</t>
        </is>
      </c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</row>
    <row r="204">
      <c r="A204" t="inlineStr">
        <is>
          <t>SOLV_DIETHYL_ETHER</t>
        </is>
      </c>
      <c r="B204" t="inlineStr">
        <is>
          <t>Diethyl ether</t>
        </is>
      </c>
      <c r="C204" t="inlineStr">
        <is>
          <t>Solvent</t>
        </is>
      </c>
      <c r="D204" t="inlineStr">
        <is>
          <t>Solvent/co-solvent</t>
        </is>
      </c>
      <c r="E204" t="inlineStr">
        <is>
          <t>organic/aqueous solvent</t>
        </is>
      </c>
      <c r="F204">
        <v>74.12</v>
      </c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>
        <v>-116.3</v>
      </c>
      <c r="Y204"/>
      <c r="Z204"/>
      <c r="AA204"/>
      <c r="AB204">
        <v>0.713</v>
      </c>
      <c r="AC204">
        <v>34.6</v>
      </c>
      <c r="AD204">
        <v>4.3</v>
      </c>
      <c r="AE204">
        <v>2.8</v>
      </c>
      <c r="AF204" t="inlineStr">
        <is>
          <t>slightly soluble</t>
        </is>
      </c>
      <c r="AG204" t="inlineStr">
        <is>
          <t>Class 3</t>
        </is>
      </c>
      <c r="AH204">
        <v>50</v>
      </c>
      <c r="AI204">
        <v>14.5</v>
      </c>
      <c r="AJ204">
        <v>2.9</v>
      </c>
      <c r="AK204">
        <v>5.1</v>
      </c>
      <c r="AL204"/>
      <c r="AM204">
        <v>15.64</v>
      </c>
      <c r="AN204">
        <v>103.96</v>
      </c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 t="inlineStr">
        <is>
          <t>process solvent only unless excipient grade and residual solvent justified</t>
        </is>
      </c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>
        <v>2</v>
      </c>
      <c r="CM204" t="inlineStr">
        <is>
          <t>low toxic potential under ICH Class 3 limits</t>
        </is>
      </c>
      <c r="CN204" t="inlineStr">
        <is>
          <t>not suitable; flammable</t>
        </is>
      </c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</row>
    <row r="205">
      <c r="A205" t="inlineStr">
        <is>
          <t>CAR_MALTODEXTRIN</t>
        </is>
      </c>
      <c r="B205" t="inlineStr">
        <is>
          <t>Maltodextrin</t>
        </is>
      </c>
      <c r="C205" t="inlineStr">
        <is>
          <t>Carrier</t>
        </is>
      </c>
      <c r="D205" t="inlineStr">
        <is>
          <t>Dry carrier/cryoprotectant</t>
        </is>
      </c>
      <c r="E205" t="inlineStr">
        <is>
          <t>saccharide carrier</t>
        </is>
      </c>
      <c r="F205"/>
      <c r="G205">
        <v>1000</v>
      </c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>
        <v>3</v>
      </c>
      <c r="BJ205">
        <v>4</v>
      </c>
      <c r="BK205" t="inlineStr">
        <is>
          <t>yes</t>
        </is>
      </c>
      <c r="BL205" t="inlineStr">
        <is>
          <t>no/conditional</t>
        </is>
      </c>
      <c r="BM205"/>
      <c r="BN205"/>
      <c r="BO205"/>
      <c r="BP205"/>
      <c r="BQ205" t="inlineStr">
        <is>
          <t>dry carrier/cryoprotectant; route-grade dependent</t>
        </is>
      </c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 t="inlineStr">
        <is>
          <t>saccharide carrier</t>
        </is>
      </c>
      <c r="CP205" t="inlineStr">
        <is>
          <t>high</t>
        </is>
      </c>
      <c r="CQ205" t="inlineStr">
        <is>
          <t>moderate</t>
        </is>
      </c>
      <c r="CR205" t="inlineStr">
        <is>
          <t>DE controls Tg and hygroscopicity</t>
        </is>
      </c>
      <c r="CS205">
        <v>100</v>
      </c>
      <c r="CT205">
        <v>0.45</v>
      </c>
      <c r="CU205">
        <v>0.65</v>
      </c>
      <c r="CV205" t="inlineStr">
        <is>
          <t>DE grade-dependent</t>
        </is>
      </c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</row>
    <row r="206">
      <c r="A206" t="inlineStr">
        <is>
          <t>CAR_MANNITOL</t>
        </is>
      </c>
      <c r="B206" t="inlineStr">
        <is>
          <t>Mannitol</t>
        </is>
      </c>
      <c r="C206" t="inlineStr">
        <is>
          <t>Carrier</t>
        </is>
      </c>
      <c r="D206" t="inlineStr">
        <is>
          <t>Dry carrier/cryoprotectant</t>
        </is>
      </c>
      <c r="E206" t="inlineStr">
        <is>
          <t>crystalline sugar alcohol</t>
        </is>
      </c>
      <c r="F206">
        <v>182.17</v>
      </c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>
        <v>166</v>
      </c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>
        <v>3</v>
      </c>
      <c r="BJ206">
        <v>3</v>
      </c>
      <c r="BK206" t="inlineStr">
        <is>
          <t>yes</t>
        </is>
      </c>
      <c r="BL206" t="inlineStr">
        <is>
          <t>yes</t>
        </is>
      </c>
      <c r="BM206"/>
      <c r="BN206"/>
      <c r="BO206"/>
      <c r="BP206"/>
      <c r="BQ206" t="inlineStr">
        <is>
          <t>dry carrier/cryoprotectant; route-grade dependent</t>
        </is>
      </c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 t="inlineStr">
        <is>
          <t>crystalline sugar alcohol</t>
        </is>
      </c>
      <c r="CP206" t="inlineStr">
        <is>
          <t>high</t>
        </is>
      </c>
      <c r="CQ206" t="inlineStr">
        <is>
          <t>low</t>
        </is>
      </c>
      <c r="CR206" t="inlineStr">
        <is>
          <t>common inhalation/lyophilization bulking carrier</t>
        </is>
      </c>
      <c r="CS206"/>
      <c r="CT206">
        <v>0.45</v>
      </c>
      <c r="CU206">
        <v>0.65</v>
      </c>
      <c r="CV206" t="inlineStr">
        <is>
          <t>spray-dried/inhalation grades</t>
        </is>
      </c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</row>
    <row r="207">
      <c r="A207" t="inlineStr">
        <is>
          <t>CAR_TREHALOSE</t>
        </is>
      </c>
      <c r="B207" t="inlineStr">
        <is>
          <t>Trehalose</t>
        </is>
      </c>
      <c r="C207" t="inlineStr">
        <is>
          <t>Carrier</t>
        </is>
      </c>
      <c r="D207" t="inlineStr">
        <is>
          <t>Dry carrier/cryoprotectant</t>
        </is>
      </c>
      <c r="E207" t="inlineStr">
        <is>
          <t>disaccharide cryoprotectant</t>
        </is>
      </c>
      <c r="F207">
        <v>342.3</v>
      </c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>
        <v>203</v>
      </c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>
        <v>5</v>
      </c>
      <c r="BJ207">
        <v>3</v>
      </c>
      <c r="BK207" t="inlineStr">
        <is>
          <t>yes</t>
        </is>
      </c>
      <c r="BL207" t="inlineStr">
        <is>
          <t>conditional</t>
        </is>
      </c>
      <c r="BM207"/>
      <c r="BN207"/>
      <c r="BO207"/>
      <c r="BP207"/>
      <c r="BQ207" t="inlineStr">
        <is>
          <t>dry carrier/cryoprotectant; route-grade dependent</t>
        </is>
      </c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 t="inlineStr">
        <is>
          <t>disaccharide cryoprotectant</t>
        </is>
      </c>
      <c r="CP207" t="inlineStr">
        <is>
          <t>high</t>
        </is>
      </c>
      <c r="CQ207" t="inlineStr">
        <is>
          <t>low</t>
        </is>
      </c>
      <c r="CR207" t="inlineStr">
        <is>
          <t>excellent liposome/LNP cryoprotectant</t>
        </is>
      </c>
      <c r="CS207">
        <v>115</v>
      </c>
      <c r="CT207">
        <v>0.55</v>
      </c>
      <c r="CU207">
        <v>0.75</v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</row>
    <row r="208">
      <c r="A208" t="inlineStr">
        <is>
          <t>CAR_SUCROSE</t>
        </is>
      </c>
      <c r="B208" t="inlineStr">
        <is>
          <t>Sucrose</t>
        </is>
      </c>
      <c r="C208" t="inlineStr">
        <is>
          <t>Carrier</t>
        </is>
      </c>
      <c r="D208" t="inlineStr">
        <is>
          <t>Dry carrier/cryoprotectant</t>
        </is>
      </c>
      <c r="E208" t="inlineStr">
        <is>
          <t>disaccharide cryoprotectant</t>
        </is>
      </c>
      <c r="F208">
        <v>342.3</v>
      </c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>
        <v>186</v>
      </c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>
        <v>5</v>
      </c>
      <c r="BJ208">
        <v>3</v>
      </c>
      <c r="BK208" t="inlineStr">
        <is>
          <t>yes</t>
        </is>
      </c>
      <c r="BL208" t="inlineStr">
        <is>
          <t>conditional</t>
        </is>
      </c>
      <c r="BM208"/>
      <c r="BN208"/>
      <c r="BO208"/>
      <c r="BP208"/>
      <c r="BQ208" t="inlineStr">
        <is>
          <t>dry carrier/cryoprotectant; route-grade dependent</t>
        </is>
      </c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 t="inlineStr">
        <is>
          <t>disaccharide cryoprotectant</t>
        </is>
      </c>
      <c r="CP208" t="inlineStr">
        <is>
          <t>high</t>
        </is>
      </c>
      <c r="CQ208" t="inlineStr">
        <is>
          <t>moderate</t>
        </is>
      </c>
      <c r="CR208" t="inlineStr">
        <is>
          <t>excellent cryoprotectant; hygroscopicity consideration</t>
        </is>
      </c>
      <c r="CS208">
        <v>62</v>
      </c>
      <c r="CT208">
        <v>0.6</v>
      </c>
      <c r="CU208">
        <v>0.8</v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</row>
    <row r="209">
      <c r="A209" t="inlineStr">
        <is>
          <t>CAR_LACTOSE</t>
        </is>
      </c>
      <c r="B209" t="inlineStr">
        <is>
          <t>Lactose</t>
        </is>
      </c>
      <c r="C209" t="inlineStr">
        <is>
          <t>Carrier</t>
        </is>
      </c>
      <c r="D209" t="inlineStr">
        <is>
          <t>Dry carrier/cryoprotectant</t>
        </is>
      </c>
      <c r="E209" t="inlineStr">
        <is>
          <t>disaccharide carrier</t>
        </is>
      </c>
      <c r="F209">
        <v>342.3</v>
      </c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202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>
        <v>2</v>
      </c>
      <c r="BJ209">
        <v>3</v>
      </c>
      <c r="BK209" t="inlineStr">
        <is>
          <t>yes</t>
        </is>
      </c>
      <c r="BL209" t="inlineStr">
        <is>
          <t>yes</t>
        </is>
      </c>
      <c r="BM209"/>
      <c r="BN209"/>
      <c r="BO209"/>
      <c r="BP209"/>
      <c r="BQ209" t="inlineStr">
        <is>
          <t>dry carrier/cryoprotectant; route-grade dependent</t>
        </is>
      </c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 t="inlineStr">
        <is>
          <t>disaccharide carrier</t>
        </is>
      </c>
      <c r="CP209" t="inlineStr">
        <is>
          <t>moderate</t>
        </is>
      </c>
      <c r="CQ209" t="inlineStr">
        <is>
          <t>low</t>
        </is>
      </c>
      <c r="CR209" t="inlineStr">
        <is>
          <t>inhalation carrier; reducing sugar compatibility risk</t>
        </is>
      </c>
      <c r="CS209"/>
      <c r="CT209">
        <v>0.55</v>
      </c>
      <c r="CU209">
        <v>0.75</v>
      </c>
      <c r="CV209" t="inlineStr">
        <is>
          <t>inhalation carrier grades</t>
        </is>
      </c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</row>
    <row r="210">
      <c r="A210" t="inlineStr">
        <is>
          <t>CAR_GLUCOSE</t>
        </is>
      </c>
      <c r="B210" t="inlineStr">
        <is>
          <t>Glucose</t>
        </is>
      </c>
      <c r="C210" t="inlineStr">
        <is>
          <t>Carrier</t>
        </is>
      </c>
      <c r="D210" t="inlineStr">
        <is>
          <t>Dry carrier/cryoprotectant</t>
        </is>
      </c>
      <c r="E210" t="inlineStr">
        <is>
          <t>monosaccharide</t>
        </is>
      </c>
      <c r="F210">
        <v>180.16</v>
      </c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>
        <v>146</v>
      </c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>
        <v>2</v>
      </c>
      <c r="BJ210">
        <v>2</v>
      </c>
      <c r="BK210" t="inlineStr">
        <is>
          <t>conditional</t>
        </is>
      </c>
      <c r="BL210" t="inlineStr">
        <is>
          <t>no</t>
        </is>
      </c>
      <c r="BM210"/>
      <c r="BN210"/>
      <c r="BO210"/>
      <c r="BP210"/>
      <c r="BQ210" t="inlineStr">
        <is>
          <t>dry carrier/cryoprotectant; route-grade dependent</t>
        </is>
      </c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 t="inlineStr">
        <is>
          <t>monosaccharide</t>
        </is>
      </c>
      <c r="CP210" t="inlineStr">
        <is>
          <t>high</t>
        </is>
      </c>
      <c r="CQ210" t="inlineStr">
        <is>
          <t>moderate</t>
        </is>
      </c>
      <c r="CR210" t="inlineStr">
        <is>
          <t>reducing sugar; Maillard risk</t>
        </is>
      </c>
      <c r="CS210"/>
      <c r="CT210">
        <v>0.6</v>
      </c>
      <c r="CU210">
        <v>0.8</v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</row>
    <row r="211">
      <c r="A211" t="inlineStr">
        <is>
          <t>CAR_SORBITOL</t>
        </is>
      </c>
      <c r="B211" t="inlineStr">
        <is>
          <t>Sorbitol</t>
        </is>
      </c>
      <c r="C211" t="inlineStr">
        <is>
          <t>Carrier</t>
        </is>
      </c>
      <c r="D211" t="inlineStr">
        <is>
          <t>Dry carrier/cryoprotectant</t>
        </is>
      </c>
      <c r="E211" t="inlineStr">
        <is>
          <t>sugar alcohol</t>
        </is>
      </c>
      <c r="F211">
        <v>182.17</v>
      </c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>
        <v>95</v>
      </c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>
        <v>3</v>
      </c>
      <c r="BJ211">
        <v>2</v>
      </c>
      <c r="BK211" t="inlineStr">
        <is>
          <t>conditional</t>
        </is>
      </c>
      <c r="BL211" t="inlineStr">
        <is>
          <t>no</t>
        </is>
      </c>
      <c r="BM211"/>
      <c r="BN211"/>
      <c r="BO211"/>
      <c r="BP211"/>
      <c r="BQ211" t="inlineStr">
        <is>
          <t>dry carrier/cryoprotectant; route-grade dependent</t>
        </is>
      </c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 t="inlineStr">
        <is>
          <t>sugar alcohol</t>
        </is>
      </c>
      <c r="CP211" t="inlineStr">
        <is>
          <t>high</t>
        </is>
      </c>
      <c r="CQ211" t="inlineStr">
        <is>
          <t>moderate</t>
        </is>
      </c>
      <c r="CR211" t="inlineStr">
        <is>
          <t>plasticizer/hygroscopic</t>
        </is>
      </c>
      <c r="CS211"/>
      <c r="CT211">
        <v>0.55</v>
      </c>
      <c r="CU211">
        <v>0.75</v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</row>
    <row r="212">
      <c r="A212" t="inlineStr">
        <is>
          <t>CAR_XYLITOL</t>
        </is>
      </c>
      <c r="B212" t="inlineStr">
        <is>
          <t>Xylitol</t>
        </is>
      </c>
      <c r="C212" t="inlineStr">
        <is>
          <t>Carrier</t>
        </is>
      </c>
      <c r="D212" t="inlineStr">
        <is>
          <t>Dry carrier/cryoprotectant</t>
        </is>
      </c>
      <c r="E212" t="inlineStr">
        <is>
          <t>sugar alcohol</t>
        </is>
      </c>
      <c r="F212">
        <v>152.15</v>
      </c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>
        <v>94</v>
      </c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>
        <v>2</v>
      </c>
      <c r="BJ212">
        <v>2</v>
      </c>
      <c r="BK212" t="inlineStr">
        <is>
          <t>conditional</t>
        </is>
      </c>
      <c r="BL212" t="inlineStr">
        <is>
          <t>no</t>
        </is>
      </c>
      <c r="BM212"/>
      <c r="BN212"/>
      <c r="BO212"/>
      <c r="BP212"/>
      <c r="BQ212" t="inlineStr">
        <is>
          <t>dry carrier/cryoprotectant; route-grade dependent</t>
        </is>
      </c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 t="inlineStr">
        <is>
          <t>sugar alcohol</t>
        </is>
      </c>
      <c r="CP212" t="inlineStr">
        <is>
          <t>high</t>
        </is>
      </c>
      <c r="CQ212" t="inlineStr">
        <is>
          <t>low</t>
        </is>
      </c>
      <c r="CR212" t="inlineStr">
        <is>
          <t>sugar alcohol carrier</t>
        </is>
      </c>
      <c r="CS212"/>
      <c r="CT212">
        <v>0.55</v>
      </c>
      <c r="CU212">
        <v>0.75</v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</row>
    <row r="213">
      <c r="A213" t="inlineStr">
        <is>
          <t>CAR_CYCLODEXTRIN</t>
        </is>
      </c>
      <c r="B213" t="inlineStr">
        <is>
          <t>Cyclodextrin</t>
        </is>
      </c>
      <c r="C213" t="inlineStr">
        <is>
          <t>Carrier</t>
        </is>
      </c>
      <c r="D213" t="inlineStr">
        <is>
          <t>Dry carrier/cryoprotectant</t>
        </is>
      </c>
      <c r="E213" t="inlineStr">
        <is>
          <t>cyclodextrin family</t>
        </is>
      </c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>
        <v>3</v>
      </c>
      <c r="BJ213">
        <v>2</v>
      </c>
      <c r="BK213" t="inlineStr">
        <is>
          <t>conditional</t>
        </is>
      </c>
      <c r="BL213" t="inlineStr">
        <is>
          <t>no</t>
        </is>
      </c>
      <c r="BM213"/>
      <c r="BN213"/>
      <c r="BO213"/>
      <c r="BP213"/>
      <c r="BQ213" t="inlineStr">
        <is>
          <t>dry carrier/cryoprotectant; route-grade dependent</t>
        </is>
      </c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 t="inlineStr">
        <is>
          <t>cyclodextrin family</t>
        </is>
      </c>
      <c r="CP213" t="inlineStr">
        <is>
          <t>variable</t>
        </is>
      </c>
      <c r="CQ213" t="inlineStr">
        <is>
          <t>low</t>
        </is>
      </c>
      <c r="CR213" t="inlineStr">
        <is>
          <t>placeholder for exact cyclodextrin</t>
        </is>
      </c>
      <c r="CS213"/>
      <c r="CT213"/>
      <c r="CU213"/>
      <c r="CV213" t="inlineStr">
        <is>
          <t>alpha/beta/gamma family</t>
        </is>
      </c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</row>
    <row r="214">
      <c r="A214" t="inlineStr">
        <is>
          <t>CAR_BETA_CYCLODEXTRIN</t>
        </is>
      </c>
      <c r="B214" t="inlineStr">
        <is>
          <t>Beta-cyclodextrin</t>
        </is>
      </c>
      <c r="C214" t="inlineStr">
        <is>
          <t>Carrier</t>
        </is>
      </c>
      <c r="D214" t="inlineStr">
        <is>
          <t>Dry carrier/cryoprotectant</t>
        </is>
      </c>
      <c r="E214" t="inlineStr">
        <is>
          <t>cyclodextrin</t>
        </is>
      </c>
      <c r="F214">
        <v>1135.0</v>
      </c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>
        <v>255</v>
      </c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>
        <v>3</v>
      </c>
      <c r="BJ214">
        <v>2</v>
      </c>
      <c r="BK214" t="inlineStr">
        <is>
          <t>conditional</t>
        </is>
      </c>
      <c r="BL214" t="inlineStr">
        <is>
          <t>no</t>
        </is>
      </c>
      <c r="BM214"/>
      <c r="BN214"/>
      <c r="BO214"/>
      <c r="BP214"/>
      <c r="BQ214" t="inlineStr">
        <is>
          <t>dry carrier/cryoprotectant; route-grade dependent</t>
        </is>
      </c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 t="inlineStr">
        <is>
          <t>cyclodextrin</t>
        </is>
      </c>
      <c r="CP214" t="inlineStr">
        <is>
          <t>low-moderate</t>
        </is>
      </c>
      <c r="CQ214" t="inlineStr">
        <is>
          <t>low</t>
        </is>
      </c>
      <c r="CR214" t="inlineStr">
        <is>
          <t>renal/parenteral caution compared with HPBCD/SBEBCD</t>
        </is>
      </c>
      <c r="CS214"/>
      <c r="CT214">
        <v>0.45</v>
      </c>
      <c r="CU214">
        <v>0.65</v>
      </c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</row>
    <row r="215">
      <c r="A215" t="inlineStr">
        <is>
          <t>CAR_HYDROXYPROPYL_BETA_CYCLODEXTRIN</t>
        </is>
      </c>
      <c r="B215" t="inlineStr">
        <is>
          <t>Hydroxypropyl-beta-cyclodextrin</t>
        </is>
      </c>
      <c r="C215" t="inlineStr">
        <is>
          <t>Carrier</t>
        </is>
      </c>
      <c r="D215" t="inlineStr">
        <is>
          <t>Dry carrier/cryoprotectant</t>
        </is>
      </c>
      <c r="E215" t="inlineStr">
        <is>
          <t>modified cyclodextrin</t>
        </is>
      </c>
      <c r="F215"/>
      <c r="G215">
        <v>1400</v>
      </c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>
        <v>4</v>
      </c>
      <c r="BJ215">
        <v>3</v>
      </c>
      <c r="BK215" t="inlineStr">
        <is>
          <t>yes</t>
        </is>
      </c>
      <c r="BL215" t="inlineStr">
        <is>
          <t>conditional</t>
        </is>
      </c>
      <c r="BM215"/>
      <c r="BN215"/>
      <c r="BO215"/>
      <c r="BP215"/>
      <c r="BQ215" t="inlineStr">
        <is>
          <t>dry carrier/cryoprotectant; route-grade dependent</t>
        </is>
      </c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 t="inlineStr">
        <is>
          <t>modified cyclodextrin</t>
        </is>
      </c>
      <c r="CP215" t="inlineStr">
        <is>
          <t>high</t>
        </is>
      </c>
      <c r="CQ215" t="inlineStr">
        <is>
          <t>moderate</t>
        </is>
      </c>
      <c r="CR215" t="inlineStr">
        <is>
          <t>DS and substitution pattern critical</t>
        </is>
      </c>
      <c r="CS215"/>
      <c r="CT215"/>
      <c r="CU215"/>
      <c r="CV215" t="inlineStr">
        <is>
          <t>degree-substitution dependent</t>
        </is>
      </c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</row>
    <row r="216">
      <c r="A216" t="inlineStr">
        <is>
          <t>CAR_SULFOBUTYLETHER_BETA_CYCLODEXTRIN</t>
        </is>
      </c>
      <c r="B216" t="inlineStr">
        <is>
          <t>Sulfobutylether-beta-cyclodextrin</t>
        </is>
      </c>
      <c r="C216" t="inlineStr">
        <is>
          <t>Carrier</t>
        </is>
      </c>
      <c r="D216" t="inlineStr">
        <is>
          <t>Dry carrier/cryoprotectant</t>
        </is>
      </c>
      <c r="E216" t="inlineStr">
        <is>
          <t>anionic modified cyclodextrin</t>
        </is>
      </c>
      <c r="F216"/>
      <c r="G216">
        <v>2160</v>
      </c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>
        <v>4</v>
      </c>
      <c r="BJ216">
        <v>3</v>
      </c>
      <c r="BK216" t="inlineStr">
        <is>
          <t>yes</t>
        </is>
      </c>
      <c r="BL216" t="inlineStr">
        <is>
          <t>conditional</t>
        </is>
      </c>
      <c r="BM216"/>
      <c r="BN216"/>
      <c r="BO216"/>
      <c r="BP216"/>
      <c r="BQ216" t="inlineStr">
        <is>
          <t>dry carrier/cryoprotectant; route-grade dependent</t>
        </is>
      </c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 t="inlineStr">
        <is>
          <t>anionic modified cyclodextrin</t>
        </is>
      </c>
      <c r="CP216" t="inlineStr">
        <is>
          <t>high</t>
        </is>
      </c>
      <c r="CQ216" t="inlineStr">
        <is>
          <t>moderate</t>
        </is>
      </c>
      <c r="CR216" t="inlineStr">
        <is>
          <t>anionic; renal dose and route-specific limits</t>
        </is>
      </c>
      <c r="CS216"/>
      <c r="CT216"/>
      <c r="CU216"/>
      <c r="CV216" t="inlineStr">
        <is>
          <t>Captisol-like grades</t>
        </is>
      </c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</row>
    <row r="217">
      <c r="A217" t="inlineStr">
        <is>
          <t>CAR_MICROCRYSTALLINE_CELLULOSE</t>
        </is>
      </c>
      <c r="B217" t="inlineStr">
        <is>
          <t>Microcrystalline cellulose</t>
        </is>
      </c>
      <c r="C217" t="inlineStr">
        <is>
          <t>Carrier</t>
        </is>
      </c>
      <c r="D217" t="inlineStr">
        <is>
          <t>Dry carrier/cryoprotectant</t>
        </is>
      </c>
      <c r="E217" t="inlineStr">
        <is>
          <t>insoluble carrier</t>
        </is>
      </c>
      <c r="F217"/>
      <c r="G217">
        <v>36000</v>
      </c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>
        <v>1</v>
      </c>
      <c r="BJ217">
        <v>4</v>
      </c>
      <c r="BK217" t="inlineStr">
        <is>
          <t>no</t>
        </is>
      </c>
      <c r="BL217" t="inlineStr">
        <is>
          <t>no</t>
        </is>
      </c>
      <c r="BM217"/>
      <c r="BN217"/>
      <c r="BO217"/>
      <c r="BP217"/>
      <c r="BQ217" t="inlineStr">
        <is>
          <t>dry carrier/cryoprotectant; route-grade dependent</t>
        </is>
      </c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 t="inlineStr">
        <is>
          <t>insoluble carrier</t>
        </is>
      </c>
      <c r="CP217" t="inlineStr">
        <is>
          <t>insoluble</t>
        </is>
      </c>
      <c r="CQ217" t="inlineStr">
        <is>
          <t>low</t>
        </is>
      </c>
      <c r="CR217" t="inlineStr">
        <is>
          <t>good solid carrier; not soluble</t>
        </is>
      </c>
      <c r="CS217"/>
      <c r="CT217">
        <v>0.30</v>
      </c>
      <c r="CU217">
        <v>0.45</v>
      </c>
      <c r="CV217" t="inlineStr">
        <is>
          <t>Avicel/grade-dependent</t>
        </is>
      </c>
      <c r="CW217" t="inlineStr">
        <is>
          <t>porous grades</t>
        </is>
      </c>
      <c r="CX217"/>
      <c r="CY217"/>
      <c r="CZ217"/>
      <c r="DA217"/>
      <c r="DB217"/>
      <c r="DC217"/>
      <c r="DD217"/>
      <c r="DE217"/>
      <c r="DF217"/>
      <c r="DG217"/>
      <c r="DH217"/>
      <c r="DI217"/>
      <c r="DJ217"/>
    </row>
    <row r="218">
      <c r="A218" t="inlineStr">
        <is>
          <t>CAR_AEROSIL_COLLOIDAL_SILICON_DIOXIDE</t>
        </is>
      </c>
      <c r="B218" t="inlineStr">
        <is>
          <t>Aerosil / colloidal silicon dioxide</t>
        </is>
      </c>
      <c r="C218" t="inlineStr">
        <is>
          <t>Carrier</t>
        </is>
      </c>
      <c r="D218" t="inlineStr">
        <is>
          <t>Dry carrier/cryoprotectant</t>
        </is>
      </c>
      <c r="E218" t="inlineStr">
        <is>
          <t>porous adsorbent</t>
        </is>
      </c>
      <c r="F218"/>
      <c r="G218">
        <v>60.08</v>
      </c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>
        <v>0</v>
      </c>
      <c r="BJ218">
        <v>5</v>
      </c>
      <c r="BK218" t="inlineStr">
        <is>
          <t>yes</t>
        </is>
      </c>
      <c r="BL218" t="inlineStr">
        <is>
          <t>conditional</t>
        </is>
      </c>
      <c r="BM218"/>
      <c r="BN218"/>
      <c r="BO218"/>
      <c r="BP218"/>
      <c r="BQ218" t="inlineStr">
        <is>
          <t>dry carrier/cryoprotectant; route-grade dependent</t>
        </is>
      </c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 t="inlineStr">
        <is>
          <t>porous adsorbent</t>
        </is>
      </c>
      <c r="CP218" t="inlineStr">
        <is>
          <t>insoluble</t>
        </is>
      </c>
      <c r="CQ218" t="inlineStr">
        <is>
          <t>hygroscopic</t>
        </is>
      </c>
      <c r="CR218" t="inlineStr">
        <is>
          <t>high surface area adsorbent; inhalation safety caution</t>
        </is>
      </c>
      <c r="CS218"/>
      <c r="CT218">
        <v>0.05</v>
      </c>
      <c r="CU218">
        <v>0.08</v>
      </c>
      <c r="CV218" t="inlineStr">
        <is>
          <t>Aerosil 200-like</t>
        </is>
      </c>
      <c r="CW218" t="inlineStr">
        <is>
          <t>high</t>
        </is>
      </c>
      <c r="CX218">
        <v>200</v>
      </c>
      <c r="CY218"/>
      <c r="CZ218"/>
      <c r="DA218"/>
      <c r="DB218"/>
      <c r="DC218"/>
      <c r="DD218"/>
      <c r="DE218"/>
      <c r="DF218"/>
      <c r="DG218"/>
      <c r="DH218"/>
      <c r="DI218"/>
      <c r="DJ218"/>
    </row>
    <row r="219">
      <c r="A219" t="inlineStr">
        <is>
          <t>CAR_CALCIUM_CARBONATE</t>
        </is>
      </c>
      <c r="B219" t="inlineStr">
        <is>
          <t>Calcium carbonate</t>
        </is>
      </c>
      <c r="C219" t="inlineStr">
        <is>
          <t>Carrier</t>
        </is>
      </c>
      <c r="D219" t="inlineStr">
        <is>
          <t>Dry carrier/cryoprotectant</t>
        </is>
      </c>
      <c r="E219" t="inlineStr">
        <is>
          <t>inorganic carrier</t>
        </is>
      </c>
      <c r="F219">
        <v>100.09</v>
      </c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>
        <v>825</v>
      </c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>
        <v>0</v>
      </c>
      <c r="BJ219">
        <v>2</v>
      </c>
      <c r="BK219" t="inlineStr">
        <is>
          <t>no</t>
        </is>
      </c>
      <c r="BL219" t="inlineStr">
        <is>
          <t>no</t>
        </is>
      </c>
      <c r="BM219"/>
      <c r="BN219"/>
      <c r="BO219"/>
      <c r="BP219"/>
      <c r="BQ219" t="inlineStr">
        <is>
          <t>dry carrier/cryoprotectant; route-grade dependent</t>
        </is>
      </c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 t="inlineStr">
        <is>
          <t>inorganic carrier</t>
        </is>
      </c>
      <c r="CP219" t="inlineStr">
        <is>
          <t>insoluble</t>
        </is>
      </c>
      <c r="CQ219" t="inlineStr">
        <is>
          <t>low</t>
        </is>
      </c>
      <c r="CR219" t="inlineStr">
        <is>
          <t>alkaline; can interact with acids</t>
        </is>
      </c>
      <c r="CS219"/>
      <c r="CT219">
        <v>1.0</v>
      </c>
      <c r="CU219">
        <v>1.4</v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</row>
    <row r="220">
      <c r="A220" t="inlineStr">
        <is>
          <t>CAR_PREGELATINIZED_STARCH</t>
        </is>
      </c>
      <c r="B220" t="inlineStr">
        <is>
          <t>Pregelatinized starch</t>
        </is>
      </c>
      <c r="C220" t="inlineStr">
        <is>
          <t>Carrier</t>
        </is>
      </c>
      <c r="D220" t="inlineStr">
        <is>
          <t>Dry carrier/cryoprotectant</t>
        </is>
      </c>
      <c r="E220" t="inlineStr">
        <is>
          <t>starch derivative</t>
        </is>
      </c>
      <c r="F220"/>
      <c r="G220">
        <v>50000</v>
      </c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>
        <v>1</v>
      </c>
      <c r="BJ220">
        <v>3</v>
      </c>
      <c r="BK220" t="inlineStr">
        <is>
          <t>conditional</t>
        </is>
      </c>
      <c r="BL220" t="inlineStr">
        <is>
          <t>no</t>
        </is>
      </c>
      <c r="BM220"/>
      <c r="BN220"/>
      <c r="BO220"/>
      <c r="BP220"/>
      <c r="BQ220" t="inlineStr">
        <is>
          <t>dry carrier/cryoprotectant; route-grade dependent</t>
        </is>
      </c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 t="inlineStr">
        <is>
          <t>starch derivative</t>
        </is>
      </c>
      <c r="CP220" t="inlineStr">
        <is>
          <t>swells</t>
        </is>
      </c>
      <c r="CQ220" t="inlineStr">
        <is>
          <t>moderate</t>
        </is>
      </c>
      <c r="CR220" t="inlineStr">
        <is>
          <t>swelling carrier/disintegrant</t>
        </is>
      </c>
      <c r="CS220"/>
      <c r="CT220">
        <v>0.45</v>
      </c>
      <c r="CU220">
        <v>0.65</v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</row>
    <row r="221">
      <c r="A221" t="inlineStr">
        <is>
          <t>CAR_L_LEUCINE</t>
        </is>
      </c>
      <c r="B221" t="inlineStr">
        <is>
          <t>L-leucine</t>
        </is>
      </c>
      <c r="C221" t="inlineStr">
        <is>
          <t>Carrier</t>
        </is>
      </c>
      <c r="D221" t="inlineStr">
        <is>
          <t>Dry carrier/cryoprotectant</t>
        </is>
      </c>
      <c r="E221" t="inlineStr">
        <is>
          <t>amino acid / inhalation dispersibility enhancer</t>
        </is>
      </c>
      <c r="F221">
        <v>131.17</v>
      </c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>
        <v>293</v>
      </c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>
        <v>1</v>
      </c>
      <c r="BJ221">
        <v>4</v>
      </c>
      <c r="BK221" t="inlineStr">
        <is>
          <t>yes</t>
        </is>
      </c>
      <c r="BL221" t="inlineStr">
        <is>
          <t>yes</t>
        </is>
      </c>
      <c r="BM221"/>
      <c r="BN221"/>
      <c r="BO221"/>
      <c r="BP221"/>
      <c r="BQ221" t="inlineStr">
        <is>
          <t>dry carrier/cryoprotectant; route-grade dependent</t>
        </is>
      </c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 t="inlineStr">
        <is>
          <t>amino acid / inhalation dispersibility enhancer</t>
        </is>
      </c>
      <c r="CP221" t="inlineStr">
        <is>
          <t>moderate</t>
        </is>
      </c>
      <c r="CQ221" t="inlineStr">
        <is>
          <t>low</t>
        </is>
      </c>
      <c r="CR221" t="inlineStr">
        <is>
          <t>surface-active amino acid for inhalation powders</t>
        </is>
      </c>
      <c r="CS221"/>
      <c r="CT221">
        <v>0.45</v>
      </c>
      <c r="CU221">
        <v>0.65</v>
      </c>
      <c r="CV221" t="inlineStr">
        <is>
          <t>inhalation spray-dried</t>
        </is>
      </c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</row>
    <row r="222">
      <c r="A222" t="inlineStr">
        <is>
          <t>CAR_LEUCINE_FOR_INHALATION_POWDERS</t>
        </is>
      </c>
      <c r="B222" t="inlineStr">
        <is>
          <t>Leucine for inhalation powders</t>
        </is>
      </c>
      <c r="C222" t="inlineStr">
        <is>
          <t>Carrier</t>
        </is>
      </c>
      <c r="D222" t="inlineStr">
        <is>
          <t>Dry carrier/cryoprotectant</t>
        </is>
      </c>
      <c r="E222" t="inlineStr">
        <is>
          <t>amino acid / inhalation dispersibility enhancer</t>
        </is>
      </c>
      <c r="F222">
        <v>131.17</v>
      </c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>
        <v>293</v>
      </c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>
        <v>1</v>
      </c>
      <c r="BJ222">
        <v>4</v>
      </c>
      <c r="BK222" t="inlineStr">
        <is>
          <t>yes</t>
        </is>
      </c>
      <c r="BL222" t="inlineStr">
        <is>
          <t>yes</t>
        </is>
      </c>
      <c r="BM222"/>
      <c r="BN222"/>
      <c r="BO222"/>
      <c r="BP222"/>
      <c r="BQ222" t="inlineStr">
        <is>
          <t>dry carrier/cryoprotectant; route-grade dependent</t>
        </is>
      </c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 t="inlineStr">
        <is>
          <t>amino acid / inhalation dispersibility enhancer</t>
        </is>
      </c>
      <c r="CP222" t="inlineStr">
        <is>
          <t>moderate</t>
        </is>
      </c>
      <c r="CQ222" t="inlineStr">
        <is>
          <t>low</t>
        </is>
      </c>
      <c r="CR222" t="inlineStr">
        <is>
          <t>duplicate functional grade of L-leucine</t>
        </is>
      </c>
      <c r="CS222"/>
      <c r="CT222">
        <v>0.45</v>
      </c>
      <c r="CU222">
        <v>0.65</v>
      </c>
      <c r="CV222" t="inlineStr">
        <is>
          <t>inhalation grade</t>
        </is>
      </c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</row>
    <row r="223">
      <c r="A223" t="inlineStr">
        <is>
          <t>CAR_GLYCINE</t>
        </is>
      </c>
      <c r="B223" t="inlineStr">
        <is>
          <t>Glycine</t>
        </is>
      </c>
      <c r="C223" t="inlineStr">
        <is>
          <t>Carrier</t>
        </is>
      </c>
      <c r="D223" t="inlineStr">
        <is>
          <t>Dry carrier/cryoprotectant</t>
        </is>
      </c>
      <c r="E223" t="inlineStr">
        <is>
          <t>amino acid</t>
        </is>
      </c>
      <c r="F223">
        <v>75.07</v>
      </c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>
        <v>240</v>
      </c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>
        <v>2</v>
      </c>
      <c r="BJ223">
        <v>2</v>
      </c>
      <c r="BK223" t="inlineStr">
        <is>
          <t>yes</t>
        </is>
      </c>
      <c r="BL223" t="inlineStr">
        <is>
          <t>conditional</t>
        </is>
      </c>
      <c r="BM223"/>
      <c r="BN223"/>
      <c r="BO223"/>
      <c r="BP223"/>
      <c r="BQ223" t="inlineStr">
        <is>
          <t>dry carrier/cryoprotectant; route-grade dependent</t>
        </is>
      </c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 t="inlineStr">
        <is>
          <t>amino acid</t>
        </is>
      </c>
      <c r="CP223" t="inlineStr">
        <is>
          <t>high</t>
        </is>
      </c>
      <c r="CQ223" t="inlineStr">
        <is>
          <t>low</t>
        </is>
      </c>
      <c r="CR223" t="inlineStr">
        <is>
          <t>buffer/bulking carrier</t>
        </is>
      </c>
      <c r="CS223"/>
      <c r="CT223">
        <v>0.55</v>
      </c>
      <c r="CU223">
        <v>0.75</v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</row>
    <row r="224">
      <c r="A224" t="inlineStr">
        <is>
          <t>CAR_ALBUMIN</t>
        </is>
      </c>
      <c r="B224" t="inlineStr">
        <is>
          <t>Albumin</t>
        </is>
      </c>
      <c r="C224" t="inlineStr">
        <is>
          <t>Carrier</t>
        </is>
      </c>
      <c r="D224" t="inlineStr">
        <is>
          <t>Dry carrier/cryoprotectant</t>
        </is>
      </c>
      <c r="E224" t="inlineStr">
        <is>
          <t>protein carrier</t>
        </is>
      </c>
      <c r="F224"/>
      <c r="G224">
        <v>66500</v>
      </c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>
        <v>3</v>
      </c>
      <c r="BJ224">
        <v>2</v>
      </c>
      <c r="BK224" t="inlineStr">
        <is>
          <t>conditional</t>
        </is>
      </c>
      <c r="BL224" t="inlineStr">
        <is>
          <t>conditional</t>
        </is>
      </c>
      <c r="BM224"/>
      <c r="BN224"/>
      <c r="BO224"/>
      <c r="BP224"/>
      <c r="BQ224" t="inlineStr">
        <is>
          <t>dry carrier/cryoprotectant; route-grade dependent</t>
        </is>
      </c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 t="inlineStr">
        <is>
          <t>protein carrier</t>
        </is>
      </c>
      <c r="CP224" t="inlineStr">
        <is>
          <t>high</t>
        </is>
      </c>
      <c r="CQ224" t="inlineStr">
        <is>
          <t>moderate</t>
        </is>
      </c>
      <c r="CR224" t="inlineStr">
        <is>
          <t>biological material; immunogenicity/source control</t>
        </is>
      </c>
      <c r="CS224">
        <v>70</v>
      </c>
      <c r="CT224"/>
      <c r="CU224"/>
      <c r="CV224" t="inlineStr">
        <is>
          <t>HSA/BSA grade-specific</t>
        </is>
      </c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</row>
    <row r="225">
      <c r="A225" t="inlineStr">
        <is>
          <t>CHG_DICETYL_PHOSPHATE</t>
        </is>
      </c>
      <c r="B225" t="inlineStr">
        <is>
          <t>Dicetyl phosphate</t>
        </is>
      </c>
      <c r="C225" t="inlineStr">
        <is>
          <t>Charge inducer</t>
        </is>
      </c>
      <c r="D225" t="inlineStr">
        <is>
          <t>Charge inducer/ionic modifier</t>
        </is>
      </c>
      <c r="E225" t="inlineStr">
        <is>
          <t>ionic amphiphile</t>
        </is>
      </c>
      <c r="F225">
        <v>546.85</v>
      </c>
      <c r="G225"/>
      <c r="H225"/>
      <c r="I225"/>
      <c r="J225"/>
      <c r="K225"/>
      <c r="L225"/>
      <c r="M225"/>
      <c r="N225"/>
      <c r="O225"/>
      <c r="P225"/>
      <c r="Q225"/>
      <c r="R225"/>
      <c r="S225">
        <v>2.1</v>
      </c>
      <c r="T225">
        <v>-1</v>
      </c>
      <c r="U225" t="inlineStr">
        <is>
          <t>anionic</t>
        </is>
      </c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>
        <v>17.2</v>
      </c>
      <c r="AJ225">
        <v>6.5</v>
      </c>
      <c r="AK225">
        <v>7.5</v>
      </c>
      <c r="AL225"/>
      <c r="AM225">
        <v>19.86</v>
      </c>
      <c r="AN225">
        <v>575.63</v>
      </c>
      <c r="AO225"/>
      <c r="AP225"/>
      <c r="AQ225">
        <v>16</v>
      </c>
      <c r="AR225">
        <v>0</v>
      </c>
      <c r="AS225"/>
      <c r="AT225"/>
      <c r="AU225"/>
      <c r="AV225"/>
      <c r="AW225">
        <v>2</v>
      </c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 t="inlineStr">
        <is>
          <t>niosomes/liposomes as charge modifier; route-specific toxicology required</t>
        </is>
      </c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 t="inlineStr">
        <is>
          <t>anionic membrane charge inducer</t>
        </is>
      </c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 t="inlineStr">
        <is>
          <t>2-10</t>
        </is>
      </c>
      <c r="CZ225"/>
      <c r="DA225"/>
      <c r="DB225"/>
      <c r="DC225"/>
      <c r="DD225"/>
      <c r="DE225"/>
      <c r="DF225"/>
      <c r="DG225"/>
      <c r="DH225"/>
      <c r="DI225"/>
      <c r="DJ225"/>
    </row>
    <row r="226">
      <c r="A226" t="inlineStr">
        <is>
          <t>CHG_STEARYLAMINE</t>
        </is>
      </c>
      <c r="B226" t="inlineStr">
        <is>
          <t>Stearylamine</t>
        </is>
      </c>
      <c r="C226" t="inlineStr">
        <is>
          <t>Charge inducer</t>
        </is>
      </c>
      <c r="D226" t="inlineStr">
        <is>
          <t>Charge inducer/ionic modifier</t>
        </is>
      </c>
      <c r="E226" t="inlineStr">
        <is>
          <t>ionic amphiphile</t>
        </is>
      </c>
      <c r="F226">
        <v>269.51</v>
      </c>
      <c r="G226"/>
      <c r="H226"/>
      <c r="I226"/>
      <c r="J226"/>
      <c r="K226"/>
      <c r="L226"/>
      <c r="M226"/>
      <c r="N226"/>
      <c r="O226"/>
      <c r="P226"/>
      <c r="Q226"/>
      <c r="R226"/>
      <c r="S226">
        <v>10.6</v>
      </c>
      <c r="T226">
        <v>1</v>
      </c>
      <c r="U226" t="inlineStr">
        <is>
          <t>cationic</t>
        </is>
      </c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>
        <v>17.2</v>
      </c>
      <c r="AJ226">
        <v>6.5</v>
      </c>
      <c r="AK226">
        <v>7.5</v>
      </c>
      <c r="AL226"/>
      <c r="AM226">
        <v>19.86</v>
      </c>
      <c r="AN226">
        <v>283.69</v>
      </c>
      <c r="AO226"/>
      <c r="AP226"/>
      <c r="AQ226">
        <v>18</v>
      </c>
      <c r="AR226">
        <v>0</v>
      </c>
      <c r="AS226"/>
      <c r="AT226"/>
      <c r="AU226"/>
      <c r="AV226"/>
      <c r="AW226">
        <v>1</v>
      </c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 t="inlineStr">
        <is>
          <t>niosomes/liposomes as charge modifier; route-specific toxicology required</t>
        </is>
      </c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 t="inlineStr">
        <is>
          <t>primary amine; high cytotoxicity risk</t>
        </is>
      </c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 t="inlineStr">
        <is>
          <t>1-10</t>
        </is>
      </c>
      <c r="CZ226"/>
      <c r="DA226"/>
      <c r="DB226"/>
      <c r="DC226"/>
      <c r="DD226"/>
      <c r="DE226"/>
      <c r="DF226"/>
      <c r="DG226"/>
      <c r="DH226"/>
      <c r="DI226"/>
      <c r="DJ226"/>
    </row>
    <row r="227">
      <c r="A227" t="inlineStr">
        <is>
          <t>CHG_SODIUM_STEARATE</t>
        </is>
      </c>
      <c r="B227" t="inlineStr">
        <is>
          <t>Sodium stearate</t>
        </is>
      </c>
      <c r="C227" t="inlineStr">
        <is>
          <t>Charge inducer</t>
        </is>
      </c>
      <c r="D227" t="inlineStr">
        <is>
          <t>Charge inducer/ionic modifier</t>
        </is>
      </c>
      <c r="E227" t="inlineStr">
        <is>
          <t>ionic amphiphile</t>
        </is>
      </c>
      <c r="F227">
        <v>306.46</v>
      </c>
      <c r="G227"/>
      <c r="H227"/>
      <c r="I227"/>
      <c r="J227"/>
      <c r="K227"/>
      <c r="L227"/>
      <c r="M227"/>
      <c r="N227"/>
      <c r="O227"/>
      <c r="P227"/>
      <c r="Q227"/>
      <c r="R227"/>
      <c r="S227">
        <v>5.0</v>
      </c>
      <c r="T227">
        <v>-1</v>
      </c>
      <c r="U227" t="inlineStr">
        <is>
          <t>anionic</t>
        </is>
      </c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17.2</v>
      </c>
      <c r="AJ227">
        <v>6.5</v>
      </c>
      <c r="AK227">
        <v>7.5</v>
      </c>
      <c r="AL227"/>
      <c r="AM227">
        <v>19.86</v>
      </c>
      <c r="AN227">
        <v>322.59</v>
      </c>
      <c r="AO227"/>
      <c r="AP227"/>
      <c r="AQ227">
        <v>18</v>
      </c>
      <c r="AR227">
        <v>0</v>
      </c>
      <c r="AS227"/>
      <c r="AT227"/>
      <c r="AU227"/>
      <c r="AV227"/>
      <c r="AW227">
        <v>1</v>
      </c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 t="inlineStr">
        <is>
          <t>niosomes/liposomes as charge modifier; route-specific toxicology required</t>
        </is>
      </c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 t="inlineStr">
        <is>
          <t>charge inducers alter cytotoxicity, complement activation, and mucus interaction; titrate cautiously</t>
        </is>
      </c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 t="inlineStr">
        <is>
          <t>1-10</t>
        </is>
      </c>
      <c r="CZ227"/>
      <c r="DA227"/>
      <c r="DB227"/>
      <c r="DC227"/>
      <c r="DD227"/>
      <c r="DE227"/>
      <c r="DF227"/>
      <c r="DG227"/>
      <c r="DH227"/>
      <c r="DI227"/>
      <c r="DJ227"/>
    </row>
    <row r="228">
      <c r="A228" t="inlineStr">
        <is>
          <t>CHG_SODIUM_OLEATE</t>
        </is>
      </c>
      <c r="B228" t="inlineStr">
        <is>
          <t>Sodium oleate</t>
        </is>
      </c>
      <c r="C228" t="inlineStr">
        <is>
          <t>Charge inducer</t>
        </is>
      </c>
      <c r="D228" t="inlineStr">
        <is>
          <t>Charge inducer/ionic modifier</t>
        </is>
      </c>
      <c r="E228" t="inlineStr">
        <is>
          <t>ionic amphiphile</t>
        </is>
      </c>
      <c r="F228">
        <v>304.44</v>
      </c>
      <c r="G228"/>
      <c r="H228"/>
      <c r="I228"/>
      <c r="J228"/>
      <c r="K228"/>
      <c r="L228"/>
      <c r="M228"/>
      <c r="N228"/>
      <c r="O228"/>
      <c r="P228"/>
      <c r="Q228"/>
      <c r="R228"/>
      <c r="S228">
        <v>5.0</v>
      </c>
      <c r="T228">
        <v>-1</v>
      </c>
      <c r="U228" t="inlineStr">
        <is>
          <t>anionic</t>
        </is>
      </c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>
        <v>17.2</v>
      </c>
      <c r="AJ228">
        <v>6.5</v>
      </c>
      <c r="AK228">
        <v>7.5</v>
      </c>
      <c r="AL228"/>
      <c r="AM228">
        <v>19.86</v>
      </c>
      <c r="AN228">
        <v>320.46</v>
      </c>
      <c r="AO228"/>
      <c r="AP228"/>
      <c r="AQ228">
        <v>18</v>
      </c>
      <c r="AR228">
        <v>1</v>
      </c>
      <c r="AS228"/>
      <c r="AT228"/>
      <c r="AU228"/>
      <c r="AV228"/>
      <c r="AW228">
        <v>1</v>
      </c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 t="inlineStr">
        <is>
          <t>niosomes/liposomes as charge modifier; route-specific toxicology required</t>
        </is>
      </c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 t="inlineStr">
        <is>
          <t>fluid anionic surfactant</t>
        </is>
      </c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 t="inlineStr">
        <is>
          <t>1-10</t>
        </is>
      </c>
      <c r="CZ228"/>
      <c r="DA228"/>
      <c r="DB228"/>
      <c r="DC228"/>
      <c r="DD228"/>
      <c r="DE228"/>
      <c r="DF228"/>
      <c r="DG228"/>
      <c r="DH228"/>
      <c r="DI228"/>
      <c r="DJ228"/>
    </row>
    <row r="229">
      <c r="A229" t="inlineStr">
        <is>
          <t>POL_PLGA_50_50</t>
        </is>
      </c>
      <c r="B229" t="inlineStr">
        <is>
          <t>PLGA 50:50</t>
        </is>
      </c>
      <c r="C229" t="inlineStr">
        <is>
          <t>Polymer</t>
        </is>
      </c>
      <c r="D229" t="inlineStr">
        <is>
          <t>Polymer</t>
        </is>
      </c>
      <c r="E229" t="inlineStr">
        <is>
          <t>biodegradable polyester</t>
        </is>
      </c>
      <c r="F229"/>
      <c r="G229"/>
      <c r="H229"/>
      <c r="I229">
        <v>72</v>
      </c>
      <c r="J229"/>
      <c r="K229"/>
      <c r="L229"/>
      <c r="M229"/>
      <c r="N229"/>
      <c r="O229"/>
      <c r="P229"/>
      <c r="Q229"/>
      <c r="R229"/>
      <c r="S229"/>
      <c r="T229">
        <v>0</v>
      </c>
      <c r="U229" t="inlineStr">
        <is>
          <t>neutral</t>
        </is>
      </c>
      <c r="V229"/>
      <c r="W229"/>
      <c r="X229"/>
      <c r="Y229"/>
      <c r="Z229">
        <v>45</v>
      </c>
      <c r="AA229"/>
      <c r="AB229"/>
      <c r="AC229"/>
      <c r="AD229"/>
      <c r="AE229"/>
      <c r="AF229"/>
      <c r="AG229"/>
      <c r="AH229"/>
      <c r="AI229">
        <v>18.0</v>
      </c>
      <c r="AJ229">
        <v>8.0</v>
      </c>
      <c r="AK229">
        <v>10.0</v>
      </c>
      <c r="AL229">
        <v>9.0</v>
      </c>
      <c r="AM229">
        <v>22.09</v>
      </c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 t="inlineStr">
        <is>
          <t>polymeric/hybrid/coating/stabilizer systems; grade and route dependent</t>
        </is>
      </c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 t="inlineStr">
        <is>
          <t>hydrolysis acidic degradation; residual solvent control</t>
        </is>
      </c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 t="inlineStr">
        <is>
          <t>10,000-100,000</t>
        </is>
      </c>
      <c r="DA229" t="inlineStr">
        <is>
          <t>poor</t>
        </is>
      </c>
      <c r="DB229" t="inlineStr">
        <is>
          <t>soluble</t>
        </is>
      </c>
      <c r="DC229" t="inlineStr">
        <is>
          <t>soluble</t>
        </is>
      </c>
      <c r="DD229" t="inlineStr">
        <is>
          <t>soluble</t>
        </is>
      </c>
      <c r="DE229" t="inlineStr">
        <is>
          <t>yes</t>
        </is>
      </c>
      <c r="DF229" t="inlineStr">
        <is>
          <t>no</t>
        </is>
      </c>
      <c r="DG229" t="inlineStr">
        <is>
          <t>matrix polymer</t>
        </is>
      </c>
      <c r="DH229" t="inlineStr">
        <is>
          <t>no</t>
        </is>
      </c>
      <c r="DI229">
        <v>60.0</v>
      </c>
      <c r="DJ229"/>
    </row>
    <row r="230">
      <c r="A230" t="inlineStr">
        <is>
          <t>POL_PLGA_65_35</t>
        </is>
      </c>
      <c r="B230" t="inlineStr">
        <is>
          <t>PLGA 65:35</t>
        </is>
      </c>
      <c r="C230" t="inlineStr">
        <is>
          <t>Polymer</t>
        </is>
      </c>
      <c r="D230" t="inlineStr">
        <is>
          <t>Polymer</t>
        </is>
      </c>
      <c r="E230" t="inlineStr">
        <is>
          <t>biodegradable polyester</t>
        </is>
      </c>
      <c r="F230"/>
      <c r="G230"/>
      <c r="H230"/>
      <c r="I230">
        <v>72</v>
      </c>
      <c r="J230"/>
      <c r="K230"/>
      <c r="L230"/>
      <c r="M230"/>
      <c r="N230"/>
      <c r="O230"/>
      <c r="P230"/>
      <c r="Q230"/>
      <c r="R230"/>
      <c r="S230"/>
      <c r="T230">
        <v>0</v>
      </c>
      <c r="U230" t="inlineStr">
        <is>
          <t>neutral</t>
        </is>
      </c>
      <c r="V230"/>
      <c r="W230"/>
      <c r="X230"/>
      <c r="Y230"/>
      <c r="Z230">
        <v>48</v>
      </c>
      <c r="AA230"/>
      <c r="AB230"/>
      <c r="AC230"/>
      <c r="AD230"/>
      <c r="AE230"/>
      <c r="AF230"/>
      <c r="AG230"/>
      <c r="AH230"/>
      <c r="AI230">
        <v>18.0</v>
      </c>
      <c r="AJ230">
        <v>8.0</v>
      </c>
      <c r="AK230">
        <v>10.0</v>
      </c>
      <c r="AL230">
        <v>9.0</v>
      </c>
      <c r="AM230">
        <v>22.09</v>
      </c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 t="inlineStr">
        <is>
          <t>polymeric/hybrid/coating/stabilizer systems; grade and route dependent</t>
        </is>
      </c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 t="inlineStr">
        <is>
          <t>hydrolysis acidic degradation</t>
        </is>
      </c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 t="inlineStr">
        <is>
          <t>10,000-100,000</t>
        </is>
      </c>
      <c r="DA230" t="inlineStr">
        <is>
          <t>poor</t>
        </is>
      </c>
      <c r="DB230" t="inlineStr">
        <is>
          <t>soluble</t>
        </is>
      </c>
      <c r="DC230" t="inlineStr">
        <is>
          <t>soluble</t>
        </is>
      </c>
      <c r="DD230" t="inlineStr">
        <is>
          <t>soluble</t>
        </is>
      </c>
      <c r="DE230" t="inlineStr">
        <is>
          <t>yes</t>
        </is>
      </c>
      <c r="DF230" t="inlineStr">
        <is>
          <t>no</t>
        </is>
      </c>
      <c r="DG230" t="inlineStr">
        <is>
          <t>matrix polymer</t>
        </is>
      </c>
      <c r="DH230" t="inlineStr">
        <is>
          <t>no</t>
        </is>
      </c>
      <c r="DI230">
        <v>60.0</v>
      </c>
      <c r="DJ230"/>
    </row>
    <row r="231">
      <c r="A231" t="inlineStr">
        <is>
          <t>POL_PLGA_75_25</t>
        </is>
      </c>
      <c r="B231" t="inlineStr">
        <is>
          <t>PLGA 75:25</t>
        </is>
      </c>
      <c r="C231" t="inlineStr">
        <is>
          <t>Polymer</t>
        </is>
      </c>
      <c r="D231" t="inlineStr">
        <is>
          <t>Polymer</t>
        </is>
      </c>
      <c r="E231" t="inlineStr">
        <is>
          <t>biodegradable polyester</t>
        </is>
      </c>
      <c r="F231"/>
      <c r="G231"/>
      <c r="H231"/>
      <c r="I231">
        <v>72</v>
      </c>
      <c r="J231"/>
      <c r="K231"/>
      <c r="L231"/>
      <c r="M231"/>
      <c r="N231"/>
      <c r="O231"/>
      <c r="P231"/>
      <c r="Q231"/>
      <c r="R231"/>
      <c r="S231"/>
      <c r="T231">
        <v>0</v>
      </c>
      <c r="U231" t="inlineStr">
        <is>
          <t>neutral</t>
        </is>
      </c>
      <c r="V231"/>
      <c r="W231"/>
      <c r="X231"/>
      <c r="Y231"/>
      <c r="Z231">
        <v>50</v>
      </c>
      <c r="AA231"/>
      <c r="AB231"/>
      <c r="AC231"/>
      <c r="AD231"/>
      <c r="AE231"/>
      <c r="AF231"/>
      <c r="AG231"/>
      <c r="AH231"/>
      <c r="AI231">
        <v>18.0</v>
      </c>
      <c r="AJ231">
        <v>8.0</v>
      </c>
      <c r="AK231">
        <v>10.0</v>
      </c>
      <c r="AL231">
        <v>9.0</v>
      </c>
      <c r="AM231">
        <v>22.09</v>
      </c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 t="inlineStr">
        <is>
          <t>polymeric/hybrid/coating/stabilizer systems; grade and route dependent</t>
        </is>
      </c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 t="inlineStr">
        <is>
          <t>slower degradation than 50:50</t>
        </is>
      </c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 t="inlineStr">
        <is>
          <t>10,000-100,000</t>
        </is>
      </c>
      <c r="DA231" t="inlineStr">
        <is>
          <t>poor</t>
        </is>
      </c>
      <c r="DB231" t="inlineStr">
        <is>
          <t>soluble</t>
        </is>
      </c>
      <c r="DC231" t="inlineStr">
        <is>
          <t>soluble</t>
        </is>
      </c>
      <c r="DD231" t="inlineStr">
        <is>
          <t>soluble</t>
        </is>
      </c>
      <c r="DE231" t="inlineStr">
        <is>
          <t>yes</t>
        </is>
      </c>
      <c r="DF231" t="inlineStr">
        <is>
          <t>no</t>
        </is>
      </c>
      <c r="DG231" t="inlineStr">
        <is>
          <t>matrix polymer</t>
        </is>
      </c>
      <c r="DH231" t="inlineStr">
        <is>
          <t>no</t>
        </is>
      </c>
      <c r="DI231">
        <v>60.0</v>
      </c>
      <c r="DJ231"/>
    </row>
    <row r="232">
      <c r="A232" t="inlineStr">
        <is>
          <t>POL_PLA</t>
        </is>
      </c>
      <c r="B232" t="inlineStr">
        <is>
          <t>PLA</t>
        </is>
      </c>
      <c r="C232" t="inlineStr">
        <is>
          <t>Polymer</t>
        </is>
      </c>
      <c r="D232" t="inlineStr">
        <is>
          <t>Polymer</t>
        </is>
      </c>
      <c r="E232" t="inlineStr">
        <is>
          <t>biodegradable polyester</t>
        </is>
      </c>
      <c r="F232"/>
      <c r="G232"/>
      <c r="H232"/>
      <c r="I232">
        <v>72</v>
      </c>
      <c r="J232"/>
      <c r="K232"/>
      <c r="L232"/>
      <c r="M232"/>
      <c r="N232"/>
      <c r="O232"/>
      <c r="P232"/>
      <c r="Q232"/>
      <c r="R232"/>
      <c r="S232"/>
      <c r="T232">
        <v>0</v>
      </c>
      <c r="U232" t="inlineStr">
        <is>
          <t>neutral</t>
        </is>
      </c>
      <c r="V232"/>
      <c r="W232"/>
      <c r="X232"/>
      <c r="Y232"/>
      <c r="Z232">
        <v>55</v>
      </c>
      <c r="AA232">
        <v>160</v>
      </c>
      <c r="AB232"/>
      <c r="AC232"/>
      <c r="AD232"/>
      <c r="AE232"/>
      <c r="AF232"/>
      <c r="AG232"/>
      <c r="AH232"/>
      <c r="AI232">
        <v>18.0</v>
      </c>
      <c r="AJ232">
        <v>8.0</v>
      </c>
      <c r="AK232">
        <v>10.0</v>
      </c>
      <c r="AL232">
        <v>9.0</v>
      </c>
      <c r="AM232">
        <v>22.09</v>
      </c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 t="inlineStr">
        <is>
          <t>polymeric/hybrid/coating/stabilizer systems; grade and route dependent</t>
        </is>
      </c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 t="inlineStr">
        <is>
          <t>polymer grade, residual monomers/solvents, endotoxin and molecular weight distribution must be controlled</t>
        </is>
      </c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 t="inlineStr">
        <is>
          <t>10,000-200,000</t>
        </is>
      </c>
      <c r="DA232" t="inlineStr">
        <is>
          <t>poor</t>
        </is>
      </c>
      <c r="DB232" t="inlineStr">
        <is>
          <t>soluble</t>
        </is>
      </c>
      <c r="DC232" t="inlineStr">
        <is>
          <t>soluble</t>
        </is>
      </c>
      <c r="DD232" t="inlineStr">
        <is>
          <t>soluble</t>
        </is>
      </c>
      <c r="DE232" t="inlineStr">
        <is>
          <t>yes</t>
        </is>
      </c>
      <c r="DF232" t="inlineStr">
        <is>
          <t>no</t>
        </is>
      </c>
      <c r="DG232" t="inlineStr">
        <is>
          <t>matrix polymer</t>
        </is>
      </c>
      <c r="DH232" t="inlineStr">
        <is>
          <t>no</t>
        </is>
      </c>
      <c r="DI232">
        <v>60.0</v>
      </c>
      <c r="DJ232"/>
    </row>
    <row r="233">
      <c r="A233" t="inlineStr">
        <is>
          <t>POL_PCL</t>
        </is>
      </c>
      <c r="B233" t="inlineStr">
        <is>
          <t>PCL</t>
        </is>
      </c>
      <c r="C233" t="inlineStr">
        <is>
          <t>Polymer</t>
        </is>
      </c>
      <c r="D233" t="inlineStr">
        <is>
          <t>Polymer</t>
        </is>
      </c>
      <c r="E233" t="inlineStr">
        <is>
          <t>biodegradable polyester</t>
        </is>
      </c>
      <c r="F233"/>
      <c r="G233"/>
      <c r="H233"/>
      <c r="I233">
        <v>114</v>
      </c>
      <c r="J233"/>
      <c r="K233"/>
      <c r="L233"/>
      <c r="M233"/>
      <c r="N233"/>
      <c r="O233"/>
      <c r="P233"/>
      <c r="Q233"/>
      <c r="R233"/>
      <c r="S233"/>
      <c r="T233">
        <v>0</v>
      </c>
      <c r="U233" t="inlineStr">
        <is>
          <t>neutral</t>
        </is>
      </c>
      <c r="V233"/>
      <c r="W233"/>
      <c r="X233"/>
      <c r="Y233"/>
      <c r="Z233">
        <v>-60</v>
      </c>
      <c r="AA233">
        <v>60</v>
      </c>
      <c r="AB233"/>
      <c r="AC233"/>
      <c r="AD233"/>
      <c r="AE233"/>
      <c r="AF233"/>
      <c r="AG233"/>
      <c r="AH233"/>
      <c r="AI233">
        <v>18.0</v>
      </c>
      <c r="AJ233">
        <v>8.0</v>
      </c>
      <c r="AK233">
        <v>10.0</v>
      </c>
      <c r="AL233">
        <v>9.0</v>
      </c>
      <c r="AM233">
        <v>22.09</v>
      </c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 t="inlineStr">
        <is>
          <t>polymeric/hybrid/coating/stabilizer systems; grade and route dependent</t>
        </is>
      </c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 t="inlineStr">
        <is>
          <t>polymer grade, residual monomers/solvents, endotoxin and molecular weight distribution must be controlled</t>
        </is>
      </c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 t="inlineStr">
        <is>
          <t>10,000-100,000</t>
        </is>
      </c>
      <c r="DA233" t="inlineStr">
        <is>
          <t>poor</t>
        </is>
      </c>
      <c r="DB233" t="inlineStr">
        <is>
          <t>soluble</t>
        </is>
      </c>
      <c r="DC233" t="inlineStr">
        <is>
          <t>soluble</t>
        </is>
      </c>
      <c r="DD233" t="inlineStr">
        <is>
          <t>soluble</t>
        </is>
      </c>
      <c r="DE233" t="inlineStr">
        <is>
          <t>yes/slow</t>
        </is>
      </c>
      <c r="DF233" t="inlineStr">
        <is>
          <t>no</t>
        </is>
      </c>
      <c r="DG233" t="inlineStr">
        <is>
          <t>matrix polymer</t>
        </is>
      </c>
      <c r="DH233" t="inlineStr">
        <is>
          <t>no</t>
        </is>
      </c>
      <c r="DI233">
        <v>95.0</v>
      </c>
      <c r="DJ233"/>
    </row>
    <row r="234">
      <c r="A234" t="inlineStr">
        <is>
          <t>POL_PGA</t>
        </is>
      </c>
      <c r="B234" t="inlineStr">
        <is>
          <t>PGA</t>
        </is>
      </c>
      <c r="C234" t="inlineStr">
        <is>
          <t>Polymer</t>
        </is>
      </c>
      <c r="D234" t="inlineStr">
        <is>
          <t>Polymer</t>
        </is>
      </c>
      <c r="E234" t="inlineStr">
        <is>
          <t>biodegradable polyester</t>
        </is>
      </c>
      <c r="F234"/>
      <c r="G234"/>
      <c r="H234"/>
      <c r="I234">
        <v>58</v>
      </c>
      <c r="J234"/>
      <c r="K234"/>
      <c r="L234"/>
      <c r="M234"/>
      <c r="N234"/>
      <c r="O234"/>
      <c r="P234"/>
      <c r="Q234"/>
      <c r="R234"/>
      <c r="S234"/>
      <c r="T234">
        <v>0</v>
      </c>
      <c r="U234" t="inlineStr">
        <is>
          <t>neutral</t>
        </is>
      </c>
      <c r="V234"/>
      <c r="W234"/>
      <c r="X234"/>
      <c r="Y234"/>
      <c r="Z234">
        <v>35</v>
      </c>
      <c r="AA234">
        <v>225</v>
      </c>
      <c r="AB234"/>
      <c r="AC234"/>
      <c r="AD234"/>
      <c r="AE234"/>
      <c r="AF234"/>
      <c r="AG234"/>
      <c r="AH234"/>
      <c r="AI234">
        <v>18.0</v>
      </c>
      <c r="AJ234">
        <v>8.0</v>
      </c>
      <c r="AK234">
        <v>10.0</v>
      </c>
      <c r="AL234">
        <v>9.0</v>
      </c>
      <c r="AM234">
        <v>22.09</v>
      </c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 t="inlineStr">
        <is>
          <t>polymeric/hybrid/coating/stabilizer systems; grade and route dependent</t>
        </is>
      </c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 t="inlineStr">
        <is>
          <t>polymer grade, residual monomers/solvents, endotoxin and molecular weight distribution must be controlled</t>
        </is>
      </c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 t="inlineStr">
        <is>
          <t>10,000-100,000</t>
        </is>
      </c>
      <c r="DA234" t="inlineStr">
        <is>
          <t>poor</t>
        </is>
      </c>
      <c r="DB234" t="inlineStr">
        <is>
          <t>poor</t>
        </is>
      </c>
      <c r="DC234" t="inlineStr">
        <is>
          <t>poor</t>
        </is>
      </c>
      <c r="DD234" t="inlineStr">
        <is>
          <t>poor</t>
        </is>
      </c>
      <c r="DE234" t="inlineStr">
        <is>
          <t>yes</t>
        </is>
      </c>
      <c r="DF234" t="inlineStr">
        <is>
          <t>no</t>
        </is>
      </c>
      <c r="DG234" t="inlineStr">
        <is>
          <t>matrix polymer</t>
        </is>
      </c>
      <c r="DH234" t="inlineStr">
        <is>
          <t>no</t>
        </is>
      </c>
      <c r="DI234">
        <v>48.33</v>
      </c>
      <c r="DJ234"/>
    </row>
    <row r="235">
      <c r="A235" t="inlineStr">
        <is>
          <t>POL_PEG_1000</t>
        </is>
      </c>
      <c r="B235" t="inlineStr">
        <is>
          <t>PEG 1000</t>
        </is>
      </c>
      <c r="C235" t="inlineStr">
        <is>
          <t>Polymer</t>
        </is>
      </c>
      <c r="D235" t="inlineStr">
        <is>
          <t>Polymer</t>
        </is>
      </c>
      <c r="E235" t="inlineStr">
        <is>
          <t>hydrophilic polymer</t>
        </is>
      </c>
      <c r="F235"/>
      <c r="G235"/>
      <c r="H235">
        <v>1000</v>
      </c>
      <c r="I235">
        <v>44</v>
      </c>
      <c r="J235"/>
      <c r="K235"/>
      <c r="L235"/>
      <c r="M235"/>
      <c r="N235"/>
      <c r="O235"/>
      <c r="P235"/>
      <c r="Q235"/>
      <c r="R235"/>
      <c r="S235"/>
      <c r="T235">
        <v>0</v>
      </c>
      <c r="U235" t="inlineStr">
        <is>
          <t>neutral</t>
        </is>
      </c>
      <c r="V235"/>
      <c r="W235"/>
      <c r="X235"/>
      <c r="Y235"/>
      <c r="Z235">
        <v>-60</v>
      </c>
      <c r="AA235">
        <v>37</v>
      </c>
      <c r="AB235"/>
      <c r="AC235"/>
      <c r="AD235"/>
      <c r="AE235"/>
      <c r="AF235"/>
      <c r="AG235"/>
      <c r="AH235"/>
      <c r="AI235">
        <v>18.0</v>
      </c>
      <c r="AJ235">
        <v>8.0</v>
      </c>
      <c r="AK235">
        <v>10.0</v>
      </c>
      <c r="AL235">
        <v>9.0</v>
      </c>
      <c r="AM235">
        <v>22.09</v>
      </c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 t="inlineStr">
        <is>
          <t>polymeric/hybrid/coating/stabilizer systems; grade and route dependent</t>
        </is>
      </c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 t="inlineStr">
        <is>
          <t>polymer grade, residual monomers/solvents, endotoxin and molecular weight distribution must be controlled</t>
        </is>
      </c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 t="inlineStr">
        <is>
          <t>high</t>
        </is>
      </c>
      <c r="DB235" t="inlineStr">
        <is>
          <t>soluble</t>
        </is>
      </c>
      <c r="DC235" t="inlineStr">
        <is>
          <t>poor</t>
        </is>
      </c>
      <c r="DD235" t="inlineStr">
        <is>
          <t>poor</t>
        </is>
      </c>
      <c r="DE235" t="inlineStr">
        <is>
          <t>limited</t>
        </is>
      </c>
      <c r="DF235" t="inlineStr">
        <is>
          <t>no</t>
        </is>
      </c>
      <c r="DG235" t="inlineStr">
        <is>
          <t>plasticizer</t>
        </is>
      </c>
      <c r="DH235" t="inlineStr">
        <is>
          <t>yes</t>
        </is>
      </c>
      <c r="DI235">
        <v>36.67</v>
      </c>
      <c r="DJ235"/>
    </row>
    <row r="236">
      <c r="A236" t="inlineStr">
        <is>
          <t>POL_PEG_2000</t>
        </is>
      </c>
      <c r="B236" t="inlineStr">
        <is>
          <t>PEG 2000</t>
        </is>
      </c>
      <c r="C236" t="inlineStr">
        <is>
          <t>Polymer</t>
        </is>
      </c>
      <c r="D236" t="inlineStr">
        <is>
          <t>Polymer</t>
        </is>
      </c>
      <c r="E236" t="inlineStr">
        <is>
          <t>hydrophilic polymer</t>
        </is>
      </c>
      <c r="F236"/>
      <c r="G236"/>
      <c r="H236">
        <v>2000</v>
      </c>
      <c r="I236">
        <v>44</v>
      </c>
      <c r="J236"/>
      <c r="K236"/>
      <c r="L236"/>
      <c r="M236"/>
      <c r="N236"/>
      <c r="O236"/>
      <c r="P236"/>
      <c r="Q236"/>
      <c r="R236"/>
      <c r="S236"/>
      <c r="T236">
        <v>0</v>
      </c>
      <c r="U236" t="inlineStr">
        <is>
          <t>neutral</t>
        </is>
      </c>
      <c r="V236"/>
      <c r="W236"/>
      <c r="X236"/>
      <c r="Y236"/>
      <c r="Z236">
        <v>-60</v>
      </c>
      <c r="AA236">
        <v>50</v>
      </c>
      <c r="AB236"/>
      <c r="AC236"/>
      <c r="AD236"/>
      <c r="AE236"/>
      <c r="AF236"/>
      <c r="AG236"/>
      <c r="AH236"/>
      <c r="AI236">
        <v>18.0</v>
      </c>
      <c r="AJ236">
        <v>8.0</v>
      </c>
      <c r="AK236">
        <v>10.0</v>
      </c>
      <c r="AL236">
        <v>9.0</v>
      </c>
      <c r="AM236">
        <v>22.09</v>
      </c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 t="inlineStr">
        <is>
          <t>polymeric/hybrid/coating/stabilizer systems; grade and route dependent</t>
        </is>
      </c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 t="inlineStr">
        <is>
          <t>polymer grade, residual monomers/solvents, endotoxin and molecular weight distribution must be controlled</t>
        </is>
      </c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 t="inlineStr">
        <is>
          <t>high</t>
        </is>
      </c>
      <c r="DB236" t="inlineStr">
        <is>
          <t>soluble</t>
        </is>
      </c>
      <c r="DC236" t="inlineStr">
        <is>
          <t>poor</t>
        </is>
      </c>
      <c r="DD236" t="inlineStr">
        <is>
          <t>poor</t>
        </is>
      </c>
      <c r="DE236" t="inlineStr">
        <is>
          <t>limited</t>
        </is>
      </c>
      <c r="DF236" t="inlineStr">
        <is>
          <t>no</t>
        </is>
      </c>
      <c r="DG236" t="inlineStr">
        <is>
          <t>plasticizer</t>
        </is>
      </c>
      <c r="DH236" t="inlineStr">
        <is>
          <t>yes</t>
        </is>
      </c>
      <c r="DI236">
        <v>36.67</v>
      </c>
      <c r="DJ236"/>
    </row>
    <row r="237">
      <c r="A237" t="inlineStr">
        <is>
          <t>POL_PEG_5000</t>
        </is>
      </c>
      <c r="B237" t="inlineStr">
        <is>
          <t>PEG 5000</t>
        </is>
      </c>
      <c r="C237" t="inlineStr">
        <is>
          <t>Polymer</t>
        </is>
      </c>
      <c r="D237" t="inlineStr">
        <is>
          <t>Polymer</t>
        </is>
      </c>
      <c r="E237" t="inlineStr">
        <is>
          <t>hydrophilic polymer</t>
        </is>
      </c>
      <c r="F237"/>
      <c r="G237"/>
      <c r="H237">
        <v>5000</v>
      </c>
      <c r="I237">
        <v>44</v>
      </c>
      <c r="J237"/>
      <c r="K237"/>
      <c r="L237"/>
      <c r="M237"/>
      <c r="N237"/>
      <c r="O237"/>
      <c r="P237"/>
      <c r="Q237"/>
      <c r="R237"/>
      <c r="S237"/>
      <c r="T237">
        <v>0</v>
      </c>
      <c r="U237" t="inlineStr">
        <is>
          <t>neutral</t>
        </is>
      </c>
      <c r="V237"/>
      <c r="W237"/>
      <c r="X237"/>
      <c r="Y237"/>
      <c r="Z237">
        <v>-60</v>
      </c>
      <c r="AA237">
        <v>60</v>
      </c>
      <c r="AB237"/>
      <c r="AC237"/>
      <c r="AD237"/>
      <c r="AE237"/>
      <c r="AF237"/>
      <c r="AG237"/>
      <c r="AH237"/>
      <c r="AI237">
        <v>18.0</v>
      </c>
      <c r="AJ237">
        <v>8.0</v>
      </c>
      <c r="AK237">
        <v>10.0</v>
      </c>
      <c r="AL237">
        <v>9.0</v>
      </c>
      <c r="AM237">
        <v>22.09</v>
      </c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 t="inlineStr">
        <is>
          <t>polymeric/hybrid/coating/stabilizer systems; grade and route dependent</t>
        </is>
      </c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 t="inlineStr">
        <is>
          <t>polymer grade, residual monomers/solvents, endotoxin and molecular weight distribution must be controlled</t>
        </is>
      </c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 t="inlineStr">
        <is>
          <t>high</t>
        </is>
      </c>
      <c r="DB237" t="inlineStr">
        <is>
          <t>soluble</t>
        </is>
      </c>
      <c r="DC237" t="inlineStr">
        <is>
          <t>poor</t>
        </is>
      </c>
      <c r="DD237" t="inlineStr">
        <is>
          <t>poor</t>
        </is>
      </c>
      <c r="DE237" t="inlineStr">
        <is>
          <t>limited</t>
        </is>
      </c>
      <c r="DF237" t="inlineStr">
        <is>
          <t>no</t>
        </is>
      </c>
      <c r="DG237" t="inlineStr">
        <is>
          <t>plasticizer</t>
        </is>
      </c>
      <c r="DH237" t="inlineStr">
        <is>
          <t>yes</t>
        </is>
      </c>
      <c r="DI237">
        <v>36.67</v>
      </c>
      <c r="DJ237"/>
    </row>
    <row r="238">
      <c r="A238" t="inlineStr">
        <is>
          <t>POL_PEG_10000</t>
        </is>
      </c>
      <c r="B238" t="inlineStr">
        <is>
          <t>PEG 10000</t>
        </is>
      </c>
      <c r="C238" t="inlineStr">
        <is>
          <t>Polymer</t>
        </is>
      </c>
      <c r="D238" t="inlineStr">
        <is>
          <t>Polymer</t>
        </is>
      </c>
      <c r="E238" t="inlineStr">
        <is>
          <t>hydrophilic polymer</t>
        </is>
      </c>
      <c r="F238"/>
      <c r="G238"/>
      <c r="H238">
        <v>10000</v>
      </c>
      <c r="I238">
        <v>44</v>
      </c>
      <c r="J238"/>
      <c r="K238"/>
      <c r="L238"/>
      <c r="M238"/>
      <c r="N238"/>
      <c r="O238"/>
      <c r="P238"/>
      <c r="Q238"/>
      <c r="R238"/>
      <c r="S238"/>
      <c r="T238">
        <v>0</v>
      </c>
      <c r="U238" t="inlineStr">
        <is>
          <t>neutral</t>
        </is>
      </c>
      <c r="V238"/>
      <c r="W238"/>
      <c r="X238"/>
      <c r="Y238"/>
      <c r="Z238">
        <v>-60</v>
      </c>
      <c r="AA238">
        <v>63</v>
      </c>
      <c r="AB238"/>
      <c r="AC238"/>
      <c r="AD238"/>
      <c r="AE238"/>
      <c r="AF238"/>
      <c r="AG238"/>
      <c r="AH238"/>
      <c r="AI238">
        <v>18.0</v>
      </c>
      <c r="AJ238">
        <v>8.0</v>
      </c>
      <c r="AK238">
        <v>10.0</v>
      </c>
      <c r="AL238">
        <v>9.0</v>
      </c>
      <c r="AM238">
        <v>22.09</v>
      </c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 t="inlineStr">
        <is>
          <t>polymeric/hybrid/coating/stabilizer systems; grade and route dependent</t>
        </is>
      </c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 t="inlineStr">
        <is>
          <t>polymer grade, residual monomers/solvents, endotoxin and molecular weight distribution must be controlled</t>
        </is>
      </c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 t="inlineStr">
        <is>
          <t>high</t>
        </is>
      </c>
      <c r="DB238" t="inlineStr">
        <is>
          <t>soluble</t>
        </is>
      </c>
      <c r="DC238" t="inlineStr">
        <is>
          <t>poor</t>
        </is>
      </c>
      <c r="DD238" t="inlineStr">
        <is>
          <t>poor</t>
        </is>
      </c>
      <c r="DE238" t="inlineStr">
        <is>
          <t>limited</t>
        </is>
      </c>
      <c r="DF238" t="inlineStr">
        <is>
          <t>no</t>
        </is>
      </c>
      <c r="DG238" t="inlineStr">
        <is>
          <t>plasticizer</t>
        </is>
      </c>
      <c r="DH238" t="inlineStr">
        <is>
          <t>yes</t>
        </is>
      </c>
      <c r="DI238">
        <v>36.67</v>
      </c>
      <c r="DJ238"/>
    </row>
    <row r="239">
      <c r="A239" t="inlineStr">
        <is>
          <t>POL_PVA</t>
        </is>
      </c>
      <c r="B239" t="inlineStr">
        <is>
          <t>PVA</t>
        </is>
      </c>
      <c r="C239" t="inlineStr">
        <is>
          <t>Polymer</t>
        </is>
      </c>
      <c r="D239" t="inlineStr">
        <is>
          <t>Polymer</t>
        </is>
      </c>
      <c r="E239" t="inlineStr">
        <is>
          <t>hydrophilic polymer</t>
        </is>
      </c>
      <c r="F239"/>
      <c r="G239"/>
      <c r="H239"/>
      <c r="I239">
        <v>44</v>
      </c>
      <c r="J239"/>
      <c r="K239"/>
      <c r="L239"/>
      <c r="M239"/>
      <c r="N239"/>
      <c r="O239"/>
      <c r="P239"/>
      <c r="Q239"/>
      <c r="R239"/>
      <c r="S239"/>
      <c r="T239">
        <v>0</v>
      </c>
      <c r="U239" t="inlineStr">
        <is>
          <t>neutral</t>
        </is>
      </c>
      <c r="V239"/>
      <c r="W239"/>
      <c r="X239"/>
      <c r="Y239"/>
      <c r="Z239">
        <v>85</v>
      </c>
      <c r="AA239">
        <v>230</v>
      </c>
      <c r="AB239"/>
      <c r="AC239"/>
      <c r="AD239"/>
      <c r="AE239"/>
      <c r="AF239"/>
      <c r="AG239"/>
      <c r="AH239"/>
      <c r="AI239">
        <v>18.0</v>
      </c>
      <c r="AJ239">
        <v>8.0</v>
      </c>
      <c r="AK239">
        <v>10.0</v>
      </c>
      <c r="AL239">
        <v>9.0</v>
      </c>
      <c r="AM239">
        <v>22.09</v>
      </c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 t="inlineStr">
        <is>
          <t>polymeric/hybrid/coating/stabilizer systems; grade and route dependent</t>
        </is>
      </c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 t="inlineStr">
        <is>
          <t>polymer grade, residual monomers/solvents, endotoxin and molecular weight distribution must be controlled</t>
        </is>
      </c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 t="inlineStr">
        <is>
          <t>13,000-186,000</t>
        </is>
      </c>
      <c r="DA239" t="inlineStr">
        <is>
          <t>high</t>
        </is>
      </c>
      <c r="DB239" t="inlineStr">
        <is>
          <t>poor</t>
        </is>
      </c>
      <c r="DC239" t="inlineStr">
        <is>
          <t>poor</t>
        </is>
      </c>
      <c r="DD239" t="inlineStr">
        <is>
          <t>poor</t>
        </is>
      </c>
      <c r="DE239" t="inlineStr">
        <is>
          <t>limited</t>
        </is>
      </c>
      <c r="DF239" t="inlineStr">
        <is>
          <t>yes/conditional</t>
        </is>
      </c>
      <c r="DG239" t="inlineStr">
        <is>
          <t>film former</t>
        </is>
      </c>
      <c r="DH239" t="inlineStr">
        <is>
          <t>yes</t>
        </is>
      </c>
      <c r="DI239">
        <v>36.67</v>
      </c>
      <c r="DJ239"/>
    </row>
    <row r="240">
      <c r="A240" t="inlineStr">
        <is>
          <t>POL_PVP_K30</t>
        </is>
      </c>
      <c r="B240" t="inlineStr">
        <is>
          <t>PVP K30</t>
        </is>
      </c>
      <c r="C240" t="inlineStr">
        <is>
          <t>Polymer</t>
        </is>
      </c>
      <c r="D240" t="inlineStr">
        <is>
          <t>Polymer</t>
        </is>
      </c>
      <c r="E240" t="inlineStr">
        <is>
          <t>hydrophilic polymer</t>
        </is>
      </c>
      <c r="F240"/>
      <c r="G240"/>
      <c r="H240">
        <v>40000</v>
      </c>
      <c r="I240">
        <v>111</v>
      </c>
      <c r="J240"/>
      <c r="K240"/>
      <c r="L240"/>
      <c r="M240"/>
      <c r="N240"/>
      <c r="O240"/>
      <c r="P240"/>
      <c r="Q240"/>
      <c r="R240"/>
      <c r="S240"/>
      <c r="T240">
        <v>0</v>
      </c>
      <c r="U240" t="inlineStr">
        <is>
          <t>neutral</t>
        </is>
      </c>
      <c r="V240"/>
      <c r="W240"/>
      <c r="X240"/>
      <c r="Y240"/>
      <c r="Z240">
        <v>150</v>
      </c>
      <c r="AA240"/>
      <c r="AB240"/>
      <c r="AC240"/>
      <c r="AD240"/>
      <c r="AE240"/>
      <c r="AF240"/>
      <c r="AG240"/>
      <c r="AH240"/>
      <c r="AI240">
        <v>18.0</v>
      </c>
      <c r="AJ240">
        <v>8.0</v>
      </c>
      <c r="AK240">
        <v>10.0</v>
      </c>
      <c r="AL240">
        <v>9.0</v>
      </c>
      <c r="AM240">
        <v>22.09</v>
      </c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 t="inlineStr">
        <is>
          <t>polymeric/hybrid/coating/stabilizer systems; grade and route dependent</t>
        </is>
      </c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 t="inlineStr">
        <is>
          <t>polymer grade, residual monomers/solvents, endotoxin and molecular weight distribution must be controlled</t>
        </is>
      </c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 t="inlineStr">
        <is>
          <t>high</t>
        </is>
      </c>
      <c r="DB240" t="inlineStr">
        <is>
          <t>soluble</t>
        </is>
      </c>
      <c r="DC240" t="inlineStr">
        <is>
          <t>soluble</t>
        </is>
      </c>
      <c r="DD240" t="inlineStr">
        <is>
          <t>poor</t>
        </is>
      </c>
      <c r="DE240" t="inlineStr">
        <is>
          <t>no</t>
        </is>
      </c>
      <c r="DF240" t="inlineStr">
        <is>
          <t>conditional</t>
        </is>
      </c>
      <c r="DG240" t="inlineStr">
        <is>
          <t>binder/coating</t>
        </is>
      </c>
      <c r="DH240" t="inlineStr">
        <is>
          <t>yes</t>
        </is>
      </c>
      <c r="DI240">
        <v>92.5</v>
      </c>
      <c r="DJ240"/>
    </row>
    <row r="241">
      <c r="A241" t="inlineStr">
        <is>
          <t>POL_PVP_K90</t>
        </is>
      </c>
      <c r="B241" t="inlineStr">
        <is>
          <t>PVP K90</t>
        </is>
      </c>
      <c r="C241" t="inlineStr">
        <is>
          <t>Polymer</t>
        </is>
      </c>
      <c r="D241" t="inlineStr">
        <is>
          <t>Polymer</t>
        </is>
      </c>
      <c r="E241" t="inlineStr">
        <is>
          <t>hydrophilic polymer</t>
        </is>
      </c>
      <c r="F241"/>
      <c r="G241"/>
      <c r="H241">
        <v>1000000</v>
      </c>
      <c r="I241">
        <v>111</v>
      </c>
      <c r="J241"/>
      <c r="K241"/>
      <c r="L241"/>
      <c r="M241"/>
      <c r="N241"/>
      <c r="O241"/>
      <c r="P241"/>
      <c r="Q241"/>
      <c r="R241"/>
      <c r="S241"/>
      <c r="T241">
        <v>0</v>
      </c>
      <c r="U241" t="inlineStr">
        <is>
          <t>neutral</t>
        </is>
      </c>
      <c r="V241"/>
      <c r="W241"/>
      <c r="X241"/>
      <c r="Y241"/>
      <c r="Z241">
        <v>150</v>
      </c>
      <c r="AA241"/>
      <c r="AB241"/>
      <c r="AC241"/>
      <c r="AD241"/>
      <c r="AE241"/>
      <c r="AF241"/>
      <c r="AG241"/>
      <c r="AH241"/>
      <c r="AI241">
        <v>18.0</v>
      </c>
      <c r="AJ241">
        <v>8.0</v>
      </c>
      <c r="AK241">
        <v>10.0</v>
      </c>
      <c r="AL241">
        <v>9.0</v>
      </c>
      <c r="AM241">
        <v>22.09</v>
      </c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 t="inlineStr">
        <is>
          <t>polymeric/hybrid/coating/stabilizer systems; grade and route dependent</t>
        </is>
      </c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 t="inlineStr">
        <is>
          <t>polymer grade, residual monomers/solvents, endotoxin and molecular weight distribution must be controlled</t>
        </is>
      </c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 t="inlineStr">
        <is>
          <t>high</t>
        </is>
      </c>
      <c r="DB241" t="inlineStr">
        <is>
          <t>soluble</t>
        </is>
      </c>
      <c r="DC241" t="inlineStr">
        <is>
          <t>soluble</t>
        </is>
      </c>
      <c r="DD241" t="inlineStr">
        <is>
          <t>poor</t>
        </is>
      </c>
      <c r="DE241" t="inlineStr">
        <is>
          <t>no</t>
        </is>
      </c>
      <c r="DF241" t="inlineStr">
        <is>
          <t>conditional</t>
        </is>
      </c>
      <c r="DG241" t="inlineStr">
        <is>
          <t>binder/coating</t>
        </is>
      </c>
      <c r="DH241" t="inlineStr">
        <is>
          <t>yes</t>
        </is>
      </c>
      <c r="DI241">
        <v>92.5</v>
      </c>
      <c r="DJ241"/>
    </row>
    <row r="242">
      <c r="A242" t="inlineStr">
        <is>
          <t>POL_HPMC</t>
        </is>
      </c>
      <c r="B242" t="inlineStr">
        <is>
          <t>HPMC</t>
        </is>
      </c>
      <c r="C242" t="inlineStr">
        <is>
          <t>Polymer</t>
        </is>
      </c>
      <c r="D242" t="inlineStr">
        <is>
          <t>Polymer</t>
        </is>
      </c>
      <c r="E242" t="inlineStr">
        <is>
          <t>cellulose ether</t>
        </is>
      </c>
      <c r="F242"/>
      <c r="G242"/>
      <c r="H242">
        <v>86000</v>
      </c>
      <c r="I242"/>
      <c r="J242"/>
      <c r="K242"/>
      <c r="L242"/>
      <c r="M242"/>
      <c r="N242"/>
      <c r="O242"/>
      <c r="P242"/>
      <c r="Q242"/>
      <c r="R242"/>
      <c r="S242"/>
      <c r="T242">
        <v>0</v>
      </c>
      <c r="U242" t="inlineStr">
        <is>
          <t>neutral</t>
        </is>
      </c>
      <c r="V242"/>
      <c r="W242"/>
      <c r="X242"/>
      <c r="Y242"/>
      <c r="Z242">
        <v>170</v>
      </c>
      <c r="AA242"/>
      <c r="AB242"/>
      <c r="AC242"/>
      <c r="AD242"/>
      <c r="AE242"/>
      <c r="AF242"/>
      <c r="AG242"/>
      <c r="AH242"/>
      <c r="AI242">
        <v>18.0</v>
      </c>
      <c r="AJ242">
        <v>8.0</v>
      </c>
      <c r="AK242">
        <v>10.0</v>
      </c>
      <c r="AL242">
        <v>9.0</v>
      </c>
      <c r="AM242">
        <v>22.09</v>
      </c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 t="inlineStr">
        <is>
          <t>polymeric/hybrid/coating/stabilizer systems; grade and route dependent</t>
        </is>
      </c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 t="inlineStr">
        <is>
          <t>polymer grade, residual monomers/solvents, endotoxin and molecular weight distribution must be controlled</t>
        </is>
      </c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 t="inlineStr">
        <is>
          <t>swells/soluble</t>
        </is>
      </c>
      <c r="DB242" t="inlineStr">
        <is>
          <t>poor</t>
        </is>
      </c>
      <c r="DC242" t="inlineStr">
        <is>
          <t>poor</t>
        </is>
      </c>
      <c r="DD242" t="inlineStr">
        <is>
          <t>poor</t>
        </is>
      </c>
      <c r="DE242" t="inlineStr">
        <is>
          <t>no</t>
        </is>
      </c>
      <c r="DF242" t="inlineStr">
        <is>
          <t>yes</t>
        </is>
      </c>
      <c r="DG242" t="inlineStr">
        <is>
          <t>coating/matrix</t>
        </is>
      </c>
      <c r="DH242" t="inlineStr">
        <is>
          <t>yes</t>
        </is>
      </c>
      <c r="DI242"/>
      <c r="DJ242"/>
    </row>
    <row r="243">
      <c r="A243" t="inlineStr">
        <is>
          <t>POL_HPC</t>
        </is>
      </c>
      <c r="B243" t="inlineStr">
        <is>
          <t>HPC</t>
        </is>
      </c>
      <c r="C243" t="inlineStr">
        <is>
          <t>Polymer</t>
        </is>
      </c>
      <c r="D243" t="inlineStr">
        <is>
          <t>Polymer</t>
        </is>
      </c>
      <c r="E243" t="inlineStr">
        <is>
          <t>cellulose ether</t>
        </is>
      </c>
      <c r="F243"/>
      <c r="G243"/>
      <c r="H243">
        <v>100000</v>
      </c>
      <c r="I243"/>
      <c r="J243"/>
      <c r="K243"/>
      <c r="L243"/>
      <c r="M243"/>
      <c r="N243"/>
      <c r="O243"/>
      <c r="P243"/>
      <c r="Q243"/>
      <c r="R243"/>
      <c r="S243"/>
      <c r="T243">
        <v>0</v>
      </c>
      <c r="U243" t="inlineStr">
        <is>
          <t>neutral</t>
        </is>
      </c>
      <c r="V243"/>
      <c r="W243"/>
      <c r="X243"/>
      <c r="Y243"/>
      <c r="Z243">
        <v>100</v>
      </c>
      <c r="AA243"/>
      <c r="AB243"/>
      <c r="AC243"/>
      <c r="AD243"/>
      <c r="AE243"/>
      <c r="AF243"/>
      <c r="AG243"/>
      <c r="AH243"/>
      <c r="AI243">
        <v>18.0</v>
      </c>
      <c r="AJ243">
        <v>8.0</v>
      </c>
      <c r="AK243">
        <v>10.0</v>
      </c>
      <c r="AL243">
        <v>9.0</v>
      </c>
      <c r="AM243">
        <v>22.09</v>
      </c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 t="inlineStr">
        <is>
          <t>polymeric/hybrid/coating/stabilizer systems; grade and route dependent</t>
        </is>
      </c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 t="inlineStr">
        <is>
          <t>polymer grade, residual monomers/solvents, endotoxin and molecular weight distribution must be controlled</t>
        </is>
      </c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 t="inlineStr">
        <is>
          <t>soluble</t>
        </is>
      </c>
      <c r="DB243" t="inlineStr">
        <is>
          <t>soluble</t>
        </is>
      </c>
      <c r="DC243" t="inlineStr">
        <is>
          <t>poor</t>
        </is>
      </c>
      <c r="DD243" t="inlineStr">
        <is>
          <t>poor</t>
        </is>
      </c>
      <c r="DE243" t="inlineStr">
        <is>
          <t>no</t>
        </is>
      </c>
      <c r="DF243" t="inlineStr">
        <is>
          <t>yes</t>
        </is>
      </c>
      <c r="DG243" t="inlineStr">
        <is>
          <t>coating/matrix</t>
        </is>
      </c>
      <c r="DH243" t="inlineStr">
        <is>
          <t>yes</t>
        </is>
      </c>
      <c r="DI243"/>
      <c r="DJ243"/>
    </row>
    <row r="244">
      <c r="A244" t="inlineStr">
        <is>
          <t>POL_CMC</t>
        </is>
      </c>
      <c r="B244" t="inlineStr">
        <is>
          <t>CMC</t>
        </is>
      </c>
      <c r="C244" t="inlineStr">
        <is>
          <t>Polymer</t>
        </is>
      </c>
      <c r="D244" t="inlineStr">
        <is>
          <t>Polymer</t>
        </is>
      </c>
      <c r="E244" t="inlineStr">
        <is>
          <t>cellulose derivative</t>
        </is>
      </c>
      <c r="F244"/>
      <c r="G244"/>
      <c r="H244">
        <v>90000</v>
      </c>
      <c r="I244"/>
      <c r="J244"/>
      <c r="K244"/>
      <c r="L244"/>
      <c r="M244"/>
      <c r="N244"/>
      <c r="O244"/>
      <c r="P244"/>
      <c r="Q244"/>
      <c r="R244"/>
      <c r="S244" t="inlineStr">
        <is>
          <t>anionic</t>
        </is>
      </c>
      <c r="T244"/>
      <c r="U244">
        <v>-1</v>
      </c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>
        <v>18.0</v>
      </c>
      <c r="AJ244">
        <v>8.0</v>
      </c>
      <c r="AK244">
        <v>10.0</v>
      </c>
      <c r="AL244">
        <v>9.0</v>
      </c>
      <c r="AM244">
        <v>22.09</v>
      </c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 t="inlineStr">
        <is>
          <t>polymeric/hybrid/coating/stabilizer systems; grade and route dependent</t>
        </is>
      </c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 t="inlineStr">
        <is>
          <t>polymer grade, residual monomers/solvents, endotoxin and molecular weight distribution must be controlled</t>
        </is>
      </c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 t="inlineStr">
        <is>
          <t>poor</t>
        </is>
      </c>
      <c r="DB244" t="inlineStr">
        <is>
          <t>poor</t>
        </is>
      </c>
      <c r="DC244" t="inlineStr">
        <is>
          <t>poor</t>
        </is>
      </c>
      <c r="DD244" t="inlineStr">
        <is>
          <t>no</t>
        </is>
      </c>
      <c r="DE244" t="inlineStr">
        <is>
          <t>yes</t>
        </is>
      </c>
      <c r="DF244" t="inlineStr">
        <is>
          <t>matrix</t>
        </is>
      </c>
      <c r="DG244" t="inlineStr">
        <is>
          <t>yes</t>
        </is>
      </c>
      <c r="DH244"/>
      <c r="DI244"/>
      <c r="DJ244" t="inlineStr">
        <is>
          <t>swells</t>
        </is>
      </c>
    </row>
    <row r="245">
      <c r="A245" t="inlineStr">
        <is>
          <t>POL_SODIUM_CMC</t>
        </is>
      </c>
      <c r="B245" t="inlineStr">
        <is>
          <t>Sodium CMC</t>
        </is>
      </c>
      <c r="C245" t="inlineStr">
        <is>
          <t>Polymer</t>
        </is>
      </c>
      <c r="D245" t="inlineStr">
        <is>
          <t>Polymer</t>
        </is>
      </c>
      <c r="E245" t="inlineStr">
        <is>
          <t>cellulose derivative</t>
        </is>
      </c>
      <c r="F245"/>
      <c r="G245"/>
      <c r="H245">
        <v>90000</v>
      </c>
      <c r="I245"/>
      <c r="J245"/>
      <c r="K245"/>
      <c r="L245"/>
      <c r="M245"/>
      <c r="N245"/>
      <c r="O245"/>
      <c r="P245"/>
      <c r="Q245"/>
      <c r="R245"/>
      <c r="S245" t="inlineStr">
        <is>
          <t>anionic</t>
        </is>
      </c>
      <c r="T245"/>
      <c r="U245">
        <v>-1</v>
      </c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>
        <v>18.0</v>
      </c>
      <c r="AJ245">
        <v>8.0</v>
      </c>
      <c r="AK245">
        <v>10.0</v>
      </c>
      <c r="AL245">
        <v>9.0</v>
      </c>
      <c r="AM245">
        <v>22.09</v>
      </c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 t="inlineStr">
        <is>
          <t>polymeric/hybrid/coating/stabilizer systems; grade and route dependent</t>
        </is>
      </c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 t="inlineStr">
        <is>
          <t>polymer grade, residual monomers/solvents, endotoxin and molecular weight distribution must be controlled</t>
        </is>
      </c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 t="inlineStr">
        <is>
          <t>poor</t>
        </is>
      </c>
      <c r="DB245" t="inlineStr">
        <is>
          <t>poor</t>
        </is>
      </c>
      <c r="DC245" t="inlineStr">
        <is>
          <t>poor</t>
        </is>
      </c>
      <c r="DD245" t="inlineStr">
        <is>
          <t>no</t>
        </is>
      </c>
      <c r="DE245" t="inlineStr">
        <is>
          <t>yes</t>
        </is>
      </c>
      <c r="DF245" t="inlineStr">
        <is>
          <t>matrix</t>
        </is>
      </c>
      <c r="DG245" t="inlineStr">
        <is>
          <t>yes</t>
        </is>
      </c>
      <c r="DH245"/>
      <c r="DI245"/>
      <c r="DJ245" t="inlineStr">
        <is>
          <t>high/swells</t>
        </is>
      </c>
    </row>
    <row r="246">
      <c r="A246" t="inlineStr">
        <is>
          <t>POL_CHITOSAN_LOW_MW</t>
        </is>
      </c>
      <c r="B246" t="inlineStr">
        <is>
          <t>Chitosan low MW</t>
        </is>
      </c>
      <c r="C246" t="inlineStr">
        <is>
          <t>Polymer</t>
        </is>
      </c>
      <c r="D246" t="inlineStr">
        <is>
          <t>Polymer</t>
        </is>
      </c>
      <c r="E246" t="inlineStr">
        <is>
          <t>cationic mucoadhesive polysaccharide</t>
        </is>
      </c>
      <c r="F246"/>
      <c r="G246"/>
      <c r="H246">
        <v>50000</v>
      </c>
      <c r="I246"/>
      <c r="J246"/>
      <c r="K246"/>
      <c r="L246"/>
      <c r="M246"/>
      <c r="N246"/>
      <c r="O246"/>
      <c r="P246"/>
      <c r="Q246"/>
      <c r="R246"/>
      <c r="S246">
        <v>6.5</v>
      </c>
      <c r="T246">
        <v>1</v>
      </c>
      <c r="U246" t="inlineStr">
        <is>
          <t>cationic</t>
        </is>
      </c>
      <c r="V246"/>
      <c r="W246"/>
      <c r="X246"/>
      <c r="Y246"/>
      <c r="Z246"/>
      <c r="AA246">
        <v>220</v>
      </c>
      <c r="AB246"/>
      <c r="AC246"/>
      <c r="AD246"/>
      <c r="AE246"/>
      <c r="AF246"/>
      <c r="AG246"/>
      <c r="AH246"/>
      <c r="AI246">
        <v>18.0</v>
      </c>
      <c r="AJ246">
        <v>8.0</v>
      </c>
      <c r="AK246">
        <v>10.0</v>
      </c>
      <c r="AL246">
        <v>9.0</v>
      </c>
      <c r="AM246">
        <v>22.09</v>
      </c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 t="inlineStr">
        <is>
          <t>polymeric/hybrid/coating/stabilizer systems; grade and route dependent</t>
        </is>
      </c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 t="inlineStr">
        <is>
          <t>polymer grade, residual monomers/solvents, endotoxin and molecular weight distribution must be controlled</t>
        </is>
      </c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 t="inlineStr">
        <is>
          <t>acid-soluble</t>
        </is>
      </c>
      <c r="DB246" t="inlineStr">
        <is>
          <t>poor</t>
        </is>
      </c>
      <c r="DC246" t="inlineStr">
        <is>
          <t>poor</t>
        </is>
      </c>
      <c r="DD246" t="inlineStr">
        <is>
          <t>poor</t>
        </is>
      </c>
      <c r="DE246" t="inlineStr">
        <is>
          <t>yes/enzymatic</t>
        </is>
      </c>
      <c r="DF246" t="inlineStr">
        <is>
          <t>yes</t>
        </is>
      </c>
      <c r="DG246" t="inlineStr">
        <is>
          <t>coating</t>
        </is>
      </c>
      <c r="DH246" t="inlineStr">
        <is>
          <t>yes</t>
        </is>
      </c>
      <c r="DI246"/>
      <c r="DJ246" t="inlineStr">
        <is>
          <t>degree of deacetylation dependent</t>
        </is>
      </c>
    </row>
    <row r="247">
      <c r="A247" t="inlineStr">
        <is>
          <t>POL_CHITOSAN_MEDIUM_MW</t>
        </is>
      </c>
      <c r="B247" t="inlineStr">
        <is>
          <t>Chitosan medium MW</t>
        </is>
      </c>
      <c r="C247" t="inlineStr">
        <is>
          <t>Polymer</t>
        </is>
      </c>
      <c r="D247" t="inlineStr">
        <is>
          <t>Polymer</t>
        </is>
      </c>
      <c r="E247" t="inlineStr">
        <is>
          <t>cationic mucoadhesive polysaccharide</t>
        </is>
      </c>
      <c r="F247"/>
      <c r="G247"/>
      <c r="H247">
        <v>250000</v>
      </c>
      <c r="I247"/>
      <c r="J247"/>
      <c r="K247"/>
      <c r="L247"/>
      <c r="M247"/>
      <c r="N247"/>
      <c r="O247"/>
      <c r="P247"/>
      <c r="Q247"/>
      <c r="R247"/>
      <c r="S247">
        <v>6.5</v>
      </c>
      <c r="T247">
        <v>1</v>
      </c>
      <c r="U247" t="inlineStr">
        <is>
          <t>cationic</t>
        </is>
      </c>
      <c r="V247"/>
      <c r="W247"/>
      <c r="X247"/>
      <c r="Y247"/>
      <c r="Z247"/>
      <c r="AA247">
        <v>220</v>
      </c>
      <c r="AB247"/>
      <c r="AC247"/>
      <c r="AD247"/>
      <c r="AE247"/>
      <c r="AF247"/>
      <c r="AG247"/>
      <c r="AH247"/>
      <c r="AI247">
        <v>18.0</v>
      </c>
      <c r="AJ247">
        <v>8.0</v>
      </c>
      <c r="AK247">
        <v>10.0</v>
      </c>
      <c r="AL247">
        <v>9.0</v>
      </c>
      <c r="AM247">
        <v>22.09</v>
      </c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 t="inlineStr">
        <is>
          <t>polymeric/hybrid/coating/stabilizer systems; grade and route dependent</t>
        </is>
      </c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 t="inlineStr">
        <is>
          <t>polymer grade, residual monomers/solvents, endotoxin and molecular weight distribution must be controlled</t>
        </is>
      </c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 t="inlineStr">
        <is>
          <t>acid-soluble</t>
        </is>
      </c>
      <c r="DB247" t="inlineStr">
        <is>
          <t>poor</t>
        </is>
      </c>
      <c r="DC247" t="inlineStr">
        <is>
          <t>poor</t>
        </is>
      </c>
      <c r="DD247" t="inlineStr">
        <is>
          <t>poor</t>
        </is>
      </c>
      <c r="DE247" t="inlineStr">
        <is>
          <t>yes/enzymatic</t>
        </is>
      </c>
      <c r="DF247" t="inlineStr">
        <is>
          <t>yes</t>
        </is>
      </c>
      <c r="DG247" t="inlineStr">
        <is>
          <t>coating</t>
        </is>
      </c>
      <c r="DH247" t="inlineStr">
        <is>
          <t>yes</t>
        </is>
      </c>
      <c r="DI247"/>
      <c r="DJ247" t="inlineStr">
        <is>
          <t>degree of deacetylation dependent</t>
        </is>
      </c>
    </row>
    <row r="248">
      <c r="A248" t="inlineStr">
        <is>
          <t>POL_CHITOSAN_HIGH_MW</t>
        </is>
      </c>
      <c r="B248" t="inlineStr">
        <is>
          <t>Chitosan high MW</t>
        </is>
      </c>
      <c r="C248" t="inlineStr">
        <is>
          <t>Polymer</t>
        </is>
      </c>
      <c r="D248" t="inlineStr">
        <is>
          <t>Polymer</t>
        </is>
      </c>
      <c r="E248" t="inlineStr">
        <is>
          <t>cationic mucoadhesive polysaccharide</t>
        </is>
      </c>
      <c r="F248"/>
      <c r="G248"/>
      <c r="H248">
        <v>600000</v>
      </c>
      <c r="I248"/>
      <c r="J248"/>
      <c r="K248"/>
      <c r="L248"/>
      <c r="M248"/>
      <c r="N248"/>
      <c r="O248"/>
      <c r="P248"/>
      <c r="Q248"/>
      <c r="R248"/>
      <c r="S248">
        <v>6.5</v>
      </c>
      <c r="T248">
        <v>1</v>
      </c>
      <c r="U248" t="inlineStr">
        <is>
          <t>cationic</t>
        </is>
      </c>
      <c r="V248"/>
      <c r="W248"/>
      <c r="X248"/>
      <c r="Y248"/>
      <c r="Z248"/>
      <c r="AA248">
        <v>220</v>
      </c>
      <c r="AB248"/>
      <c r="AC248"/>
      <c r="AD248"/>
      <c r="AE248"/>
      <c r="AF248"/>
      <c r="AG248"/>
      <c r="AH248"/>
      <c r="AI248">
        <v>18.0</v>
      </c>
      <c r="AJ248">
        <v>8.0</v>
      </c>
      <c r="AK248">
        <v>10.0</v>
      </c>
      <c r="AL248">
        <v>9.0</v>
      </c>
      <c r="AM248">
        <v>22.09</v>
      </c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 t="inlineStr">
        <is>
          <t>polymeric/hybrid/coating/stabilizer systems; grade and route dependent</t>
        </is>
      </c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 t="inlineStr">
        <is>
          <t>polymer grade, residual monomers/solvents, endotoxin and molecular weight distribution must be controlled</t>
        </is>
      </c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 t="inlineStr">
        <is>
          <t>acid-soluble</t>
        </is>
      </c>
      <c r="DB248" t="inlineStr">
        <is>
          <t>poor</t>
        </is>
      </c>
      <c r="DC248" t="inlineStr">
        <is>
          <t>poor</t>
        </is>
      </c>
      <c r="DD248" t="inlineStr">
        <is>
          <t>poor</t>
        </is>
      </c>
      <c r="DE248" t="inlineStr">
        <is>
          <t>yes/enzymatic</t>
        </is>
      </c>
      <c r="DF248" t="inlineStr">
        <is>
          <t>yes</t>
        </is>
      </c>
      <c r="DG248" t="inlineStr">
        <is>
          <t>coating</t>
        </is>
      </c>
      <c r="DH248" t="inlineStr">
        <is>
          <t>yes</t>
        </is>
      </c>
      <c r="DI248"/>
      <c r="DJ248" t="inlineStr">
        <is>
          <t>degree of deacetylation dependent</t>
        </is>
      </c>
    </row>
    <row r="249">
      <c r="A249" t="inlineStr">
        <is>
          <t>POL_TRIMETHYL_CHITOSAN</t>
        </is>
      </c>
      <c r="B249" t="inlineStr">
        <is>
          <t>Trimethyl chitosan</t>
        </is>
      </c>
      <c r="C249" t="inlineStr">
        <is>
          <t>Polymer</t>
        </is>
      </c>
      <c r="D249" t="inlineStr">
        <is>
          <t>Polymer</t>
        </is>
      </c>
      <c r="E249" t="inlineStr">
        <is>
          <t>cationic mucoadhesive polysaccharide</t>
        </is>
      </c>
      <c r="F249"/>
      <c r="G249"/>
      <c r="H249">
        <v>200000</v>
      </c>
      <c r="I249"/>
      <c r="J249"/>
      <c r="K249"/>
      <c r="L249"/>
      <c r="M249"/>
      <c r="N249"/>
      <c r="O249"/>
      <c r="P249"/>
      <c r="Q249"/>
      <c r="R249"/>
      <c r="S249"/>
      <c r="T249">
        <v>1</v>
      </c>
      <c r="U249" t="inlineStr">
        <is>
          <t>cationic</t>
        </is>
      </c>
      <c r="V249"/>
      <c r="W249"/>
      <c r="X249"/>
      <c r="Y249"/>
      <c r="Z249"/>
      <c r="AA249">
        <v>220</v>
      </c>
      <c r="AB249"/>
      <c r="AC249"/>
      <c r="AD249"/>
      <c r="AE249"/>
      <c r="AF249"/>
      <c r="AG249"/>
      <c r="AH249"/>
      <c r="AI249">
        <v>18.0</v>
      </c>
      <c r="AJ249">
        <v>8.0</v>
      </c>
      <c r="AK249">
        <v>10.0</v>
      </c>
      <c r="AL249">
        <v>9.0</v>
      </c>
      <c r="AM249">
        <v>22.09</v>
      </c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 t="inlineStr">
        <is>
          <t>polymeric/hybrid/coating/stabilizer systems; grade and route dependent</t>
        </is>
      </c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 t="inlineStr">
        <is>
          <t>polymer grade, residual monomers/solvents, endotoxin and molecular weight distribution must be controlled</t>
        </is>
      </c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 t="inlineStr">
        <is>
          <t>high</t>
        </is>
      </c>
      <c r="DB249" t="inlineStr">
        <is>
          <t>poor</t>
        </is>
      </c>
      <c r="DC249" t="inlineStr">
        <is>
          <t>poor</t>
        </is>
      </c>
      <c r="DD249" t="inlineStr">
        <is>
          <t>poor</t>
        </is>
      </c>
      <c r="DE249" t="inlineStr">
        <is>
          <t>yes/enzymatic</t>
        </is>
      </c>
      <c r="DF249" t="inlineStr">
        <is>
          <t>yes</t>
        </is>
      </c>
      <c r="DG249" t="inlineStr">
        <is>
          <t>coating</t>
        </is>
      </c>
      <c r="DH249" t="inlineStr">
        <is>
          <t>yes</t>
        </is>
      </c>
      <c r="DI249"/>
      <c r="DJ249" t="inlineStr">
        <is>
          <t>degree of quaternization dependent</t>
        </is>
      </c>
    </row>
    <row r="250">
      <c r="A250" t="inlineStr">
        <is>
          <t>POL_PEI_LOW_MW</t>
        </is>
      </c>
      <c r="B250" t="inlineStr">
        <is>
          <t>PEI low MW</t>
        </is>
      </c>
      <c r="C250" t="inlineStr">
        <is>
          <t>Polymer</t>
        </is>
      </c>
      <c r="D250" t="inlineStr">
        <is>
          <t>Polymer</t>
        </is>
      </c>
      <c r="E250" t="inlineStr">
        <is>
          <t>cationic polymer</t>
        </is>
      </c>
      <c r="F250"/>
      <c r="G250"/>
      <c r="H250">
        <v>10000</v>
      </c>
      <c r="I250">
        <v>43</v>
      </c>
      <c r="J250"/>
      <c r="K250"/>
      <c r="L250"/>
      <c r="M250"/>
      <c r="N250"/>
      <c r="O250"/>
      <c r="P250"/>
      <c r="Q250"/>
      <c r="R250"/>
      <c r="S250">
        <v>8.5</v>
      </c>
      <c r="T250">
        <v>1</v>
      </c>
      <c r="U250" t="inlineStr">
        <is>
          <t>cationic</t>
        </is>
      </c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>
        <v>18.0</v>
      </c>
      <c r="AJ250">
        <v>8.0</v>
      </c>
      <c r="AK250">
        <v>10.0</v>
      </c>
      <c r="AL250">
        <v>9.0</v>
      </c>
      <c r="AM250">
        <v>22.09</v>
      </c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 t="inlineStr">
        <is>
          <t>polymeric/hybrid/coating/stabilizer systems; grade and route dependent</t>
        </is>
      </c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 t="inlineStr">
        <is>
          <t>cytotoxic; use low dose and compare branched/linear</t>
        </is>
      </c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 t="inlineStr">
        <is>
          <t>high</t>
        </is>
      </c>
      <c r="DB250" t="inlineStr">
        <is>
          <t>poor</t>
        </is>
      </c>
      <c r="DC250" t="inlineStr">
        <is>
          <t>poor</t>
        </is>
      </c>
      <c r="DD250" t="inlineStr">
        <is>
          <t>poor</t>
        </is>
      </c>
      <c r="DE250" t="inlineStr">
        <is>
          <t>no</t>
        </is>
      </c>
      <c r="DF250" t="inlineStr">
        <is>
          <t>yes</t>
        </is>
      </c>
      <c r="DG250" t="inlineStr">
        <is>
          <t>complexation</t>
        </is>
      </c>
      <c r="DH250" t="inlineStr">
        <is>
          <t>yes</t>
        </is>
      </c>
      <c r="DI250">
        <v>35.83</v>
      </c>
      <c r="DJ250" t="inlineStr">
        <is>
          <t>high</t>
        </is>
      </c>
    </row>
    <row r="251">
      <c r="A251" t="inlineStr">
        <is>
          <t>POL_PEI_HIGH_MW</t>
        </is>
      </c>
      <c r="B251" t="inlineStr">
        <is>
          <t>PEI high MW</t>
        </is>
      </c>
      <c r="C251" t="inlineStr">
        <is>
          <t>Polymer</t>
        </is>
      </c>
      <c r="D251" t="inlineStr">
        <is>
          <t>Polymer</t>
        </is>
      </c>
      <c r="E251" t="inlineStr">
        <is>
          <t>cationic polymer</t>
        </is>
      </c>
      <c r="F251"/>
      <c r="G251"/>
      <c r="H251">
        <v>25000</v>
      </c>
      <c r="I251">
        <v>43</v>
      </c>
      <c r="J251"/>
      <c r="K251"/>
      <c r="L251"/>
      <c r="M251"/>
      <c r="N251"/>
      <c r="O251"/>
      <c r="P251"/>
      <c r="Q251"/>
      <c r="R251"/>
      <c r="S251">
        <v>8.5</v>
      </c>
      <c r="T251">
        <v>1</v>
      </c>
      <c r="U251" t="inlineStr">
        <is>
          <t>cationic</t>
        </is>
      </c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>
        <v>18.0</v>
      </c>
      <c r="AJ251">
        <v>8.0</v>
      </c>
      <c r="AK251">
        <v>10.0</v>
      </c>
      <c r="AL251">
        <v>9.0</v>
      </c>
      <c r="AM251">
        <v>22.09</v>
      </c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 t="inlineStr">
        <is>
          <t>polymeric/hybrid/coating/stabilizer systems; grade and route dependent</t>
        </is>
      </c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 t="inlineStr">
        <is>
          <t>high cytotoxicity warning; avoid without strong justification</t>
        </is>
      </c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 t="inlineStr">
        <is>
          <t>high</t>
        </is>
      </c>
      <c r="DB251" t="inlineStr">
        <is>
          <t>poor</t>
        </is>
      </c>
      <c r="DC251" t="inlineStr">
        <is>
          <t>poor</t>
        </is>
      </c>
      <c r="DD251" t="inlineStr">
        <is>
          <t>poor</t>
        </is>
      </c>
      <c r="DE251" t="inlineStr">
        <is>
          <t>no</t>
        </is>
      </c>
      <c r="DF251" t="inlineStr">
        <is>
          <t>yes</t>
        </is>
      </c>
      <c r="DG251" t="inlineStr">
        <is>
          <t>complexation</t>
        </is>
      </c>
      <c r="DH251" t="inlineStr">
        <is>
          <t>yes</t>
        </is>
      </c>
      <c r="DI251">
        <v>35.83</v>
      </c>
      <c r="DJ251" t="inlineStr">
        <is>
          <t>very high</t>
        </is>
      </c>
    </row>
    <row r="252">
      <c r="A252" t="inlineStr">
        <is>
          <t>POL_HYALURONIC_ACID</t>
        </is>
      </c>
      <c r="B252" t="inlineStr">
        <is>
          <t>Hyaluronic acid</t>
        </is>
      </c>
      <c r="C252" t="inlineStr">
        <is>
          <t>Polymer</t>
        </is>
      </c>
      <c r="D252" t="inlineStr">
        <is>
          <t>Polymer</t>
        </is>
      </c>
      <c r="E252" t="inlineStr">
        <is>
          <t>anionic biopolymer</t>
        </is>
      </c>
      <c r="F252"/>
      <c r="G252"/>
      <c r="H252">
        <v>1000000</v>
      </c>
      <c r="I252"/>
      <c r="J252"/>
      <c r="K252"/>
      <c r="L252"/>
      <c r="M252"/>
      <c r="N252"/>
      <c r="O252"/>
      <c r="P252"/>
      <c r="Q252"/>
      <c r="R252"/>
      <c r="S252" t="inlineStr">
        <is>
          <t>anionic</t>
        </is>
      </c>
      <c r="T252" t="inlineStr">
        <is>
          <t>carboxylate density</t>
        </is>
      </c>
      <c r="U252">
        <v>-1</v>
      </c>
      <c r="V252"/>
      <c r="W252"/>
      <c r="X252"/>
      <c r="Y252"/>
      <c r="Z252"/>
      <c r="AA252">
        <v>3.0</v>
      </c>
      <c r="AB252"/>
      <c r="AC252"/>
      <c r="AD252"/>
      <c r="AE252"/>
      <c r="AF252"/>
      <c r="AG252"/>
      <c r="AH252"/>
      <c r="AI252">
        <v>18.0</v>
      </c>
      <c r="AJ252">
        <v>8.0</v>
      </c>
      <c r="AK252">
        <v>10.0</v>
      </c>
      <c r="AL252">
        <v>9.0</v>
      </c>
      <c r="AM252">
        <v>22.09</v>
      </c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 t="inlineStr">
        <is>
          <t>polymeric/hybrid/coating/stabilizer systems; grade and route dependent</t>
        </is>
      </c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 t="inlineStr">
        <is>
          <t>MW and salt form critical</t>
        </is>
      </c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 t="inlineStr">
        <is>
          <t>poor</t>
        </is>
      </c>
      <c r="DB252" t="inlineStr">
        <is>
          <t>poor</t>
        </is>
      </c>
      <c r="DC252" t="inlineStr">
        <is>
          <t>poor</t>
        </is>
      </c>
      <c r="DD252" t="inlineStr">
        <is>
          <t>yes/enzymatic</t>
        </is>
      </c>
      <c r="DE252" t="inlineStr">
        <is>
          <t>yes</t>
        </is>
      </c>
      <c r="DF252" t="inlineStr">
        <is>
          <t>targeting/coating</t>
        </is>
      </c>
      <c r="DG252" t="inlineStr">
        <is>
          <t>yes</t>
        </is>
      </c>
      <c r="DH252"/>
      <c r="DI252"/>
      <c r="DJ252" t="inlineStr">
        <is>
          <t>high</t>
        </is>
      </c>
    </row>
    <row r="253">
      <c r="A253" t="inlineStr">
        <is>
          <t>POL_SODIUM_ALGINATE</t>
        </is>
      </c>
      <c r="B253" t="inlineStr">
        <is>
          <t>Sodium alginate</t>
        </is>
      </c>
      <c r="C253" t="inlineStr">
        <is>
          <t>Polymer</t>
        </is>
      </c>
      <c r="D253" t="inlineStr">
        <is>
          <t>Polymer</t>
        </is>
      </c>
      <c r="E253" t="inlineStr">
        <is>
          <t>anionic biopolymer</t>
        </is>
      </c>
      <c r="F253"/>
      <c r="G253"/>
      <c r="H253">
        <v>200000</v>
      </c>
      <c r="I253"/>
      <c r="J253"/>
      <c r="K253"/>
      <c r="L253"/>
      <c r="M253"/>
      <c r="N253"/>
      <c r="O253"/>
      <c r="P253"/>
      <c r="Q253"/>
      <c r="R253"/>
      <c r="S253" t="inlineStr">
        <is>
          <t>anionic</t>
        </is>
      </c>
      <c r="T253" t="inlineStr">
        <is>
          <t>M/G ratio dependent</t>
        </is>
      </c>
      <c r="U253">
        <v>-1</v>
      </c>
      <c r="V253"/>
      <c r="W253"/>
      <c r="X253"/>
      <c r="Y253"/>
      <c r="Z253"/>
      <c r="AA253">
        <v>3.5</v>
      </c>
      <c r="AB253"/>
      <c r="AC253"/>
      <c r="AD253"/>
      <c r="AE253"/>
      <c r="AF253"/>
      <c r="AG253"/>
      <c r="AH253"/>
      <c r="AI253">
        <v>18.0</v>
      </c>
      <c r="AJ253">
        <v>8.0</v>
      </c>
      <c r="AK253">
        <v>10.0</v>
      </c>
      <c r="AL253">
        <v>9.0</v>
      </c>
      <c r="AM253">
        <v>22.09</v>
      </c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 t="inlineStr">
        <is>
          <t>polymeric/hybrid/coating/stabilizer systems; grade and route dependent</t>
        </is>
      </c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 t="inlineStr">
        <is>
          <t>polymer grade, residual monomers/solvents, endotoxin and molecular weight distribution must be controlled</t>
        </is>
      </c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 t="inlineStr">
        <is>
          <t>poor</t>
        </is>
      </c>
      <c r="DB253" t="inlineStr">
        <is>
          <t>poor</t>
        </is>
      </c>
      <c r="DC253" t="inlineStr">
        <is>
          <t>poor</t>
        </is>
      </c>
      <c r="DD253" t="inlineStr">
        <is>
          <t>yes/enzymatic</t>
        </is>
      </c>
      <c r="DE253" t="inlineStr">
        <is>
          <t>yes</t>
        </is>
      </c>
      <c r="DF253" t="inlineStr">
        <is>
          <t>gel matrix</t>
        </is>
      </c>
      <c r="DG253" t="inlineStr">
        <is>
          <t>yes</t>
        </is>
      </c>
      <c r="DH253"/>
      <c r="DI253"/>
      <c r="DJ253" t="inlineStr">
        <is>
          <t>high</t>
        </is>
      </c>
    </row>
    <row r="254">
      <c r="A254" t="inlineStr">
        <is>
          <t>POL_DEXTRAN</t>
        </is>
      </c>
      <c r="B254" t="inlineStr">
        <is>
          <t>Dextran</t>
        </is>
      </c>
      <c r="C254" t="inlineStr">
        <is>
          <t>Polymer</t>
        </is>
      </c>
      <c r="D254" t="inlineStr">
        <is>
          <t>Polymer</t>
        </is>
      </c>
      <c r="E254" t="inlineStr">
        <is>
          <t>neutral biopolymer</t>
        </is>
      </c>
      <c r="F254"/>
      <c r="G254"/>
      <c r="H254">
        <v>70000</v>
      </c>
      <c r="I254"/>
      <c r="J254"/>
      <c r="K254"/>
      <c r="L254"/>
      <c r="M254"/>
      <c r="N254"/>
      <c r="O254"/>
      <c r="P254"/>
      <c r="Q254"/>
      <c r="R254"/>
      <c r="S254" t="inlineStr">
        <is>
          <t>neutral</t>
        </is>
      </c>
      <c r="T254"/>
      <c r="U254">
        <v>0</v>
      </c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>
        <v>18.0</v>
      </c>
      <c r="AJ254">
        <v>8.0</v>
      </c>
      <c r="AK254">
        <v>10.0</v>
      </c>
      <c r="AL254">
        <v>9.0</v>
      </c>
      <c r="AM254">
        <v>22.09</v>
      </c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 t="inlineStr">
        <is>
          <t>polymeric/hybrid/coating/stabilizer systems; grade and route dependent</t>
        </is>
      </c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 t="inlineStr">
        <is>
          <t>polymer grade, residual monomers/solvents, endotoxin and molecular weight distribution must be controlled</t>
        </is>
      </c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 t="inlineStr">
        <is>
          <t>poor</t>
        </is>
      </c>
      <c r="DB254" t="inlineStr">
        <is>
          <t>poor</t>
        </is>
      </c>
      <c r="DC254" t="inlineStr">
        <is>
          <t>poor</t>
        </is>
      </c>
      <c r="DD254" t="inlineStr">
        <is>
          <t>yes/enzymatic</t>
        </is>
      </c>
      <c r="DE254" t="inlineStr">
        <is>
          <t>conditional</t>
        </is>
      </c>
      <c r="DF254" t="inlineStr">
        <is>
          <t>stabilizer</t>
        </is>
      </c>
      <c r="DG254" t="inlineStr">
        <is>
          <t>yes</t>
        </is>
      </c>
      <c r="DH254"/>
      <c r="DI254"/>
      <c r="DJ254" t="inlineStr">
        <is>
          <t>high</t>
        </is>
      </c>
    </row>
    <row r="255">
      <c r="A255" t="inlineStr">
        <is>
          <t>POL_HEPARIN</t>
        </is>
      </c>
      <c r="B255" t="inlineStr">
        <is>
          <t>Heparin</t>
        </is>
      </c>
      <c r="C255" t="inlineStr">
        <is>
          <t>Polymer</t>
        </is>
      </c>
      <c r="D255" t="inlineStr">
        <is>
          <t>Polymer</t>
        </is>
      </c>
      <c r="E255" t="inlineStr">
        <is>
          <t>anionic biopolymer</t>
        </is>
      </c>
      <c r="F255"/>
      <c r="G255"/>
      <c r="H255">
        <v>15000</v>
      </c>
      <c r="I255"/>
      <c r="J255"/>
      <c r="K255"/>
      <c r="L255"/>
      <c r="M255"/>
      <c r="N255"/>
      <c r="O255"/>
      <c r="P255"/>
      <c r="Q255"/>
      <c r="R255"/>
      <c r="S255" t="inlineStr">
        <is>
          <t>anionic</t>
        </is>
      </c>
      <c r="T255" t="inlineStr">
        <is>
          <t>very high sulfate/carboxylate</t>
        </is>
      </c>
      <c r="U255">
        <v>-1</v>
      </c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>
        <v>18.0</v>
      </c>
      <c r="AJ255">
        <v>8.0</v>
      </c>
      <c r="AK255">
        <v>10.0</v>
      </c>
      <c r="AL255">
        <v>9.0</v>
      </c>
      <c r="AM255">
        <v>22.09</v>
      </c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 t="inlineStr">
        <is>
          <t>polymeric/hybrid/coating/stabilizer systems; grade and route dependent</t>
        </is>
      </c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 t="inlineStr">
        <is>
          <t>polymer grade, residual monomers/solvents, endotoxin and molecular weight distribution must be controlled</t>
        </is>
      </c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 t="inlineStr">
        <is>
          <t>poor</t>
        </is>
      </c>
      <c r="DB255" t="inlineStr">
        <is>
          <t>poor</t>
        </is>
      </c>
      <c r="DC255" t="inlineStr">
        <is>
          <t>poor</t>
        </is>
      </c>
      <c r="DD255" t="inlineStr">
        <is>
          <t>yes/enzymatic</t>
        </is>
      </c>
      <c r="DE255" t="inlineStr">
        <is>
          <t>yes</t>
        </is>
      </c>
      <c r="DF255" t="inlineStr">
        <is>
          <t>coating</t>
        </is>
      </c>
      <c r="DG255" t="inlineStr">
        <is>
          <t>yes</t>
        </is>
      </c>
      <c r="DH255" t="inlineStr">
        <is>
          <t>anticoagulant bioactivity; route safety critical</t>
        </is>
      </c>
      <c r="DI255"/>
      <c r="DJ255" t="inlineStr">
        <is>
          <t>high</t>
        </is>
      </c>
    </row>
    <row r="256">
      <c r="A256" t="inlineStr">
        <is>
          <t>POL_PECTIN</t>
        </is>
      </c>
      <c r="B256" t="inlineStr">
        <is>
          <t>Pectin</t>
        </is>
      </c>
      <c r="C256" t="inlineStr">
        <is>
          <t>Polymer</t>
        </is>
      </c>
      <c r="D256" t="inlineStr">
        <is>
          <t>Polymer</t>
        </is>
      </c>
      <c r="E256" t="inlineStr">
        <is>
          <t>anionic biopolymer</t>
        </is>
      </c>
      <c r="F256"/>
      <c r="G256"/>
      <c r="H256">
        <v>100000</v>
      </c>
      <c r="I256"/>
      <c r="J256"/>
      <c r="K256"/>
      <c r="L256"/>
      <c r="M256"/>
      <c r="N256"/>
      <c r="O256"/>
      <c r="P256"/>
      <c r="Q256"/>
      <c r="R256"/>
      <c r="S256" t="inlineStr">
        <is>
          <t>anionic</t>
        </is>
      </c>
      <c r="T256" t="inlineStr">
        <is>
          <t>degree esterification dependent</t>
        </is>
      </c>
      <c r="U256">
        <v>-1</v>
      </c>
      <c r="V256"/>
      <c r="W256"/>
      <c r="X256"/>
      <c r="Y256"/>
      <c r="Z256"/>
      <c r="AA256">
        <v>3.5</v>
      </c>
      <c r="AB256"/>
      <c r="AC256"/>
      <c r="AD256"/>
      <c r="AE256"/>
      <c r="AF256"/>
      <c r="AG256"/>
      <c r="AH256"/>
      <c r="AI256">
        <v>18.0</v>
      </c>
      <c r="AJ256">
        <v>8.0</v>
      </c>
      <c r="AK256">
        <v>10.0</v>
      </c>
      <c r="AL256">
        <v>9.0</v>
      </c>
      <c r="AM256">
        <v>22.09</v>
      </c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 t="inlineStr">
        <is>
          <t>polymeric/hybrid/coating/stabilizer systems; grade and route dependent</t>
        </is>
      </c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 t="inlineStr">
        <is>
          <t>polymer grade, residual monomers/solvents, endotoxin and molecular weight distribution must be controlled</t>
        </is>
      </c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 t="inlineStr">
        <is>
          <t>poor</t>
        </is>
      </c>
      <c r="DB256" t="inlineStr">
        <is>
          <t>poor</t>
        </is>
      </c>
      <c r="DC256" t="inlineStr">
        <is>
          <t>poor</t>
        </is>
      </c>
      <c r="DD256" t="inlineStr">
        <is>
          <t>yes/enzymatic</t>
        </is>
      </c>
      <c r="DE256" t="inlineStr">
        <is>
          <t>yes</t>
        </is>
      </c>
      <c r="DF256" t="inlineStr">
        <is>
          <t>gel matrix</t>
        </is>
      </c>
      <c r="DG256" t="inlineStr">
        <is>
          <t>yes</t>
        </is>
      </c>
      <c r="DH256"/>
      <c r="DI256"/>
      <c r="DJ256" t="inlineStr">
        <is>
          <t>swells</t>
        </is>
      </c>
    </row>
    <row r="257">
      <c r="A257" t="inlineStr">
        <is>
          <t>POL_EUDRAGIT_RS</t>
        </is>
      </c>
      <c r="B257" t="inlineStr">
        <is>
          <t>Eudragit RS</t>
        </is>
      </c>
      <c r="C257" t="inlineStr">
        <is>
          <t>Polymer</t>
        </is>
      </c>
      <c r="D257" t="inlineStr">
        <is>
          <t>Polymer</t>
        </is>
      </c>
      <c r="E257" t="inlineStr">
        <is>
          <t>acrylate copolymer</t>
        </is>
      </c>
      <c r="F257"/>
      <c r="G257"/>
      <c r="H257">
        <v>150000</v>
      </c>
      <c r="I257"/>
      <c r="J257"/>
      <c r="K257"/>
      <c r="L257"/>
      <c r="M257"/>
      <c r="N257"/>
      <c r="O257"/>
      <c r="P257"/>
      <c r="Q257"/>
      <c r="R257"/>
      <c r="S257" t="inlineStr">
        <is>
          <t>quaternary</t>
        </is>
      </c>
      <c r="T257">
        <v>1</v>
      </c>
      <c r="U257" t="inlineStr">
        <is>
          <t>cationic/low</t>
        </is>
      </c>
      <c r="V257"/>
      <c r="W257"/>
      <c r="X257"/>
      <c r="Y257"/>
      <c r="Z257">
        <v>65</v>
      </c>
      <c r="AA257"/>
      <c r="AB257"/>
      <c r="AC257"/>
      <c r="AD257"/>
      <c r="AE257"/>
      <c r="AF257"/>
      <c r="AG257"/>
      <c r="AH257"/>
      <c r="AI257">
        <v>18.0</v>
      </c>
      <c r="AJ257">
        <v>8.0</v>
      </c>
      <c r="AK257">
        <v>10.0</v>
      </c>
      <c r="AL257">
        <v>9.0</v>
      </c>
      <c r="AM257">
        <v>22.09</v>
      </c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 t="inlineStr">
        <is>
          <t>polymeric/hybrid/coating/stabilizer systems; grade and route dependent</t>
        </is>
      </c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 t="inlineStr">
        <is>
          <t>polymer grade, residual monomers/solvents, endotoxin and molecular weight distribution must be controlled</t>
        </is>
      </c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 t="inlineStr">
        <is>
          <t>poor</t>
        </is>
      </c>
      <c r="DB257" t="inlineStr">
        <is>
          <t>soluble</t>
        </is>
      </c>
      <c r="DC257" t="inlineStr">
        <is>
          <t>poor</t>
        </is>
      </c>
      <c r="DD257" t="inlineStr">
        <is>
          <t>poor</t>
        </is>
      </c>
      <c r="DE257" t="inlineStr">
        <is>
          <t>no</t>
        </is>
      </c>
      <c r="DF257" t="inlineStr">
        <is>
          <t>conditional</t>
        </is>
      </c>
      <c r="DG257" t="inlineStr">
        <is>
          <t>coating</t>
        </is>
      </c>
      <c r="DH257" t="inlineStr">
        <is>
          <t>conditional</t>
        </is>
      </c>
      <c r="DI257"/>
      <c r="DJ257" t="inlineStr">
        <is>
          <t>low quaternary ammonium</t>
        </is>
      </c>
    </row>
    <row r="258">
      <c r="A258" t="inlineStr">
        <is>
          <t>POL_EUDRAGIT_RL</t>
        </is>
      </c>
      <c r="B258" t="inlineStr">
        <is>
          <t>Eudragit RL</t>
        </is>
      </c>
      <c r="C258" t="inlineStr">
        <is>
          <t>Polymer</t>
        </is>
      </c>
      <c r="D258" t="inlineStr">
        <is>
          <t>Polymer</t>
        </is>
      </c>
      <c r="E258" t="inlineStr">
        <is>
          <t>acrylate copolymer</t>
        </is>
      </c>
      <c r="F258"/>
      <c r="G258"/>
      <c r="H258">
        <v>150000</v>
      </c>
      <c r="I258"/>
      <c r="J258"/>
      <c r="K258"/>
      <c r="L258"/>
      <c r="M258"/>
      <c r="N258"/>
      <c r="O258"/>
      <c r="P258"/>
      <c r="Q258"/>
      <c r="R258"/>
      <c r="S258" t="inlineStr">
        <is>
          <t>quaternary</t>
        </is>
      </c>
      <c r="T258">
        <v>1</v>
      </c>
      <c r="U258" t="inlineStr">
        <is>
          <t>cationic/medium</t>
        </is>
      </c>
      <c r="V258"/>
      <c r="W258"/>
      <c r="X258"/>
      <c r="Y258"/>
      <c r="Z258">
        <v>60</v>
      </c>
      <c r="AA258"/>
      <c r="AB258"/>
      <c r="AC258"/>
      <c r="AD258"/>
      <c r="AE258"/>
      <c r="AF258"/>
      <c r="AG258"/>
      <c r="AH258"/>
      <c r="AI258">
        <v>18.0</v>
      </c>
      <c r="AJ258">
        <v>8.0</v>
      </c>
      <c r="AK258">
        <v>10.0</v>
      </c>
      <c r="AL258">
        <v>9.0</v>
      </c>
      <c r="AM258">
        <v>22.09</v>
      </c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 t="inlineStr">
        <is>
          <t>polymeric/hybrid/coating/stabilizer systems; grade and route dependent</t>
        </is>
      </c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 t="inlineStr">
        <is>
          <t>polymer grade, residual monomers/solvents, endotoxin and molecular weight distribution must be controlled</t>
        </is>
      </c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 t="inlineStr">
        <is>
          <t>poor</t>
        </is>
      </c>
      <c r="DB258" t="inlineStr">
        <is>
          <t>soluble</t>
        </is>
      </c>
      <c r="DC258" t="inlineStr">
        <is>
          <t>poor</t>
        </is>
      </c>
      <c r="DD258" t="inlineStr">
        <is>
          <t>poor</t>
        </is>
      </c>
      <c r="DE258" t="inlineStr">
        <is>
          <t>no</t>
        </is>
      </c>
      <c r="DF258" t="inlineStr">
        <is>
          <t>conditional</t>
        </is>
      </c>
      <c r="DG258" t="inlineStr">
        <is>
          <t>coating</t>
        </is>
      </c>
      <c r="DH258" t="inlineStr">
        <is>
          <t>conditional</t>
        </is>
      </c>
      <c r="DI258"/>
      <c r="DJ258" t="inlineStr">
        <is>
          <t>medium quaternary ammonium</t>
        </is>
      </c>
    </row>
    <row r="259">
      <c r="A259" t="inlineStr">
        <is>
          <t>POL_EUDRAGIT_L100</t>
        </is>
      </c>
      <c r="B259" t="inlineStr">
        <is>
          <t>Eudragit L100</t>
        </is>
      </c>
      <c r="C259" t="inlineStr">
        <is>
          <t>Polymer</t>
        </is>
      </c>
      <c r="D259" t="inlineStr">
        <is>
          <t>Polymer</t>
        </is>
      </c>
      <c r="E259" t="inlineStr">
        <is>
          <t>anionic acrylate copolymer</t>
        </is>
      </c>
      <c r="F259"/>
      <c r="G259"/>
      <c r="H259">
        <v>135000</v>
      </c>
      <c r="I259"/>
      <c r="J259"/>
      <c r="K259"/>
      <c r="L259"/>
      <c r="M259"/>
      <c r="N259"/>
      <c r="O259"/>
      <c r="P259"/>
      <c r="Q259"/>
      <c r="R259"/>
      <c r="S259">
        <v>6.0</v>
      </c>
      <c r="T259">
        <v>-1</v>
      </c>
      <c r="U259" t="inlineStr">
        <is>
          <t>anionic</t>
        </is>
      </c>
      <c r="V259"/>
      <c r="W259"/>
      <c r="X259"/>
      <c r="Y259"/>
      <c r="Z259">
        <v>110</v>
      </c>
      <c r="AA259"/>
      <c r="AB259"/>
      <c r="AC259"/>
      <c r="AD259"/>
      <c r="AE259"/>
      <c r="AF259"/>
      <c r="AG259"/>
      <c r="AH259"/>
      <c r="AI259">
        <v>18.0</v>
      </c>
      <c r="AJ259">
        <v>8.0</v>
      </c>
      <c r="AK259">
        <v>10.0</v>
      </c>
      <c r="AL259">
        <v>9.0</v>
      </c>
      <c r="AM259">
        <v>22.09</v>
      </c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 t="inlineStr">
        <is>
          <t>polymeric/hybrid/coating/stabilizer systems; grade and route dependent</t>
        </is>
      </c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 t="inlineStr">
        <is>
          <t>polymer grade, residual monomers/solvents, endotoxin and molecular weight distribution must be controlled</t>
        </is>
      </c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 t="inlineStr">
        <is>
          <t>pH&gt;6 soluble</t>
        </is>
      </c>
      <c r="DB259" t="inlineStr">
        <is>
          <t>soluble</t>
        </is>
      </c>
      <c r="DC259" t="inlineStr">
        <is>
          <t>poor</t>
        </is>
      </c>
      <c r="DD259" t="inlineStr">
        <is>
          <t>poor</t>
        </is>
      </c>
      <c r="DE259" t="inlineStr">
        <is>
          <t>no</t>
        </is>
      </c>
      <c r="DF259" t="inlineStr">
        <is>
          <t>conditional</t>
        </is>
      </c>
      <c r="DG259" t="inlineStr">
        <is>
          <t>enteric coating</t>
        </is>
      </c>
      <c r="DH259" t="inlineStr">
        <is>
          <t>conditional</t>
        </is>
      </c>
      <c r="DI259"/>
      <c r="DJ259" t="inlineStr">
        <is>
          <t>carboxylate</t>
        </is>
      </c>
    </row>
    <row r="260">
      <c r="A260" t="inlineStr">
        <is>
          <t>POL_EUDRAGIT_S100</t>
        </is>
      </c>
      <c r="B260" t="inlineStr">
        <is>
          <t>Eudragit S100</t>
        </is>
      </c>
      <c r="C260" t="inlineStr">
        <is>
          <t>Polymer</t>
        </is>
      </c>
      <c r="D260" t="inlineStr">
        <is>
          <t>Polymer</t>
        </is>
      </c>
      <c r="E260" t="inlineStr">
        <is>
          <t>anionic acrylate copolymer</t>
        </is>
      </c>
      <c r="F260"/>
      <c r="G260"/>
      <c r="H260">
        <v>135000</v>
      </c>
      <c r="I260"/>
      <c r="J260"/>
      <c r="K260"/>
      <c r="L260"/>
      <c r="M260"/>
      <c r="N260"/>
      <c r="O260"/>
      <c r="P260"/>
      <c r="Q260"/>
      <c r="R260"/>
      <c r="S260">
        <v>7.0</v>
      </c>
      <c r="T260">
        <v>-1</v>
      </c>
      <c r="U260" t="inlineStr">
        <is>
          <t>anionic</t>
        </is>
      </c>
      <c r="V260"/>
      <c r="W260"/>
      <c r="X260"/>
      <c r="Y260"/>
      <c r="Z260">
        <v>160</v>
      </c>
      <c r="AA260"/>
      <c r="AB260"/>
      <c r="AC260"/>
      <c r="AD260"/>
      <c r="AE260"/>
      <c r="AF260"/>
      <c r="AG260"/>
      <c r="AH260"/>
      <c r="AI260">
        <v>18.0</v>
      </c>
      <c r="AJ260">
        <v>8.0</v>
      </c>
      <c r="AK260">
        <v>10.0</v>
      </c>
      <c r="AL260">
        <v>9.0</v>
      </c>
      <c r="AM260">
        <v>22.09</v>
      </c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 t="inlineStr">
        <is>
          <t>polymeric/hybrid/coating/stabilizer systems; grade and route dependent</t>
        </is>
      </c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 t="inlineStr">
        <is>
          <t>polymer grade, residual monomers/solvents, endotoxin and molecular weight distribution must be controlled</t>
        </is>
      </c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 t="inlineStr">
        <is>
          <t>pH&gt;7 soluble</t>
        </is>
      </c>
      <c r="DB260" t="inlineStr">
        <is>
          <t>soluble</t>
        </is>
      </c>
      <c r="DC260" t="inlineStr">
        <is>
          <t>poor</t>
        </is>
      </c>
      <c r="DD260" t="inlineStr">
        <is>
          <t>poor</t>
        </is>
      </c>
      <c r="DE260" t="inlineStr">
        <is>
          <t>no</t>
        </is>
      </c>
      <c r="DF260" t="inlineStr">
        <is>
          <t>conditional</t>
        </is>
      </c>
      <c r="DG260" t="inlineStr">
        <is>
          <t>enteric coating</t>
        </is>
      </c>
      <c r="DH260" t="inlineStr">
        <is>
          <t>conditional</t>
        </is>
      </c>
      <c r="DI260"/>
      <c r="DJ260" t="inlineStr">
        <is>
          <t>carboxylate</t>
        </is>
      </c>
    </row>
    <row r="261">
      <c r="A261" t="inlineStr">
        <is>
          <t>POL_EUDRAGIT_E_PO</t>
        </is>
      </c>
      <c r="B261" t="inlineStr">
        <is>
          <t>Eudragit E PO</t>
        </is>
      </c>
      <c r="C261" t="inlineStr">
        <is>
          <t>Polymer</t>
        </is>
      </c>
      <c r="D261" t="inlineStr">
        <is>
          <t>Polymer</t>
        </is>
      </c>
      <c r="E261" t="inlineStr">
        <is>
          <t>cationic acrylate copolymer</t>
        </is>
      </c>
      <c r="F261"/>
      <c r="G261"/>
      <c r="H261">
        <v>47000</v>
      </c>
      <c r="I261"/>
      <c r="J261"/>
      <c r="K261"/>
      <c r="L261"/>
      <c r="M261"/>
      <c r="N261"/>
      <c r="O261"/>
      <c r="P261"/>
      <c r="Q261"/>
      <c r="R261"/>
      <c r="S261">
        <v>6.0</v>
      </c>
      <c r="T261">
        <v>1</v>
      </c>
      <c r="U261" t="inlineStr">
        <is>
          <t>cationic</t>
        </is>
      </c>
      <c r="V261"/>
      <c r="W261"/>
      <c r="X261"/>
      <c r="Y261"/>
      <c r="Z261">
        <v>48</v>
      </c>
      <c r="AA261"/>
      <c r="AB261"/>
      <c r="AC261"/>
      <c r="AD261"/>
      <c r="AE261"/>
      <c r="AF261"/>
      <c r="AG261"/>
      <c r="AH261"/>
      <c r="AI261">
        <v>18.0</v>
      </c>
      <c r="AJ261">
        <v>8.0</v>
      </c>
      <c r="AK261">
        <v>10.0</v>
      </c>
      <c r="AL261">
        <v>9.0</v>
      </c>
      <c r="AM261">
        <v>22.09</v>
      </c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 t="inlineStr">
        <is>
          <t>polymeric/hybrid/coating/stabilizer systems; grade and route dependent</t>
        </is>
      </c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 t="inlineStr">
        <is>
          <t>polymer grade, residual monomers/solvents, endotoxin and molecular weight distribution must be controlled</t>
        </is>
      </c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 t="inlineStr">
        <is>
          <t>acid-soluble</t>
        </is>
      </c>
      <c r="DB261" t="inlineStr">
        <is>
          <t>soluble</t>
        </is>
      </c>
      <c r="DC261" t="inlineStr">
        <is>
          <t>poor</t>
        </is>
      </c>
      <c r="DD261" t="inlineStr">
        <is>
          <t>poor</t>
        </is>
      </c>
      <c r="DE261" t="inlineStr">
        <is>
          <t>no</t>
        </is>
      </c>
      <c r="DF261" t="inlineStr">
        <is>
          <t>conditional</t>
        </is>
      </c>
      <c r="DG261" t="inlineStr">
        <is>
          <t>taste masking/coating</t>
        </is>
      </c>
      <c r="DH261" t="inlineStr">
        <is>
          <t>conditional</t>
        </is>
      </c>
      <c r="DI261"/>
      <c r="DJ261" t="inlineStr">
        <is>
          <t>tertiary amine</t>
        </is>
      </c>
    </row>
    <row r="262">
      <c r="A262" t="inlineStr">
        <is>
          <t>POL_GELATIN</t>
        </is>
      </c>
      <c r="B262" t="inlineStr">
        <is>
          <t>Gelatin</t>
        </is>
      </c>
      <c r="C262" t="inlineStr">
        <is>
          <t>Polymer</t>
        </is>
      </c>
      <c r="D262" t="inlineStr">
        <is>
          <t>Polymer</t>
        </is>
      </c>
      <c r="E262" t="inlineStr">
        <is>
          <t>protein/natural polymer</t>
        </is>
      </c>
      <c r="F262"/>
      <c r="G262"/>
      <c r="H262">
        <v>50000</v>
      </c>
      <c r="I262"/>
      <c r="J262"/>
      <c r="K262"/>
      <c r="L262"/>
      <c r="M262"/>
      <c r="N262"/>
      <c r="O262"/>
      <c r="P262"/>
      <c r="Q262"/>
      <c r="R262"/>
      <c r="S262" t="inlineStr">
        <is>
          <t>amphoteric</t>
        </is>
      </c>
      <c r="T262" t="inlineStr">
        <is>
          <t>pI type dependent</t>
        </is>
      </c>
      <c r="U262">
        <v>0</v>
      </c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>
        <v>18.0</v>
      </c>
      <c r="AJ262">
        <v>8.0</v>
      </c>
      <c r="AK262">
        <v>10.0</v>
      </c>
      <c r="AL262">
        <v>9.0</v>
      </c>
      <c r="AM262">
        <v>22.09</v>
      </c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 t="inlineStr">
        <is>
          <t>polymeric/hybrid/coating/stabilizer systems; grade and route dependent</t>
        </is>
      </c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 t="inlineStr">
        <is>
          <t>polymer grade, residual monomers/solvents, endotoxin and molecular weight distribution must be controlled</t>
        </is>
      </c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 t="inlineStr">
        <is>
          <t>poor</t>
        </is>
      </c>
      <c r="DB262" t="inlineStr">
        <is>
          <t>poor</t>
        </is>
      </c>
      <c r="DC262" t="inlineStr">
        <is>
          <t>poor</t>
        </is>
      </c>
      <c r="DD262" t="inlineStr">
        <is>
          <t>yes/enzymatic</t>
        </is>
      </c>
      <c r="DE262" t="inlineStr">
        <is>
          <t>yes</t>
        </is>
      </c>
      <c r="DF262" t="inlineStr">
        <is>
          <t>matrix</t>
        </is>
      </c>
      <c r="DG262" t="inlineStr">
        <is>
          <t>yes</t>
        </is>
      </c>
      <c r="DH262" t="inlineStr">
        <is>
          <t>animal source/bioburden/allergen control</t>
        </is>
      </c>
      <c r="DI262"/>
      <c r="DJ262" t="inlineStr">
        <is>
          <t>hot-water soluble</t>
        </is>
      </c>
    </row>
    <row r="263">
      <c r="A263" t="inlineStr">
        <is>
          <t>POL_ALBUMIN_POLYMER_GRADE</t>
        </is>
      </c>
      <c r="B263" t="inlineStr">
        <is>
          <t>Albumin polymer grade</t>
        </is>
      </c>
      <c r="C263" t="inlineStr">
        <is>
          <t>Polymer</t>
        </is>
      </c>
      <c r="D263" t="inlineStr">
        <is>
          <t>Polymer</t>
        </is>
      </c>
      <c r="E263" t="inlineStr">
        <is>
          <t>protein/natural polymer</t>
        </is>
      </c>
      <c r="F263"/>
      <c r="G263"/>
      <c r="H263">
        <v>66500</v>
      </c>
      <c r="I263"/>
      <c r="J263"/>
      <c r="K263"/>
      <c r="L263"/>
      <c r="M263"/>
      <c r="N263"/>
      <c r="O263"/>
      <c r="P263"/>
      <c r="Q263"/>
      <c r="R263"/>
      <c r="S263" t="inlineStr">
        <is>
          <t>amphoteric</t>
        </is>
      </c>
      <c r="T263" t="inlineStr">
        <is>
          <t>pI ~4.7</t>
        </is>
      </c>
      <c r="U263">
        <v>0</v>
      </c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>
        <v>18.0</v>
      </c>
      <c r="AJ263">
        <v>8.0</v>
      </c>
      <c r="AK263">
        <v>10.0</v>
      </c>
      <c r="AL263">
        <v>9.0</v>
      </c>
      <c r="AM263">
        <v>22.09</v>
      </c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 t="inlineStr">
        <is>
          <t>polymeric/hybrid/coating/stabilizer systems; grade and route dependent</t>
        </is>
      </c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 t="inlineStr">
        <is>
          <t>polymer grade, residual monomers/solvents, endotoxin and molecular weight distribution must be controlled</t>
        </is>
      </c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 t="inlineStr">
        <is>
          <t>poor</t>
        </is>
      </c>
      <c r="DB263" t="inlineStr">
        <is>
          <t>poor</t>
        </is>
      </c>
      <c r="DC263" t="inlineStr">
        <is>
          <t>poor</t>
        </is>
      </c>
      <c r="DD263" t="inlineStr">
        <is>
          <t>yes/enzymatic</t>
        </is>
      </c>
      <c r="DE263" t="inlineStr">
        <is>
          <t>conditional</t>
        </is>
      </c>
      <c r="DF263" t="inlineStr">
        <is>
          <t>nanoparticle matrix</t>
        </is>
      </c>
      <c r="DG263" t="inlineStr">
        <is>
          <t>yes</t>
        </is>
      </c>
      <c r="DH263" t="inlineStr">
        <is>
          <t>biologic source/immunogenicity/endotoxin control</t>
        </is>
      </c>
      <c r="DI263"/>
      <c r="DJ263" t="inlineStr">
        <is>
          <t>high</t>
        </is>
      </c>
    </row>
    <row r="264">
      <c r="A264" t="inlineStr">
        <is>
          <t>POL_CASEIN</t>
        </is>
      </c>
      <c r="B264" t="inlineStr">
        <is>
          <t>Casein</t>
        </is>
      </c>
      <c r="C264" t="inlineStr">
        <is>
          <t>Polymer</t>
        </is>
      </c>
      <c r="D264" t="inlineStr">
        <is>
          <t>Polymer</t>
        </is>
      </c>
      <c r="E264" t="inlineStr">
        <is>
          <t>protein/natural polymer</t>
        </is>
      </c>
      <c r="F264"/>
      <c r="G264"/>
      <c r="H264">
        <v>24000</v>
      </c>
      <c r="I264"/>
      <c r="J264"/>
      <c r="K264"/>
      <c r="L264"/>
      <c r="M264"/>
      <c r="N264"/>
      <c r="O264"/>
      <c r="P264"/>
      <c r="Q264"/>
      <c r="R264"/>
      <c r="S264" t="inlineStr">
        <is>
          <t>amphoteric</t>
        </is>
      </c>
      <c r="T264" t="inlineStr">
        <is>
          <t>pI ~4.6</t>
        </is>
      </c>
      <c r="U264">
        <v>0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>
        <v>18.0</v>
      </c>
      <c r="AJ264">
        <v>8.0</v>
      </c>
      <c r="AK264">
        <v>10.0</v>
      </c>
      <c r="AL264">
        <v>9.0</v>
      </c>
      <c r="AM264">
        <v>22.09</v>
      </c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 t="inlineStr">
        <is>
          <t>polymeric/hybrid/coating/stabilizer systems; grade and route dependent</t>
        </is>
      </c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 t="inlineStr">
        <is>
          <t>polymer grade, residual monomers/solvents, endotoxin and molecular weight distribution must be controlled</t>
        </is>
      </c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 t="inlineStr">
        <is>
          <t>poor</t>
        </is>
      </c>
      <c r="DB264" t="inlineStr">
        <is>
          <t>poor</t>
        </is>
      </c>
      <c r="DC264" t="inlineStr">
        <is>
          <t>poor</t>
        </is>
      </c>
      <c r="DD264" t="inlineStr">
        <is>
          <t>yes/enzymatic</t>
        </is>
      </c>
      <c r="DE264" t="inlineStr">
        <is>
          <t>yes</t>
        </is>
      </c>
      <c r="DF264" t="inlineStr">
        <is>
          <t>nanoparticle matrix</t>
        </is>
      </c>
      <c r="DG264" t="inlineStr">
        <is>
          <t>yes</t>
        </is>
      </c>
      <c r="DH264" t="inlineStr">
        <is>
          <t>milk protein allergen consideration</t>
        </is>
      </c>
      <c r="DI264"/>
      <c r="DJ264" t="inlineStr">
        <is>
          <t>colloidal</t>
        </is>
      </c>
    </row>
    <row r="265">
      <c r="A265" t="inlineStr">
        <is>
          <t>POL_ZEIN</t>
        </is>
      </c>
      <c r="B265" t="inlineStr">
        <is>
          <t>Zein</t>
        </is>
      </c>
      <c r="C265" t="inlineStr">
        <is>
          <t>Polymer</t>
        </is>
      </c>
      <c r="D265" t="inlineStr">
        <is>
          <t>Polymer</t>
        </is>
      </c>
      <c r="E265" t="inlineStr">
        <is>
          <t>protein/natural polymer</t>
        </is>
      </c>
      <c r="F265"/>
      <c r="G265"/>
      <c r="H265">
        <v>25000</v>
      </c>
      <c r="I265"/>
      <c r="J265"/>
      <c r="K265"/>
      <c r="L265"/>
      <c r="M265"/>
      <c r="N265"/>
      <c r="O265"/>
      <c r="P265"/>
      <c r="Q265"/>
      <c r="R265"/>
      <c r="S265" t="inlineStr">
        <is>
          <t>neutral/amphoteric</t>
        </is>
      </c>
      <c r="T265"/>
      <c r="U265">
        <v>0</v>
      </c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>
        <v>18.0</v>
      </c>
      <c r="AJ265">
        <v>8.0</v>
      </c>
      <c r="AK265">
        <v>10.0</v>
      </c>
      <c r="AL265">
        <v>9.0</v>
      </c>
      <c r="AM265">
        <v>22.09</v>
      </c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 t="inlineStr">
        <is>
          <t>polymeric/hybrid/coating/stabilizer systems; grade and route dependent</t>
        </is>
      </c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 t="inlineStr">
        <is>
          <t>polymer grade, residual monomers/solvents, endotoxin and molecular weight distribution must be controlled</t>
        </is>
      </c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 t="inlineStr">
        <is>
          <t>soluble</t>
        </is>
      </c>
      <c r="DB265" t="inlineStr">
        <is>
          <t>poor</t>
        </is>
      </c>
      <c r="DC265" t="inlineStr">
        <is>
          <t>poor</t>
        </is>
      </c>
      <c r="DD265" t="inlineStr">
        <is>
          <t>biodegradable</t>
        </is>
      </c>
      <c r="DE265" t="inlineStr">
        <is>
          <t>conditional</t>
        </is>
      </c>
      <c r="DF265" t="inlineStr">
        <is>
          <t>nanoparticle matrix</t>
        </is>
      </c>
      <c r="DG265" t="inlineStr">
        <is>
          <t>yes</t>
        </is>
      </c>
      <c r="DH265" t="inlineStr">
        <is>
          <t>corn protein; hydrophobic</t>
        </is>
      </c>
      <c r="DI265"/>
      <c r="DJ265" t="inlineStr">
        <is>
          <t>poor</t>
        </is>
      </c>
    </row>
    <row r="266">
      <c r="A266" t="inlineStr">
        <is>
          <t>POL_PEG_400_POLYMER_GRADE</t>
        </is>
      </c>
      <c r="B266" t="inlineStr">
        <is>
          <t>PEG 400 polymer grade</t>
        </is>
      </c>
      <c r="C266" t="inlineStr">
        <is>
          <t>Polymer</t>
        </is>
      </c>
      <c r="D266" t="inlineStr">
        <is>
          <t>Polymer</t>
        </is>
      </c>
      <c r="E266" t="inlineStr">
        <is>
          <t>hydrophilic polymer / co-solvent</t>
        </is>
      </c>
      <c r="F266"/>
      <c r="G266"/>
      <c r="H266">
        <v>400</v>
      </c>
      <c r="I266">
        <v>44</v>
      </c>
      <c r="J266"/>
      <c r="K266"/>
      <c r="L266"/>
      <c r="M266"/>
      <c r="N266"/>
      <c r="O266"/>
      <c r="P266"/>
      <c r="Q266"/>
      <c r="R266"/>
      <c r="S266"/>
      <c r="T266">
        <v>0</v>
      </c>
      <c r="U266" t="inlineStr">
        <is>
          <t>neutral</t>
        </is>
      </c>
      <c r="V266"/>
      <c r="W266"/>
      <c r="X266"/>
      <c r="Y266"/>
      <c r="Z266">
        <v>-60</v>
      </c>
      <c r="AA266">
        <v>4</v>
      </c>
      <c r="AB266"/>
      <c r="AC266"/>
      <c r="AD266"/>
      <c r="AE266"/>
      <c r="AF266"/>
      <c r="AG266"/>
      <c r="AH266"/>
      <c r="AI266">
        <v>18.0</v>
      </c>
      <c r="AJ266">
        <v>8.0</v>
      </c>
      <c r="AK266">
        <v>10.0</v>
      </c>
      <c r="AL266">
        <v>9.0</v>
      </c>
      <c r="AM266">
        <v>22.09</v>
      </c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 t="inlineStr">
        <is>
          <t>polymeric/hybrid/coating/stabilizer systems; grade and route dependent</t>
        </is>
      </c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 t="inlineStr">
        <is>
          <t>polymer grade, residual monomers/solvents, endotoxin and molecular weight distribution must be controlled</t>
        </is>
      </c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 t="inlineStr">
        <is>
          <t>high</t>
        </is>
      </c>
      <c r="DB266" t="inlineStr">
        <is>
          <t>soluble</t>
        </is>
      </c>
      <c r="DC266" t="inlineStr">
        <is>
          <t>poor</t>
        </is>
      </c>
      <c r="DD266" t="inlineStr">
        <is>
          <t>poor</t>
        </is>
      </c>
      <c r="DE266" t="inlineStr">
        <is>
          <t>limited</t>
        </is>
      </c>
      <c r="DF266" t="inlineStr">
        <is>
          <t>no</t>
        </is>
      </c>
      <c r="DG266" t="inlineStr">
        <is>
          <t>plasticizer</t>
        </is>
      </c>
      <c r="DH266" t="inlineStr">
        <is>
          <t>yes</t>
        </is>
      </c>
      <c r="DI266">
        <v>36.67</v>
      </c>
      <c r="DJ266"/>
    </row>
  </sheetData>
  <autoFilter ref="A1:DJ266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" topLeftCell="A2" activePane="bottomLeft" state="frozen"/>
    </sheetView>
  </sheetViews>
  <cols>
    <col min="1" max="1" width="24" customWidth="1"/>
    <col min="2" max="2" width="58" customWidth="1"/>
    <col min="3" max="3" width="70" customWidth="1"/>
    <col min="4" max="4" width="70" customWidth="1"/>
  </cols>
  <sheetData>
    <row r="1">
      <c r="A1" t="inlineStr" s="1">
        <is>
          <t>Descriptor</t>
        </is>
      </c>
      <c r="B1" t="inlineStr" s="1">
        <is>
          <t>Required constants in database</t>
        </is>
      </c>
      <c r="C1" t="inlineStr" s="1">
        <is>
          <t>Excel/API logic</t>
        </is>
      </c>
      <c r="D1" t="inlineStr" s="1">
        <is>
          <t>Notes</t>
        </is>
      </c>
    </row>
    <row r="2">
      <c r="A2" t="inlineStr">
        <is>
          <t>Batch mass</t>
        </is>
      </c>
      <c r="B2" t="inlineStr">
        <is>
          <t>molecular_weight_g_mol or average_MW; mol_percent; total_batch_mmol</t>
        </is>
      </c>
      <c r="C2" t="inlineStr">
        <is>
          <t>mass_mg = mol_percent/100 * total_batch_mmol * MW_g_mol</t>
        </is>
      </c>
      <c r="D2" t="inlineStr">
        <is>
          <t>For polymers/mixtures use average_MW cautiously or mass fraction mode.</t>
        </is>
      </c>
    </row>
    <row r="3">
      <c r="A3" t="inlineStr">
        <is>
          <t>Mixed HLB</t>
        </is>
      </c>
      <c r="B3" t="inlineStr">
        <is>
          <t>HLB; surfactant mol_percent or weight_fraction</t>
        </is>
      </c>
      <c r="C3" t="inlineStr">
        <is>
          <t>mixed_HLB = SUM(f_i * HLB_i) / SUM(f_i)</t>
        </is>
      </c>
      <c r="D3" t="inlineStr">
        <is>
          <t>Use only for surfactants/amphiphiles with curated HLB.</t>
        </is>
      </c>
    </row>
    <row r="4">
      <c r="A4" t="inlineStr">
        <is>
          <t>CPP</t>
        </is>
      </c>
      <c r="B4" t="inlineStr">
        <is>
          <t>tail_carbons; number_of_tails; headgroup_area_nm2</t>
        </is>
      </c>
      <c r="C4" t="inlineStr">
        <is>
          <t>v≈27.4+26.9*nC Å3; lc≈1.5+1.265*nC Å; CPP=v/(a0*lc)</t>
        </is>
      </c>
      <c r="D4" t="inlineStr">
        <is>
          <t>Screening only; unsaturation and hydration require correction.</t>
        </is>
      </c>
    </row>
    <row r="5">
      <c r="A5" t="inlineStr">
        <is>
          <t>Morphology consensus</t>
        </is>
      </c>
      <c r="B5" t="inlineStr">
        <is>
          <t>HLB, CPP, material category, sterol fraction, high-HLB fraction, formulation family</t>
        </is>
      </c>
      <c r="C5" t="inlineStr">
        <is>
          <t>rule ensemble: HLB + CPP + sterol + formulation family</t>
        </is>
      </c>
      <c r="D5" t="inlineStr">
        <is>
          <t>Returns probable micelle/vesicle/lamellar/emulsion tendency, not guarantee.</t>
        </is>
      </c>
    </row>
    <row r="6">
      <c r="A6" t="inlineStr">
        <is>
          <t>Hansen RED</t>
        </is>
      </c>
      <c r="B6" t="inlineStr">
        <is>
          <t>drug and excipient deltaD/deltaP/deltaH + R0</t>
        </is>
      </c>
      <c r="C6" t="inlineStr">
        <is>
          <t>Ra=sqrt(4ΔD²+ΔP²+ΔH²); RED=Ra/R0</t>
        </is>
      </c>
      <c r="D6" t="inlineStr">
        <is>
          <t>R0 should be drug-specific; estimated R0 is weak evidence.</t>
        </is>
      </c>
    </row>
    <row r="7">
      <c r="A7" t="inlineStr">
        <is>
          <t>Flory-Huggins chi</t>
        </is>
      </c>
      <c r="B7" t="inlineStr">
        <is>
          <t>Hildebrand_delta_T and molar_volume_cm3_mol</t>
        </is>
      </c>
      <c r="C7" t="inlineStr">
        <is>
          <t>chi≈Vm/RT*(δdrug-δpolymer)^2</t>
        </is>
      </c>
      <c r="D7" t="inlineStr">
        <is>
          <t>Use consistent units and amorphous polymer phase assumptions.</t>
        </is>
      </c>
    </row>
    <row r="8">
      <c r="A8" t="inlineStr">
        <is>
          <t>Ionized fraction</t>
        </is>
      </c>
      <c r="B8" t="inlineStr">
        <is>
          <t>pKa_acid/pKa_base and formulation pH</t>
        </is>
      </c>
      <c r="C8" t="inlineStr">
        <is>
          <t>acid ionized=1/(1+10^(pKa-pH)); base ionized=1/(1+10^(pH-pKa))</t>
        </is>
      </c>
      <c r="D8" t="inlineStr">
        <is>
          <t>Salt form and microenvironment pH can dominate.</t>
        </is>
      </c>
    </row>
    <row r="9">
      <c r="A9" t="inlineStr">
        <is>
          <t>Zeta tendency</t>
        </is>
      </c>
      <c r="B9" t="inlineStr">
        <is>
          <t>charge_type, formal_charge, pKa, mol_percent</t>
        </is>
      </c>
      <c r="C9" t="inlineStr">
        <is>
          <t>weighted nominal charge with pH correction</t>
        </is>
      </c>
      <c r="D9" t="inlineStr">
        <is>
          <t>Predicts tendency, not measured zeta potential.</t>
        </is>
      </c>
    </row>
    <row r="10">
      <c r="A10" t="inlineStr">
        <is>
          <t>Rigidity/fluidity</t>
        </is>
      </c>
      <c r="B10" t="inlineStr">
        <is>
          <t>sterol fraction, phase_transition_temperature_C, saturation, lipid class</t>
        </is>
      </c>
      <c r="C10" t="inlineStr">
        <is>
          <t>weighted rigidity score: saturated/Tm/cholesterol up; unsaturated/PE down</t>
        </is>
      </c>
      <c r="D10" t="inlineStr">
        <is>
          <t>Needs DSC/anisotropy for final formulation.</t>
        </is>
      </c>
    </row>
    <row r="11">
      <c r="A11" t="inlineStr">
        <is>
          <t>Crystallization risk</t>
        </is>
      </c>
      <c r="B11" t="inlineStr">
        <is>
          <t>API melting point, drug:lipid ratio, HSP/RED, solubility</t>
        </is>
      </c>
      <c r="C11" t="inlineStr">
        <is>
          <t>rule-based risk: high mp + poor RED + high loading = high risk</t>
        </is>
      </c>
      <c r="D11" t="inlineStr">
        <is>
          <t>Confirm by DSC/XRPD/PLM.</t>
        </is>
      </c>
    </row>
    <row r="12">
      <c r="A12" t="inlineStr">
        <is>
          <t>Solvent suitability</t>
        </is>
      </c>
      <c r="B12" t="inlineStr">
        <is>
          <t>HSP, boiling point, ICH_class, PDE, miscibility, route suitability</t>
        </is>
      </c>
      <c r="C12" t="inlineStr">
        <is>
          <t>filter by route safety and volatility, then rank by RED</t>
        </is>
      </c>
      <c r="D12" t="inlineStr">
        <is>
          <t>ICH residual solvent class is hard constraint.</t>
        </is>
      </c>
    </row>
    <row r="13">
      <c r="A13" t="inlineStr">
        <is>
          <t>Proniosome suitability</t>
        </is>
      </c>
      <c r="B13" t="inlineStr">
        <is>
          <t>carrier solubility, hygroscopicity, surface area, porosity, suitability score</t>
        </is>
      </c>
      <c r="C13" t="inlineStr">
        <is>
          <t>rank carrier score + surface area + low hygroscopicity + water-dispersibility</t>
        </is>
      </c>
      <c r="D13" t="inlineStr">
        <is>
          <t>Need powder flow and SEM/BET confirmation.</t>
        </is>
      </c>
    </row>
    <row r="14">
      <c r="A14" t="inlineStr">
        <is>
          <t>Release tendency</t>
        </is>
      </c>
      <c r="B14" t="inlineStr">
        <is>
          <t>rigidity, API compatibility, solubility/loading, lipid fluidity</t>
        </is>
      </c>
      <c r="C14" t="inlineStr">
        <is>
          <t>heuristic slower release for rigid/high Tm/cholesterol; faster for high surfactant/unsaturation</t>
        </is>
      </c>
      <c r="D14" t="inlineStr">
        <is>
          <t>Mechanistic release testing still required.</t>
        </is>
      </c>
    </row>
  </sheetData>
  <autoFilter ref="A1:D1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2"/>
  <sheetViews>
    <sheetView workbookViewId="0">
      <pane ySplit="1" topLeftCell="A2" activePane="bottomLeft" state="frozen"/>
    </sheetView>
  </sheetViews>
  <cols>
    <col min="1" max="1" width="28" customWidth="1"/>
    <col min="2" max="2" width="34" customWidth="1"/>
    <col min="3" max="3" width="36" customWidth="1"/>
    <col min="4" max="4" width="28" customWidth="1"/>
    <col min="5" max="5" width="40" customWidth="1"/>
    <col min="6" max="6" width="72" customWidth="1"/>
  </cols>
  <sheetData>
    <row r="1">
      <c r="A1" t="inlineStr" s="1">
        <is>
          <t>UI module</t>
        </is>
      </c>
      <c r="B1" t="inlineStr" s="1">
        <is>
          <t>Input control</t>
        </is>
      </c>
      <c r="C1" t="inlineStr" s="1">
        <is>
          <t>Internal table/sheet</t>
        </is>
      </c>
      <c r="D1" t="inlineStr" s="1">
        <is>
          <t>Lookup key</t>
        </is>
      </c>
      <c r="E1" t="inlineStr" s="1">
        <is>
          <t>Output descriptor(s)</t>
        </is>
      </c>
      <c r="F1" t="inlineStr" s="1">
        <is>
          <t>Validation/guardrail</t>
        </is>
      </c>
    </row>
    <row r="2">
      <c r="A2" t="inlineStr">
        <is>
          <t>Material picker</t>
        </is>
      </c>
      <c r="B2" t="inlineStr">
        <is>
          <t>dropdown/search by material_type/category</t>
        </is>
      </c>
      <c r="C2" t="inlineStr">
        <is>
          <t>materials + internal_constants_wide</t>
        </is>
      </c>
      <c r="D2" t="inlineStr">
        <is>
          <t>material_id</t>
        </is>
      </c>
      <c r="E2" t="inlineStr">
        <is>
          <t>name, category, route suitability, safety notes</t>
        </is>
      </c>
      <c r="F2" t="inlineStr">
        <is>
          <t>Hide placeholder rows by default; flag low confidence.</t>
        </is>
      </c>
    </row>
    <row r="3">
      <c r="A3" t="inlineStr">
        <is>
          <t>Formulation builder</t>
        </is>
      </c>
      <c r="B3" t="inlineStr">
        <is>
          <t>editable rows: role, material_id, mol%, weight%, phase</t>
        </is>
      </c>
      <c r="C3" t="inlineStr">
        <is>
          <t>internal_constants_wide</t>
        </is>
      </c>
      <c r="D3" t="inlineStr">
        <is>
          <t>material_id</t>
        </is>
      </c>
      <c r="E3" t="inlineStr">
        <is>
          <t>MW, HLB, charge, HSP, chain data</t>
        </is>
      </c>
      <c r="F3" t="inlineStr">
        <is>
          <t>Require total mol% = 100 or switch to mass-fraction mode.</t>
        </is>
      </c>
    </row>
    <row r="4">
      <c r="A4" t="inlineStr">
        <is>
          <t>Batch calculator</t>
        </is>
      </c>
      <c r="B4" t="inlineStr">
        <is>
          <t>total batch mmol or target mass</t>
        </is>
      </c>
      <c r="C4" t="inlineStr">
        <is>
          <t>internal_constants_wide</t>
        </is>
      </c>
      <c r="D4" t="inlineStr">
        <is>
          <t>material_id</t>
        </is>
      </c>
      <c r="E4" t="inlineStr">
        <is>
          <t>component masses mg</t>
        </is>
      </c>
      <c r="F4" t="inlineStr">
        <is>
          <t>Block calculation when MW/average_MW missing.</t>
        </is>
      </c>
    </row>
    <row r="5">
      <c r="A5" t="inlineStr">
        <is>
          <t>HLB calculator</t>
        </is>
      </c>
      <c r="B5" t="inlineStr">
        <is>
          <t>selected surfactants and fractions</t>
        </is>
      </c>
      <c r="C5" t="inlineStr">
        <is>
          <t>internal_constants_wide</t>
        </is>
      </c>
      <c r="D5" t="inlineStr">
        <is>
          <t>material_id</t>
        </is>
      </c>
      <c r="E5" t="inlineStr">
        <is>
          <t>mixed HLB</t>
        </is>
      </c>
      <c r="F5" t="inlineStr">
        <is>
          <t>Only use rows with HLB.</t>
        </is>
      </c>
    </row>
    <row r="6">
      <c r="A6" t="inlineStr">
        <is>
          <t>CPP/morphology engine</t>
        </is>
      </c>
      <c r="B6" t="inlineStr">
        <is>
          <t>amphiphile chain/headgroup constants</t>
        </is>
      </c>
      <c r="C6" t="inlineStr">
        <is>
          <t>internal_constants_wide</t>
        </is>
      </c>
      <c r="D6" t="inlineStr">
        <is>
          <t>material_id</t>
        </is>
      </c>
      <c r="E6" t="inlineStr">
        <is>
          <t>CPP, morphology tendency</t>
        </is>
      </c>
      <c r="F6" t="inlineStr">
        <is>
          <t>Flag headgroup_area_nm2 if estimated.</t>
        </is>
      </c>
    </row>
    <row r="7">
      <c r="A7" t="inlineStr">
        <is>
          <t>Hansen compatibility</t>
        </is>
      </c>
      <c r="B7" t="inlineStr">
        <is>
          <t>drug + excipient selection</t>
        </is>
      </c>
      <c r="C7" t="inlineStr">
        <is>
          <t>internal_constants_wide</t>
        </is>
      </c>
      <c r="D7" t="inlineStr">
        <is>
          <t>material_id</t>
        </is>
      </c>
      <c r="E7" t="inlineStr">
        <is>
          <t>Ra, RED, compatibility rank</t>
        </is>
      </c>
      <c r="F7" t="inlineStr">
        <is>
          <t>Flag estimated HSP and missing R0.</t>
        </is>
      </c>
    </row>
    <row r="8">
      <c r="A8" t="inlineStr">
        <is>
          <t>Solvent selector</t>
        </is>
      </c>
      <c r="B8" t="inlineStr">
        <is>
          <t>route + manufacturing method + solvent candidates</t>
        </is>
      </c>
      <c r="C8" t="inlineStr">
        <is>
          <t>internal_constants_wide</t>
        </is>
      </c>
      <c r="D8" t="inlineStr">
        <is>
          <t>material_id</t>
        </is>
      </c>
      <c r="E8" t="inlineStr">
        <is>
          <t>solvent suitability score</t>
        </is>
      </c>
      <c r="F8" t="inlineStr">
        <is>
          <t>ICH class/PDE hard warning.</t>
        </is>
      </c>
    </row>
    <row r="9">
      <c r="A9" t="inlineStr">
        <is>
          <t>Charge/zeta module</t>
        </is>
      </c>
      <c r="B9" t="inlineStr">
        <is>
          <t>pH + charged excipients + mol%</t>
        </is>
      </c>
      <c r="C9" t="inlineStr">
        <is>
          <t>internal_constants_wide</t>
        </is>
      </c>
      <c r="D9" t="inlineStr">
        <is>
          <t>material_id</t>
        </is>
      </c>
      <c r="E9" t="inlineStr">
        <is>
          <t>nominal charge/zeta tendency</t>
        </is>
      </c>
      <c r="F9" t="inlineStr">
        <is>
          <t>Correct pH-dependent ionizable lipids using pKa.</t>
        </is>
      </c>
    </row>
    <row r="10">
      <c r="A10" t="inlineStr">
        <is>
          <t>Rigidity module</t>
        </is>
      </c>
      <c r="B10" t="inlineStr">
        <is>
          <t>lipid/sterol composition</t>
        </is>
      </c>
      <c r="C10" t="inlineStr">
        <is>
          <t>internal_constants_wide</t>
        </is>
      </c>
      <c r="D10" t="inlineStr">
        <is>
          <t>material_id</t>
        </is>
      </c>
      <c r="E10" t="inlineStr">
        <is>
          <t>fluidity/rigidity score</t>
        </is>
      </c>
      <c r="F10" t="inlineStr">
        <is>
          <t>Use Tm and cholesterol fraction; flag missing Tm.</t>
        </is>
      </c>
    </row>
    <row r="11">
      <c r="A11" t="inlineStr">
        <is>
          <t>Missing-value inspector</t>
        </is>
      </c>
      <c r="B11" t="inlineStr">
        <is>
          <t>automatic missing constants report</t>
        </is>
      </c>
      <c r="C11" t="inlineStr">
        <is>
          <t>unresolved_missing_values</t>
        </is>
      </c>
      <c r="D11" t="inlineStr">
        <is>
          <t>material_name + property</t>
        </is>
      </c>
      <c r="E11" t="inlineStr">
        <is>
          <t>curation to-do list</t>
        </is>
      </c>
      <c r="F11" t="inlineStr">
        <is>
          <t>P1 values must be curated before model training.</t>
        </is>
      </c>
    </row>
    <row r="12">
      <c r="A12" t="inlineStr">
        <is>
          <t>ML export</t>
        </is>
      </c>
      <c r="B12" t="inlineStr">
        <is>
          <t>feature matrix</t>
        </is>
      </c>
      <c r="C12" t="inlineStr">
        <is>
          <t>internal_constants_wide + material_properties</t>
        </is>
      </c>
      <c r="D12" t="inlineStr">
        <is>
          <t>material_id</t>
        </is>
      </c>
      <c r="E12" t="inlineStr">
        <is>
          <t>CQA-ready descriptors</t>
        </is>
      </c>
      <c r="F12" t="inlineStr">
        <is>
          <t>Include data_quality/confidence as model weights or flags.</t>
        </is>
      </c>
    </row>
  </sheetData>
  <autoFilter ref="A1:F1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32" customWidth="1"/>
    <col min="2" max="2" width="110" customWidth="1"/>
  </cols>
  <sheetData>
    <row r="1">
      <c r="A1" t="inlineStr" s="1">
        <is>
          <t>NanoFormulationDesigner Internal Material Constants Database</t>
        </is>
      </c>
      <c r="B1" s="1"/>
    </row>
    <row r="2">
      <c r="A2" t="inlineStr">
        <is>
          <t>Purpose</t>
        </is>
      </c>
      <c r="B2" t="inlineStr">
        <is>
          <t>This workbook is a local internal material-property snapshot for formulation design. It is not a stored-formulation database and does not recommend ready-made formulations. Users build their own compositions from material constants.</t>
        </is>
      </c>
    </row>
    <row r="3">
      <c r="A3" t="inlineStr">
        <is>
          <t>Scope</t>
        </is>
      </c>
      <c r="B3" t="inlineStr">
        <is>
          <t>APIs, nonionic/ionic surfactants, phospholipids, sterols, bile salts, solid lipids/oils, solvents/co-solvents, carriers/cryoprotectants, charge inducers, and polymers for vesicular, lipid, polymeric, hybrid, nanoemulsion, SLN/NLC, proniosome and dry-carrier systems.</t>
        </is>
      </c>
    </row>
    <row r="4">
      <c r="A4" t="inlineStr">
        <is>
          <t>Curation rule</t>
        </is>
      </c>
      <c r="B4" t="inlineStr">
        <is>
          <t>Every stored property has a source_id, data_quality label, confidence_score, and notes in material_properties. Estimated values are screening-level only and must not be treated as experimental truth.</t>
        </is>
      </c>
    </row>
    <row r="5">
      <c r="A5" t="inlineStr">
        <is>
          <t>Runtime rule</t>
        </is>
      </c>
      <c r="B5" t="inlineStr">
        <is>
          <t>The application should load the local CSV/XLSX tables into its own database. It should not call PubChem, supplier pages, or other public datasets at runtime.</t>
        </is>
      </c>
    </row>
    <row r="6">
      <c r="A6" t="inlineStr">
        <is>
          <t>Critical warning</t>
        </is>
      </c>
      <c r="B6" t="inlineStr">
        <is>
          <t>HSP, headgroup area, CMC, cloud point, Krafft point, polymer MW/Tg, carrier porosity, and solubility are grade-, temperature-, pH-, concentration-, and method-dependent. Treat them as curation priorities.</t>
        </is>
      </c>
    </row>
    <row r="7">
      <c r="A7" t="inlineStr">
        <is>
          <t>ML readiness</t>
        </is>
      </c>
      <c r="B7" t="inlineStr">
        <is>
          <t>Use confidence_score and data_quality as model covariates or sample weights. Do not train a high-stakes predictive model on unweighted estimated constants.</t>
        </is>
      </c>
    </row>
    <row r="8">
      <c r="A8" t="inlineStr">
        <is>
          <t>Recommended next step</t>
        </is>
      </c>
      <c r="B8" t="inlineStr">
        <is>
          <t>Replace P1 missing/estimated values using supplier CoAs, handbook monographs, PubChem/LIPID MAPS records, DSC/XRPD/BET/CMC experiments, and route-specific regulatory checks.</t>
        </is>
      </c>
    </row>
  </sheetData>
  <autoFilter ref="A1:B8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2"/>
  <sheetViews>
    <sheetView workbookViewId="0"/>
  </sheetViews>
  <cols>
    <col min="1" max="1" width="12" customWidth="1"/>
    <col min="2" max="2" width="18" customWidth="1"/>
    <col min="3" max="3" width="24" customWidth="1"/>
    <col min="4" max="4" width="30" customWidth="1"/>
    <col min="5" max="5" width="20" customWidth="1"/>
    <col min="6" max="6" width="14" customWidth="1"/>
    <col min="7" max="7" width="16" customWidth="1"/>
    <col min="8" max="8" width="18" customWidth="1"/>
    <col min="9" max="9" width="16" customWidth="1"/>
    <col min="10" max="10" width="12" customWidth="1"/>
    <col min="11" max="11" width="14" customWidth="1"/>
    <col min="12" max="12" width="14" customWidth="1"/>
    <col min="13" max="13" width="18" customWidth="1"/>
    <col min="23" max="23" width="50" customWidth="1"/>
  </cols>
  <sheetData>
    <row r="1" ht="24" customHeight="1">
      <c r="A1" t="inlineStr" s="2">
        <is>
          <t>Formulation_Template: select material_id from materials; formulas pull constants from internal_constants_wide.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t="inlineStr" s="1">
        <is>
          <t>Set total batch mmol in G2:</t>
        </is>
      </c>
      <c r="B2" s="1"/>
      <c r="C2" s="1"/>
      <c r="D2" s="1"/>
      <c r="E2" s="1"/>
      <c r="F2" s="1"/>
      <c r="G2" s="1">
        <v>1.0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>
      <c r="A4" t="inlineStr" s="1">
        <is>
          <t>row_id</t>
        </is>
      </c>
      <c r="B4" t="inlineStr" s="1">
        <is>
          <t>role</t>
        </is>
      </c>
      <c r="C4" t="inlineStr" s="1">
        <is>
          <t>material_id</t>
        </is>
      </c>
      <c r="D4" t="inlineStr" s="1">
        <is>
          <t>name</t>
        </is>
      </c>
      <c r="E4" t="inlineStr" s="1">
        <is>
          <t>material_type</t>
        </is>
      </c>
      <c r="F4" t="inlineStr" s="1">
        <is>
          <t>mol_percent</t>
        </is>
      </c>
      <c r="G4" t="inlineStr" s="1">
        <is>
          <t>total_batch_mmol</t>
        </is>
      </c>
      <c r="H4" t="inlineStr" s="1">
        <is>
          <t>MW_or_avg_MW</t>
        </is>
      </c>
      <c r="I4" t="inlineStr" s="1">
        <is>
          <t>mass_mg</t>
        </is>
      </c>
      <c r="J4" t="inlineStr" s="1">
        <is>
          <t>HLB</t>
        </is>
      </c>
      <c r="K4" t="inlineStr" s="1">
        <is>
          <t>tail_carbons</t>
        </is>
      </c>
      <c r="L4" t="inlineStr" s="1">
        <is>
          <t>number_of_tails</t>
        </is>
      </c>
      <c r="M4" t="inlineStr" s="1">
        <is>
          <t>headgroup_area_nm2</t>
        </is>
      </c>
      <c r="N4" t="inlineStr" s="1">
        <is>
          <t>formal_charge</t>
        </is>
      </c>
      <c r="O4" t="inlineStr" s="1">
        <is>
          <t>pKa</t>
        </is>
      </c>
      <c r="P4" t="inlineStr" s="1">
        <is>
          <t>phase_transition_C</t>
        </is>
      </c>
      <c r="Q4" t="inlineStr" s="1">
        <is>
          <t>melting_point_C</t>
        </is>
      </c>
      <c r="R4" t="inlineStr" s="1">
        <is>
          <t>Hansen_delta_D</t>
        </is>
      </c>
      <c r="S4" t="inlineStr" s="1">
        <is>
          <t>Hansen_delta_P</t>
        </is>
      </c>
      <c r="T4" t="inlineStr" s="1">
        <is>
          <t>Hansen_delta_H</t>
        </is>
      </c>
      <c r="U4" t="inlineStr" s="1">
        <is>
          <t>molar_volume</t>
        </is>
      </c>
      <c r="V4" t="inlineStr" s="1">
        <is>
          <t>estimated_CPP</t>
        </is>
      </c>
      <c r="W4" t="inlineStr" s="1">
        <is>
          <t>notes</t>
        </is>
      </c>
    </row>
    <row r="5">
      <c r="A5">
        <v>1</v>
      </c>
      <c r="B5"/>
      <c r="C5"/>
      <c r="D5">
        <f>IFERROR(INDEX(internal_constants_wide!$A:$ZZ,MATCH($C5,internal_constants_wide!$A:$A,0),MATCH("name",internal_constants_wide!$1:$1,0)),"")</f>
      </c>
      <c r="E5">
        <f>IFERROR(INDEX(internal_constants_wide!$A:$ZZ,MATCH($C5,internal_constants_wide!$A:$A,0),MATCH("material_type",internal_constants_wide!$1:$1,0)),"")</f>
      </c>
      <c r="F5"/>
      <c r="G5">
        <f>$G$2</f>
      </c>
      <c r="H5">
        <f>IFERROR(IF(IFERROR(INDEX(internal_constants_wide!$A:$ZZ,MATCH($C5,internal_constants_wide!$A:$A,0),MATCH("molecular_weight_g_mol",internal_constants_wide!$1:$1,0)),"")&lt;&gt;"",IFERROR(INDEX(internal_constants_wide!$A:$ZZ,MATCH($C5,internal_constants_wide!$A:$A,0),MATCH("molecular_weight_g_mol",internal_constants_wide!$1:$1,0)),""),IFERROR(INDEX(internal_constants_wide!$A:$ZZ,MATCH($C5,internal_constants_wide!$A:$A,0),MATCH("average_MW",internal_constants_wide!$1:$1,0)),"")),"")</f>
      </c>
      <c r="I5">
        <f>IFERROR(IF(AND(ISNUMBER($F5),ISNUMBER($G5),ISNUMBER($H5)),$F5/100*$G5*$H5,""),"")</f>
      </c>
      <c r="J5">
        <f>IFERROR(INDEX(internal_constants_wide!$A:$ZZ,MATCH($C5,internal_constants_wide!$A:$A,0),MATCH("HLB",internal_constants_wide!$1:$1,0)),"")</f>
      </c>
      <c r="K5">
        <f>IFERROR(INDEX(internal_constants_wide!$A:$ZZ,MATCH($C5,internal_constants_wide!$A:$A,0),MATCH("tail_carbons",internal_constants_wide!$1:$1,0)),"")</f>
      </c>
      <c r="L5">
        <f>IFERROR(INDEX(internal_constants_wide!$A:$ZZ,MATCH($C5,internal_constants_wide!$A:$A,0),MATCH("number_of_tails",internal_constants_wide!$1:$1,0)),"")</f>
      </c>
      <c r="M5">
        <f>IFERROR(INDEX(internal_constants_wide!$A:$ZZ,MATCH($C5,internal_constants_wide!$A:$A,0),MATCH("headgroup_area_nm2",internal_constants_wide!$1:$1,0)),"")</f>
      </c>
      <c r="N5">
        <f>IFERROR(INDEX(internal_constants_wide!$A:$ZZ,MATCH($C5,internal_constants_wide!$A:$A,0),MATCH("formal_charge",internal_constants_wide!$1:$1,0)),"")</f>
      </c>
      <c r="O5">
        <f>IFERROR(IF(IFERROR(INDEX(internal_constants_wide!$A:$ZZ,MATCH($C5,internal_constants_wide!$A:$A,0),MATCH("pKa_if_ionizable",internal_constants_wide!$1:$1,0)),"")&lt;&gt;"",IFERROR(INDEX(internal_constants_wide!$A:$ZZ,MATCH($C5,internal_constants_wide!$A:$A,0),MATCH("pKa_if_ionizable",internal_constants_wide!$1:$1,0)),""),IFERROR(INDEX(internal_constants_wide!$A:$ZZ,MATCH($C5,internal_constants_wide!$A:$A,0),MATCH("pKa",internal_constants_wide!$1:$1,0)),"")),"")</f>
      </c>
      <c r="P5">
        <f>IFERROR(IF(IFERROR(INDEX(internal_constants_wide!$A:$ZZ,MATCH($C5,internal_constants_wide!$A:$A,0),MATCH("phase_transition_temperature_C",internal_constants_wide!$1:$1,0)),"")&lt;&gt;"",IFERROR(INDEX(internal_constants_wide!$A:$ZZ,MATCH($C5,internal_constants_wide!$A:$A,0),MATCH("phase_transition_temperature_C",internal_constants_wide!$1:$1,0)),""),IFERROR(INDEX(internal_constants_wide!$A:$ZZ,MATCH($C5,internal_constants_wide!$A:$A,0),MATCH("melting_point_C",internal_constants_wide!$1:$1,0)),"")),"")</f>
      </c>
      <c r="Q5">
        <f>IFERROR(INDEX(internal_constants_wide!$A:$ZZ,MATCH($C5,internal_constants_wide!$A:$A,0),MATCH("melting_point_C",internal_constants_wide!$1:$1,0)),"")</f>
      </c>
      <c r="R5">
        <f>IFERROR(INDEX(internal_constants_wide!$A:$ZZ,MATCH($C5,internal_constants_wide!$A:$A,0),MATCH("Hansen_delta_D",internal_constants_wide!$1:$1,0)),"")</f>
      </c>
      <c r="S5">
        <f>IFERROR(INDEX(internal_constants_wide!$A:$ZZ,MATCH($C5,internal_constants_wide!$A:$A,0),MATCH("Hansen_delta_P",internal_constants_wide!$1:$1,0)),"")</f>
      </c>
      <c r="T5">
        <f>IFERROR(INDEX(internal_constants_wide!$A:$ZZ,MATCH($C5,internal_constants_wide!$A:$A,0),MATCH("Hansen_delta_H",internal_constants_wide!$1:$1,0)),"")</f>
      </c>
      <c r="U5">
        <f>IFERROR(INDEX(internal_constants_wide!$A:$ZZ,MATCH($C5,internal_constants_wide!$A:$A,0),MATCH("molar_volume_cm3_mol",internal_constants_wide!$1:$1,0)),"")</f>
      </c>
      <c r="V5">
        <f>IFERROR(IF(AND(ISNUMBER($K5),ISNUMBER($L5),ISNUMBER($M5),$M5&gt;0),($K5*0.027/($L5*$M5)),""),"")</f>
      </c>
      <c r="W5"/>
    </row>
    <row r="6">
      <c r="A6">
        <v>2</v>
      </c>
      <c r="B6"/>
      <c r="C6"/>
      <c r="D6">
        <f>IFERROR(INDEX(internal_constants_wide!$A:$ZZ,MATCH($C6,internal_constants_wide!$A:$A,0),MATCH("name",internal_constants_wide!$1:$1,0)),"")</f>
      </c>
      <c r="E6">
        <f>IFERROR(INDEX(internal_constants_wide!$A:$ZZ,MATCH($C6,internal_constants_wide!$A:$A,0),MATCH("material_type",internal_constants_wide!$1:$1,0)),"")</f>
      </c>
      <c r="F6"/>
      <c r="G6">
        <f>$G$2</f>
      </c>
      <c r="H6">
        <f>IFERROR(IF(IFERROR(INDEX(internal_constants_wide!$A:$ZZ,MATCH($C6,internal_constants_wide!$A:$A,0),MATCH("molecular_weight_g_mol",internal_constants_wide!$1:$1,0)),"")&lt;&gt;"",IFERROR(INDEX(internal_constants_wide!$A:$ZZ,MATCH($C6,internal_constants_wide!$A:$A,0),MATCH("molecular_weight_g_mol",internal_constants_wide!$1:$1,0)),""),IFERROR(INDEX(internal_constants_wide!$A:$ZZ,MATCH($C6,internal_constants_wide!$A:$A,0),MATCH("average_MW",internal_constants_wide!$1:$1,0)),"")),"")</f>
      </c>
      <c r="I6">
        <f>IFERROR(IF(AND(ISNUMBER($F6),ISNUMBER($G6),ISNUMBER($H6)),$F6/100*$G6*$H6,""),"")</f>
      </c>
      <c r="J6">
        <f>IFERROR(INDEX(internal_constants_wide!$A:$ZZ,MATCH($C6,internal_constants_wide!$A:$A,0),MATCH("HLB",internal_constants_wide!$1:$1,0)),"")</f>
      </c>
      <c r="K6">
        <f>IFERROR(INDEX(internal_constants_wide!$A:$ZZ,MATCH($C6,internal_constants_wide!$A:$A,0),MATCH("tail_carbons",internal_constants_wide!$1:$1,0)),"")</f>
      </c>
      <c r="L6">
        <f>IFERROR(INDEX(internal_constants_wide!$A:$ZZ,MATCH($C6,internal_constants_wide!$A:$A,0),MATCH("number_of_tails",internal_constants_wide!$1:$1,0)),"")</f>
      </c>
      <c r="M6">
        <f>IFERROR(INDEX(internal_constants_wide!$A:$ZZ,MATCH($C6,internal_constants_wide!$A:$A,0),MATCH("headgroup_area_nm2",internal_constants_wide!$1:$1,0)),"")</f>
      </c>
      <c r="N6">
        <f>IFERROR(INDEX(internal_constants_wide!$A:$ZZ,MATCH($C6,internal_constants_wide!$A:$A,0),MATCH("formal_charge",internal_constants_wide!$1:$1,0)),"")</f>
      </c>
      <c r="O6">
        <f>IFERROR(IF(IFERROR(INDEX(internal_constants_wide!$A:$ZZ,MATCH($C6,internal_constants_wide!$A:$A,0),MATCH("pKa_if_ionizable",internal_constants_wide!$1:$1,0)),"")&lt;&gt;"",IFERROR(INDEX(internal_constants_wide!$A:$ZZ,MATCH($C6,internal_constants_wide!$A:$A,0),MATCH("pKa_if_ionizable",internal_constants_wide!$1:$1,0)),""),IFERROR(INDEX(internal_constants_wide!$A:$ZZ,MATCH($C6,internal_constants_wide!$A:$A,0),MATCH("pKa",internal_constants_wide!$1:$1,0)),"")),"")</f>
      </c>
      <c r="P6">
        <f>IFERROR(IF(IFERROR(INDEX(internal_constants_wide!$A:$ZZ,MATCH($C6,internal_constants_wide!$A:$A,0),MATCH("phase_transition_temperature_C",internal_constants_wide!$1:$1,0)),"")&lt;&gt;"",IFERROR(INDEX(internal_constants_wide!$A:$ZZ,MATCH($C6,internal_constants_wide!$A:$A,0),MATCH("phase_transition_temperature_C",internal_constants_wide!$1:$1,0)),""),IFERROR(INDEX(internal_constants_wide!$A:$ZZ,MATCH($C6,internal_constants_wide!$A:$A,0),MATCH("melting_point_C",internal_constants_wide!$1:$1,0)),"")),"")</f>
      </c>
      <c r="Q6">
        <f>IFERROR(INDEX(internal_constants_wide!$A:$ZZ,MATCH($C6,internal_constants_wide!$A:$A,0),MATCH("melting_point_C",internal_constants_wide!$1:$1,0)),"")</f>
      </c>
      <c r="R6">
        <f>IFERROR(INDEX(internal_constants_wide!$A:$ZZ,MATCH($C6,internal_constants_wide!$A:$A,0),MATCH("Hansen_delta_D",internal_constants_wide!$1:$1,0)),"")</f>
      </c>
      <c r="S6">
        <f>IFERROR(INDEX(internal_constants_wide!$A:$ZZ,MATCH($C6,internal_constants_wide!$A:$A,0),MATCH("Hansen_delta_P",internal_constants_wide!$1:$1,0)),"")</f>
      </c>
      <c r="T6">
        <f>IFERROR(INDEX(internal_constants_wide!$A:$ZZ,MATCH($C6,internal_constants_wide!$A:$A,0),MATCH("Hansen_delta_H",internal_constants_wide!$1:$1,0)),"")</f>
      </c>
      <c r="U6">
        <f>IFERROR(INDEX(internal_constants_wide!$A:$ZZ,MATCH($C6,internal_constants_wide!$A:$A,0),MATCH("molar_volume_cm3_mol",internal_constants_wide!$1:$1,0)),"")</f>
      </c>
      <c r="V6">
        <f>IFERROR(IF(AND(ISNUMBER($K6),ISNUMBER($L6),ISNUMBER($M6),$M6&gt;0),($K6*0.027/($L6*$M6)),""),"")</f>
      </c>
      <c r="W6"/>
    </row>
    <row r="7">
      <c r="A7">
        <v>3</v>
      </c>
      <c r="B7"/>
      <c r="C7"/>
      <c r="D7">
        <f>IFERROR(INDEX(internal_constants_wide!$A:$ZZ,MATCH($C7,internal_constants_wide!$A:$A,0),MATCH("name",internal_constants_wide!$1:$1,0)),"")</f>
      </c>
      <c r="E7">
        <f>IFERROR(INDEX(internal_constants_wide!$A:$ZZ,MATCH($C7,internal_constants_wide!$A:$A,0),MATCH("material_type",internal_constants_wide!$1:$1,0)),"")</f>
      </c>
      <c r="F7"/>
      <c r="G7">
        <f>$G$2</f>
      </c>
      <c r="H7">
        <f>IFERROR(IF(IFERROR(INDEX(internal_constants_wide!$A:$ZZ,MATCH($C7,internal_constants_wide!$A:$A,0),MATCH("molecular_weight_g_mol",internal_constants_wide!$1:$1,0)),"")&lt;&gt;"",IFERROR(INDEX(internal_constants_wide!$A:$ZZ,MATCH($C7,internal_constants_wide!$A:$A,0),MATCH("molecular_weight_g_mol",internal_constants_wide!$1:$1,0)),""),IFERROR(INDEX(internal_constants_wide!$A:$ZZ,MATCH($C7,internal_constants_wide!$A:$A,0),MATCH("average_MW",internal_constants_wide!$1:$1,0)),"")),"")</f>
      </c>
      <c r="I7">
        <f>IFERROR(IF(AND(ISNUMBER($F7),ISNUMBER($G7),ISNUMBER($H7)),$F7/100*$G7*$H7,""),"")</f>
      </c>
      <c r="J7">
        <f>IFERROR(INDEX(internal_constants_wide!$A:$ZZ,MATCH($C7,internal_constants_wide!$A:$A,0),MATCH("HLB",internal_constants_wide!$1:$1,0)),"")</f>
      </c>
      <c r="K7">
        <f>IFERROR(INDEX(internal_constants_wide!$A:$ZZ,MATCH($C7,internal_constants_wide!$A:$A,0),MATCH("tail_carbons",internal_constants_wide!$1:$1,0)),"")</f>
      </c>
      <c r="L7">
        <f>IFERROR(INDEX(internal_constants_wide!$A:$ZZ,MATCH($C7,internal_constants_wide!$A:$A,0),MATCH("number_of_tails",internal_constants_wide!$1:$1,0)),"")</f>
      </c>
      <c r="M7">
        <f>IFERROR(INDEX(internal_constants_wide!$A:$ZZ,MATCH($C7,internal_constants_wide!$A:$A,0),MATCH("headgroup_area_nm2",internal_constants_wide!$1:$1,0)),"")</f>
      </c>
      <c r="N7">
        <f>IFERROR(INDEX(internal_constants_wide!$A:$ZZ,MATCH($C7,internal_constants_wide!$A:$A,0),MATCH("formal_charge",internal_constants_wide!$1:$1,0)),"")</f>
      </c>
      <c r="O7">
        <f>IFERROR(IF(IFERROR(INDEX(internal_constants_wide!$A:$ZZ,MATCH($C7,internal_constants_wide!$A:$A,0),MATCH("pKa_if_ionizable",internal_constants_wide!$1:$1,0)),"")&lt;&gt;"",IFERROR(INDEX(internal_constants_wide!$A:$ZZ,MATCH($C7,internal_constants_wide!$A:$A,0),MATCH("pKa_if_ionizable",internal_constants_wide!$1:$1,0)),""),IFERROR(INDEX(internal_constants_wide!$A:$ZZ,MATCH($C7,internal_constants_wide!$A:$A,0),MATCH("pKa",internal_constants_wide!$1:$1,0)),"")),"")</f>
      </c>
      <c r="P7">
        <f>IFERROR(IF(IFERROR(INDEX(internal_constants_wide!$A:$ZZ,MATCH($C7,internal_constants_wide!$A:$A,0),MATCH("phase_transition_temperature_C",internal_constants_wide!$1:$1,0)),"")&lt;&gt;"",IFERROR(INDEX(internal_constants_wide!$A:$ZZ,MATCH($C7,internal_constants_wide!$A:$A,0),MATCH("phase_transition_temperature_C",internal_constants_wide!$1:$1,0)),""),IFERROR(INDEX(internal_constants_wide!$A:$ZZ,MATCH($C7,internal_constants_wide!$A:$A,0),MATCH("melting_point_C",internal_constants_wide!$1:$1,0)),"")),"")</f>
      </c>
      <c r="Q7">
        <f>IFERROR(INDEX(internal_constants_wide!$A:$ZZ,MATCH($C7,internal_constants_wide!$A:$A,0),MATCH("melting_point_C",internal_constants_wide!$1:$1,0)),"")</f>
      </c>
      <c r="R7">
        <f>IFERROR(INDEX(internal_constants_wide!$A:$ZZ,MATCH($C7,internal_constants_wide!$A:$A,0),MATCH("Hansen_delta_D",internal_constants_wide!$1:$1,0)),"")</f>
      </c>
      <c r="S7">
        <f>IFERROR(INDEX(internal_constants_wide!$A:$ZZ,MATCH($C7,internal_constants_wide!$A:$A,0),MATCH("Hansen_delta_P",internal_constants_wide!$1:$1,0)),"")</f>
      </c>
      <c r="T7">
        <f>IFERROR(INDEX(internal_constants_wide!$A:$ZZ,MATCH($C7,internal_constants_wide!$A:$A,0),MATCH("Hansen_delta_H",internal_constants_wide!$1:$1,0)),"")</f>
      </c>
      <c r="U7">
        <f>IFERROR(INDEX(internal_constants_wide!$A:$ZZ,MATCH($C7,internal_constants_wide!$A:$A,0),MATCH("molar_volume_cm3_mol",internal_constants_wide!$1:$1,0)),"")</f>
      </c>
      <c r="V7">
        <f>IFERROR(IF(AND(ISNUMBER($K7),ISNUMBER($L7),ISNUMBER($M7),$M7&gt;0),($K7*0.027/($L7*$M7)),""),"")</f>
      </c>
      <c r="W7"/>
    </row>
    <row r="8">
      <c r="A8">
        <v>4</v>
      </c>
      <c r="B8"/>
      <c r="C8"/>
      <c r="D8">
        <f>IFERROR(INDEX(internal_constants_wide!$A:$ZZ,MATCH($C8,internal_constants_wide!$A:$A,0),MATCH("name",internal_constants_wide!$1:$1,0)),"")</f>
      </c>
      <c r="E8">
        <f>IFERROR(INDEX(internal_constants_wide!$A:$ZZ,MATCH($C8,internal_constants_wide!$A:$A,0),MATCH("material_type",internal_constants_wide!$1:$1,0)),"")</f>
      </c>
      <c r="F8"/>
      <c r="G8">
        <f>$G$2</f>
      </c>
      <c r="H8">
        <f>IFERROR(IF(IFERROR(INDEX(internal_constants_wide!$A:$ZZ,MATCH($C8,internal_constants_wide!$A:$A,0),MATCH("molecular_weight_g_mol",internal_constants_wide!$1:$1,0)),"")&lt;&gt;"",IFERROR(INDEX(internal_constants_wide!$A:$ZZ,MATCH($C8,internal_constants_wide!$A:$A,0),MATCH("molecular_weight_g_mol",internal_constants_wide!$1:$1,0)),""),IFERROR(INDEX(internal_constants_wide!$A:$ZZ,MATCH($C8,internal_constants_wide!$A:$A,0),MATCH("average_MW",internal_constants_wide!$1:$1,0)),"")),"")</f>
      </c>
      <c r="I8">
        <f>IFERROR(IF(AND(ISNUMBER($F8),ISNUMBER($G8),ISNUMBER($H8)),$F8/100*$G8*$H8,""),"")</f>
      </c>
      <c r="J8">
        <f>IFERROR(INDEX(internal_constants_wide!$A:$ZZ,MATCH($C8,internal_constants_wide!$A:$A,0),MATCH("HLB",internal_constants_wide!$1:$1,0)),"")</f>
      </c>
      <c r="K8">
        <f>IFERROR(INDEX(internal_constants_wide!$A:$ZZ,MATCH($C8,internal_constants_wide!$A:$A,0),MATCH("tail_carbons",internal_constants_wide!$1:$1,0)),"")</f>
      </c>
      <c r="L8">
        <f>IFERROR(INDEX(internal_constants_wide!$A:$ZZ,MATCH($C8,internal_constants_wide!$A:$A,0),MATCH("number_of_tails",internal_constants_wide!$1:$1,0)),"")</f>
      </c>
      <c r="M8">
        <f>IFERROR(INDEX(internal_constants_wide!$A:$ZZ,MATCH($C8,internal_constants_wide!$A:$A,0),MATCH("headgroup_area_nm2",internal_constants_wide!$1:$1,0)),"")</f>
      </c>
      <c r="N8">
        <f>IFERROR(INDEX(internal_constants_wide!$A:$ZZ,MATCH($C8,internal_constants_wide!$A:$A,0),MATCH("formal_charge",internal_constants_wide!$1:$1,0)),"")</f>
      </c>
      <c r="O8">
        <f>IFERROR(IF(IFERROR(INDEX(internal_constants_wide!$A:$ZZ,MATCH($C8,internal_constants_wide!$A:$A,0),MATCH("pKa_if_ionizable",internal_constants_wide!$1:$1,0)),"")&lt;&gt;"",IFERROR(INDEX(internal_constants_wide!$A:$ZZ,MATCH($C8,internal_constants_wide!$A:$A,0),MATCH("pKa_if_ionizable",internal_constants_wide!$1:$1,0)),""),IFERROR(INDEX(internal_constants_wide!$A:$ZZ,MATCH($C8,internal_constants_wide!$A:$A,0),MATCH("pKa",internal_constants_wide!$1:$1,0)),"")),"")</f>
      </c>
      <c r="P8">
        <f>IFERROR(IF(IFERROR(INDEX(internal_constants_wide!$A:$ZZ,MATCH($C8,internal_constants_wide!$A:$A,0),MATCH("phase_transition_temperature_C",internal_constants_wide!$1:$1,0)),"")&lt;&gt;"",IFERROR(INDEX(internal_constants_wide!$A:$ZZ,MATCH($C8,internal_constants_wide!$A:$A,0),MATCH("phase_transition_temperature_C",internal_constants_wide!$1:$1,0)),""),IFERROR(INDEX(internal_constants_wide!$A:$ZZ,MATCH($C8,internal_constants_wide!$A:$A,0),MATCH("melting_point_C",internal_constants_wide!$1:$1,0)),"")),"")</f>
      </c>
      <c r="Q8">
        <f>IFERROR(INDEX(internal_constants_wide!$A:$ZZ,MATCH($C8,internal_constants_wide!$A:$A,0),MATCH("melting_point_C",internal_constants_wide!$1:$1,0)),"")</f>
      </c>
      <c r="R8">
        <f>IFERROR(INDEX(internal_constants_wide!$A:$ZZ,MATCH($C8,internal_constants_wide!$A:$A,0),MATCH("Hansen_delta_D",internal_constants_wide!$1:$1,0)),"")</f>
      </c>
      <c r="S8">
        <f>IFERROR(INDEX(internal_constants_wide!$A:$ZZ,MATCH($C8,internal_constants_wide!$A:$A,0),MATCH("Hansen_delta_P",internal_constants_wide!$1:$1,0)),"")</f>
      </c>
      <c r="T8">
        <f>IFERROR(INDEX(internal_constants_wide!$A:$ZZ,MATCH($C8,internal_constants_wide!$A:$A,0),MATCH("Hansen_delta_H",internal_constants_wide!$1:$1,0)),"")</f>
      </c>
      <c r="U8">
        <f>IFERROR(INDEX(internal_constants_wide!$A:$ZZ,MATCH($C8,internal_constants_wide!$A:$A,0),MATCH("molar_volume_cm3_mol",internal_constants_wide!$1:$1,0)),"")</f>
      </c>
      <c r="V8">
        <f>IFERROR(IF(AND(ISNUMBER($K8),ISNUMBER($L8),ISNUMBER($M8),$M8&gt;0),($K8*0.027/($L8*$M8)),""),"")</f>
      </c>
      <c r="W8"/>
    </row>
    <row r="9">
      <c r="A9">
        <v>5</v>
      </c>
      <c r="B9"/>
      <c r="C9"/>
      <c r="D9">
        <f>IFERROR(INDEX(internal_constants_wide!$A:$ZZ,MATCH($C9,internal_constants_wide!$A:$A,0),MATCH("name",internal_constants_wide!$1:$1,0)),"")</f>
      </c>
      <c r="E9">
        <f>IFERROR(INDEX(internal_constants_wide!$A:$ZZ,MATCH($C9,internal_constants_wide!$A:$A,0),MATCH("material_type",internal_constants_wide!$1:$1,0)),"")</f>
      </c>
      <c r="F9"/>
      <c r="G9">
        <f>$G$2</f>
      </c>
      <c r="H9">
        <f>IFERROR(IF(IFERROR(INDEX(internal_constants_wide!$A:$ZZ,MATCH($C9,internal_constants_wide!$A:$A,0),MATCH("molecular_weight_g_mol",internal_constants_wide!$1:$1,0)),"")&lt;&gt;"",IFERROR(INDEX(internal_constants_wide!$A:$ZZ,MATCH($C9,internal_constants_wide!$A:$A,0),MATCH("molecular_weight_g_mol",internal_constants_wide!$1:$1,0)),""),IFERROR(INDEX(internal_constants_wide!$A:$ZZ,MATCH($C9,internal_constants_wide!$A:$A,0),MATCH("average_MW",internal_constants_wide!$1:$1,0)),"")),"")</f>
      </c>
      <c r="I9">
        <f>IFERROR(IF(AND(ISNUMBER($F9),ISNUMBER($G9),ISNUMBER($H9)),$F9/100*$G9*$H9,""),"")</f>
      </c>
      <c r="J9">
        <f>IFERROR(INDEX(internal_constants_wide!$A:$ZZ,MATCH($C9,internal_constants_wide!$A:$A,0),MATCH("HLB",internal_constants_wide!$1:$1,0)),"")</f>
      </c>
      <c r="K9">
        <f>IFERROR(INDEX(internal_constants_wide!$A:$ZZ,MATCH($C9,internal_constants_wide!$A:$A,0),MATCH("tail_carbons",internal_constants_wide!$1:$1,0)),"")</f>
      </c>
      <c r="L9">
        <f>IFERROR(INDEX(internal_constants_wide!$A:$ZZ,MATCH($C9,internal_constants_wide!$A:$A,0),MATCH("number_of_tails",internal_constants_wide!$1:$1,0)),"")</f>
      </c>
      <c r="M9">
        <f>IFERROR(INDEX(internal_constants_wide!$A:$ZZ,MATCH($C9,internal_constants_wide!$A:$A,0),MATCH("headgroup_area_nm2",internal_constants_wide!$1:$1,0)),"")</f>
      </c>
      <c r="N9">
        <f>IFERROR(INDEX(internal_constants_wide!$A:$ZZ,MATCH($C9,internal_constants_wide!$A:$A,0),MATCH("formal_charge",internal_constants_wide!$1:$1,0)),"")</f>
      </c>
      <c r="O9">
        <f>IFERROR(IF(IFERROR(INDEX(internal_constants_wide!$A:$ZZ,MATCH($C9,internal_constants_wide!$A:$A,0),MATCH("pKa_if_ionizable",internal_constants_wide!$1:$1,0)),"")&lt;&gt;"",IFERROR(INDEX(internal_constants_wide!$A:$ZZ,MATCH($C9,internal_constants_wide!$A:$A,0),MATCH("pKa_if_ionizable",internal_constants_wide!$1:$1,0)),""),IFERROR(INDEX(internal_constants_wide!$A:$ZZ,MATCH($C9,internal_constants_wide!$A:$A,0),MATCH("pKa",internal_constants_wide!$1:$1,0)),"")),"")</f>
      </c>
      <c r="P9">
        <f>IFERROR(IF(IFERROR(INDEX(internal_constants_wide!$A:$ZZ,MATCH($C9,internal_constants_wide!$A:$A,0),MATCH("phase_transition_temperature_C",internal_constants_wide!$1:$1,0)),"")&lt;&gt;"",IFERROR(INDEX(internal_constants_wide!$A:$ZZ,MATCH($C9,internal_constants_wide!$A:$A,0),MATCH("phase_transition_temperature_C",internal_constants_wide!$1:$1,0)),""),IFERROR(INDEX(internal_constants_wide!$A:$ZZ,MATCH($C9,internal_constants_wide!$A:$A,0),MATCH("melting_point_C",internal_constants_wide!$1:$1,0)),"")),"")</f>
      </c>
      <c r="Q9">
        <f>IFERROR(INDEX(internal_constants_wide!$A:$ZZ,MATCH($C9,internal_constants_wide!$A:$A,0),MATCH("melting_point_C",internal_constants_wide!$1:$1,0)),"")</f>
      </c>
      <c r="R9">
        <f>IFERROR(INDEX(internal_constants_wide!$A:$ZZ,MATCH($C9,internal_constants_wide!$A:$A,0),MATCH("Hansen_delta_D",internal_constants_wide!$1:$1,0)),"")</f>
      </c>
      <c r="S9">
        <f>IFERROR(INDEX(internal_constants_wide!$A:$ZZ,MATCH($C9,internal_constants_wide!$A:$A,0),MATCH("Hansen_delta_P",internal_constants_wide!$1:$1,0)),"")</f>
      </c>
      <c r="T9">
        <f>IFERROR(INDEX(internal_constants_wide!$A:$ZZ,MATCH($C9,internal_constants_wide!$A:$A,0),MATCH("Hansen_delta_H",internal_constants_wide!$1:$1,0)),"")</f>
      </c>
      <c r="U9">
        <f>IFERROR(INDEX(internal_constants_wide!$A:$ZZ,MATCH($C9,internal_constants_wide!$A:$A,0),MATCH("molar_volume_cm3_mol",internal_constants_wide!$1:$1,0)),"")</f>
      </c>
      <c r="V9">
        <f>IFERROR(IF(AND(ISNUMBER($K9),ISNUMBER($L9),ISNUMBER($M9),$M9&gt;0),($K9*0.027/($L9*$M9)),""),"")</f>
      </c>
      <c r="W9"/>
    </row>
    <row r="10">
      <c r="A10">
        <v>6</v>
      </c>
      <c r="B10"/>
      <c r="C10"/>
      <c r="D10">
        <f>IFERROR(INDEX(internal_constants_wide!$A:$ZZ,MATCH($C10,internal_constants_wide!$A:$A,0),MATCH("name",internal_constants_wide!$1:$1,0)),"")</f>
      </c>
      <c r="E10">
        <f>IFERROR(INDEX(internal_constants_wide!$A:$ZZ,MATCH($C10,internal_constants_wide!$A:$A,0),MATCH("material_type",internal_constants_wide!$1:$1,0)),"")</f>
      </c>
      <c r="F10"/>
      <c r="G10">
        <f>$G$2</f>
      </c>
      <c r="H10">
        <f>IFERROR(IF(IFERROR(INDEX(internal_constants_wide!$A:$ZZ,MATCH($C10,internal_constants_wide!$A:$A,0),MATCH("molecular_weight_g_mol",internal_constants_wide!$1:$1,0)),"")&lt;&gt;"",IFERROR(INDEX(internal_constants_wide!$A:$ZZ,MATCH($C10,internal_constants_wide!$A:$A,0),MATCH("molecular_weight_g_mol",internal_constants_wide!$1:$1,0)),""),IFERROR(INDEX(internal_constants_wide!$A:$ZZ,MATCH($C10,internal_constants_wide!$A:$A,0),MATCH("average_MW",internal_constants_wide!$1:$1,0)),"")),"")</f>
      </c>
      <c r="I10">
        <f>IFERROR(IF(AND(ISNUMBER($F10),ISNUMBER($G10),ISNUMBER($H10)),$F10/100*$G10*$H10,""),"")</f>
      </c>
      <c r="J10">
        <f>IFERROR(INDEX(internal_constants_wide!$A:$ZZ,MATCH($C10,internal_constants_wide!$A:$A,0),MATCH("HLB",internal_constants_wide!$1:$1,0)),"")</f>
      </c>
      <c r="K10">
        <f>IFERROR(INDEX(internal_constants_wide!$A:$ZZ,MATCH($C10,internal_constants_wide!$A:$A,0),MATCH("tail_carbons",internal_constants_wide!$1:$1,0)),"")</f>
      </c>
      <c r="L10">
        <f>IFERROR(INDEX(internal_constants_wide!$A:$ZZ,MATCH($C10,internal_constants_wide!$A:$A,0),MATCH("number_of_tails",internal_constants_wide!$1:$1,0)),"")</f>
      </c>
      <c r="M10">
        <f>IFERROR(INDEX(internal_constants_wide!$A:$ZZ,MATCH($C10,internal_constants_wide!$A:$A,0),MATCH("headgroup_area_nm2",internal_constants_wide!$1:$1,0)),"")</f>
      </c>
      <c r="N10">
        <f>IFERROR(INDEX(internal_constants_wide!$A:$ZZ,MATCH($C10,internal_constants_wide!$A:$A,0),MATCH("formal_charge",internal_constants_wide!$1:$1,0)),"")</f>
      </c>
      <c r="O10">
        <f>IFERROR(IF(IFERROR(INDEX(internal_constants_wide!$A:$ZZ,MATCH($C10,internal_constants_wide!$A:$A,0),MATCH("pKa_if_ionizable",internal_constants_wide!$1:$1,0)),"")&lt;&gt;"",IFERROR(INDEX(internal_constants_wide!$A:$ZZ,MATCH($C10,internal_constants_wide!$A:$A,0),MATCH("pKa_if_ionizable",internal_constants_wide!$1:$1,0)),""),IFERROR(INDEX(internal_constants_wide!$A:$ZZ,MATCH($C10,internal_constants_wide!$A:$A,0),MATCH("pKa",internal_constants_wide!$1:$1,0)),"")),"")</f>
      </c>
      <c r="P10">
        <f>IFERROR(IF(IFERROR(INDEX(internal_constants_wide!$A:$ZZ,MATCH($C10,internal_constants_wide!$A:$A,0),MATCH("phase_transition_temperature_C",internal_constants_wide!$1:$1,0)),"")&lt;&gt;"",IFERROR(INDEX(internal_constants_wide!$A:$ZZ,MATCH($C10,internal_constants_wide!$A:$A,0),MATCH("phase_transition_temperature_C",internal_constants_wide!$1:$1,0)),""),IFERROR(INDEX(internal_constants_wide!$A:$ZZ,MATCH($C10,internal_constants_wide!$A:$A,0),MATCH("melting_point_C",internal_constants_wide!$1:$1,0)),"")),"")</f>
      </c>
      <c r="Q10">
        <f>IFERROR(INDEX(internal_constants_wide!$A:$ZZ,MATCH($C10,internal_constants_wide!$A:$A,0),MATCH("melting_point_C",internal_constants_wide!$1:$1,0)),"")</f>
      </c>
      <c r="R10">
        <f>IFERROR(INDEX(internal_constants_wide!$A:$ZZ,MATCH($C10,internal_constants_wide!$A:$A,0),MATCH("Hansen_delta_D",internal_constants_wide!$1:$1,0)),"")</f>
      </c>
      <c r="S10">
        <f>IFERROR(INDEX(internal_constants_wide!$A:$ZZ,MATCH($C10,internal_constants_wide!$A:$A,0),MATCH("Hansen_delta_P",internal_constants_wide!$1:$1,0)),"")</f>
      </c>
      <c r="T10">
        <f>IFERROR(INDEX(internal_constants_wide!$A:$ZZ,MATCH($C10,internal_constants_wide!$A:$A,0),MATCH("Hansen_delta_H",internal_constants_wide!$1:$1,0)),"")</f>
      </c>
      <c r="U10">
        <f>IFERROR(INDEX(internal_constants_wide!$A:$ZZ,MATCH($C10,internal_constants_wide!$A:$A,0),MATCH("molar_volume_cm3_mol",internal_constants_wide!$1:$1,0)),"")</f>
      </c>
      <c r="V10">
        <f>IFERROR(IF(AND(ISNUMBER($K10),ISNUMBER($L10),ISNUMBER($M10),$M10&gt;0),($K10*0.027/($L10*$M10)),""),"")</f>
      </c>
      <c r="W10"/>
    </row>
    <row r="11">
      <c r="A11">
        <v>7</v>
      </c>
      <c r="B11"/>
      <c r="C11"/>
      <c r="D11">
        <f>IFERROR(INDEX(internal_constants_wide!$A:$ZZ,MATCH($C11,internal_constants_wide!$A:$A,0),MATCH("name",internal_constants_wide!$1:$1,0)),"")</f>
      </c>
      <c r="E11">
        <f>IFERROR(INDEX(internal_constants_wide!$A:$ZZ,MATCH($C11,internal_constants_wide!$A:$A,0),MATCH("material_type",internal_constants_wide!$1:$1,0)),"")</f>
      </c>
      <c r="F11"/>
      <c r="G11">
        <f>$G$2</f>
      </c>
      <c r="H11">
        <f>IFERROR(IF(IFERROR(INDEX(internal_constants_wide!$A:$ZZ,MATCH($C11,internal_constants_wide!$A:$A,0),MATCH("molecular_weight_g_mol",internal_constants_wide!$1:$1,0)),"")&lt;&gt;"",IFERROR(INDEX(internal_constants_wide!$A:$ZZ,MATCH($C11,internal_constants_wide!$A:$A,0),MATCH("molecular_weight_g_mol",internal_constants_wide!$1:$1,0)),""),IFERROR(INDEX(internal_constants_wide!$A:$ZZ,MATCH($C11,internal_constants_wide!$A:$A,0),MATCH("average_MW",internal_constants_wide!$1:$1,0)),"")),"")</f>
      </c>
      <c r="I11">
        <f>IFERROR(IF(AND(ISNUMBER($F11),ISNUMBER($G11),ISNUMBER($H11)),$F11/100*$G11*$H11,""),"")</f>
      </c>
      <c r="J11">
        <f>IFERROR(INDEX(internal_constants_wide!$A:$ZZ,MATCH($C11,internal_constants_wide!$A:$A,0),MATCH("HLB",internal_constants_wide!$1:$1,0)),"")</f>
      </c>
      <c r="K11">
        <f>IFERROR(INDEX(internal_constants_wide!$A:$ZZ,MATCH($C11,internal_constants_wide!$A:$A,0),MATCH("tail_carbons",internal_constants_wide!$1:$1,0)),"")</f>
      </c>
      <c r="L11">
        <f>IFERROR(INDEX(internal_constants_wide!$A:$ZZ,MATCH($C11,internal_constants_wide!$A:$A,0),MATCH("number_of_tails",internal_constants_wide!$1:$1,0)),"")</f>
      </c>
      <c r="M11">
        <f>IFERROR(INDEX(internal_constants_wide!$A:$ZZ,MATCH($C11,internal_constants_wide!$A:$A,0),MATCH("headgroup_area_nm2",internal_constants_wide!$1:$1,0)),"")</f>
      </c>
      <c r="N11">
        <f>IFERROR(INDEX(internal_constants_wide!$A:$ZZ,MATCH($C11,internal_constants_wide!$A:$A,0),MATCH("formal_charge",internal_constants_wide!$1:$1,0)),"")</f>
      </c>
      <c r="O11">
        <f>IFERROR(IF(IFERROR(INDEX(internal_constants_wide!$A:$ZZ,MATCH($C11,internal_constants_wide!$A:$A,0),MATCH("pKa_if_ionizable",internal_constants_wide!$1:$1,0)),"")&lt;&gt;"",IFERROR(INDEX(internal_constants_wide!$A:$ZZ,MATCH($C11,internal_constants_wide!$A:$A,0),MATCH("pKa_if_ionizable",internal_constants_wide!$1:$1,0)),""),IFERROR(INDEX(internal_constants_wide!$A:$ZZ,MATCH($C11,internal_constants_wide!$A:$A,0),MATCH("pKa",internal_constants_wide!$1:$1,0)),"")),"")</f>
      </c>
      <c r="P11">
        <f>IFERROR(IF(IFERROR(INDEX(internal_constants_wide!$A:$ZZ,MATCH($C11,internal_constants_wide!$A:$A,0),MATCH("phase_transition_temperature_C",internal_constants_wide!$1:$1,0)),"")&lt;&gt;"",IFERROR(INDEX(internal_constants_wide!$A:$ZZ,MATCH($C11,internal_constants_wide!$A:$A,0),MATCH("phase_transition_temperature_C",internal_constants_wide!$1:$1,0)),""),IFERROR(INDEX(internal_constants_wide!$A:$ZZ,MATCH($C11,internal_constants_wide!$A:$A,0),MATCH("melting_point_C",internal_constants_wide!$1:$1,0)),"")),"")</f>
      </c>
      <c r="Q11">
        <f>IFERROR(INDEX(internal_constants_wide!$A:$ZZ,MATCH($C11,internal_constants_wide!$A:$A,0),MATCH("melting_point_C",internal_constants_wide!$1:$1,0)),"")</f>
      </c>
      <c r="R11">
        <f>IFERROR(INDEX(internal_constants_wide!$A:$ZZ,MATCH($C11,internal_constants_wide!$A:$A,0),MATCH("Hansen_delta_D",internal_constants_wide!$1:$1,0)),"")</f>
      </c>
      <c r="S11">
        <f>IFERROR(INDEX(internal_constants_wide!$A:$ZZ,MATCH($C11,internal_constants_wide!$A:$A,0),MATCH("Hansen_delta_P",internal_constants_wide!$1:$1,0)),"")</f>
      </c>
      <c r="T11">
        <f>IFERROR(INDEX(internal_constants_wide!$A:$ZZ,MATCH($C11,internal_constants_wide!$A:$A,0),MATCH("Hansen_delta_H",internal_constants_wide!$1:$1,0)),"")</f>
      </c>
      <c r="U11">
        <f>IFERROR(INDEX(internal_constants_wide!$A:$ZZ,MATCH($C11,internal_constants_wide!$A:$A,0),MATCH("molar_volume_cm3_mol",internal_constants_wide!$1:$1,0)),"")</f>
      </c>
      <c r="V11">
        <f>IFERROR(IF(AND(ISNUMBER($K11),ISNUMBER($L11),ISNUMBER($M11),$M11&gt;0),($K11*0.027/($L11*$M11)),""),"")</f>
      </c>
      <c r="W11"/>
    </row>
    <row r="12">
      <c r="A12">
        <v>8</v>
      </c>
      <c r="B12"/>
      <c r="C12"/>
      <c r="D12">
        <f>IFERROR(INDEX(internal_constants_wide!$A:$ZZ,MATCH($C12,internal_constants_wide!$A:$A,0),MATCH("name",internal_constants_wide!$1:$1,0)),"")</f>
      </c>
      <c r="E12">
        <f>IFERROR(INDEX(internal_constants_wide!$A:$ZZ,MATCH($C12,internal_constants_wide!$A:$A,0),MATCH("material_type",internal_constants_wide!$1:$1,0)),"")</f>
      </c>
      <c r="F12"/>
      <c r="G12">
        <f>$G$2</f>
      </c>
      <c r="H12">
        <f>IFERROR(IF(IFERROR(INDEX(internal_constants_wide!$A:$ZZ,MATCH($C12,internal_constants_wide!$A:$A,0),MATCH("molecular_weight_g_mol",internal_constants_wide!$1:$1,0)),"")&lt;&gt;"",IFERROR(INDEX(internal_constants_wide!$A:$ZZ,MATCH($C12,internal_constants_wide!$A:$A,0),MATCH("molecular_weight_g_mol",internal_constants_wide!$1:$1,0)),""),IFERROR(INDEX(internal_constants_wide!$A:$ZZ,MATCH($C12,internal_constants_wide!$A:$A,0),MATCH("average_MW",internal_constants_wide!$1:$1,0)),"")),"")</f>
      </c>
      <c r="I12">
        <f>IFERROR(IF(AND(ISNUMBER($F12),ISNUMBER($G12),ISNUMBER($H12)),$F12/100*$G12*$H12,""),"")</f>
      </c>
      <c r="J12">
        <f>IFERROR(INDEX(internal_constants_wide!$A:$ZZ,MATCH($C12,internal_constants_wide!$A:$A,0),MATCH("HLB",internal_constants_wide!$1:$1,0)),"")</f>
      </c>
      <c r="K12">
        <f>IFERROR(INDEX(internal_constants_wide!$A:$ZZ,MATCH($C12,internal_constants_wide!$A:$A,0),MATCH("tail_carbons",internal_constants_wide!$1:$1,0)),"")</f>
      </c>
      <c r="L12">
        <f>IFERROR(INDEX(internal_constants_wide!$A:$ZZ,MATCH($C12,internal_constants_wide!$A:$A,0),MATCH("number_of_tails",internal_constants_wide!$1:$1,0)),"")</f>
      </c>
      <c r="M12">
        <f>IFERROR(INDEX(internal_constants_wide!$A:$ZZ,MATCH($C12,internal_constants_wide!$A:$A,0),MATCH("headgroup_area_nm2",internal_constants_wide!$1:$1,0)),"")</f>
      </c>
      <c r="N12">
        <f>IFERROR(INDEX(internal_constants_wide!$A:$ZZ,MATCH($C12,internal_constants_wide!$A:$A,0),MATCH("formal_charge",internal_constants_wide!$1:$1,0)),"")</f>
      </c>
      <c r="O12">
        <f>IFERROR(IF(IFERROR(INDEX(internal_constants_wide!$A:$ZZ,MATCH($C12,internal_constants_wide!$A:$A,0),MATCH("pKa_if_ionizable",internal_constants_wide!$1:$1,0)),"")&lt;&gt;"",IFERROR(INDEX(internal_constants_wide!$A:$ZZ,MATCH($C12,internal_constants_wide!$A:$A,0),MATCH("pKa_if_ionizable",internal_constants_wide!$1:$1,0)),""),IFERROR(INDEX(internal_constants_wide!$A:$ZZ,MATCH($C12,internal_constants_wide!$A:$A,0),MATCH("pKa",internal_constants_wide!$1:$1,0)),"")),"")</f>
      </c>
      <c r="P12">
        <f>IFERROR(IF(IFERROR(INDEX(internal_constants_wide!$A:$ZZ,MATCH($C12,internal_constants_wide!$A:$A,0),MATCH("phase_transition_temperature_C",internal_constants_wide!$1:$1,0)),"")&lt;&gt;"",IFERROR(INDEX(internal_constants_wide!$A:$ZZ,MATCH($C12,internal_constants_wide!$A:$A,0),MATCH("phase_transition_temperature_C",internal_constants_wide!$1:$1,0)),""),IFERROR(INDEX(internal_constants_wide!$A:$ZZ,MATCH($C12,internal_constants_wide!$A:$A,0),MATCH("melting_point_C",internal_constants_wide!$1:$1,0)),"")),"")</f>
      </c>
      <c r="Q12">
        <f>IFERROR(INDEX(internal_constants_wide!$A:$ZZ,MATCH($C12,internal_constants_wide!$A:$A,0),MATCH("melting_point_C",internal_constants_wide!$1:$1,0)),"")</f>
      </c>
      <c r="R12">
        <f>IFERROR(INDEX(internal_constants_wide!$A:$ZZ,MATCH($C12,internal_constants_wide!$A:$A,0),MATCH("Hansen_delta_D",internal_constants_wide!$1:$1,0)),"")</f>
      </c>
      <c r="S12">
        <f>IFERROR(INDEX(internal_constants_wide!$A:$ZZ,MATCH($C12,internal_constants_wide!$A:$A,0),MATCH("Hansen_delta_P",internal_constants_wide!$1:$1,0)),"")</f>
      </c>
      <c r="T12">
        <f>IFERROR(INDEX(internal_constants_wide!$A:$ZZ,MATCH($C12,internal_constants_wide!$A:$A,0),MATCH("Hansen_delta_H",internal_constants_wide!$1:$1,0)),"")</f>
      </c>
      <c r="U12">
        <f>IFERROR(INDEX(internal_constants_wide!$A:$ZZ,MATCH($C12,internal_constants_wide!$A:$A,0),MATCH("molar_volume_cm3_mol",internal_constants_wide!$1:$1,0)),"")</f>
      </c>
      <c r="V12">
        <f>IFERROR(IF(AND(ISNUMBER($K12),ISNUMBER($L12),ISNUMBER($M12),$M12&gt;0),($K12*0.027/($L12*$M12)),""),"")</f>
      </c>
      <c r="W12"/>
    </row>
    <row r="13">
      <c r="A13">
        <v>9</v>
      </c>
      <c r="B13"/>
      <c r="C13"/>
      <c r="D13">
        <f>IFERROR(INDEX(internal_constants_wide!$A:$ZZ,MATCH($C13,internal_constants_wide!$A:$A,0),MATCH("name",internal_constants_wide!$1:$1,0)),"")</f>
      </c>
      <c r="E13">
        <f>IFERROR(INDEX(internal_constants_wide!$A:$ZZ,MATCH($C13,internal_constants_wide!$A:$A,0),MATCH("material_type",internal_constants_wide!$1:$1,0)),"")</f>
      </c>
      <c r="F13"/>
      <c r="G13">
        <f>$G$2</f>
      </c>
      <c r="H13">
        <f>IFERROR(IF(IFERROR(INDEX(internal_constants_wide!$A:$ZZ,MATCH($C13,internal_constants_wide!$A:$A,0),MATCH("molecular_weight_g_mol",internal_constants_wide!$1:$1,0)),"")&lt;&gt;"",IFERROR(INDEX(internal_constants_wide!$A:$ZZ,MATCH($C13,internal_constants_wide!$A:$A,0),MATCH("molecular_weight_g_mol",internal_constants_wide!$1:$1,0)),""),IFERROR(INDEX(internal_constants_wide!$A:$ZZ,MATCH($C13,internal_constants_wide!$A:$A,0),MATCH("average_MW",internal_constants_wide!$1:$1,0)),"")),"")</f>
      </c>
      <c r="I13">
        <f>IFERROR(IF(AND(ISNUMBER($F13),ISNUMBER($G13),ISNUMBER($H13)),$F13/100*$G13*$H13,""),"")</f>
      </c>
      <c r="J13">
        <f>IFERROR(INDEX(internal_constants_wide!$A:$ZZ,MATCH($C13,internal_constants_wide!$A:$A,0),MATCH("HLB",internal_constants_wide!$1:$1,0)),"")</f>
      </c>
      <c r="K13">
        <f>IFERROR(INDEX(internal_constants_wide!$A:$ZZ,MATCH($C13,internal_constants_wide!$A:$A,0),MATCH("tail_carbons",internal_constants_wide!$1:$1,0)),"")</f>
      </c>
      <c r="L13">
        <f>IFERROR(INDEX(internal_constants_wide!$A:$ZZ,MATCH($C13,internal_constants_wide!$A:$A,0),MATCH("number_of_tails",internal_constants_wide!$1:$1,0)),"")</f>
      </c>
      <c r="M13">
        <f>IFERROR(INDEX(internal_constants_wide!$A:$ZZ,MATCH($C13,internal_constants_wide!$A:$A,0),MATCH("headgroup_area_nm2",internal_constants_wide!$1:$1,0)),"")</f>
      </c>
      <c r="N13">
        <f>IFERROR(INDEX(internal_constants_wide!$A:$ZZ,MATCH($C13,internal_constants_wide!$A:$A,0),MATCH("formal_charge",internal_constants_wide!$1:$1,0)),"")</f>
      </c>
      <c r="O13">
        <f>IFERROR(IF(IFERROR(INDEX(internal_constants_wide!$A:$ZZ,MATCH($C13,internal_constants_wide!$A:$A,0),MATCH("pKa_if_ionizable",internal_constants_wide!$1:$1,0)),"")&lt;&gt;"",IFERROR(INDEX(internal_constants_wide!$A:$ZZ,MATCH($C13,internal_constants_wide!$A:$A,0),MATCH("pKa_if_ionizable",internal_constants_wide!$1:$1,0)),""),IFERROR(INDEX(internal_constants_wide!$A:$ZZ,MATCH($C13,internal_constants_wide!$A:$A,0),MATCH("pKa",internal_constants_wide!$1:$1,0)),"")),"")</f>
      </c>
      <c r="P13">
        <f>IFERROR(IF(IFERROR(INDEX(internal_constants_wide!$A:$ZZ,MATCH($C13,internal_constants_wide!$A:$A,0),MATCH("phase_transition_temperature_C",internal_constants_wide!$1:$1,0)),"")&lt;&gt;"",IFERROR(INDEX(internal_constants_wide!$A:$ZZ,MATCH($C13,internal_constants_wide!$A:$A,0),MATCH("phase_transition_temperature_C",internal_constants_wide!$1:$1,0)),""),IFERROR(INDEX(internal_constants_wide!$A:$ZZ,MATCH($C13,internal_constants_wide!$A:$A,0),MATCH("melting_point_C",internal_constants_wide!$1:$1,0)),"")),"")</f>
      </c>
      <c r="Q13">
        <f>IFERROR(INDEX(internal_constants_wide!$A:$ZZ,MATCH($C13,internal_constants_wide!$A:$A,0),MATCH("melting_point_C",internal_constants_wide!$1:$1,0)),"")</f>
      </c>
      <c r="R13">
        <f>IFERROR(INDEX(internal_constants_wide!$A:$ZZ,MATCH($C13,internal_constants_wide!$A:$A,0),MATCH("Hansen_delta_D",internal_constants_wide!$1:$1,0)),"")</f>
      </c>
      <c r="S13">
        <f>IFERROR(INDEX(internal_constants_wide!$A:$ZZ,MATCH($C13,internal_constants_wide!$A:$A,0),MATCH("Hansen_delta_P",internal_constants_wide!$1:$1,0)),"")</f>
      </c>
      <c r="T13">
        <f>IFERROR(INDEX(internal_constants_wide!$A:$ZZ,MATCH($C13,internal_constants_wide!$A:$A,0),MATCH("Hansen_delta_H",internal_constants_wide!$1:$1,0)),"")</f>
      </c>
      <c r="U13">
        <f>IFERROR(INDEX(internal_constants_wide!$A:$ZZ,MATCH($C13,internal_constants_wide!$A:$A,0),MATCH("molar_volume_cm3_mol",internal_constants_wide!$1:$1,0)),"")</f>
      </c>
      <c r="V13">
        <f>IFERROR(IF(AND(ISNUMBER($K13),ISNUMBER($L13),ISNUMBER($M13),$M13&gt;0),($K13*0.027/($L13*$M13)),""),"")</f>
      </c>
      <c r="W13"/>
    </row>
    <row r="14">
      <c r="A14">
        <v>10</v>
      </c>
      <c r="B14"/>
      <c r="C14"/>
      <c r="D14">
        <f>IFERROR(INDEX(internal_constants_wide!$A:$ZZ,MATCH($C14,internal_constants_wide!$A:$A,0),MATCH("name",internal_constants_wide!$1:$1,0)),"")</f>
      </c>
      <c r="E14">
        <f>IFERROR(INDEX(internal_constants_wide!$A:$ZZ,MATCH($C14,internal_constants_wide!$A:$A,0),MATCH("material_type",internal_constants_wide!$1:$1,0)),"")</f>
      </c>
      <c r="F14"/>
      <c r="G14">
        <f>$G$2</f>
      </c>
      <c r="H14">
        <f>IFERROR(IF(IFERROR(INDEX(internal_constants_wide!$A:$ZZ,MATCH($C14,internal_constants_wide!$A:$A,0),MATCH("molecular_weight_g_mol",internal_constants_wide!$1:$1,0)),"")&lt;&gt;"",IFERROR(INDEX(internal_constants_wide!$A:$ZZ,MATCH($C14,internal_constants_wide!$A:$A,0),MATCH("molecular_weight_g_mol",internal_constants_wide!$1:$1,0)),""),IFERROR(INDEX(internal_constants_wide!$A:$ZZ,MATCH($C14,internal_constants_wide!$A:$A,0),MATCH("average_MW",internal_constants_wide!$1:$1,0)),"")),"")</f>
      </c>
      <c r="I14">
        <f>IFERROR(IF(AND(ISNUMBER($F14),ISNUMBER($G14),ISNUMBER($H14)),$F14/100*$G14*$H14,""),"")</f>
      </c>
      <c r="J14">
        <f>IFERROR(INDEX(internal_constants_wide!$A:$ZZ,MATCH($C14,internal_constants_wide!$A:$A,0),MATCH("HLB",internal_constants_wide!$1:$1,0)),"")</f>
      </c>
      <c r="K14">
        <f>IFERROR(INDEX(internal_constants_wide!$A:$ZZ,MATCH($C14,internal_constants_wide!$A:$A,0),MATCH("tail_carbons",internal_constants_wide!$1:$1,0)),"")</f>
      </c>
      <c r="L14">
        <f>IFERROR(INDEX(internal_constants_wide!$A:$ZZ,MATCH($C14,internal_constants_wide!$A:$A,0),MATCH("number_of_tails",internal_constants_wide!$1:$1,0)),"")</f>
      </c>
      <c r="M14">
        <f>IFERROR(INDEX(internal_constants_wide!$A:$ZZ,MATCH($C14,internal_constants_wide!$A:$A,0),MATCH("headgroup_area_nm2",internal_constants_wide!$1:$1,0)),"")</f>
      </c>
      <c r="N14">
        <f>IFERROR(INDEX(internal_constants_wide!$A:$ZZ,MATCH($C14,internal_constants_wide!$A:$A,0),MATCH("formal_charge",internal_constants_wide!$1:$1,0)),"")</f>
      </c>
      <c r="O14">
        <f>IFERROR(IF(IFERROR(INDEX(internal_constants_wide!$A:$ZZ,MATCH($C14,internal_constants_wide!$A:$A,0),MATCH("pKa_if_ionizable",internal_constants_wide!$1:$1,0)),"")&lt;&gt;"",IFERROR(INDEX(internal_constants_wide!$A:$ZZ,MATCH($C14,internal_constants_wide!$A:$A,0),MATCH("pKa_if_ionizable",internal_constants_wide!$1:$1,0)),""),IFERROR(INDEX(internal_constants_wide!$A:$ZZ,MATCH($C14,internal_constants_wide!$A:$A,0),MATCH("pKa",internal_constants_wide!$1:$1,0)),"")),"")</f>
      </c>
      <c r="P14">
        <f>IFERROR(IF(IFERROR(INDEX(internal_constants_wide!$A:$ZZ,MATCH($C14,internal_constants_wide!$A:$A,0),MATCH("phase_transition_temperature_C",internal_constants_wide!$1:$1,0)),"")&lt;&gt;"",IFERROR(INDEX(internal_constants_wide!$A:$ZZ,MATCH($C14,internal_constants_wide!$A:$A,0),MATCH("phase_transition_temperature_C",internal_constants_wide!$1:$1,0)),""),IFERROR(INDEX(internal_constants_wide!$A:$ZZ,MATCH($C14,internal_constants_wide!$A:$A,0),MATCH("melting_point_C",internal_constants_wide!$1:$1,0)),"")),"")</f>
      </c>
      <c r="Q14">
        <f>IFERROR(INDEX(internal_constants_wide!$A:$ZZ,MATCH($C14,internal_constants_wide!$A:$A,0),MATCH("melting_point_C",internal_constants_wide!$1:$1,0)),"")</f>
      </c>
      <c r="R14">
        <f>IFERROR(INDEX(internal_constants_wide!$A:$ZZ,MATCH($C14,internal_constants_wide!$A:$A,0),MATCH("Hansen_delta_D",internal_constants_wide!$1:$1,0)),"")</f>
      </c>
      <c r="S14">
        <f>IFERROR(INDEX(internal_constants_wide!$A:$ZZ,MATCH($C14,internal_constants_wide!$A:$A,0),MATCH("Hansen_delta_P",internal_constants_wide!$1:$1,0)),"")</f>
      </c>
      <c r="T14">
        <f>IFERROR(INDEX(internal_constants_wide!$A:$ZZ,MATCH($C14,internal_constants_wide!$A:$A,0),MATCH("Hansen_delta_H",internal_constants_wide!$1:$1,0)),"")</f>
      </c>
      <c r="U14">
        <f>IFERROR(INDEX(internal_constants_wide!$A:$ZZ,MATCH($C14,internal_constants_wide!$A:$A,0),MATCH("molar_volume_cm3_mol",internal_constants_wide!$1:$1,0)),"")</f>
      </c>
      <c r="V14">
        <f>IFERROR(IF(AND(ISNUMBER($K14),ISNUMBER($L14),ISNUMBER($M14),$M14&gt;0),($K14*0.027/($L14*$M14)),""),"")</f>
      </c>
      <c r="W14"/>
    </row>
    <row r="15">
      <c r="A15">
        <v>11</v>
      </c>
      <c r="B15"/>
      <c r="C15"/>
      <c r="D15">
        <f>IFERROR(INDEX(internal_constants_wide!$A:$ZZ,MATCH($C15,internal_constants_wide!$A:$A,0),MATCH("name",internal_constants_wide!$1:$1,0)),"")</f>
      </c>
      <c r="E15">
        <f>IFERROR(INDEX(internal_constants_wide!$A:$ZZ,MATCH($C15,internal_constants_wide!$A:$A,0),MATCH("material_type",internal_constants_wide!$1:$1,0)),"")</f>
      </c>
      <c r="F15"/>
      <c r="G15">
        <f>$G$2</f>
      </c>
      <c r="H15">
        <f>IFERROR(IF(IFERROR(INDEX(internal_constants_wide!$A:$ZZ,MATCH($C15,internal_constants_wide!$A:$A,0),MATCH("molecular_weight_g_mol",internal_constants_wide!$1:$1,0)),"")&lt;&gt;"",IFERROR(INDEX(internal_constants_wide!$A:$ZZ,MATCH($C15,internal_constants_wide!$A:$A,0),MATCH("molecular_weight_g_mol",internal_constants_wide!$1:$1,0)),""),IFERROR(INDEX(internal_constants_wide!$A:$ZZ,MATCH($C15,internal_constants_wide!$A:$A,0),MATCH("average_MW",internal_constants_wide!$1:$1,0)),"")),"")</f>
      </c>
      <c r="I15">
        <f>IFERROR(IF(AND(ISNUMBER($F15),ISNUMBER($G15),ISNUMBER($H15)),$F15/100*$G15*$H15,""),"")</f>
      </c>
      <c r="J15">
        <f>IFERROR(INDEX(internal_constants_wide!$A:$ZZ,MATCH($C15,internal_constants_wide!$A:$A,0),MATCH("HLB",internal_constants_wide!$1:$1,0)),"")</f>
      </c>
      <c r="K15">
        <f>IFERROR(INDEX(internal_constants_wide!$A:$ZZ,MATCH($C15,internal_constants_wide!$A:$A,0),MATCH("tail_carbons",internal_constants_wide!$1:$1,0)),"")</f>
      </c>
      <c r="L15">
        <f>IFERROR(INDEX(internal_constants_wide!$A:$ZZ,MATCH($C15,internal_constants_wide!$A:$A,0),MATCH("number_of_tails",internal_constants_wide!$1:$1,0)),"")</f>
      </c>
      <c r="M15">
        <f>IFERROR(INDEX(internal_constants_wide!$A:$ZZ,MATCH($C15,internal_constants_wide!$A:$A,0),MATCH("headgroup_area_nm2",internal_constants_wide!$1:$1,0)),"")</f>
      </c>
      <c r="N15">
        <f>IFERROR(INDEX(internal_constants_wide!$A:$ZZ,MATCH($C15,internal_constants_wide!$A:$A,0),MATCH("formal_charge",internal_constants_wide!$1:$1,0)),"")</f>
      </c>
      <c r="O15">
        <f>IFERROR(IF(IFERROR(INDEX(internal_constants_wide!$A:$ZZ,MATCH($C15,internal_constants_wide!$A:$A,0),MATCH("pKa_if_ionizable",internal_constants_wide!$1:$1,0)),"")&lt;&gt;"",IFERROR(INDEX(internal_constants_wide!$A:$ZZ,MATCH($C15,internal_constants_wide!$A:$A,0),MATCH("pKa_if_ionizable",internal_constants_wide!$1:$1,0)),""),IFERROR(INDEX(internal_constants_wide!$A:$ZZ,MATCH($C15,internal_constants_wide!$A:$A,0),MATCH("pKa",internal_constants_wide!$1:$1,0)),"")),"")</f>
      </c>
      <c r="P15">
        <f>IFERROR(IF(IFERROR(INDEX(internal_constants_wide!$A:$ZZ,MATCH($C15,internal_constants_wide!$A:$A,0),MATCH("phase_transition_temperature_C",internal_constants_wide!$1:$1,0)),"")&lt;&gt;"",IFERROR(INDEX(internal_constants_wide!$A:$ZZ,MATCH($C15,internal_constants_wide!$A:$A,0),MATCH("phase_transition_temperature_C",internal_constants_wide!$1:$1,0)),""),IFERROR(INDEX(internal_constants_wide!$A:$ZZ,MATCH($C15,internal_constants_wide!$A:$A,0),MATCH("melting_point_C",internal_constants_wide!$1:$1,0)),"")),"")</f>
      </c>
      <c r="Q15">
        <f>IFERROR(INDEX(internal_constants_wide!$A:$ZZ,MATCH($C15,internal_constants_wide!$A:$A,0),MATCH("melting_point_C",internal_constants_wide!$1:$1,0)),"")</f>
      </c>
      <c r="R15">
        <f>IFERROR(INDEX(internal_constants_wide!$A:$ZZ,MATCH($C15,internal_constants_wide!$A:$A,0),MATCH("Hansen_delta_D",internal_constants_wide!$1:$1,0)),"")</f>
      </c>
      <c r="S15">
        <f>IFERROR(INDEX(internal_constants_wide!$A:$ZZ,MATCH($C15,internal_constants_wide!$A:$A,0),MATCH("Hansen_delta_P",internal_constants_wide!$1:$1,0)),"")</f>
      </c>
      <c r="T15">
        <f>IFERROR(INDEX(internal_constants_wide!$A:$ZZ,MATCH($C15,internal_constants_wide!$A:$A,0),MATCH("Hansen_delta_H",internal_constants_wide!$1:$1,0)),"")</f>
      </c>
      <c r="U15">
        <f>IFERROR(INDEX(internal_constants_wide!$A:$ZZ,MATCH($C15,internal_constants_wide!$A:$A,0),MATCH("molar_volume_cm3_mol",internal_constants_wide!$1:$1,0)),"")</f>
      </c>
      <c r="V15">
        <f>IFERROR(IF(AND(ISNUMBER($K15),ISNUMBER($L15),ISNUMBER($M15),$M15&gt;0),($K15*0.027/($L15*$M15)),""),"")</f>
      </c>
      <c r="W15"/>
    </row>
    <row r="16">
      <c r="A16">
        <v>12</v>
      </c>
      <c r="B16"/>
      <c r="C16"/>
      <c r="D16">
        <f>IFERROR(INDEX(internal_constants_wide!$A:$ZZ,MATCH($C16,internal_constants_wide!$A:$A,0),MATCH("name",internal_constants_wide!$1:$1,0)),"")</f>
      </c>
      <c r="E16">
        <f>IFERROR(INDEX(internal_constants_wide!$A:$ZZ,MATCH($C16,internal_constants_wide!$A:$A,0),MATCH("material_type",internal_constants_wide!$1:$1,0)),"")</f>
      </c>
      <c r="F16"/>
      <c r="G16">
        <f>$G$2</f>
      </c>
      <c r="H16">
        <f>IFERROR(IF(IFERROR(INDEX(internal_constants_wide!$A:$ZZ,MATCH($C16,internal_constants_wide!$A:$A,0),MATCH("molecular_weight_g_mol",internal_constants_wide!$1:$1,0)),"")&lt;&gt;"",IFERROR(INDEX(internal_constants_wide!$A:$ZZ,MATCH($C16,internal_constants_wide!$A:$A,0),MATCH("molecular_weight_g_mol",internal_constants_wide!$1:$1,0)),""),IFERROR(INDEX(internal_constants_wide!$A:$ZZ,MATCH($C16,internal_constants_wide!$A:$A,0),MATCH("average_MW",internal_constants_wide!$1:$1,0)),"")),"")</f>
      </c>
      <c r="I16">
        <f>IFERROR(IF(AND(ISNUMBER($F16),ISNUMBER($G16),ISNUMBER($H16)),$F16/100*$G16*$H16,""),"")</f>
      </c>
      <c r="J16">
        <f>IFERROR(INDEX(internal_constants_wide!$A:$ZZ,MATCH($C16,internal_constants_wide!$A:$A,0),MATCH("HLB",internal_constants_wide!$1:$1,0)),"")</f>
      </c>
      <c r="K16">
        <f>IFERROR(INDEX(internal_constants_wide!$A:$ZZ,MATCH($C16,internal_constants_wide!$A:$A,0),MATCH("tail_carbons",internal_constants_wide!$1:$1,0)),"")</f>
      </c>
      <c r="L16">
        <f>IFERROR(INDEX(internal_constants_wide!$A:$ZZ,MATCH($C16,internal_constants_wide!$A:$A,0),MATCH("number_of_tails",internal_constants_wide!$1:$1,0)),"")</f>
      </c>
      <c r="M16">
        <f>IFERROR(INDEX(internal_constants_wide!$A:$ZZ,MATCH($C16,internal_constants_wide!$A:$A,0),MATCH("headgroup_area_nm2",internal_constants_wide!$1:$1,0)),"")</f>
      </c>
      <c r="N16">
        <f>IFERROR(INDEX(internal_constants_wide!$A:$ZZ,MATCH($C16,internal_constants_wide!$A:$A,0),MATCH("formal_charge",internal_constants_wide!$1:$1,0)),"")</f>
      </c>
      <c r="O16">
        <f>IFERROR(IF(IFERROR(INDEX(internal_constants_wide!$A:$ZZ,MATCH($C16,internal_constants_wide!$A:$A,0),MATCH("pKa_if_ionizable",internal_constants_wide!$1:$1,0)),"")&lt;&gt;"",IFERROR(INDEX(internal_constants_wide!$A:$ZZ,MATCH($C16,internal_constants_wide!$A:$A,0),MATCH("pKa_if_ionizable",internal_constants_wide!$1:$1,0)),""),IFERROR(INDEX(internal_constants_wide!$A:$ZZ,MATCH($C16,internal_constants_wide!$A:$A,0),MATCH("pKa",internal_constants_wide!$1:$1,0)),"")),"")</f>
      </c>
      <c r="P16">
        <f>IFERROR(IF(IFERROR(INDEX(internal_constants_wide!$A:$ZZ,MATCH($C16,internal_constants_wide!$A:$A,0),MATCH("phase_transition_temperature_C",internal_constants_wide!$1:$1,0)),"")&lt;&gt;"",IFERROR(INDEX(internal_constants_wide!$A:$ZZ,MATCH($C16,internal_constants_wide!$A:$A,0),MATCH("phase_transition_temperature_C",internal_constants_wide!$1:$1,0)),""),IFERROR(INDEX(internal_constants_wide!$A:$ZZ,MATCH($C16,internal_constants_wide!$A:$A,0),MATCH("melting_point_C",internal_constants_wide!$1:$1,0)),"")),"")</f>
      </c>
      <c r="Q16">
        <f>IFERROR(INDEX(internal_constants_wide!$A:$ZZ,MATCH($C16,internal_constants_wide!$A:$A,0),MATCH("melting_point_C",internal_constants_wide!$1:$1,0)),"")</f>
      </c>
      <c r="R16">
        <f>IFERROR(INDEX(internal_constants_wide!$A:$ZZ,MATCH($C16,internal_constants_wide!$A:$A,0),MATCH("Hansen_delta_D",internal_constants_wide!$1:$1,0)),"")</f>
      </c>
      <c r="S16">
        <f>IFERROR(INDEX(internal_constants_wide!$A:$ZZ,MATCH($C16,internal_constants_wide!$A:$A,0),MATCH("Hansen_delta_P",internal_constants_wide!$1:$1,0)),"")</f>
      </c>
      <c r="T16">
        <f>IFERROR(INDEX(internal_constants_wide!$A:$ZZ,MATCH($C16,internal_constants_wide!$A:$A,0),MATCH("Hansen_delta_H",internal_constants_wide!$1:$1,0)),"")</f>
      </c>
      <c r="U16">
        <f>IFERROR(INDEX(internal_constants_wide!$A:$ZZ,MATCH($C16,internal_constants_wide!$A:$A,0),MATCH("molar_volume_cm3_mol",internal_constants_wide!$1:$1,0)),"")</f>
      </c>
      <c r="V16">
        <f>IFERROR(IF(AND(ISNUMBER($K16),ISNUMBER($L16),ISNUMBER($M16),$M16&gt;0),($K16*0.027/($L16*$M16)),""),"")</f>
      </c>
      <c r="W16"/>
    </row>
    <row r="17">
      <c r="A17">
        <v>13</v>
      </c>
      <c r="B17"/>
      <c r="C17"/>
      <c r="D17">
        <f>IFERROR(INDEX(internal_constants_wide!$A:$ZZ,MATCH($C17,internal_constants_wide!$A:$A,0),MATCH("name",internal_constants_wide!$1:$1,0)),"")</f>
      </c>
      <c r="E17">
        <f>IFERROR(INDEX(internal_constants_wide!$A:$ZZ,MATCH($C17,internal_constants_wide!$A:$A,0),MATCH("material_type",internal_constants_wide!$1:$1,0)),"")</f>
      </c>
      <c r="F17"/>
      <c r="G17">
        <f>$G$2</f>
      </c>
      <c r="H17">
        <f>IFERROR(IF(IFERROR(INDEX(internal_constants_wide!$A:$ZZ,MATCH($C17,internal_constants_wide!$A:$A,0),MATCH("molecular_weight_g_mol",internal_constants_wide!$1:$1,0)),"")&lt;&gt;"",IFERROR(INDEX(internal_constants_wide!$A:$ZZ,MATCH($C17,internal_constants_wide!$A:$A,0),MATCH("molecular_weight_g_mol",internal_constants_wide!$1:$1,0)),""),IFERROR(INDEX(internal_constants_wide!$A:$ZZ,MATCH($C17,internal_constants_wide!$A:$A,0),MATCH("average_MW",internal_constants_wide!$1:$1,0)),"")),"")</f>
      </c>
      <c r="I17">
        <f>IFERROR(IF(AND(ISNUMBER($F17),ISNUMBER($G17),ISNUMBER($H17)),$F17/100*$G17*$H17,""),"")</f>
      </c>
      <c r="J17">
        <f>IFERROR(INDEX(internal_constants_wide!$A:$ZZ,MATCH($C17,internal_constants_wide!$A:$A,0),MATCH("HLB",internal_constants_wide!$1:$1,0)),"")</f>
      </c>
      <c r="K17">
        <f>IFERROR(INDEX(internal_constants_wide!$A:$ZZ,MATCH($C17,internal_constants_wide!$A:$A,0),MATCH("tail_carbons",internal_constants_wide!$1:$1,0)),"")</f>
      </c>
      <c r="L17">
        <f>IFERROR(INDEX(internal_constants_wide!$A:$ZZ,MATCH($C17,internal_constants_wide!$A:$A,0),MATCH("number_of_tails",internal_constants_wide!$1:$1,0)),"")</f>
      </c>
      <c r="M17">
        <f>IFERROR(INDEX(internal_constants_wide!$A:$ZZ,MATCH($C17,internal_constants_wide!$A:$A,0),MATCH("headgroup_area_nm2",internal_constants_wide!$1:$1,0)),"")</f>
      </c>
      <c r="N17">
        <f>IFERROR(INDEX(internal_constants_wide!$A:$ZZ,MATCH($C17,internal_constants_wide!$A:$A,0),MATCH("formal_charge",internal_constants_wide!$1:$1,0)),"")</f>
      </c>
      <c r="O17">
        <f>IFERROR(IF(IFERROR(INDEX(internal_constants_wide!$A:$ZZ,MATCH($C17,internal_constants_wide!$A:$A,0),MATCH("pKa_if_ionizable",internal_constants_wide!$1:$1,0)),"")&lt;&gt;"",IFERROR(INDEX(internal_constants_wide!$A:$ZZ,MATCH($C17,internal_constants_wide!$A:$A,0),MATCH("pKa_if_ionizable",internal_constants_wide!$1:$1,0)),""),IFERROR(INDEX(internal_constants_wide!$A:$ZZ,MATCH($C17,internal_constants_wide!$A:$A,0),MATCH("pKa",internal_constants_wide!$1:$1,0)),"")),"")</f>
      </c>
      <c r="P17">
        <f>IFERROR(IF(IFERROR(INDEX(internal_constants_wide!$A:$ZZ,MATCH($C17,internal_constants_wide!$A:$A,0),MATCH("phase_transition_temperature_C",internal_constants_wide!$1:$1,0)),"")&lt;&gt;"",IFERROR(INDEX(internal_constants_wide!$A:$ZZ,MATCH($C17,internal_constants_wide!$A:$A,0),MATCH("phase_transition_temperature_C",internal_constants_wide!$1:$1,0)),""),IFERROR(INDEX(internal_constants_wide!$A:$ZZ,MATCH($C17,internal_constants_wide!$A:$A,0),MATCH("melting_point_C",internal_constants_wide!$1:$1,0)),"")),"")</f>
      </c>
      <c r="Q17">
        <f>IFERROR(INDEX(internal_constants_wide!$A:$ZZ,MATCH($C17,internal_constants_wide!$A:$A,0),MATCH("melting_point_C",internal_constants_wide!$1:$1,0)),"")</f>
      </c>
      <c r="R17">
        <f>IFERROR(INDEX(internal_constants_wide!$A:$ZZ,MATCH($C17,internal_constants_wide!$A:$A,0),MATCH("Hansen_delta_D",internal_constants_wide!$1:$1,0)),"")</f>
      </c>
      <c r="S17">
        <f>IFERROR(INDEX(internal_constants_wide!$A:$ZZ,MATCH($C17,internal_constants_wide!$A:$A,0),MATCH("Hansen_delta_P",internal_constants_wide!$1:$1,0)),"")</f>
      </c>
      <c r="T17">
        <f>IFERROR(INDEX(internal_constants_wide!$A:$ZZ,MATCH($C17,internal_constants_wide!$A:$A,0),MATCH("Hansen_delta_H",internal_constants_wide!$1:$1,0)),"")</f>
      </c>
      <c r="U17">
        <f>IFERROR(INDEX(internal_constants_wide!$A:$ZZ,MATCH($C17,internal_constants_wide!$A:$A,0),MATCH("molar_volume_cm3_mol",internal_constants_wide!$1:$1,0)),"")</f>
      </c>
      <c r="V17">
        <f>IFERROR(IF(AND(ISNUMBER($K17),ISNUMBER($L17),ISNUMBER($M17),$M17&gt;0),($K17*0.027/($L17*$M17)),""),"")</f>
      </c>
      <c r="W17"/>
    </row>
    <row r="18">
      <c r="A18">
        <v>14</v>
      </c>
      <c r="B18"/>
      <c r="C18"/>
      <c r="D18">
        <f>IFERROR(INDEX(internal_constants_wide!$A:$ZZ,MATCH($C18,internal_constants_wide!$A:$A,0),MATCH("name",internal_constants_wide!$1:$1,0)),"")</f>
      </c>
      <c r="E18">
        <f>IFERROR(INDEX(internal_constants_wide!$A:$ZZ,MATCH($C18,internal_constants_wide!$A:$A,0),MATCH("material_type",internal_constants_wide!$1:$1,0)),"")</f>
      </c>
      <c r="F18"/>
      <c r="G18">
        <f>$G$2</f>
      </c>
      <c r="H18">
        <f>IFERROR(IF(IFERROR(INDEX(internal_constants_wide!$A:$ZZ,MATCH($C18,internal_constants_wide!$A:$A,0),MATCH("molecular_weight_g_mol",internal_constants_wide!$1:$1,0)),"")&lt;&gt;"",IFERROR(INDEX(internal_constants_wide!$A:$ZZ,MATCH($C18,internal_constants_wide!$A:$A,0),MATCH("molecular_weight_g_mol",internal_constants_wide!$1:$1,0)),""),IFERROR(INDEX(internal_constants_wide!$A:$ZZ,MATCH($C18,internal_constants_wide!$A:$A,0),MATCH("average_MW",internal_constants_wide!$1:$1,0)),"")),"")</f>
      </c>
      <c r="I18">
        <f>IFERROR(IF(AND(ISNUMBER($F18),ISNUMBER($G18),ISNUMBER($H18)),$F18/100*$G18*$H18,""),"")</f>
      </c>
      <c r="J18">
        <f>IFERROR(INDEX(internal_constants_wide!$A:$ZZ,MATCH($C18,internal_constants_wide!$A:$A,0),MATCH("HLB",internal_constants_wide!$1:$1,0)),"")</f>
      </c>
      <c r="K18">
        <f>IFERROR(INDEX(internal_constants_wide!$A:$ZZ,MATCH($C18,internal_constants_wide!$A:$A,0),MATCH("tail_carbons",internal_constants_wide!$1:$1,0)),"")</f>
      </c>
      <c r="L18">
        <f>IFERROR(INDEX(internal_constants_wide!$A:$ZZ,MATCH($C18,internal_constants_wide!$A:$A,0),MATCH("number_of_tails",internal_constants_wide!$1:$1,0)),"")</f>
      </c>
      <c r="M18">
        <f>IFERROR(INDEX(internal_constants_wide!$A:$ZZ,MATCH($C18,internal_constants_wide!$A:$A,0),MATCH("headgroup_area_nm2",internal_constants_wide!$1:$1,0)),"")</f>
      </c>
      <c r="N18">
        <f>IFERROR(INDEX(internal_constants_wide!$A:$ZZ,MATCH($C18,internal_constants_wide!$A:$A,0),MATCH("formal_charge",internal_constants_wide!$1:$1,0)),"")</f>
      </c>
      <c r="O18">
        <f>IFERROR(IF(IFERROR(INDEX(internal_constants_wide!$A:$ZZ,MATCH($C18,internal_constants_wide!$A:$A,0),MATCH("pKa_if_ionizable",internal_constants_wide!$1:$1,0)),"")&lt;&gt;"",IFERROR(INDEX(internal_constants_wide!$A:$ZZ,MATCH($C18,internal_constants_wide!$A:$A,0),MATCH("pKa_if_ionizable",internal_constants_wide!$1:$1,0)),""),IFERROR(INDEX(internal_constants_wide!$A:$ZZ,MATCH($C18,internal_constants_wide!$A:$A,0),MATCH("pKa",internal_constants_wide!$1:$1,0)),"")),"")</f>
      </c>
      <c r="P18">
        <f>IFERROR(IF(IFERROR(INDEX(internal_constants_wide!$A:$ZZ,MATCH($C18,internal_constants_wide!$A:$A,0),MATCH("phase_transition_temperature_C",internal_constants_wide!$1:$1,0)),"")&lt;&gt;"",IFERROR(INDEX(internal_constants_wide!$A:$ZZ,MATCH($C18,internal_constants_wide!$A:$A,0),MATCH("phase_transition_temperature_C",internal_constants_wide!$1:$1,0)),""),IFERROR(INDEX(internal_constants_wide!$A:$ZZ,MATCH($C18,internal_constants_wide!$A:$A,0),MATCH("melting_point_C",internal_constants_wide!$1:$1,0)),"")),"")</f>
      </c>
      <c r="Q18">
        <f>IFERROR(INDEX(internal_constants_wide!$A:$ZZ,MATCH($C18,internal_constants_wide!$A:$A,0),MATCH("melting_point_C",internal_constants_wide!$1:$1,0)),"")</f>
      </c>
      <c r="R18">
        <f>IFERROR(INDEX(internal_constants_wide!$A:$ZZ,MATCH($C18,internal_constants_wide!$A:$A,0),MATCH("Hansen_delta_D",internal_constants_wide!$1:$1,0)),"")</f>
      </c>
      <c r="S18">
        <f>IFERROR(INDEX(internal_constants_wide!$A:$ZZ,MATCH($C18,internal_constants_wide!$A:$A,0),MATCH("Hansen_delta_P",internal_constants_wide!$1:$1,0)),"")</f>
      </c>
      <c r="T18">
        <f>IFERROR(INDEX(internal_constants_wide!$A:$ZZ,MATCH($C18,internal_constants_wide!$A:$A,0),MATCH("Hansen_delta_H",internal_constants_wide!$1:$1,0)),"")</f>
      </c>
      <c r="U18">
        <f>IFERROR(INDEX(internal_constants_wide!$A:$ZZ,MATCH($C18,internal_constants_wide!$A:$A,0),MATCH("molar_volume_cm3_mol",internal_constants_wide!$1:$1,0)),"")</f>
      </c>
      <c r="V18">
        <f>IFERROR(IF(AND(ISNUMBER($K18),ISNUMBER($L18),ISNUMBER($M18),$M18&gt;0),($K18*0.027/($L18*$M18)),""),"")</f>
      </c>
      <c r="W18"/>
    </row>
    <row r="19">
      <c r="A19">
        <v>15</v>
      </c>
      <c r="B19"/>
      <c r="C19"/>
      <c r="D19">
        <f>IFERROR(INDEX(internal_constants_wide!$A:$ZZ,MATCH($C19,internal_constants_wide!$A:$A,0),MATCH("name",internal_constants_wide!$1:$1,0)),"")</f>
      </c>
      <c r="E19">
        <f>IFERROR(INDEX(internal_constants_wide!$A:$ZZ,MATCH($C19,internal_constants_wide!$A:$A,0),MATCH("material_type",internal_constants_wide!$1:$1,0)),"")</f>
      </c>
      <c r="F19"/>
      <c r="G19">
        <f>$G$2</f>
      </c>
      <c r="H19">
        <f>IFERROR(IF(IFERROR(INDEX(internal_constants_wide!$A:$ZZ,MATCH($C19,internal_constants_wide!$A:$A,0),MATCH("molecular_weight_g_mol",internal_constants_wide!$1:$1,0)),"")&lt;&gt;"",IFERROR(INDEX(internal_constants_wide!$A:$ZZ,MATCH($C19,internal_constants_wide!$A:$A,0),MATCH("molecular_weight_g_mol",internal_constants_wide!$1:$1,0)),""),IFERROR(INDEX(internal_constants_wide!$A:$ZZ,MATCH($C19,internal_constants_wide!$A:$A,0),MATCH("average_MW",internal_constants_wide!$1:$1,0)),"")),"")</f>
      </c>
      <c r="I19">
        <f>IFERROR(IF(AND(ISNUMBER($F19),ISNUMBER($G19),ISNUMBER($H19)),$F19/100*$G19*$H19,""),"")</f>
      </c>
      <c r="J19">
        <f>IFERROR(INDEX(internal_constants_wide!$A:$ZZ,MATCH($C19,internal_constants_wide!$A:$A,0),MATCH("HLB",internal_constants_wide!$1:$1,0)),"")</f>
      </c>
      <c r="K19">
        <f>IFERROR(INDEX(internal_constants_wide!$A:$ZZ,MATCH($C19,internal_constants_wide!$A:$A,0),MATCH("tail_carbons",internal_constants_wide!$1:$1,0)),"")</f>
      </c>
      <c r="L19">
        <f>IFERROR(INDEX(internal_constants_wide!$A:$ZZ,MATCH($C19,internal_constants_wide!$A:$A,0),MATCH("number_of_tails",internal_constants_wide!$1:$1,0)),"")</f>
      </c>
      <c r="M19">
        <f>IFERROR(INDEX(internal_constants_wide!$A:$ZZ,MATCH($C19,internal_constants_wide!$A:$A,0),MATCH("headgroup_area_nm2",internal_constants_wide!$1:$1,0)),"")</f>
      </c>
      <c r="N19">
        <f>IFERROR(INDEX(internal_constants_wide!$A:$ZZ,MATCH($C19,internal_constants_wide!$A:$A,0),MATCH("formal_charge",internal_constants_wide!$1:$1,0)),"")</f>
      </c>
      <c r="O19">
        <f>IFERROR(IF(IFERROR(INDEX(internal_constants_wide!$A:$ZZ,MATCH($C19,internal_constants_wide!$A:$A,0),MATCH("pKa_if_ionizable",internal_constants_wide!$1:$1,0)),"")&lt;&gt;"",IFERROR(INDEX(internal_constants_wide!$A:$ZZ,MATCH($C19,internal_constants_wide!$A:$A,0),MATCH("pKa_if_ionizable",internal_constants_wide!$1:$1,0)),""),IFERROR(INDEX(internal_constants_wide!$A:$ZZ,MATCH($C19,internal_constants_wide!$A:$A,0),MATCH("pKa",internal_constants_wide!$1:$1,0)),"")),"")</f>
      </c>
      <c r="P19">
        <f>IFERROR(IF(IFERROR(INDEX(internal_constants_wide!$A:$ZZ,MATCH($C19,internal_constants_wide!$A:$A,0),MATCH("phase_transition_temperature_C",internal_constants_wide!$1:$1,0)),"")&lt;&gt;"",IFERROR(INDEX(internal_constants_wide!$A:$ZZ,MATCH($C19,internal_constants_wide!$A:$A,0),MATCH("phase_transition_temperature_C",internal_constants_wide!$1:$1,0)),""),IFERROR(INDEX(internal_constants_wide!$A:$ZZ,MATCH($C19,internal_constants_wide!$A:$A,0),MATCH("melting_point_C",internal_constants_wide!$1:$1,0)),"")),"")</f>
      </c>
      <c r="Q19">
        <f>IFERROR(INDEX(internal_constants_wide!$A:$ZZ,MATCH($C19,internal_constants_wide!$A:$A,0),MATCH("melting_point_C",internal_constants_wide!$1:$1,0)),"")</f>
      </c>
      <c r="R19">
        <f>IFERROR(INDEX(internal_constants_wide!$A:$ZZ,MATCH($C19,internal_constants_wide!$A:$A,0),MATCH("Hansen_delta_D",internal_constants_wide!$1:$1,0)),"")</f>
      </c>
      <c r="S19">
        <f>IFERROR(INDEX(internal_constants_wide!$A:$ZZ,MATCH($C19,internal_constants_wide!$A:$A,0),MATCH("Hansen_delta_P",internal_constants_wide!$1:$1,0)),"")</f>
      </c>
      <c r="T19">
        <f>IFERROR(INDEX(internal_constants_wide!$A:$ZZ,MATCH($C19,internal_constants_wide!$A:$A,0),MATCH("Hansen_delta_H",internal_constants_wide!$1:$1,0)),"")</f>
      </c>
      <c r="U19">
        <f>IFERROR(INDEX(internal_constants_wide!$A:$ZZ,MATCH($C19,internal_constants_wide!$A:$A,0),MATCH("molar_volume_cm3_mol",internal_constants_wide!$1:$1,0)),"")</f>
      </c>
      <c r="V19">
        <f>IFERROR(IF(AND(ISNUMBER($K19),ISNUMBER($L19),ISNUMBER($M19),$M19&gt;0),($K19*0.027/($L19*$M19)),""),"")</f>
      </c>
      <c r="W19"/>
    </row>
    <row r="20">
      <c r="A20">
        <v>16</v>
      </c>
      <c r="B20"/>
      <c r="C20"/>
      <c r="D20">
        <f>IFERROR(INDEX(internal_constants_wide!$A:$ZZ,MATCH($C20,internal_constants_wide!$A:$A,0),MATCH("name",internal_constants_wide!$1:$1,0)),"")</f>
      </c>
      <c r="E20">
        <f>IFERROR(INDEX(internal_constants_wide!$A:$ZZ,MATCH($C20,internal_constants_wide!$A:$A,0),MATCH("material_type",internal_constants_wide!$1:$1,0)),"")</f>
      </c>
      <c r="F20"/>
      <c r="G20">
        <f>$G$2</f>
      </c>
      <c r="H20">
        <f>IFERROR(IF(IFERROR(INDEX(internal_constants_wide!$A:$ZZ,MATCH($C20,internal_constants_wide!$A:$A,0),MATCH("molecular_weight_g_mol",internal_constants_wide!$1:$1,0)),"")&lt;&gt;"",IFERROR(INDEX(internal_constants_wide!$A:$ZZ,MATCH($C20,internal_constants_wide!$A:$A,0),MATCH("molecular_weight_g_mol",internal_constants_wide!$1:$1,0)),""),IFERROR(INDEX(internal_constants_wide!$A:$ZZ,MATCH($C20,internal_constants_wide!$A:$A,0),MATCH("average_MW",internal_constants_wide!$1:$1,0)),"")),"")</f>
      </c>
      <c r="I20">
        <f>IFERROR(IF(AND(ISNUMBER($F20),ISNUMBER($G20),ISNUMBER($H20)),$F20/100*$G20*$H20,""),"")</f>
      </c>
      <c r="J20">
        <f>IFERROR(INDEX(internal_constants_wide!$A:$ZZ,MATCH($C20,internal_constants_wide!$A:$A,0),MATCH("HLB",internal_constants_wide!$1:$1,0)),"")</f>
      </c>
      <c r="K20">
        <f>IFERROR(INDEX(internal_constants_wide!$A:$ZZ,MATCH($C20,internal_constants_wide!$A:$A,0),MATCH("tail_carbons",internal_constants_wide!$1:$1,0)),"")</f>
      </c>
      <c r="L20">
        <f>IFERROR(INDEX(internal_constants_wide!$A:$ZZ,MATCH($C20,internal_constants_wide!$A:$A,0),MATCH("number_of_tails",internal_constants_wide!$1:$1,0)),"")</f>
      </c>
      <c r="M20">
        <f>IFERROR(INDEX(internal_constants_wide!$A:$ZZ,MATCH($C20,internal_constants_wide!$A:$A,0),MATCH("headgroup_area_nm2",internal_constants_wide!$1:$1,0)),"")</f>
      </c>
      <c r="N20">
        <f>IFERROR(INDEX(internal_constants_wide!$A:$ZZ,MATCH($C20,internal_constants_wide!$A:$A,0),MATCH("formal_charge",internal_constants_wide!$1:$1,0)),"")</f>
      </c>
      <c r="O20">
        <f>IFERROR(IF(IFERROR(INDEX(internal_constants_wide!$A:$ZZ,MATCH($C20,internal_constants_wide!$A:$A,0),MATCH("pKa_if_ionizable",internal_constants_wide!$1:$1,0)),"")&lt;&gt;"",IFERROR(INDEX(internal_constants_wide!$A:$ZZ,MATCH($C20,internal_constants_wide!$A:$A,0),MATCH("pKa_if_ionizable",internal_constants_wide!$1:$1,0)),""),IFERROR(INDEX(internal_constants_wide!$A:$ZZ,MATCH($C20,internal_constants_wide!$A:$A,0),MATCH("pKa",internal_constants_wide!$1:$1,0)),"")),"")</f>
      </c>
      <c r="P20">
        <f>IFERROR(IF(IFERROR(INDEX(internal_constants_wide!$A:$ZZ,MATCH($C20,internal_constants_wide!$A:$A,0),MATCH("phase_transition_temperature_C",internal_constants_wide!$1:$1,0)),"")&lt;&gt;"",IFERROR(INDEX(internal_constants_wide!$A:$ZZ,MATCH($C20,internal_constants_wide!$A:$A,0),MATCH("phase_transition_temperature_C",internal_constants_wide!$1:$1,0)),""),IFERROR(INDEX(internal_constants_wide!$A:$ZZ,MATCH($C20,internal_constants_wide!$A:$A,0),MATCH("melting_point_C",internal_constants_wide!$1:$1,0)),"")),"")</f>
      </c>
      <c r="Q20">
        <f>IFERROR(INDEX(internal_constants_wide!$A:$ZZ,MATCH($C20,internal_constants_wide!$A:$A,0),MATCH("melting_point_C",internal_constants_wide!$1:$1,0)),"")</f>
      </c>
      <c r="R20">
        <f>IFERROR(INDEX(internal_constants_wide!$A:$ZZ,MATCH($C20,internal_constants_wide!$A:$A,0),MATCH("Hansen_delta_D",internal_constants_wide!$1:$1,0)),"")</f>
      </c>
      <c r="S20">
        <f>IFERROR(INDEX(internal_constants_wide!$A:$ZZ,MATCH($C20,internal_constants_wide!$A:$A,0),MATCH("Hansen_delta_P",internal_constants_wide!$1:$1,0)),"")</f>
      </c>
      <c r="T20">
        <f>IFERROR(INDEX(internal_constants_wide!$A:$ZZ,MATCH($C20,internal_constants_wide!$A:$A,0),MATCH("Hansen_delta_H",internal_constants_wide!$1:$1,0)),"")</f>
      </c>
      <c r="U20">
        <f>IFERROR(INDEX(internal_constants_wide!$A:$ZZ,MATCH($C20,internal_constants_wide!$A:$A,0),MATCH("molar_volume_cm3_mol",internal_constants_wide!$1:$1,0)),"")</f>
      </c>
      <c r="V20">
        <f>IFERROR(IF(AND(ISNUMBER($K20),ISNUMBER($L20),ISNUMBER($M20),$M20&gt;0),($K20*0.027/($L20*$M20)),""),"")</f>
      </c>
      <c r="W20"/>
    </row>
    <row r="21">
      <c r="A21">
        <v>17</v>
      </c>
      <c r="B21"/>
      <c r="C21"/>
      <c r="D21">
        <f>IFERROR(INDEX(internal_constants_wide!$A:$ZZ,MATCH($C21,internal_constants_wide!$A:$A,0),MATCH("name",internal_constants_wide!$1:$1,0)),"")</f>
      </c>
      <c r="E21">
        <f>IFERROR(INDEX(internal_constants_wide!$A:$ZZ,MATCH($C21,internal_constants_wide!$A:$A,0),MATCH("material_type",internal_constants_wide!$1:$1,0)),"")</f>
      </c>
      <c r="F21"/>
      <c r="G21">
        <f>$G$2</f>
      </c>
      <c r="H21">
        <f>IFERROR(IF(IFERROR(INDEX(internal_constants_wide!$A:$ZZ,MATCH($C21,internal_constants_wide!$A:$A,0),MATCH("molecular_weight_g_mol",internal_constants_wide!$1:$1,0)),"")&lt;&gt;"",IFERROR(INDEX(internal_constants_wide!$A:$ZZ,MATCH($C21,internal_constants_wide!$A:$A,0),MATCH("molecular_weight_g_mol",internal_constants_wide!$1:$1,0)),""),IFERROR(INDEX(internal_constants_wide!$A:$ZZ,MATCH($C21,internal_constants_wide!$A:$A,0),MATCH("average_MW",internal_constants_wide!$1:$1,0)),"")),"")</f>
      </c>
      <c r="I21">
        <f>IFERROR(IF(AND(ISNUMBER($F21),ISNUMBER($G21),ISNUMBER($H21)),$F21/100*$G21*$H21,""),"")</f>
      </c>
      <c r="J21">
        <f>IFERROR(INDEX(internal_constants_wide!$A:$ZZ,MATCH($C21,internal_constants_wide!$A:$A,0),MATCH("HLB",internal_constants_wide!$1:$1,0)),"")</f>
      </c>
      <c r="K21">
        <f>IFERROR(INDEX(internal_constants_wide!$A:$ZZ,MATCH($C21,internal_constants_wide!$A:$A,0),MATCH("tail_carbons",internal_constants_wide!$1:$1,0)),"")</f>
      </c>
      <c r="L21">
        <f>IFERROR(INDEX(internal_constants_wide!$A:$ZZ,MATCH($C21,internal_constants_wide!$A:$A,0),MATCH("number_of_tails",internal_constants_wide!$1:$1,0)),"")</f>
      </c>
      <c r="M21">
        <f>IFERROR(INDEX(internal_constants_wide!$A:$ZZ,MATCH($C21,internal_constants_wide!$A:$A,0),MATCH("headgroup_area_nm2",internal_constants_wide!$1:$1,0)),"")</f>
      </c>
      <c r="N21">
        <f>IFERROR(INDEX(internal_constants_wide!$A:$ZZ,MATCH($C21,internal_constants_wide!$A:$A,0),MATCH("formal_charge",internal_constants_wide!$1:$1,0)),"")</f>
      </c>
      <c r="O21">
        <f>IFERROR(IF(IFERROR(INDEX(internal_constants_wide!$A:$ZZ,MATCH($C21,internal_constants_wide!$A:$A,0),MATCH("pKa_if_ionizable",internal_constants_wide!$1:$1,0)),"")&lt;&gt;"",IFERROR(INDEX(internal_constants_wide!$A:$ZZ,MATCH($C21,internal_constants_wide!$A:$A,0),MATCH("pKa_if_ionizable",internal_constants_wide!$1:$1,0)),""),IFERROR(INDEX(internal_constants_wide!$A:$ZZ,MATCH($C21,internal_constants_wide!$A:$A,0),MATCH("pKa",internal_constants_wide!$1:$1,0)),"")),"")</f>
      </c>
      <c r="P21">
        <f>IFERROR(IF(IFERROR(INDEX(internal_constants_wide!$A:$ZZ,MATCH($C21,internal_constants_wide!$A:$A,0),MATCH("phase_transition_temperature_C",internal_constants_wide!$1:$1,0)),"")&lt;&gt;"",IFERROR(INDEX(internal_constants_wide!$A:$ZZ,MATCH($C21,internal_constants_wide!$A:$A,0),MATCH("phase_transition_temperature_C",internal_constants_wide!$1:$1,0)),""),IFERROR(INDEX(internal_constants_wide!$A:$ZZ,MATCH($C21,internal_constants_wide!$A:$A,0),MATCH("melting_point_C",internal_constants_wide!$1:$1,0)),"")),"")</f>
      </c>
      <c r="Q21">
        <f>IFERROR(INDEX(internal_constants_wide!$A:$ZZ,MATCH($C21,internal_constants_wide!$A:$A,0),MATCH("melting_point_C",internal_constants_wide!$1:$1,0)),"")</f>
      </c>
      <c r="R21">
        <f>IFERROR(INDEX(internal_constants_wide!$A:$ZZ,MATCH($C21,internal_constants_wide!$A:$A,0),MATCH("Hansen_delta_D",internal_constants_wide!$1:$1,0)),"")</f>
      </c>
      <c r="S21">
        <f>IFERROR(INDEX(internal_constants_wide!$A:$ZZ,MATCH($C21,internal_constants_wide!$A:$A,0),MATCH("Hansen_delta_P",internal_constants_wide!$1:$1,0)),"")</f>
      </c>
      <c r="T21">
        <f>IFERROR(INDEX(internal_constants_wide!$A:$ZZ,MATCH($C21,internal_constants_wide!$A:$A,0),MATCH("Hansen_delta_H",internal_constants_wide!$1:$1,0)),"")</f>
      </c>
      <c r="U21">
        <f>IFERROR(INDEX(internal_constants_wide!$A:$ZZ,MATCH($C21,internal_constants_wide!$A:$A,0),MATCH("molar_volume_cm3_mol",internal_constants_wide!$1:$1,0)),"")</f>
      </c>
      <c r="V21">
        <f>IFERROR(IF(AND(ISNUMBER($K21),ISNUMBER($L21),ISNUMBER($M21),$M21&gt;0),($K21*0.027/($L21*$M21)),""),"")</f>
      </c>
      <c r="W21"/>
    </row>
    <row r="22">
      <c r="A22">
        <v>18</v>
      </c>
      <c r="B22"/>
      <c r="C22"/>
      <c r="D22">
        <f>IFERROR(INDEX(internal_constants_wide!$A:$ZZ,MATCH($C22,internal_constants_wide!$A:$A,0),MATCH("name",internal_constants_wide!$1:$1,0)),"")</f>
      </c>
      <c r="E22">
        <f>IFERROR(INDEX(internal_constants_wide!$A:$ZZ,MATCH($C22,internal_constants_wide!$A:$A,0),MATCH("material_type",internal_constants_wide!$1:$1,0)),"")</f>
      </c>
      <c r="F22"/>
      <c r="G22">
        <f>$G$2</f>
      </c>
      <c r="H22">
        <f>IFERROR(IF(IFERROR(INDEX(internal_constants_wide!$A:$ZZ,MATCH($C22,internal_constants_wide!$A:$A,0),MATCH("molecular_weight_g_mol",internal_constants_wide!$1:$1,0)),"")&lt;&gt;"",IFERROR(INDEX(internal_constants_wide!$A:$ZZ,MATCH($C22,internal_constants_wide!$A:$A,0),MATCH("molecular_weight_g_mol",internal_constants_wide!$1:$1,0)),""),IFERROR(INDEX(internal_constants_wide!$A:$ZZ,MATCH($C22,internal_constants_wide!$A:$A,0),MATCH("average_MW",internal_constants_wide!$1:$1,0)),"")),"")</f>
      </c>
      <c r="I22">
        <f>IFERROR(IF(AND(ISNUMBER($F22),ISNUMBER($G22),ISNUMBER($H22)),$F22/100*$G22*$H22,""),"")</f>
      </c>
      <c r="J22">
        <f>IFERROR(INDEX(internal_constants_wide!$A:$ZZ,MATCH($C22,internal_constants_wide!$A:$A,0),MATCH("HLB",internal_constants_wide!$1:$1,0)),"")</f>
      </c>
      <c r="K22">
        <f>IFERROR(INDEX(internal_constants_wide!$A:$ZZ,MATCH($C22,internal_constants_wide!$A:$A,0),MATCH("tail_carbons",internal_constants_wide!$1:$1,0)),"")</f>
      </c>
      <c r="L22">
        <f>IFERROR(INDEX(internal_constants_wide!$A:$ZZ,MATCH($C22,internal_constants_wide!$A:$A,0),MATCH("number_of_tails",internal_constants_wide!$1:$1,0)),"")</f>
      </c>
      <c r="M22">
        <f>IFERROR(INDEX(internal_constants_wide!$A:$ZZ,MATCH($C22,internal_constants_wide!$A:$A,0),MATCH("headgroup_area_nm2",internal_constants_wide!$1:$1,0)),"")</f>
      </c>
      <c r="N22">
        <f>IFERROR(INDEX(internal_constants_wide!$A:$ZZ,MATCH($C22,internal_constants_wide!$A:$A,0),MATCH("formal_charge",internal_constants_wide!$1:$1,0)),"")</f>
      </c>
      <c r="O22">
        <f>IFERROR(IF(IFERROR(INDEX(internal_constants_wide!$A:$ZZ,MATCH($C22,internal_constants_wide!$A:$A,0),MATCH("pKa_if_ionizable",internal_constants_wide!$1:$1,0)),"")&lt;&gt;"",IFERROR(INDEX(internal_constants_wide!$A:$ZZ,MATCH($C22,internal_constants_wide!$A:$A,0),MATCH("pKa_if_ionizable",internal_constants_wide!$1:$1,0)),""),IFERROR(INDEX(internal_constants_wide!$A:$ZZ,MATCH($C22,internal_constants_wide!$A:$A,0),MATCH("pKa",internal_constants_wide!$1:$1,0)),"")),"")</f>
      </c>
      <c r="P22">
        <f>IFERROR(IF(IFERROR(INDEX(internal_constants_wide!$A:$ZZ,MATCH($C22,internal_constants_wide!$A:$A,0),MATCH("phase_transition_temperature_C",internal_constants_wide!$1:$1,0)),"")&lt;&gt;"",IFERROR(INDEX(internal_constants_wide!$A:$ZZ,MATCH($C22,internal_constants_wide!$A:$A,0),MATCH("phase_transition_temperature_C",internal_constants_wide!$1:$1,0)),""),IFERROR(INDEX(internal_constants_wide!$A:$ZZ,MATCH($C22,internal_constants_wide!$A:$A,0),MATCH("melting_point_C",internal_constants_wide!$1:$1,0)),"")),"")</f>
      </c>
      <c r="Q22">
        <f>IFERROR(INDEX(internal_constants_wide!$A:$ZZ,MATCH($C22,internal_constants_wide!$A:$A,0),MATCH("melting_point_C",internal_constants_wide!$1:$1,0)),"")</f>
      </c>
      <c r="R22">
        <f>IFERROR(INDEX(internal_constants_wide!$A:$ZZ,MATCH($C22,internal_constants_wide!$A:$A,0),MATCH("Hansen_delta_D",internal_constants_wide!$1:$1,0)),"")</f>
      </c>
      <c r="S22">
        <f>IFERROR(INDEX(internal_constants_wide!$A:$ZZ,MATCH($C22,internal_constants_wide!$A:$A,0),MATCH("Hansen_delta_P",internal_constants_wide!$1:$1,0)),"")</f>
      </c>
      <c r="T22">
        <f>IFERROR(INDEX(internal_constants_wide!$A:$ZZ,MATCH($C22,internal_constants_wide!$A:$A,0),MATCH("Hansen_delta_H",internal_constants_wide!$1:$1,0)),"")</f>
      </c>
      <c r="U22">
        <f>IFERROR(INDEX(internal_constants_wide!$A:$ZZ,MATCH($C22,internal_constants_wide!$A:$A,0),MATCH("molar_volume_cm3_mol",internal_constants_wide!$1:$1,0)),"")</f>
      </c>
      <c r="V22">
        <f>IFERROR(IF(AND(ISNUMBER($K22),ISNUMBER($L22),ISNUMBER($M22),$M22&gt;0),($K22*0.027/($L22*$M22)),""),"")</f>
      </c>
      <c r="W22"/>
    </row>
    <row r="23">
      <c r="A23">
        <v>19</v>
      </c>
      <c r="B23"/>
      <c r="C23"/>
      <c r="D23">
        <f>IFERROR(INDEX(internal_constants_wide!$A:$ZZ,MATCH($C23,internal_constants_wide!$A:$A,0),MATCH("name",internal_constants_wide!$1:$1,0)),"")</f>
      </c>
      <c r="E23">
        <f>IFERROR(INDEX(internal_constants_wide!$A:$ZZ,MATCH($C23,internal_constants_wide!$A:$A,0),MATCH("material_type",internal_constants_wide!$1:$1,0)),"")</f>
      </c>
      <c r="F23"/>
      <c r="G23">
        <f>$G$2</f>
      </c>
      <c r="H23">
        <f>IFERROR(IF(IFERROR(INDEX(internal_constants_wide!$A:$ZZ,MATCH($C23,internal_constants_wide!$A:$A,0),MATCH("molecular_weight_g_mol",internal_constants_wide!$1:$1,0)),"")&lt;&gt;"",IFERROR(INDEX(internal_constants_wide!$A:$ZZ,MATCH($C23,internal_constants_wide!$A:$A,0),MATCH("molecular_weight_g_mol",internal_constants_wide!$1:$1,0)),""),IFERROR(INDEX(internal_constants_wide!$A:$ZZ,MATCH($C23,internal_constants_wide!$A:$A,0),MATCH("average_MW",internal_constants_wide!$1:$1,0)),"")),"")</f>
      </c>
      <c r="I23">
        <f>IFERROR(IF(AND(ISNUMBER($F23),ISNUMBER($G23),ISNUMBER($H23)),$F23/100*$G23*$H23,""),"")</f>
      </c>
      <c r="J23">
        <f>IFERROR(INDEX(internal_constants_wide!$A:$ZZ,MATCH($C23,internal_constants_wide!$A:$A,0),MATCH("HLB",internal_constants_wide!$1:$1,0)),"")</f>
      </c>
      <c r="K23">
        <f>IFERROR(INDEX(internal_constants_wide!$A:$ZZ,MATCH($C23,internal_constants_wide!$A:$A,0),MATCH("tail_carbons",internal_constants_wide!$1:$1,0)),"")</f>
      </c>
      <c r="L23">
        <f>IFERROR(INDEX(internal_constants_wide!$A:$ZZ,MATCH($C23,internal_constants_wide!$A:$A,0),MATCH("number_of_tails",internal_constants_wide!$1:$1,0)),"")</f>
      </c>
      <c r="M23">
        <f>IFERROR(INDEX(internal_constants_wide!$A:$ZZ,MATCH($C23,internal_constants_wide!$A:$A,0),MATCH("headgroup_area_nm2",internal_constants_wide!$1:$1,0)),"")</f>
      </c>
      <c r="N23">
        <f>IFERROR(INDEX(internal_constants_wide!$A:$ZZ,MATCH($C23,internal_constants_wide!$A:$A,0),MATCH("formal_charge",internal_constants_wide!$1:$1,0)),"")</f>
      </c>
      <c r="O23">
        <f>IFERROR(IF(IFERROR(INDEX(internal_constants_wide!$A:$ZZ,MATCH($C23,internal_constants_wide!$A:$A,0),MATCH("pKa_if_ionizable",internal_constants_wide!$1:$1,0)),"")&lt;&gt;"",IFERROR(INDEX(internal_constants_wide!$A:$ZZ,MATCH($C23,internal_constants_wide!$A:$A,0),MATCH("pKa_if_ionizable",internal_constants_wide!$1:$1,0)),""),IFERROR(INDEX(internal_constants_wide!$A:$ZZ,MATCH($C23,internal_constants_wide!$A:$A,0),MATCH("pKa",internal_constants_wide!$1:$1,0)),"")),"")</f>
      </c>
      <c r="P23">
        <f>IFERROR(IF(IFERROR(INDEX(internal_constants_wide!$A:$ZZ,MATCH($C23,internal_constants_wide!$A:$A,0),MATCH("phase_transition_temperature_C",internal_constants_wide!$1:$1,0)),"")&lt;&gt;"",IFERROR(INDEX(internal_constants_wide!$A:$ZZ,MATCH($C23,internal_constants_wide!$A:$A,0),MATCH("phase_transition_temperature_C",internal_constants_wide!$1:$1,0)),""),IFERROR(INDEX(internal_constants_wide!$A:$ZZ,MATCH($C23,internal_constants_wide!$A:$A,0),MATCH("melting_point_C",internal_constants_wide!$1:$1,0)),"")),"")</f>
      </c>
      <c r="Q23">
        <f>IFERROR(INDEX(internal_constants_wide!$A:$ZZ,MATCH($C23,internal_constants_wide!$A:$A,0),MATCH("melting_point_C",internal_constants_wide!$1:$1,0)),"")</f>
      </c>
      <c r="R23">
        <f>IFERROR(INDEX(internal_constants_wide!$A:$ZZ,MATCH($C23,internal_constants_wide!$A:$A,0),MATCH("Hansen_delta_D",internal_constants_wide!$1:$1,0)),"")</f>
      </c>
      <c r="S23">
        <f>IFERROR(INDEX(internal_constants_wide!$A:$ZZ,MATCH($C23,internal_constants_wide!$A:$A,0),MATCH("Hansen_delta_P",internal_constants_wide!$1:$1,0)),"")</f>
      </c>
      <c r="T23">
        <f>IFERROR(INDEX(internal_constants_wide!$A:$ZZ,MATCH($C23,internal_constants_wide!$A:$A,0),MATCH("Hansen_delta_H",internal_constants_wide!$1:$1,0)),"")</f>
      </c>
      <c r="U23">
        <f>IFERROR(INDEX(internal_constants_wide!$A:$ZZ,MATCH($C23,internal_constants_wide!$A:$A,0),MATCH("molar_volume_cm3_mol",internal_constants_wide!$1:$1,0)),"")</f>
      </c>
      <c r="V23">
        <f>IFERROR(IF(AND(ISNUMBER($K23),ISNUMBER($L23),ISNUMBER($M23),$M23&gt;0),($K23*0.027/($L23*$M23)),""),"")</f>
      </c>
      <c r="W23"/>
    </row>
    <row r="24">
      <c r="A24">
        <v>20</v>
      </c>
      <c r="B24"/>
      <c r="C24"/>
      <c r="D24">
        <f>IFERROR(INDEX(internal_constants_wide!$A:$ZZ,MATCH($C24,internal_constants_wide!$A:$A,0),MATCH("name",internal_constants_wide!$1:$1,0)),"")</f>
      </c>
      <c r="E24">
        <f>IFERROR(INDEX(internal_constants_wide!$A:$ZZ,MATCH($C24,internal_constants_wide!$A:$A,0),MATCH("material_type",internal_constants_wide!$1:$1,0)),"")</f>
      </c>
      <c r="F24"/>
      <c r="G24">
        <f>$G$2</f>
      </c>
      <c r="H24">
        <f>IFERROR(IF(IFERROR(INDEX(internal_constants_wide!$A:$ZZ,MATCH($C24,internal_constants_wide!$A:$A,0),MATCH("molecular_weight_g_mol",internal_constants_wide!$1:$1,0)),"")&lt;&gt;"",IFERROR(INDEX(internal_constants_wide!$A:$ZZ,MATCH($C24,internal_constants_wide!$A:$A,0),MATCH("molecular_weight_g_mol",internal_constants_wide!$1:$1,0)),""),IFERROR(INDEX(internal_constants_wide!$A:$ZZ,MATCH($C24,internal_constants_wide!$A:$A,0),MATCH("average_MW",internal_constants_wide!$1:$1,0)),"")),"")</f>
      </c>
      <c r="I24">
        <f>IFERROR(IF(AND(ISNUMBER($F24),ISNUMBER($G24),ISNUMBER($H24)),$F24/100*$G24*$H24,""),"")</f>
      </c>
      <c r="J24">
        <f>IFERROR(INDEX(internal_constants_wide!$A:$ZZ,MATCH($C24,internal_constants_wide!$A:$A,0),MATCH("HLB",internal_constants_wide!$1:$1,0)),"")</f>
      </c>
      <c r="K24">
        <f>IFERROR(INDEX(internal_constants_wide!$A:$ZZ,MATCH($C24,internal_constants_wide!$A:$A,0),MATCH("tail_carbons",internal_constants_wide!$1:$1,0)),"")</f>
      </c>
      <c r="L24">
        <f>IFERROR(INDEX(internal_constants_wide!$A:$ZZ,MATCH($C24,internal_constants_wide!$A:$A,0),MATCH("number_of_tails",internal_constants_wide!$1:$1,0)),"")</f>
      </c>
      <c r="M24">
        <f>IFERROR(INDEX(internal_constants_wide!$A:$ZZ,MATCH($C24,internal_constants_wide!$A:$A,0),MATCH("headgroup_area_nm2",internal_constants_wide!$1:$1,0)),"")</f>
      </c>
      <c r="N24">
        <f>IFERROR(INDEX(internal_constants_wide!$A:$ZZ,MATCH($C24,internal_constants_wide!$A:$A,0),MATCH("formal_charge",internal_constants_wide!$1:$1,0)),"")</f>
      </c>
      <c r="O24">
        <f>IFERROR(IF(IFERROR(INDEX(internal_constants_wide!$A:$ZZ,MATCH($C24,internal_constants_wide!$A:$A,0),MATCH("pKa_if_ionizable",internal_constants_wide!$1:$1,0)),"")&lt;&gt;"",IFERROR(INDEX(internal_constants_wide!$A:$ZZ,MATCH($C24,internal_constants_wide!$A:$A,0),MATCH("pKa_if_ionizable",internal_constants_wide!$1:$1,0)),""),IFERROR(INDEX(internal_constants_wide!$A:$ZZ,MATCH($C24,internal_constants_wide!$A:$A,0),MATCH("pKa",internal_constants_wide!$1:$1,0)),"")),"")</f>
      </c>
      <c r="P24">
        <f>IFERROR(IF(IFERROR(INDEX(internal_constants_wide!$A:$ZZ,MATCH($C24,internal_constants_wide!$A:$A,0),MATCH("phase_transition_temperature_C",internal_constants_wide!$1:$1,0)),"")&lt;&gt;"",IFERROR(INDEX(internal_constants_wide!$A:$ZZ,MATCH($C24,internal_constants_wide!$A:$A,0),MATCH("phase_transition_temperature_C",internal_constants_wide!$1:$1,0)),""),IFERROR(INDEX(internal_constants_wide!$A:$ZZ,MATCH($C24,internal_constants_wide!$A:$A,0),MATCH("melting_point_C",internal_constants_wide!$1:$1,0)),"")),"")</f>
      </c>
      <c r="Q24">
        <f>IFERROR(INDEX(internal_constants_wide!$A:$ZZ,MATCH($C24,internal_constants_wide!$A:$A,0),MATCH("melting_point_C",internal_constants_wide!$1:$1,0)),"")</f>
      </c>
      <c r="R24">
        <f>IFERROR(INDEX(internal_constants_wide!$A:$ZZ,MATCH($C24,internal_constants_wide!$A:$A,0),MATCH("Hansen_delta_D",internal_constants_wide!$1:$1,0)),"")</f>
      </c>
      <c r="S24">
        <f>IFERROR(INDEX(internal_constants_wide!$A:$ZZ,MATCH($C24,internal_constants_wide!$A:$A,0),MATCH("Hansen_delta_P",internal_constants_wide!$1:$1,0)),"")</f>
      </c>
      <c r="T24">
        <f>IFERROR(INDEX(internal_constants_wide!$A:$ZZ,MATCH($C24,internal_constants_wide!$A:$A,0),MATCH("Hansen_delta_H",internal_constants_wide!$1:$1,0)),"")</f>
      </c>
      <c r="U24">
        <f>IFERROR(INDEX(internal_constants_wide!$A:$ZZ,MATCH($C24,internal_constants_wide!$A:$A,0),MATCH("molar_volume_cm3_mol",internal_constants_wide!$1:$1,0)),"")</f>
      </c>
      <c r="V24">
        <f>IFERROR(IF(AND(ISNUMBER($K24),ISNUMBER($L24),ISNUMBER($M24),$M24&gt;0),($K24*0.027/($L24*$M24)),""),"")</f>
      </c>
      <c r="W24"/>
    </row>
    <row r="25">
      <c r="A25">
        <v>21</v>
      </c>
      <c r="B25"/>
      <c r="C25"/>
      <c r="D25">
        <f>IFERROR(INDEX(internal_constants_wide!$A:$ZZ,MATCH($C25,internal_constants_wide!$A:$A,0),MATCH("name",internal_constants_wide!$1:$1,0)),"")</f>
      </c>
      <c r="E25">
        <f>IFERROR(INDEX(internal_constants_wide!$A:$ZZ,MATCH($C25,internal_constants_wide!$A:$A,0),MATCH("material_type",internal_constants_wide!$1:$1,0)),"")</f>
      </c>
      <c r="F25"/>
      <c r="G25">
        <f>$G$2</f>
      </c>
      <c r="H25">
        <f>IFERROR(IF(IFERROR(INDEX(internal_constants_wide!$A:$ZZ,MATCH($C25,internal_constants_wide!$A:$A,0),MATCH("molecular_weight_g_mol",internal_constants_wide!$1:$1,0)),"")&lt;&gt;"",IFERROR(INDEX(internal_constants_wide!$A:$ZZ,MATCH($C25,internal_constants_wide!$A:$A,0),MATCH("molecular_weight_g_mol",internal_constants_wide!$1:$1,0)),""),IFERROR(INDEX(internal_constants_wide!$A:$ZZ,MATCH($C25,internal_constants_wide!$A:$A,0),MATCH("average_MW",internal_constants_wide!$1:$1,0)),"")),"")</f>
      </c>
      <c r="I25">
        <f>IFERROR(IF(AND(ISNUMBER($F25),ISNUMBER($G25),ISNUMBER($H25)),$F25/100*$G25*$H25,""),"")</f>
      </c>
      <c r="J25">
        <f>IFERROR(INDEX(internal_constants_wide!$A:$ZZ,MATCH($C25,internal_constants_wide!$A:$A,0),MATCH("HLB",internal_constants_wide!$1:$1,0)),"")</f>
      </c>
      <c r="K25">
        <f>IFERROR(INDEX(internal_constants_wide!$A:$ZZ,MATCH($C25,internal_constants_wide!$A:$A,0),MATCH("tail_carbons",internal_constants_wide!$1:$1,0)),"")</f>
      </c>
      <c r="L25">
        <f>IFERROR(INDEX(internal_constants_wide!$A:$ZZ,MATCH($C25,internal_constants_wide!$A:$A,0),MATCH("number_of_tails",internal_constants_wide!$1:$1,0)),"")</f>
      </c>
      <c r="M25">
        <f>IFERROR(INDEX(internal_constants_wide!$A:$ZZ,MATCH($C25,internal_constants_wide!$A:$A,0),MATCH("headgroup_area_nm2",internal_constants_wide!$1:$1,0)),"")</f>
      </c>
      <c r="N25">
        <f>IFERROR(INDEX(internal_constants_wide!$A:$ZZ,MATCH($C25,internal_constants_wide!$A:$A,0),MATCH("formal_charge",internal_constants_wide!$1:$1,0)),"")</f>
      </c>
      <c r="O25">
        <f>IFERROR(IF(IFERROR(INDEX(internal_constants_wide!$A:$ZZ,MATCH($C25,internal_constants_wide!$A:$A,0),MATCH("pKa_if_ionizable",internal_constants_wide!$1:$1,0)),"")&lt;&gt;"",IFERROR(INDEX(internal_constants_wide!$A:$ZZ,MATCH($C25,internal_constants_wide!$A:$A,0),MATCH("pKa_if_ionizable",internal_constants_wide!$1:$1,0)),""),IFERROR(INDEX(internal_constants_wide!$A:$ZZ,MATCH($C25,internal_constants_wide!$A:$A,0),MATCH("pKa",internal_constants_wide!$1:$1,0)),"")),"")</f>
      </c>
      <c r="P25">
        <f>IFERROR(IF(IFERROR(INDEX(internal_constants_wide!$A:$ZZ,MATCH($C25,internal_constants_wide!$A:$A,0),MATCH("phase_transition_temperature_C",internal_constants_wide!$1:$1,0)),"")&lt;&gt;"",IFERROR(INDEX(internal_constants_wide!$A:$ZZ,MATCH($C25,internal_constants_wide!$A:$A,0),MATCH("phase_transition_temperature_C",internal_constants_wide!$1:$1,0)),""),IFERROR(INDEX(internal_constants_wide!$A:$ZZ,MATCH($C25,internal_constants_wide!$A:$A,0),MATCH("melting_point_C",internal_constants_wide!$1:$1,0)),"")),"")</f>
      </c>
      <c r="Q25">
        <f>IFERROR(INDEX(internal_constants_wide!$A:$ZZ,MATCH($C25,internal_constants_wide!$A:$A,0),MATCH("melting_point_C",internal_constants_wide!$1:$1,0)),"")</f>
      </c>
      <c r="R25">
        <f>IFERROR(INDEX(internal_constants_wide!$A:$ZZ,MATCH($C25,internal_constants_wide!$A:$A,0),MATCH("Hansen_delta_D",internal_constants_wide!$1:$1,0)),"")</f>
      </c>
      <c r="S25">
        <f>IFERROR(INDEX(internal_constants_wide!$A:$ZZ,MATCH($C25,internal_constants_wide!$A:$A,0),MATCH("Hansen_delta_P",internal_constants_wide!$1:$1,0)),"")</f>
      </c>
      <c r="T25">
        <f>IFERROR(INDEX(internal_constants_wide!$A:$ZZ,MATCH($C25,internal_constants_wide!$A:$A,0),MATCH("Hansen_delta_H",internal_constants_wide!$1:$1,0)),"")</f>
      </c>
      <c r="U25">
        <f>IFERROR(INDEX(internal_constants_wide!$A:$ZZ,MATCH($C25,internal_constants_wide!$A:$A,0),MATCH("molar_volume_cm3_mol",internal_constants_wide!$1:$1,0)),"")</f>
      </c>
      <c r="V25">
        <f>IFERROR(IF(AND(ISNUMBER($K25),ISNUMBER($L25),ISNUMBER($M25),$M25&gt;0),($K25*0.027/($L25*$M25)),""),"")</f>
      </c>
      <c r="W25"/>
    </row>
    <row r="26">
      <c r="A26">
        <v>22</v>
      </c>
      <c r="B26"/>
      <c r="C26"/>
      <c r="D26">
        <f>IFERROR(INDEX(internal_constants_wide!$A:$ZZ,MATCH($C26,internal_constants_wide!$A:$A,0),MATCH("name",internal_constants_wide!$1:$1,0)),"")</f>
      </c>
      <c r="E26">
        <f>IFERROR(INDEX(internal_constants_wide!$A:$ZZ,MATCH($C26,internal_constants_wide!$A:$A,0),MATCH("material_type",internal_constants_wide!$1:$1,0)),"")</f>
      </c>
      <c r="F26"/>
      <c r="G26">
        <f>$G$2</f>
      </c>
      <c r="H26">
        <f>IFERROR(IF(IFERROR(INDEX(internal_constants_wide!$A:$ZZ,MATCH($C26,internal_constants_wide!$A:$A,0),MATCH("molecular_weight_g_mol",internal_constants_wide!$1:$1,0)),"")&lt;&gt;"",IFERROR(INDEX(internal_constants_wide!$A:$ZZ,MATCH($C26,internal_constants_wide!$A:$A,0),MATCH("molecular_weight_g_mol",internal_constants_wide!$1:$1,0)),""),IFERROR(INDEX(internal_constants_wide!$A:$ZZ,MATCH($C26,internal_constants_wide!$A:$A,0),MATCH("average_MW",internal_constants_wide!$1:$1,0)),"")),"")</f>
      </c>
      <c r="I26">
        <f>IFERROR(IF(AND(ISNUMBER($F26),ISNUMBER($G26),ISNUMBER($H26)),$F26/100*$G26*$H26,""),"")</f>
      </c>
      <c r="J26">
        <f>IFERROR(INDEX(internal_constants_wide!$A:$ZZ,MATCH($C26,internal_constants_wide!$A:$A,0),MATCH("HLB",internal_constants_wide!$1:$1,0)),"")</f>
      </c>
      <c r="K26">
        <f>IFERROR(INDEX(internal_constants_wide!$A:$ZZ,MATCH($C26,internal_constants_wide!$A:$A,0),MATCH("tail_carbons",internal_constants_wide!$1:$1,0)),"")</f>
      </c>
      <c r="L26">
        <f>IFERROR(INDEX(internal_constants_wide!$A:$ZZ,MATCH($C26,internal_constants_wide!$A:$A,0),MATCH("number_of_tails",internal_constants_wide!$1:$1,0)),"")</f>
      </c>
      <c r="M26">
        <f>IFERROR(INDEX(internal_constants_wide!$A:$ZZ,MATCH($C26,internal_constants_wide!$A:$A,0),MATCH("headgroup_area_nm2",internal_constants_wide!$1:$1,0)),"")</f>
      </c>
      <c r="N26">
        <f>IFERROR(INDEX(internal_constants_wide!$A:$ZZ,MATCH($C26,internal_constants_wide!$A:$A,0),MATCH("formal_charge",internal_constants_wide!$1:$1,0)),"")</f>
      </c>
      <c r="O26">
        <f>IFERROR(IF(IFERROR(INDEX(internal_constants_wide!$A:$ZZ,MATCH($C26,internal_constants_wide!$A:$A,0),MATCH("pKa_if_ionizable",internal_constants_wide!$1:$1,0)),"")&lt;&gt;"",IFERROR(INDEX(internal_constants_wide!$A:$ZZ,MATCH($C26,internal_constants_wide!$A:$A,0),MATCH("pKa_if_ionizable",internal_constants_wide!$1:$1,0)),""),IFERROR(INDEX(internal_constants_wide!$A:$ZZ,MATCH($C26,internal_constants_wide!$A:$A,0),MATCH("pKa",internal_constants_wide!$1:$1,0)),"")),"")</f>
      </c>
      <c r="P26">
        <f>IFERROR(IF(IFERROR(INDEX(internal_constants_wide!$A:$ZZ,MATCH($C26,internal_constants_wide!$A:$A,0),MATCH("phase_transition_temperature_C",internal_constants_wide!$1:$1,0)),"")&lt;&gt;"",IFERROR(INDEX(internal_constants_wide!$A:$ZZ,MATCH($C26,internal_constants_wide!$A:$A,0),MATCH("phase_transition_temperature_C",internal_constants_wide!$1:$1,0)),""),IFERROR(INDEX(internal_constants_wide!$A:$ZZ,MATCH($C26,internal_constants_wide!$A:$A,0),MATCH("melting_point_C",internal_constants_wide!$1:$1,0)),"")),"")</f>
      </c>
      <c r="Q26">
        <f>IFERROR(INDEX(internal_constants_wide!$A:$ZZ,MATCH($C26,internal_constants_wide!$A:$A,0),MATCH("melting_point_C",internal_constants_wide!$1:$1,0)),"")</f>
      </c>
      <c r="R26">
        <f>IFERROR(INDEX(internal_constants_wide!$A:$ZZ,MATCH($C26,internal_constants_wide!$A:$A,0),MATCH("Hansen_delta_D",internal_constants_wide!$1:$1,0)),"")</f>
      </c>
      <c r="S26">
        <f>IFERROR(INDEX(internal_constants_wide!$A:$ZZ,MATCH($C26,internal_constants_wide!$A:$A,0),MATCH("Hansen_delta_P",internal_constants_wide!$1:$1,0)),"")</f>
      </c>
      <c r="T26">
        <f>IFERROR(INDEX(internal_constants_wide!$A:$ZZ,MATCH($C26,internal_constants_wide!$A:$A,0),MATCH("Hansen_delta_H",internal_constants_wide!$1:$1,0)),"")</f>
      </c>
      <c r="U26">
        <f>IFERROR(INDEX(internal_constants_wide!$A:$ZZ,MATCH($C26,internal_constants_wide!$A:$A,0),MATCH("molar_volume_cm3_mol",internal_constants_wide!$1:$1,0)),"")</f>
      </c>
      <c r="V26">
        <f>IFERROR(IF(AND(ISNUMBER($K26),ISNUMBER($L26),ISNUMBER($M26),$M26&gt;0),($K26*0.027/($L26*$M26)),""),"")</f>
      </c>
      <c r="W26"/>
    </row>
    <row r="27">
      <c r="A27">
        <v>23</v>
      </c>
      <c r="B27"/>
      <c r="C27"/>
      <c r="D27">
        <f>IFERROR(INDEX(internal_constants_wide!$A:$ZZ,MATCH($C27,internal_constants_wide!$A:$A,0),MATCH("name",internal_constants_wide!$1:$1,0)),"")</f>
      </c>
      <c r="E27">
        <f>IFERROR(INDEX(internal_constants_wide!$A:$ZZ,MATCH($C27,internal_constants_wide!$A:$A,0),MATCH("material_type",internal_constants_wide!$1:$1,0)),"")</f>
      </c>
      <c r="F27"/>
      <c r="G27">
        <f>$G$2</f>
      </c>
      <c r="H27">
        <f>IFERROR(IF(IFERROR(INDEX(internal_constants_wide!$A:$ZZ,MATCH($C27,internal_constants_wide!$A:$A,0),MATCH("molecular_weight_g_mol",internal_constants_wide!$1:$1,0)),"")&lt;&gt;"",IFERROR(INDEX(internal_constants_wide!$A:$ZZ,MATCH($C27,internal_constants_wide!$A:$A,0),MATCH("molecular_weight_g_mol",internal_constants_wide!$1:$1,0)),""),IFERROR(INDEX(internal_constants_wide!$A:$ZZ,MATCH($C27,internal_constants_wide!$A:$A,0),MATCH("average_MW",internal_constants_wide!$1:$1,0)),"")),"")</f>
      </c>
      <c r="I27">
        <f>IFERROR(IF(AND(ISNUMBER($F27),ISNUMBER($G27),ISNUMBER($H27)),$F27/100*$G27*$H27,""),"")</f>
      </c>
      <c r="J27">
        <f>IFERROR(INDEX(internal_constants_wide!$A:$ZZ,MATCH($C27,internal_constants_wide!$A:$A,0),MATCH("HLB",internal_constants_wide!$1:$1,0)),"")</f>
      </c>
      <c r="K27">
        <f>IFERROR(INDEX(internal_constants_wide!$A:$ZZ,MATCH($C27,internal_constants_wide!$A:$A,0),MATCH("tail_carbons",internal_constants_wide!$1:$1,0)),"")</f>
      </c>
      <c r="L27">
        <f>IFERROR(INDEX(internal_constants_wide!$A:$ZZ,MATCH($C27,internal_constants_wide!$A:$A,0),MATCH("number_of_tails",internal_constants_wide!$1:$1,0)),"")</f>
      </c>
      <c r="M27">
        <f>IFERROR(INDEX(internal_constants_wide!$A:$ZZ,MATCH($C27,internal_constants_wide!$A:$A,0),MATCH("headgroup_area_nm2",internal_constants_wide!$1:$1,0)),"")</f>
      </c>
      <c r="N27">
        <f>IFERROR(INDEX(internal_constants_wide!$A:$ZZ,MATCH($C27,internal_constants_wide!$A:$A,0),MATCH("formal_charge",internal_constants_wide!$1:$1,0)),"")</f>
      </c>
      <c r="O27">
        <f>IFERROR(IF(IFERROR(INDEX(internal_constants_wide!$A:$ZZ,MATCH($C27,internal_constants_wide!$A:$A,0),MATCH("pKa_if_ionizable",internal_constants_wide!$1:$1,0)),"")&lt;&gt;"",IFERROR(INDEX(internal_constants_wide!$A:$ZZ,MATCH($C27,internal_constants_wide!$A:$A,0),MATCH("pKa_if_ionizable",internal_constants_wide!$1:$1,0)),""),IFERROR(INDEX(internal_constants_wide!$A:$ZZ,MATCH($C27,internal_constants_wide!$A:$A,0),MATCH("pKa",internal_constants_wide!$1:$1,0)),"")),"")</f>
      </c>
      <c r="P27">
        <f>IFERROR(IF(IFERROR(INDEX(internal_constants_wide!$A:$ZZ,MATCH($C27,internal_constants_wide!$A:$A,0),MATCH("phase_transition_temperature_C",internal_constants_wide!$1:$1,0)),"")&lt;&gt;"",IFERROR(INDEX(internal_constants_wide!$A:$ZZ,MATCH($C27,internal_constants_wide!$A:$A,0),MATCH("phase_transition_temperature_C",internal_constants_wide!$1:$1,0)),""),IFERROR(INDEX(internal_constants_wide!$A:$ZZ,MATCH($C27,internal_constants_wide!$A:$A,0),MATCH("melting_point_C",internal_constants_wide!$1:$1,0)),"")),"")</f>
      </c>
      <c r="Q27">
        <f>IFERROR(INDEX(internal_constants_wide!$A:$ZZ,MATCH($C27,internal_constants_wide!$A:$A,0),MATCH("melting_point_C",internal_constants_wide!$1:$1,0)),"")</f>
      </c>
      <c r="R27">
        <f>IFERROR(INDEX(internal_constants_wide!$A:$ZZ,MATCH($C27,internal_constants_wide!$A:$A,0),MATCH("Hansen_delta_D",internal_constants_wide!$1:$1,0)),"")</f>
      </c>
      <c r="S27">
        <f>IFERROR(INDEX(internal_constants_wide!$A:$ZZ,MATCH($C27,internal_constants_wide!$A:$A,0),MATCH("Hansen_delta_P",internal_constants_wide!$1:$1,0)),"")</f>
      </c>
      <c r="T27">
        <f>IFERROR(INDEX(internal_constants_wide!$A:$ZZ,MATCH($C27,internal_constants_wide!$A:$A,0),MATCH("Hansen_delta_H",internal_constants_wide!$1:$1,0)),"")</f>
      </c>
      <c r="U27">
        <f>IFERROR(INDEX(internal_constants_wide!$A:$ZZ,MATCH($C27,internal_constants_wide!$A:$A,0),MATCH("molar_volume_cm3_mol",internal_constants_wide!$1:$1,0)),"")</f>
      </c>
      <c r="V27">
        <f>IFERROR(IF(AND(ISNUMBER($K27),ISNUMBER($L27),ISNUMBER($M27),$M27&gt;0),($K27*0.027/($L27*$M27)),""),"")</f>
      </c>
      <c r="W27"/>
    </row>
    <row r="28">
      <c r="A28">
        <v>24</v>
      </c>
      <c r="B28"/>
      <c r="C28"/>
      <c r="D28">
        <f>IFERROR(INDEX(internal_constants_wide!$A:$ZZ,MATCH($C28,internal_constants_wide!$A:$A,0),MATCH("name",internal_constants_wide!$1:$1,0)),"")</f>
      </c>
      <c r="E28">
        <f>IFERROR(INDEX(internal_constants_wide!$A:$ZZ,MATCH($C28,internal_constants_wide!$A:$A,0),MATCH("material_type",internal_constants_wide!$1:$1,0)),"")</f>
      </c>
      <c r="F28"/>
      <c r="G28">
        <f>$G$2</f>
      </c>
      <c r="H28">
        <f>IFERROR(IF(IFERROR(INDEX(internal_constants_wide!$A:$ZZ,MATCH($C28,internal_constants_wide!$A:$A,0),MATCH("molecular_weight_g_mol",internal_constants_wide!$1:$1,0)),"")&lt;&gt;"",IFERROR(INDEX(internal_constants_wide!$A:$ZZ,MATCH($C28,internal_constants_wide!$A:$A,0),MATCH("molecular_weight_g_mol",internal_constants_wide!$1:$1,0)),""),IFERROR(INDEX(internal_constants_wide!$A:$ZZ,MATCH($C28,internal_constants_wide!$A:$A,0),MATCH("average_MW",internal_constants_wide!$1:$1,0)),"")),"")</f>
      </c>
      <c r="I28">
        <f>IFERROR(IF(AND(ISNUMBER($F28),ISNUMBER($G28),ISNUMBER($H28)),$F28/100*$G28*$H28,""),"")</f>
      </c>
      <c r="J28">
        <f>IFERROR(INDEX(internal_constants_wide!$A:$ZZ,MATCH($C28,internal_constants_wide!$A:$A,0),MATCH("HLB",internal_constants_wide!$1:$1,0)),"")</f>
      </c>
      <c r="K28">
        <f>IFERROR(INDEX(internal_constants_wide!$A:$ZZ,MATCH($C28,internal_constants_wide!$A:$A,0),MATCH("tail_carbons",internal_constants_wide!$1:$1,0)),"")</f>
      </c>
      <c r="L28">
        <f>IFERROR(INDEX(internal_constants_wide!$A:$ZZ,MATCH($C28,internal_constants_wide!$A:$A,0),MATCH("number_of_tails",internal_constants_wide!$1:$1,0)),"")</f>
      </c>
      <c r="M28">
        <f>IFERROR(INDEX(internal_constants_wide!$A:$ZZ,MATCH($C28,internal_constants_wide!$A:$A,0),MATCH("headgroup_area_nm2",internal_constants_wide!$1:$1,0)),"")</f>
      </c>
      <c r="N28">
        <f>IFERROR(INDEX(internal_constants_wide!$A:$ZZ,MATCH($C28,internal_constants_wide!$A:$A,0),MATCH("formal_charge",internal_constants_wide!$1:$1,0)),"")</f>
      </c>
      <c r="O28">
        <f>IFERROR(IF(IFERROR(INDEX(internal_constants_wide!$A:$ZZ,MATCH($C28,internal_constants_wide!$A:$A,0),MATCH("pKa_if_ionizable",internal_constants_wide!$1:$1,0)),"")&lt;&gt;"",IFERROR(INDEX(internal_constants_wide!$A:$ZZ,MATCH($C28,internal_constants_wide!$A:$A,0),MATCH("pKa_if_ionizable",internal_constants_wide!$1:$1,0)),""),IFERROR(INDEX(internal_constants_wide!$A:$ZZ,MATCH($C28,internal_constants_wide!$A:$A,0),MATCH("pKa",internal_constants_wide!$1:$1,0)),"")),"")</f>
      </c>
      <c r="P28">
        <f>IFERROR(IF(IFERROR(INDEX(internal_constants_wide!$A:$ZZ,MATCH($C28,internal_constants_wide!$A:$A,0),MATCH("phase_transition_temperature_C",internal_constants_wide!$1:$1,0)),"")&lt;&gt;"",IFERROR(INDEX(internal_constants_wide!$A:$ZZ,MATCH($C28,internal_constants_wide!$A:$A,0),MATCH("phase_transition_temperature_C",internal_constants_wide!$1:$1,0)),""),IFERROR(INDEX(internal_constants_wide!$A:$ZZ,MATCH($C28,internal_constants_wide!$A:$A,0),MATCH("melting_point_C",internal_constants_wide!$1:$1,0)),"")),"")</f>
      </c>
      <c r="Q28">
        <f>IFERROR(INDEX(internal_constants_wide!$A:$ZZ,MATCH($C28,internal_constants_wide!$A:$A,0),MATCH("melting_point_C",internal_constants_wide!$1:$1,0)),"")</f>
      </c>
      <c r="R28">
        <f>IFERROR(INDEX(internal_constants_wide!$A:$ZZ,MATCH($C28,internal_constants_wide!$A:$A,0),MATCH("Hansen_delta_D",internal_constants_wide!$1:$1,0)),"")</f>
      </c>
      <c r="S28">
        <f>IFERROR(INDEX(internal_constants_wide!$A:$ZZ,MATCH($C28,internal_constants_wide!$A:$A,0),MATCH("Hansen_delta_P",internal_constants_wide!$1:$1,0)),"")</f>
      </c>
      <c r="T28">
        <f>IFERROR(INDEX(internal_constants_wide!$A:$ZZ,MATCH($C28,internal_constants_wide!$A:$A,0),MATCH("Hansen_delta_H",internal_constants_wide!$1:$1,0)),"")</f>
      </c>
      <c r="U28">
        <f>IFERROR(INDEX(internal_constants_wide!$A:$ZZ,MATCH($C28,internal_constants_wide!$A:$A,0),MATCH("molar_volume_cm3_mol",internal_constants_wide!$1:$1,0)),"")</f>
      </c>
      <c r="V28">
        <f>IFERROR(IF(AND(ISNUMBER($K28),ISNUMBER($L28),ISNUMBER($M28),$M28&gt;0),($K28*0.027/($L28*$M28)),""),"")</f>
      </c>
      <c r="W28"/>
    </row>
    <row r="29">
      <c r="A29">
        <v>25</v>
      </c>
      <c r="B29"/>
      <c r="C29"/>
      <c r="D29">
        <f>IFERROR(INDEX(internal_constants_wide!$A:$ZZ,MATCH($C29,internal_constants_wide!$A:$A,0),MATCH("name",internal_constants_wide!$1:$1,0)),"")</f>
      </c>
      <c r="E29">
        <f>IFERROR(INDEX(internal_constants_wide!$A:$ZZ,MATCH($C29,internal_constants_wide!$A:$A,0),MATCH("material_type",internal_constants_wide!$1:$1,0)),"")</f>
      </c>
      <c r="F29"/>
      <c r="G29">
        <f>$G$2</f>
      </c>
      <c r="H29">
        <f>IFERROR(IF(IFERROR(INDEX(internal_constants_wide!$A:$ZZ,MATCH($C29,internal_constants_wide!$A:$A,0),MATCH("molecular_weight_g_mol",internal_constants_wide!$1:$1,0)),"")&lt;&gt;"",IFERROR(INDEX(internal_constants_wide!$A:$ZZ,MATCH($C29,internal_constants_wide!$A:$A,0),MATCH("molecular_weight_g_mol",internal_constants_wide!$1:$1,0)),""),IFERROR(INDEX(internal_constants_wide!$A:$ZZ,MATCH($C29,internal_constants_wide!$A:$A,0),MATCH("average_MW",internal_constants_wide!$1:$1,0)),"")),"")</f>
      </c>
      <c r="I29">
        <f>IFERROR(IF(AND(ISNUMBER($F29),ISNUMBER($G29),ISNUMBER($H29)),$F29/100*$G29*$H29,""),"")</f>
      </c>
      <c r="J29">
        <f>IFERROR(INDEX(internal_constants_wide!$A:$ZZ,MATCH($C29,internal_constants_wide!$A:$A,0),MATCH("HLB",internal_constants_wide!$1:$1,0)),"")</f>
      </c>
      <c r="K29">
        <f>IFERROR(INDEX(internal_constants_wide!$A:$ZZ,MATCH($C29,internal_constants_wide!$A:$A,0),MATCH("tail_carbons",internal_constants_wide!$1:$1,0)),"")</f>
      </c>
      <c r="L29">
        <f>IFERROR(INDEX(internal_constants_wide!$A:$ZZ,MATCH($C29,internal_constants_wide!$A:$A,0),MATCH("number_of_tails",internal_constants_wide!$1:$1,0)),"")</f>
      </c>
      <c r="M29">
        <f>IFERROR(INDEX(internal_constants_wide!$A:$ZZ,MATCH($C29,internal_constants_wide!$A:$A,0),MATCH("headgroup_area_nm2",internal_constants_wide!$1:$1,0)),"")</f>
      </c>
      <c r="N29">
        <f>IFERROR(INDEX(internal_constants_wide!$A:$ZZ,MATCH($C29,internal_constants_wide!$A:$A,0),MATCH("formal_charge",internal_constants_wide!$1:$1,0)),"")</f>
      </c>
      <c r="O29">
        <f>IFERROR(IF(IFERROR(INDEX(internal_constants_wide!$A:$ZZ,MATCH($C29,internal_constants_wide!$A:$A,0),MATCH("pKa_if_ionizable",internal_constants_wide!$1:$1,0)),"")&lt;&gt;"",IFERROR(INDEX(internal_constants_wide!$A:$ZZ,MATCH($C29,internal_constants_wide!$A:$A,0),MATCH("pKa_if_ionizable",internal_constants_wide!$1:$1,0)),""),IFERROR(INDEX(internal_constants_wide!$A:$ZZ,MATCH($C29,internal_constants_wide!$A:$A,0),MATCH("pKa",internal_constants_wide!$1:$1,0)),"")),"")</f>
      </c>
      <c r="P29">
        <f>IFERROR(IF(IFERROR(INDEX(internal_constants_wide!$A:$ZZ,MATCH($C29,internal_constants_wide!$A:$A,0),MATCH("phase_transition_temperature_C",internal_constants_wide!$1:$1,0)),"")&lt;&gt;"",IFERROR(INDEX(internal_constants_wide!$A:$ZZ,MATCH($C29,internal_constants_wide!$A:$A,0),MATCH("phase_transition_temperature_C",internal_constants_wide!$1:$1,0)),""),IFERROR(INDEX(internal_constants_wide!$A:$ZZ,MATCH($C29,internal_constants_wide!$A:$A,0),MATCH("melting_point_C",internal_constants_wide!$1:$1,0)),"")),"")</f>
      </c>
      <c r="Q29">
        <f>IFERROR(INDEX(internal_constants_wide!$A:$ZZ,MATCH($C29,internal_constants_wide!$A:$A,0),MATCH("melting_point_C",internal_constants_wide!$1:$1,0)),"")</f>
      </c>
      <c r="R29">
        <f>IFERROR(INDEX(internal_constants_wide!$A:$ZZ,MATCH($C29,internal_constants_wide!$A:$A,0),MATCH("Hansen_delta_D",internal_constants_wide!$1:$1,0)),"")</f>
      </c>
      <c r="S29">
        <f>IFERROR(INDEX(internal_constants_wide!$A:$ZZ,MATCH($C29,internal_constants_wide!$A:$A,0),MATCH("Hansen_delta_P",internal_constants_wide!$1:$1,0)),"")</f>
      </c>
      <c r="T29">
        <f>IFERROR(INDEX(internal_constants_wide!$A:$ZZ,MATCH($C29,internal_constants_wide!$A:$A,0),MATCH("Hansen_delta_H",internal_constants_wide!$1:$1,0)),"")</f>
      </c>
      <c r="U29">
        <f>IFERROR(INDEX(internal_constants_wide!$A:$ZZ,MATCH($C29,internal_constants_wide!$A:$A,0),MATCH("molar_volume_cm3_mol",internal_constants_wide!$1:$1,0)),"")</f>
      </c>
      <c r="V29">
        <f>IFERROR(IF(AND(ISNUMBER($K29),ISNUMBER($L29),ISNUMBER($M29),$M29&gt;0),($K29*0.027/($L29*$M29)),""),"")</f>
      </c>
      <c r="W29"/>
    </row>
    <row r="30">
      <c r="A30">
        <v>26</v>
      </c>
      <c r="B30"/>
      <c r="C30"/>
      <c r="D30">
        <f>IFERROR(INDEX(internal_constants_wide!$A:$ZZ,MATCH($C30,internal_constants_wide!$A:$A,0),MATCH("name",internal_constants_wide!$1:$1,0)),"")</f>
      </c>
      <c r="E30">
        <f>IFERROR(INDEX(internal_constants_wide!$A:$ZZ,MATCH($C30,internal_constants_wide!$A:$A,0),MATCH("material_type",internal_constants_wide!$1:$1,0)),"")</f>
      </c>
      <c r="F30"/>
      <c r="G30">
        <f>$G$2</f>
      </c>
      <c r="H30">
        <f>IFERROR(IF(IFERROR(INDEX(internal_constants_wide!$A:$ZZ,MATCH($C30,internal_constants_wide!$A:$A,0),MATCH("molecular_weight_g_mol",internal_constants_wide!$1:$1,0)),"")&lt;&gt;"",IFERROR(INDEX(internal_constants_wide!$A:$ZZ,MATCH($C30,internal_constants_wide!$A:$A,0),MATCH("molecular_weight_g_mol",internal_constants_wide!$1:$1,0)),""),IFERROR(INDEX(internal_constants_wide!$A:$ZZ,MATCH($C30,internal_constants_wide!$A:$A,0),MATCH("average_MW",internal_constants_wide!$1:$1,0)),"")),"")</f>
      </c>
      <c r="I30">
        <f>IFERROR(IF(AND(ISNUMBER($F30),ISNUMBER($G30),ISNUMBER($H30)),$F30/100*$G30*$H30,""),"")</f>
      </c>
      <c r="J30">
        <f>IFERROR(INDEX(internal_constants_wide!$A:$ZZ,MATCH($C30,internal_constants_wide!$A:$A,0),MATCH("HLB",internal_constants_wide!$1:$1,0)),"")</f>
      </c>
      <c r="K30">
        <f>IFERROR(INDEX(internal_constants_wide!$A:$ZZ,MATCH($C30,internal_constants_wide!$A:$A,0),MATCH("tail_carbons",internal_constants_wide!$1:$1,0)),"")</f>
      </c>
      <c r="L30">
        <f>IFERROR(INDEX(internal_constants_wide!$A:$ZZ,MATCH($C30,internal_constants_wide!$A:$A,0),MATCH("number_of_tails",internal_constants_wide!$1:$1,0)),"")</f>
      </c>
      <c r="M30">
        <f>IFERROR(INDEX(internal_constants_wide!$A:$ZZ,MATCH($C30,internal_constants_wide!$A:$A,0),MATCH("headgroup_area_nm2",internal_constants_wide!$1:$1,0)),"")</f>
      </c>
      <c r="N30">
        <f>IFERROR(INDEX(internal_constants_wide!$A:$ZZ,MATCH($C30,internal_constants_wide!$A:$A,0),MATCH("formal_charge",internal_constants_wide!$1:$1,0)),"")</f>
      </c>
      <c r="O30">
        <f>IFERROR(IF(IFERROR(INDEX(internal_constants_wide!$A:$ZZ,MATCH($C30,internal_constants_wide!$A:$A,0),MATCH("pKa_if_ionizable",internal_constants_wide!$1:$1,0)),"")&lt;&gt;"",IFERROR(INDEX(internal_constants_wide!$A:$ZZ,MATCH($C30,internal_constants_wide!$A:$A,0),MATCH("pKa_if_ionizable",internal_constants_wide!$1:$1,0)),""),IFERROR(INDEX(internal_constants_wide!$A:$ZZ,MATCH($C30,internal_constants_wide!$A:$A,0),MATCH("pKa",internal_constants_wide!$1:$1,0)),"")),"")</f>
      </c>
      <c r="P30">
        <f>IFERROR(IF(IFERROR(INDEX(internal_constants_wide!$A:$ZZ,MATCH($C30,internal_constants_wide!$A:$A,0),MATCH("phase_transition_temperature_C",internal_constants_wide!$1:$1,0)),"")&lt;&gt;"",IFERROR(INDEX(internal_constants_wide!$A:$ZZ,MATCH($C30,internal_constants_wide!$A:$A,0),MATCH("phase_transition_temperature_C",internal_constants_wide!$1:$1,0)),""),IFERROR(INDEX(internal_constants_wide!$A:$ZZ,MATCH($C30,internal_constants_wide!$A:$A,0),MATCH("melting_point_C",internal_constants_wide!$1:$1,0)),"")),"")</f>
      </c>
      <c r="Q30">
        <f>IFERROR(INDEX(internal_constants_wide!$A:$ZZ,MATCH($C30,internal_constants_wide!$A:$A,0),MATCH("melting_point_C",internal_constants_wide!$1:$1,0)),"")</f>
      </c>
      <c r="R30">
        <f>IFERROR(INDEX(internal_constants_wide!$A:$ZZ,MATCH($C30,internal_constants_wide!$A:$A,0),MATCH("Hansen_delta_D",internal_constants_wide!$1:$1,0)),"")</f>
      </c>
      <c r="S30">
        <f>IFERROR(INDEX(internal_constants_wide!$A:$ZZ,MATCH($C30,internal_constants_wide!$A:$A,0),MATCH("Hansen_delta_P",internal_constants_wide!$1:$1,0)),"")</f>
      </c>
      <c r="T30">
        <f>IFERROR(INDEX(internal_constants_wide!$A:$ZZ,MATCH($C30,internal_constants_wide!$A:$A,0),MATCH("Hansen_delta_H",internal_constants_wide!$1:$1,0)),"")</f>
      </c>
      <c r="U30">
        <f>IFERROR(INDEX(internal_constants_wide!$A:$ZZ,MATCH($C30,internal_constants_wide!$A:$A,0),MATCH("molar_volume_cm3_mol",internal_constants_wide!$1:$1,0)),"")</f>
      </c>
      <c r="V30">
        <f>IFERROR(IF(AND(ISNUMBER($K30),ISNUMBER($L30),ISNUMBER($M30),$M30&gt;0),($K30*0.027/($L30*$M30)),""),"")</f>
      </c>
      <c r="W30"/>
    </row>
    <row r="31">
      <c r="A31">
        <v>27</v>
      </c>
      <c r="B31"/>
      <c r="C31"/>
      <c r="D31">
        <f>IFERROR(INDEX(internal_constants_wide!$A:$ZZ,MATCH($C31,internal_constants_wide!$A:$A,0),MATCH("name",internal_constants_wide!$1:$1,0)),"")</f>
      </c>
      <c r="E31">
        <f>IFERROR(INDEX(internal_constants_wide!$A:$ZZ,MATCH($C31,internal_constants_wide!$A:$A,0),MATCH("material_type",internal_constants_wide!$1:$1,0)),"")</f>
      </c>
      <c r="F31"/>
      <c r="G31">
        <f>$G$2</f>
      </c>
      <c r="H31">
        <f>IFERROR(IF(IFERROR(INDEX(internal_constants_wide!$A:$ZZ,MATCH($C31,internal_constants_wide!$A:$A,0),MATCH("molecular_weight_g_mol",internal_constants_wide!$1:$1,0)),"")&lt;&gt;"",IFERROR(INDEX(internal_constants_wide!$A:$ZZ,MATCH($C31,internal_constants_wide!$A:$A,0),MATCH("molecular_weight_g_mol",internal_constants_wide!$1:$1,0)),""),IFERROR(INDEX(internal_constants_wide!$A:$ZZ,MATCH($C31,internal_constants_wide!$A:$A,0),MATCH("average_MW",internal_constants_wide!$1:$1,0)),"")),"")</f>
      </c>
      <c r="I31">
        <f>IFERROR(IF(AND(ISNUMBER($F31),ISNUMBER($G31),ISNUMBER($H31)),$F31/100*$G31*$H31,""),"")</f>
      </c>
      <c r="J31">
        <f>IFERROR(INDEX(internal_constants_wide!$A:$ZZ,MATCH($C31,internal_constants_wide!$A:$A,0),MATCH("HLB",internal_constants_wide!$1:$1,0)),"")</f>
      </c>
      <c r="K31">
        <f>IFERROR(INDEX(internal_constants_wide!$A:$ZZ,MATCH($C31,internal_constants_wide!$A:$A,0),MATCH("tail_carbons",internal_constants_wide!$1:$1,0)),"")</f>
      </c>
      <c r="L31">
        <f>IFERROR(INDEX(internal_constants_wide!$A:$ZZ,MATCH($C31,internal_constants_wide!$A:$A,0),MATCH("number_of_tails",internal_constants_wide!$1:$1,0)),"")</f>
      </c>
      <c r="M31">
        <f>IFERROR(INDEX(internal_constants_wide!$A:$ZZ,MATCH($C31,internal_constants_wide!$A:$A,0),MATCH("headgroup_area_nm2",internal_constants_wide!$1:$1,0)),"")</f>
      </c>
      <c r="N31">
        <f>IFERROR(INDEX(internal_constants_wide!$A:$ZZ,MATCH($C31,internal_constants_wide!$A:$A,0),MATCH("formal_charge",internal_constants_wide!$1:$1,0)),"")</f>
      </c>
      <c r="O31">
        <f>IFERROR(IF(IFERROR(INDEX(internal_constants_wide!$A:$ZZ,MATCH($C31,internal_constants_wide!$A:$A,0),MATCH("pKa_if_ionizable",internal_constants_wide!$1:$1,0)),"")&lt;&gt;"",IFERROR(INDEX(internal_constants_wide!$A:$ZZ,MATCH($C31,internal_constants_wide!$A:$A,0),MATCH("pKa_if_ionizable",internal_constants_wide!$1:$1,0)),""),IFERROR(INDEX(internal_constants_wide!$A:$ZZ,MATCH($C31,internal_constants_wide!$A:$A,0),MATCH("pKa",internal_constants_wide!$1:$1,0)),"")),"")</f>
      </c>
      <c r="P31">
        <f>IFERROR(IF(IFERROR(INDEX(internal_constants_wide!$A:$ZZ,MATCH($C31,internal_constants_wide!$A:$A,0),MATCH("phase_transition_temperature_C",internal_constants_wide!$1:$1,0)),"")&lt;&gt;"",IFERROR(INDEX(internal_constants_wide!$A:$ZZ,MATCH($C31,internal_constants_wide!$A:$A,0),MATCH("phase_transition_temperature_C",internal_constants_wide!$1:$1,0)),""),IFERROR(INDEX(internal_constants_wide!$A:$ZZ,MATCH($C31,internal_constants_wide!$A:$A,0),MATCH("melting_point_C",internal_constants_wide!$1:$1,0)),"")),"")</f>
      </c>
      <c r="Q31">
        <f>IFERROR(INDEX(internal_constants_wide!$A:$ZZ,MATCH($C31,internal_constants_wide!$A:$A,0),MATCH("melting_point_C",internal_constants_wide!$1:$1,0)),"")</f>
      </c>
      <c r="R31">
        <f>IFERROR(INDEX(internal_constants_wide!$A:$ZZ,MATCH($C31,internal_constants_wide!$A:$A,0),MATCH("Hansen_delta_D",internal_constants_wide!$1:$1,0)),"")</f>
      </c>
      <c r="S31">
        <f>IFERROR(INDEX(internal_constants_wide!$A:$ZZ,MATCH($C31,internal_constants_wide!$A:$A,0),MATCH("Hansen_delta_P",internal_constants_wide!$1:$1,0)),"")</f>
      </c>
      <c r="T31">
        <f>IFERROR(INDEX(internal_constants_wide!$A:$ZZ,MATCH($C31,internal_constants_wide!$A:$A,0),MATCH("Hansen_delta_H",internal_constants_wide!$1:$1,0)),"")</f>
      </c>
      <c r="U31">
        <f>IFERROR(INDEX(internal_constants_wide!$A:$ZZ,MATCH($C31,internal_constants_wide!$A:$A,0),MATCH("molar_volume_cm3_mol",internal_constants_wide!$1:$1,0)),"")</f>
      </c>
      <c r="V31">
        <f>IFERROR(IF(AND(ISNUMBER($K31),ISNUMBER($L31),ISNUMBER($M31),$M31&gt;0),($K31*0.027/($L31*$M31)),""),"")</f>
      </c>
      <c r="W31"/>
    </row>
    <row r="32">
      <c r="A32">
        <v>28</v>
      </c>
      <c r="B32"/>
      <c r="C32"/>
      <c r="D32">
        <f>IFERROR(INDEX(internal_constants_wide!$A:$ZZ,MATCH($C32,internal_constants_wide!$A:$A,0),MATCH("name",internal_constants_wide!$1:$1,0)),"")</f>
      </c>
      <c r="E32">
        <f>IFERROR(INDEX(internal_constants_wide!$A:$ZZ,MATCH($C32,internal_constants_wide!$A:$A,0),MATCH("material_type",internal_constants_wide!$1:$1,0)),"")</f>
      </c>
      <c r="F32"/>
      <c r="G32">
        <f>$G$2</f>
      </c>
      <c r="H32">
        <f>IFERROR(IF(IFERROR(INDEX(internal_constants_wide!$A:$ZZ,MATCH($C32,internal_constants_wide!$A:$A,0),MATCH("molecular_weight_g_mol",internal_constants_wide!$1:$1,0)),"")&lt;&gt;"",IFERROR(INDEX(internal_constants_wide!$A:$ZZ,MATCH($C32,internal_constants_wide!$A:$A,0),MATCH("molecular_weight_g_mol",internal_constants_wide!$1:$1,0)),""),IFERROR(INDEX(internal_constants_wide!$A:$ZZ,MATCH($C32,internal_constants_wide!$A:$A,0),MATCH("average_MW",internal_constants_wide!$1:$1,0)),"")),"")</f>
      </c>
      <c r="I32">
        <f>IFERROR(IF(AND(ISNUMBER($F32),ISNUMBER($G32),ISNUMBER($H32)),$F32/100*$G32*$H32,""),"")</f>
      </c>
      <c r="J32">
        <f>IFERROR(INDEX(internal_constants_wide!$A:$ZZ,MATCH($C32,internal_constants_wide!$A:$A,0),MATCH("HLB",internal_constants_wide!$1:$1,0)),"")</f>
      </c>
      <c r="K32">
        <f>IFERROR(INDEX(internal_constants_wide!$A:$ZZ,MATCH($C32,internal_constants_wide!$A:$A,0),MATCH("tail_carbons",internal_constants_wide!$1:$1,0)),"")</f>
      </c>
      <c r="L32">
        <f>IFERROR(INDEX(internal_constants_wide!$A:$ZZ,MATCH($C32,internal_constants_wide!$A:$A,0),MATCH("number_of_tails",internal_constants_wide!$1:$1,0)),"")</f>
      </c>
      <c r="M32">
        <f>IFERROR(INDEX(internal_constants_wide!$A:$ZZ,MATCH($C32,internal_constants_wide!$A:$A,0),MATCH("headgroup_area_nm2",internal_constants_wide!$1:$1,0)),"")</f>
      </c>
      <c r="N32">
        <f>IFERROR(INDEX(internal_constants_wide!$A:$ZZ,MATCH($C32,internal_constants_wide!$A:$A,0),MATCH("formal_charge",internal_constants_wide!$1:$1,0)),"")</f>
      </c>
      <c r="O32">
        <f>IFERROR(IF(IFERROR(INDEX(internal_constants_wide!$A:$ZZ,MATCH($C32,internal_constants_wide!$A:$A,0),MATCH("pKa_if_ionizable",internal_constants_wide!$1:$1,0)),"")&lt;&gt;"",IFERROR(INDEX(internal_constants_wide!$A:$ZZ,MATCH($C32,internal_constants_wide!$A:$A,0),MATCH("pKa_if_ionizable",internal_constants_wide!$1:$1,0)),""),IFERROR(INDEX(internal_constants_wide!$A:$ZZ,MATCH($C32,internal_constants_wide!$A:$A,0),MATCH("pKa",internal_constants_wide!$1:$1,0)),"")),"")</f>
      </c>
      <c r="P32">
        <f>IFERROR(IF(IFERROR(INDEX(internal_constants_wide!$A:$ZZ,MATCH($C32,internal_constants_wide!$A:$A,0),MATCH("phase_transition_temperature_C",internal_constants_wide!$1:$1,0)),"")&lt;&gt;"",IFERROR(INDEX(internal_constants_wide!$A:$ZZ,MATCH($C32,internal_constants_wide!$A:$A,0),MATCH("phase_transition_temperature_C",internal_constants_wide!$1:$1,0)),""),IFERROR(INDEX(internal_constants_wide!$A:$ZZ,MATCH($C32,internal_constants_wide!$A:$A,0),MATCH("melting_point_C",internal_constants_wide!$1:$1,0)),"")),"")</f>
      </c>
      <c r="Q32">
        <f>IFERROR(INDEX(internal_constants_wide!$A:$ZZ,MATCH($C32,internal_constants_wide!$A:$A,0),MATCH("melting_point_C",internal_constants_wide!$1:$1,0)),"")</f>
      </c>
      <c r="R32">
        <f>IFERROR(INDEX(internal_constants_wide!$A:$ZZ,MATCH($C32,internal_constants_wide!$A:$A,0),MATCH("Hansen_delta_D",internal_constants_wide!$1:$1,0)),"")</f>
      </c>
      <c r="S32">
        <f>IFERROR(INDEX(internal_constants_wide!$A:$ZZ,MATCH($C32,internal_constants_wide!$A:$A,0),MATCH("Hansen_delta_P",internal_constants_wide!$1:$1,0)),"")</f>
      </c>
      <c r="T32">
        <f>IFERROR(INDEX(internal_constants_wide!$A:$ZZ,MATCH($C32,internal_constants_wide!$A:$A,0),MATCH("Hansen_delta_H",internal_constants_wide!$1:$1,0)),"")</f>
      </c>
      <c r="U32">
        <f>IFERROR(INDEX(internal_constants_wide!$A:$ZZ,MATCH($C32,internal_constants_wide!$A:$A,0),MATCH("molar_volume_cm3_mol",internal_constants_wide!$1:$1,0)),"")</f>
      </c>
      <c r="V32">
        <f>IFERROR(IF(AND(ISNUMBER($K32),ISNUMBER($L32),ISNUMBER($M32),$M32&gt;0),($K32*0.027/($L32*$M32)),""),"")</f>
      </c>
      <c r="W32"/>
    </row>
    <row r="33">
      <c r="A33">
        <v>29</v>
      </c>
      <c r="B33"/>
      <c r="C33"/>
      <c r="D33">
        <f>IFERROR(INDEX(internal_constants_wide!$A:$ZZ,MATCH($C33,internal_constants_wide!$A:$A,0),MATCH("name",internal_constants_wide!$1:$1,0)),"")</f>
      </c>
      <c r="E33">
        <f>IFERROR(INDEX(internal_constants_wide!$A:$ZZ,MATCH($C33,internal_constants_wide!$A:$A,0),MATCH("material_type",internal_constants_wide!$1:$1,0)),"")</f>
      </c>
      <c r="F33"/>
      <c r="G33">
        <f>$G$2</f>
      </c>
      <c r="H33">
        <f>IFERROR(IF(IFERROR(INDEX(internal_constants_wide!$A:$ZZ,MATCH($C33,internal_constants_wide!$A:$A,0),MATCH("molecular_weight_g_mol",internal_constants_wide!$1:$1,0)),"")&lt;&gt;"",IFERROR(INDEX(internal_constants_wide!$A:$ZZ,MATCH($C33,internal_constants_wide!$A:$A,0),MATCH("molecular_weight_g_mol",internal_constants_wide!$1:$1,0)),""),IFERROR(INDEX(internal_constants_wide!$A:$ZZ,MATCH($C33,internal_constants_wide!$A:$A,0),MATCH("average_MW",internal_constants_wide!$1:$1,0)),"")),"")</f>
      </c>
      <c r="I33">
        <f>IFERROR(IF(AND(ISNUMBER($F33),ISNUMBER($G33),ISNUMBER($H33)),$F33/100*$G33*$H33,""),"")</f>
      </c>
      <c r="J33">
        <f>IFERROR(INDEX(internal_constants_wide!$A:$ZZ,MATCH($C33,internal_constants_wide!$A:$A,0),MATCH("HLB",internal_constants_wide!$1:$1,0)),"")</f>
      </c>
      <c r="K33">
        <f>IFERROR(INDEX(internal_constants_wide!$A:$ZZ,MATCH($C33,internal_constants_wide!$A:$A,0),MATCH("tail_carbons",internal_constants_wide!$1:$1,0)),"")</f>
      </c>
      <c r="L33">
        <f>IFERROR(INDEX(internal_constants_wide!$A:$ZZ,MATCH($C33,internal_constants_wide!$A:$A,0),MATCH("number_of_tails",internal_constants_wide!$1:$1,0)),"")</f>
      </c>
      <c r="M33">
        <f>IFERROR(INDEX(internal_constants_wide!$A:$ZZ,MATCH($C33,internal_constants_wide!$A:$A,0),MATCH("headgroup_area_nm2",internal_constants_wide!$1:$1,0)),"")</f>
      </c>
      <c r="N33">
        <f>IFERROR(INDEX(internal_constants_wide!$A:$ZZ,MATCH($C33,internal_constants_wide!$A:$A,0),MATCH("formal_charge",internal_constants_wide!$1:$1,0)),"")</f>
      </c>
      <c r="O33">
        <f>IFERROR(IF(IFERROR(INDEX(internal_constants_wide!$A:$ZZ,MATCH($C33,internal_constants_wide!$A:$A,0),MATCH("pKa_if_ionizable",internal_constants_wide!$1:$1,0)),"")&lt;&gt;"",IFERROR(INDEX(internal_constants_wide!$A:$ZZ,MATCH($C33,internal_constants_wide!$A:$A,0),MATCH("pKa_if_ionizable",internal_constants_wide!$1:$1,0)),""),IFERROR(INDEX(internal_constants_wide!$A:$ZZ,MATCH($C33,internal_constants_wide!$A:$A,0),MATCH("pKa",internal_constants_wide!$1:$1,0)),"")),"")</f>
      </c>
      <c r="P33">
        <f>IFERROR(IF(IFERROR(INDEX(internal_constants_wide!$A:$ZZ,MATCH($C33,internal_constants_wide!$A:$A,0),MATCH("phase_transition_temperature_C",internal_constants_wide!$1:$1,0)),"")&lt;&gt;"",IFERROR(INDEX(internal_constants_wide!$A:$ZZ,MATCH($C33,internal_constants_wide!$A:$A,0),MATCH("phase_transition_temperature_C",internal_constants_wide!$1:$1,0)),""),IFERROR(INDEX(internal_constants_wide!$A:$ZZ,MATCH($C33,internal_constants_wide!$A:$A,0),MATCH("melting_point_C",internal_constants_wide!$1:$1,0)),"")),"")</f>
      </c>
      <c r="Q33">
        <f>IFERROR(INDEX(internal_constants_wide!$A:$ZZ,MATCH($C33,internal_constants_wide!$A:$A,0),MATCH("melting_point_C",internal_constants_wide!$1:$1,0)),"")</f>
      </c>
      <c r="R33">
        <f>IFERROR(INDEX(internal_constants_wide!$A:$ZZ,MATCH($C33,internal_constants_wide!$A:$A,0),MATCH("Hansen_delta_D",internal_constants_wide!$1:$1,0)),"")</f>
      </c>
      <c r="S33">
        <f>IFERROR(INDEX(internal_constants_wide!$A:$ZZ,MATCH($C33,internal_constants_wide!$A:$A,0),MATCH("Hansen_delta_P",internal_constants_wide!$1:$1,0)),"")</f>
      </c>
      <c r="T33">
        <f>IFERROR(INDEX(internal_constants_wide!$A:$ZZ,MATCH($C33,internal_constants_wide!$A:$A,0),MATCH("Hansen_delta_H",internal_constants_wide!$1:$1,0)),"")</f>
      </c>
      <c r="U33">
        <f>IFERROR(INDEX(internal_constants_wide!$A:$ZZ,MATCH($C33,internal_constants_wide!$A:$A,0),MATCH("molar_volume_cm3_mol",internal_constants_wide!$1:$1,0)),"")</f>
      </c>
      <c r="V33">
        <f>IFERROR(IF(AND(ISNUMBER($K33),ISNUMBER($L33),ISNUMBER($M33),$M33&gt;0),($K33*0.027/($L33*$M33)),""),"")</f>
      </c>
      <c r="W33"/>
    </row>
    <row r="34">
      <c r="A34">
        <v>30</v>
      </c>
      <c r="B34"/>
      <c r="C34"/>
      <c r="D34">
        <f>IFERROR(INDEX(internal_constants_wide!$A:$ZZ,MATCH($C34,internal_constants_wide!$A:$A,0),MATCH("name",internal_constants_wide!$1:$1,0)),"")</f>
      </c>
      <c r="E34">
        <f>IFERROR(INDEX(internal_constants_wide!$A:$ZZ,MATCH($C34,internal_constants_wide!$A:$A,0),MATCH("material_type",internal_constants_wide!$1:$1,0)),"")</f>
      </c>
      <c r="F34"/>
      <c r="G34">
        <f>$G$2</f>
      </c>
      <c r="H34">
        <f>IFERROR(IF(IFERROR(INDEX(internal_constants_wide!$A:$ZZ,MATCH($C34,internal_constants_wide!$A:$A,0),MATCH("molecular_weight_g_mol",internal_constants_wide!$1:$1,0)),"")&lt;&gt;"",IFERROR(INDEX(internal_constants_wide!$A:$ZZ,MATCH($C34,internal_constants_wide!$A:$A,0),MATCH("molecular_weight_g_mol",internal_constants_wide!$1:$1,0)),""),IFERROR(INDEX(internal_constants_wide!$A:$ZZ,MATCH($C34,internal_constants_wide!$A:$A,0),MATCH("average_MW",internal_constants_wide!$1:$1,0)),"")),"")</f>
      </c>
      <c r="I34">
        <f>IFERROR(IF(AND(ISNUMBER($F34),ISNUMBER($G34),ISNUMBER($H34)),$F34/100*$G34*$H34,""),"")</f>
      </c>
      <c r="J34">
        <f>IFERROR(INDEX(internal_constants_wide!$A:$ZZ,MATCH($C34,internal_constants_wide!$A:$A,0),MATCH("HLB",internal_constants_wide!$1:$1,0)),"")</f>
      </c>
      <c r="K34">
        <f>IFERROR(INDEX(internal_constants_wide!$A:$ZZ,MATCH($C34,internal_constants_wide!$A:$A,0),MATCH("tail_carbons",internal_constants_wide!$1:$1,0)),"")</f>
      </c>
      <c r="L34">
        <f>IFERROR(INDEX(internal_constants_wide!$A:$ZZ,MATCH($C34,internal_constants_wide!$A:$A,0),MATCH("number_of_tails",internal_constants_wide!$1:$1,0)),"")</f>
      </c>
      <c r="M34">
        <f>IFERROR(INDEX(internal_constants_wide!$A:$ZZ,MATCH($C34,internal_constants_wide!$A:$A,0),MATCH("headgroup_area_nm2",internal_constants_wide!$1:$1,0)),"")</f>
      </c>
      <c r="N34">
        <f>IFERROR(INDEX(internal_constants_wide!$A:$ZZ,MATCH($C34,internal_constants_wide!$A:$A,0),MATCH("formal_charge",internal_constants_wide!$1:$1,0)),"")</f>
      </c>
      <c r="O34">
        <f>IFERROR(IF(IFERROR(INDEX(internal_constants_wide!$A:$ZZ,MATCH($C34,internal_constants_wide!$A:$A,0),MATCH("pKa_if_ionizable",internal_constants_wide!$1:$1,0)),"")&lt;&gt;"",IFERROR(INDEX(internal_constants_wide!$A:$ZZ,MATCH($C34,internal_constants_wide!$A:$A,0),MATCH("pKa_if_ionizable",internal_constants_wide!$1:$1,0)),""),IFERROR(INDEX(internal_constants_wide!$A:$ZZ,MATCH($C34,internal_constants_wide!$A:$A,0),MATCH("pKa",internal_constants_wide!$1:$1,0)),"")),"")</f>
      </c>
      <c r="P34">
        <f>IFERROR(IF(IFERROR(INDEX(internal_constants_wide!$A:$ZZ,MATCH($C34,internal_constants_wide!$A:$A,0),MATCH("phase_transition_temperature_C",internal_constants_wide!$1:$1,0)),"")&lt;&gt;"",IFERROR(INDEX(internal_constants_wide!$A:$ZZ,MATCH($C34,internal_constants_wide!$A:$A,0),MATCH("phase_transition_temperature_C",internal_constants_wide!$1:$1,0)),""),IFERROR(INDEX(internal_constants_wide!$A:$ZZ,MATCH($C34,internal_constants_wide!$A:$A,0),MATCH("melting_point_C",internal_constants_wide!$1:$1,0)),"")),"")</f>
      </c>
      <c r="Q34">
        <f>IFERROR(INDEX(internal_constants_wide!$A:$ZZ,MATCH($C34,internal_constants_wide!$A:$A,0),MATCH("melting_point_C",internal_constants_wide!$1:$1,0)),"")</f>
      </c>
      <c r="R34">
        <f>IFERROR(INDEX(internal_constants_wide!$A:$ZZ,MATCH($C34,internal_constants_wide!$A:$A,0),MATCH("Hansen_delta_D",internal_constants_wide!$1:$1,0)),"")</f>
      </c>
      <c r="S34">
        <f>IFERROR(INDEX(internal_constants_wide!$A:$ZZ,MATCH($C34,internal_constants_wide!$A:$A,0),MATCH("Hansen_delta_P",internal_constants_wide!$1:$1,0)),"")</f>
      </c>
      <c r="T34">
        <f>IFERROR(INDEX(internal_constants_wide!$A:$ZZ,MATCH($C34,internal_constants_wide!$A:$A,0),MATCH("Hansen_delta_H",internal_constants_wide!$1:$1,0)),"")</f>
      </c>
      <c r="U34">
        <f>IFERROR(INDEX(internal_constants_wide!$A:$ZZ,MATCH($C34,internal_constants_wide!$A:$A,0),MATCH("molar_volume_cm3_mol",internal_constants_wide!$1:$1,0)),"")</f>
      </c>
      <c r="V34">
        <f>IFERROR(IF(AND(ISNUMBER($K34),ISNUMBER($L34),ISNUMBER($M34),$M34&gt;0),($K34*0.027/($L34*$M34)),""),"")</f>
      </c>
      <c r="W34"/>
    </row>
    <row r="35">
      <c r="A35">
        <v>31</v>
      </c>
      <c r="B35"/>
      <c r="C35"/>
      <c r="D35">
        <f>IFERROR(INDEX(internal_constants_wide!$A:$ZZ,MATCH($C35,internal_constants_wide!$A:$A,0),MATCH("name",internal_constants_wide!$1:$1,0)),"")</f>
      </c>
      <c r="E35">
        <f>IFERROR(INDEX(internal_constants_wide!$A:$ZZ,MATCH($C35,internal_constants_wide!$A:$A,0),MATCH("material_type",internal_constants_wide!$1:$1,0)),"")</f>
      </c>
      <c r="F35"/>
      <c r="G35">
        <f>$G$2</f>
      </c>
      <c r="H35">
        <f>IFERROR(IF(IFERROR(INDEX(internal_constants_wide!$A:$ZZ,MATCH($C35,internal_constants_wide!$A:$A,0),MATCH("molecular_weight_g_mol",internal_constants_wide!$1:$1,0)),"")&lt;&gt;"",IFERROR(INDEX(internal_constants_wide!$A:$ZZ,MATCH($C35,internal_constants_wide!$A:$A,0),MATCH("molecular_weight_g_mol",internal_constants_wide!$1:$1,0)),""),IFERROR(INDEX(internal_constants_wide!$A:$ZZ,MATCH($C35,internal_constants_wide!$A:$A,0),MATCH("average_MW",internal_constants_wide!$1:$1,0)),"")),"")</f>
      </c>
      <c r="I35">
        <f>IFERROR(IF(AND(ISNUMBER($F35),ISNUMBER($G35),ISNUMBER($H35)),$F35/100*$G35*$H35,""),"")</f>
      </c>
      <c r="J35">
        <f>IFERROR(INDEX(internal_constants_wide!$A:$ZZ,MATCH($C35,internal_constants_wide!$A:$A,0),MATCH("HLB",internal_constants_wide!$1:$1,0)),"")</f>
      </c>
      <c r="K35">
        <f>IFERROR(INDEX(internal_constants_wide!$A:$ZZ,MATCH($C35,internal_constants_wide!$A:$A,0),MATCH("tail_carbons",internal_constants_wide!$1:$1,0)),"")</f>
      </c>
      <c r="L35">
        <f>IFERROR(INDEX(internal_constants_wide!$A:$ZZ,MATCH($C35,internal_constants_wide!$A:$A,0),MATCH("number_of_tails",internal_constants_wide!$1:$1,0)),"")</f>
      </c>
      <c r="M35">
        <f>IFERROR(INDEX(internal_constants_wide!$A:$ZZ,MATCH($C35,internal_constants_wide!$A:$A,0),MATCH("headgroup_area_nm2",internal_constants_wide!$1:$1,0)),"")</f>
      </c>
      <c r="N35">
        <f>IFERROR(INDEX(internal_constants_wide!$A:$ZZ,MATCH($C35,internal_constants_wide!$A:$A,0),MATCH("formal_charge",internal_constants_wide!$1:$1,0)),"")</f>
      </c>
      <c r="O35">
        <f>IFERROR(IF(IFERROR(INDEX(internal_constants_wide!$A:$ZZ,MATCH($C35,internal_constants_wide!$A:$A,0),MATCH("pKa_if_ionizable",internal_constants_wide!$1:$1,0)),"")&lt;&gt;"",IFERROR(INDEX(internal_constants_wide!$A:$ZZ,MATCH($C35,internal_constants_wide!$A:$A,0),MATCH("pKa_if_ionizable",internal_constants_wide!$1:$1,0)),""),IFERROR(INDEX(internal_constants_wide!$A:$ZZ,MATCH($C35,internal_constants_wide!$A:$A,0),MATCH("pKa",internal_constants_wide!$1:$1,0)),"")),"")</f>
      </c>
      <c r="P35">
        <f>IFERROR(IF(IFERROR(INDEX(internal_constants_wide!$A:$ZZ,MATCH($C35,internal_constants_wide!$A:$A,0),MATCH("phase_transition_temperature_C",internal_constants_wide!$1:$1,0)),"")&lt;&gt;"",IFERROR(INDEX(internal_constants_wide!$A:$ZZ,MATCH($C35,internal_constants_wide!$A:$A,0),MATCH("phase_transition_temperature_C",internal_constants_wide!$1:$1,0)),""),IFERROR(INDEX(internal_constants_wide!$A:$ZZ,MATCH($C35,internal_constants_wide!$A:$A,0),MATCH("melting_point_C",internal_constants_wide!$1:$1,0)),"")),"")</f>
      </c>
      <c r="Q35">
        <f>IFERROR(INDEX(internal_constants_wide!$A:$ZZ,MATCH($C35,internal_constants_wide!$A:$A,0),MATCH("melting_point_C",internal_constants_wide!$1:$1,0)),"")</f>
      </c>
      <c r="R35">
        <f>IFERROR(INDEX(internal_constants_wide!$A:$ZZ,MATCH($C35,internal_constants_wide!$A:$A,0),MATCH("Hansen_delta_D",internal_constants_wide!$1:$1,0)),"")</f>
      </c>
      <c r="S35">
        <f>IFERROR(INDEX(internal_constants_wide!$A:$ZZ,MATCH($C35,internal_constants_wide!$A:$A,0),MATCH("Hansen_delta_P",internal_constants_wide!$1:$1,0)),"")</f>
      </c>
      <c r="T35">
        <f>IFERROR(INDEX(internal_constants_wide!$A:$ZZ,MATCH($C35,internal_constants_wide!$A:$A,0),MATCH("Hansen_delta_H",internal_constants_wide!$1:$1,0)),"")</f>
      </c>
      <c r="U35">
        <f>IFERROR(INDEX(internal_constants_wide!$A:$ZZ,MATCH($C35,internal_constants_wide!$A:$A,0),MATCH("molar_volume_cm3_mol",internal_constants_wide!$1:$1,0)),"")</f>
      </c>
      <c r="V35">
        <f>IFERROR(IF(AND(ISNUMBER($K35),ISNUMBER($L35),ISNUMBER($M35),$M35&gt;0),($K35*0.027/($L35*$M35)),""),"")</f>
      </c>
      <c r="W35"/>
    </row>
    <row r="36">
      <c r="A36">
        <v>32</v>
      </c>
      <c r="B36"/>
      <c r="C36"/>
      <c r="D36">
        <f>IFERROR(INDEX(internal_constants_wide!$A:$ZZ,MATCH($C36,internal_constants_wide!$A:$A,0),MATCH("name",internal_constants_wide!$1:$1,0)),"")</f>
      </c>
      <c r="E36">
        <f>IFERROR(INDEX(internal_constants_wide!$A:$ZZ,MATCH($C36,internal_constants_wide!$A:$A,0),MATCH("material_type",internal_constants_wide!$1:$1,0)),"")</f>
      </c>
      <c r="F36"/>
      <c r="G36">
        <f>$G$2</f>
      </c>
      <c r="H36">
        <f>IFERROR(IF(IFERROR(INDEX(internal_constants_wide!$A:$ZZ,MATCH($C36,internal_constants_wide!$A:$A,0),MATCH("molecular_weight_g_mol",internal_constants_wide!$1:$1,0)),"")&lt;&gt;"",IFERROR(INDEX(internal_constants_wide!$A:$ZZ,MATCH($C36,internal_constants_wide!$A:$A,0),MATCH("molecular_weight_g_mol",internal_constants_wide!$1:$1,0)),""),IFERROR(INDEX(internal_constants_wide!$A:$ZZ,MATCH($C36,internal_constants_wide!$A:$A,0),MATCH("average_MW",internal_constants_wide!$1:$1,0)),"")),"")</f>
      </c>
      <c r="I36">
        <f>IFERROR(IF(AND(ISNUMBER($F36),ISNUMBER($G36),ISNUMBER($H36)),$F36/100*$G36*$H36,""),"")</f>
      </c>
      <c r="J36">
        <f>IFERROR(INDEX(internal_constants_wide!$A:$ZZ,MATCH($C36,internal_constants_wide!$A:$A,0),MATCH("HLB",internal_constants_wide!$1:$1,0)),"")</f>
      </c>
      <c r="K36">
        <f>IFERROR(INDEX(internal_constants_wide!$A:$ZZ,MATCH($C36,internal_constants_wide!$A:$A,0),MATCH("tail_carbons",internal_constants_wide!$1:$1,0)),"")</f>
      </c>
      <c r="L36">
        <f>IFERROR(INDEX(internal_constants_wide!$A:$ZZ,MATCH($C36,internal_constants_wide!$A:$A,0),MATCH("number_of_tails",internal_constants_wide!$1:$1,0)),"")</f>
      </c>
      <c r="M36">
        <f>IFERROR(INDEX(internal_constants_wide!$A:$ZZ,MATCH($C36,internal_constants_wide!$A:$A,0),MATCH("headgroup_area_nm2",internal_constants_wide!$1:$1,0)),"")</f>
      </c>
      <c r="N36">
        <f>IFERROR(INDEX(internal_constants_wide!$A:$ZZ,MATCH($C36,internal_constants_wide!$A:$A,0),MATCH("formal_charge",internal_constants_wide!$1:$1,0)),"")</f>
      </c>
      <c r="O36">
        <f>IFERROR(IF(IFERROR(INDEX(internal_constants_wide!$A:$ZZ,MATCH($C36,internal_constants_wide!$A:$A,0),MATCH("pKa_if_ionizable",internal_constants_wide!$1:$1,0)),"")&lt;&gt;"",IFERROR(INDEX(internal_constants_wide!$A:$ZZ,MATCH($C36,internal_constants_wide!$A:$A,0),MATCH("pKa_if_ionizable",internal_constants_wide!$1:$1,0)),""),IFERROR(INDEX(internal_constants_wide!$A:$ZZ,MATCH($C36,internal_constants_wide!$A:$A,0),MATCH("pKa",internal_constants_wide!$1:$1,0)),"")),"")</f>
      </c>
      <c r="P36">
        <f>IFERROR(IF(IFERROR(INDEX(internal_constants_wide!$A:$ZZ,MATCH($C36,internal_constants_wide!$A:$A,0),MATCH("phase_transition_temperature_C",internal_constants_wide!$1:$1,0)),"")&lt;&gt;"",IFERROR(INDEX(internal_constants_wide!$A:$ZZ,MATCH($C36,internal_constants_wide!$A:$A,0),MATCH("phase_transition_temperature_C",internal_constants_wide!$1:$1,0)),""),IFERROR(INDEX(internal_constants_wide!$A:$ZZ,MATCH($C36,internal_constants_wide!$A:$A,0),MATCH("melting_point_C",internal_constants_wide!$1:$1,0)),"")),"")</f>
      </c>
      <c r="Q36">
        <f>IFERROR(INDEX(internal_constants_wide!$A:$ZZ,MATCH($C36,internal_constants_wide!$A:$A,0),MATCH("melting_point_C",internal_constants_wide!$1:$1,0)),"")</f>
      </c>
      <c r="R36">
        <f>IFERROR(INDEX(internal_constants_wide!$A:$ZZ,MATCH($C36,internal_constants_wide!$A:$A,0),MATCH("Hansen_delta_D",internal_constants_wide!$1:$1,0)),"")</f>
      </c>
      <c r="S36">
        <f>IFERROR(INDEX(internal_constants_wide!$A:$ZZ,MATCH($C36,internal_constants_wide!$A:$A,0),MATCH("Hansen_delta_P",internal_constants_wide!$1:$1,0)),"")</f>
      </c>
      <c r="T36">
        <f>IFERROR(INDEX(internal_constants_wide!$A:$ZZ,MATCH($C36,internal_constants_wide!$A:$A,0),MATCH("Hansen_delta_H",internal_constants_wide!$1:$1,0)),"")</f>
      </c>
      <c r="U36">
        <f>IFERROR(INDEX(internal_constants_wide!$A:$ZZ,MATCH($C36,internal_constants_wide!$A:$A,0),MATCH("molar_volume_cm3_mol",internal_constants_wide!$1:$1,0)),"")</f>
      </c>
      <c r="V36">
        <f>IFERROR(IF(AND(ISNUMBER($K36),ISNUMBER($L36),ISNUMBER($M36),$M36&gt;0),($K36*0.027/($L36*$M36)),""),"")</f>
      </c>
      <c r="W36"/>
    </row>
    <row r="37">
      <c r="A37">
        <v>33</v>
      </c>
      <c r="B37"/>
      <c r="C37"/>
      <c r="D37">
        <f>IFERROR(INDEX(internal_constants_wide!$A:$ZZ,MATCH($C37,internal_constants_wide!$A:$A,0),MATCH("name",internal_constants_wide!$1:$1,0)),"")</f>
      </c>
      <c r="E37">
        <f>IFERROR(INDEX(internal_constants_wide!$A:$ZZ,MATCH($C37,internal_constants_wide!$A:$A,0),MATCH("material_type",internal_constants_wide!$1:$1,0)),"")</f>
      </c>
      <c r="F37"/>
      <c r="G37">
        <f>$G$2</f>
      </c>
      <c r="H37">
        <f>IFERROR(IF(IFERROR(INDEX(internal_constants_wide!$A:$ZZ,MATCH($C37,internal_constants_wide!$A:$A,0),MATCH("molecular_weight_g_mol",internal_constants_wide!$1:$1,0)),"")&lt;&gt;"",IFERROR(INDEX(internal_constants_wide!$A:$ZZ,MATCH($C37,internal_constants_wide!$A:$A,0),MATCH("molecular_weight_g_mol",internal_constants_wide!$1:$1,0)),""),IFERROR(INDEX(internal_constants_wide!$A:$ZZ,MATCH($C37,internal_constants_wide!$A:$A,0),MATCH("average_MW",internal_constants_wide!$1:$1,0)),"")),"")</f>
      </c>
      <c r="I37">
        <f>IFERROR(IF(AND(ISNUMBER($F37),ISNUMBER($G37),ISNUMBER($H37)),$F37/100*$G37*$H37,""),"")</f>
      </c>
      <c r="J37">
        <f>IFERROR(INDEX(internal_constants_wide!$A:$ZZ,MATCH($C37,internal_constants_wide!$A:$A,0),MATCH("HLB",internal_constants_wide!$1:$1,0)),"")</f>
      </c>
      <c r="K37">
        <f>IFERROR(INDEX(internal_constants_wide!$A:$ZZ,MATCH($C37,internal_constants_wide!$A:$A,0),MATCH("tail_carbons",internal_constants_wide!$1:$1,0)),"")</f>
      </c>
      <c r="L37">
        <f>IFERROR(INDEX(internal_constants_wide!$A:$ZZ,MATCH($C37,internal_constants_wide!$A:$A,0),MATCH("number_of_tails",internal_constants_wide!$1:$1,0)),"")</f>
      </c>
      <c r="M37">
        <f>IFERROR(INDEX(internal_constants_wide!$A:$ZZ,MATCH($C37,internal_constants_wide!$A:$A,0),MATCH("headgroup_area_nm2",internal_constants_wide!$1:$1,0)),"")</f>
      </c>
      <c r="N37">
        <f>IFERROR(INDEX(internal_constants_wide!$A:$ZZ,MATCH($C37,internal_constants_wide!$A:$A,0),MATCH("formal_charge",internal_constants_wide!$1:$1,0)),"")</f>
      </c>
      <c r="O37">
        <f>IFERROR(IF(IFERROR(INDEX(internal_constants_wide!$A:$ZZ,MATCH($C37,internal_constants_wide!$A:$A,0),MATCH("pKa_if_ionizable",internal_constants_wide!$1:$1,0)),"")&lt;&gt;"",IFERROR(INDEX(internal_constants_wide!$A:$ZZ,MATCH($C37,internal_constants_wide!$A:$A,0),MATCH("pKa_if_ionizable",internal_constants_wide!$1:$1,0)),""),IFERROR(INDEX(internal_constants_wide!$A:$ZZ,MATCH($C37,internal_constants_wide!$A:$A,0),MATCH("pKa",internal_constants_wide!$1:$1,0)),"")),"")</f>
      </c>
      <c r="P37">
        <f>IFERROR(IF(IFERROR(INDEX(internal_constants_wide!$A:$ZZ,MATCH($C37,internal_constants_wide!$A:$A,0),MATCH("phase_transition_temperature_C",internal_constants_wide!$1:$1,0)),"")&lt;&gt;"",IFERROR(INDEX(internal_constants_wide!$A:$ZZ,MATCH($C37,internal_constants_wide!$A:$A,0),MATCH("phase_transition_temperature_C",internal_constants_wide!$1:$1,0)),""),IFERROR(INDEX(internal_constants_wide!$A:$ZZ,MATCH($C37,internal_constants_wide!$A:$A,0),MATCH("melting_point_C",internal_constants_wide!$1:$1,0)),"")),"")</f>
      </c>
      <c r="Q37">
        <f>IFERROR(INDEX(internal_constants_wide!$A:$ZZ,MATCH($C37,internal_constants_wide!$A:$A,0),MATCH("melting_point_C",internal_constants_wide!$1:$1,0)),"")</f>
      </c>
      <c r="R37">
        <f>IFERROR(INDEX(internal_constants_wide!$A:$ZZ,MATCH($C37,internal_constants_wide!$A:$A,0),MATCH("Hansen_delta_D",internal_constants_wide!$1:$1,0)),"")</f>
      </c>
      <c r="S37">
        <f>IFERROR(INDEX(internal_constants_wide!$A:$ZZ,MATCH($C37,internal_constants_wide!$A:$A,0),MATCH("Hansen_delta_P",internal_constants_wide!$1:$1,0)),"")</f>
      </c>
      <c r="T37">
        <f>IFERROR(INDEX(internal_constants_wide!$A:$ZZ,MATCH($C37,internal_constants_wide!$A:$A,0),MATCH("Hansen_delta_H",internal_constants_wide!$1:$1,0)),"")</f>
      </c>
      <c r="U37">
        <f>IFERROR(INDEX(internal_constants_wide!$A:$ZZ,MATCH($C37,internal_constants_wide!$A:$A,0),MATCH("molar_volume_cm3_mol",internal_constants_wide!$1:$1,0)),"")</f>
      </c>
      <c r="V37">
        <f>IFERROR(IF(AND(ISNUMBER($K37),ISNUMBER($L37),ISNUMBER($M37),$M37&gt;0),($K37*0.027/($L37*$M37)),""),"")</f>
      </c>
      <c r="W37"/>
    </row>
    <row r="38">
      <c r="A38">
        <v>34</v>
      </c>
      <c r="B38"/>
      <c r="C38"/>
      <c r="D38">
        <f>IFERROR(INDEX(internal_constants_wide!$A:$ZZ,MATCH($C38,internal_constants_wide!$A:$A,0),MATCH("name",internal_constants_wide!$1:$1,0)),"")</f>
      </c>
      <c r="E38">
        <f>IFERROR(INDEX(internal_constants_wide!$A:$ZZ,MATCH($C38,internal_constants_wide!$A:$A,0),MATCH("material_type",internal_constants_wide!$1:$1,0)),"")</f>
      </c>
      <c r="F38"/>
      <c r="G38">
        <f>$G$2</f>
      </c>
      <c r="H38">
        <f>IFERROR(IF(IFERROR(INDEX(internal_constants_wide!$A:$ZZ,MATCH($C38,internal_constants_wide!$A:$A,0),MATCH("molecular_weight_g_mol",internal_constants_wide!$1:$1,0)),"")&lt;&gt;"",IFERROR(INDEX(internal_constants_wide!$A:$ZZ,MATCH($C38,internal_constants_wide!$A:$A,0),MATCH("molecular_weight_g_mol",internal_constants_wide!$1:$1,0)),""),IFERROR(INDEX(internal_constants_wide!$A:$ZZ,MATCH($C38,internal_constants_wide!$A:$A,0),MATCH("average_MW",internal_constants_wide!$1:$1,0)),"")),"")</f>
      </c>
      <c r="I38">
        <f>IFERROR(IF(AND(ISNUMBER($F38),ISNUMBER($G38),ISNUMBER($H38)),$F38/100*$G38*$H38,""),"")</f>
      </c>
      <c r="J38">
        <f>IFERROR(INDEX(internal_constants_wide!$A:$ZZ,MATCH($C38,internal_constants_wide!$A:$A,0),MATCH("HLB",internal_constants_wide!$1:$1,0)),"")</f>
      </c>
      <c r="K38">
        <f>IFERROR(INDEX(internal_constants_wide!$A:$ZZ,MATCH($C38,internal_constants_wide!$A:$A,0),MATCH("tail_carbons",internal_constants_wide!$1:$1,0)),"")</f>
      </c>
      <c r="L38">
        <f>IFERROR(INDEX(internal_constants_wide!$A:$ZZ,MATCH($C38,internal_constants_wide!$A:$A,0),MATCH("number_of_tails",internal_constants_wide!$1:$1,0)),"")</f>
      </c>
      <c r="M38">
        <f>IFERROR(INDEX(internal_constants_wide!$A:$ZZ,MATCH($C38,internal_constants_wide!$A:$A,0),MATCH("headgroup_area_nm2",internal_constants_wide!$1:$1,0)),"")</f>
      </c>
      <c r="N38">
        <f>IFERROR(INDEX(internal_constants_wide!$A:$ZZ,MATCH($C38,internal_constants_wide!$A:$A,0),MATCH("formal_charge",internal_constants_wide!$1:$1,0)),"")</f>
      </c>
      <c r="O38">
        <f>IFERROR(IF(IFERROR(INDEX(internal_constants_wide!$A:$ZZ,MATCH($C38,internal_constants_wide!$A:$A,0),MATCH("pKa_if_ionizable",internal_constants_wide!$1:$1,0)),"")&lt;&gt;"",IFERROR(INDEX(internal_constants_wide!$A:$ZZ,MATCH($C38,internal_constants_wide!$A:$A,0),MATCH("pKa_if_ionizable",internal_constants_wide!$1:$1,0)),""),IFERROR(INDEX(internal_constants_wide!$A:$ZZ,MATCH($C38,internal_constants_wide!$A:$A,0),MATCH("pKa",internal_constants_wide!$1:$1,0)),"")),"")</f>
      </c>
      <c r="P38">
        <f>IFERROR(IF(IFERROR(INDEX(internal_constants_wide!$A:$ZZ,MATCH($C38,internal_constants_wide!$A:$A,0),MATCH("phase_transition_temperature_C",internal_constants_wide!$1:$1,0)),"")&lt;&gt;"",IFERROR(INDEX(internal_constants_wide!$A:$ZZ,MATCH($C38,internal_constants_wide!$A:$A,0),MATCH("phase_transition_temperature_C",internal_constants_wide!$1:$1,0)),""),IFERROR(INDEX(internal_constants_wide!$A:$ZZ,MATCH($C38,internal_constants_wide!$A:$A,0),MATCH("melting_point_C",internal_constants_wide!$1:$1,0)),"")),"")</f>
      </c>
      <c r="Q38">
        <f>IFERROR(INDEX(internal_constants_wide!$A:$ZZ,MATCH($C38,internal_constants_wide!$A:$A,0),MATCH("melting_point_C",internal_constants_wide!$1:$1,0)),"")</f>
      </c>
      <c r="R38">
        <f>IFERROR(INDEX(internal_constants_wide!$A:$ZZ,MATCH($C38,internal_constants_wide!$A:$A,0),MATCH("Hansen_delta_D",internal_constants_wide!$1:$1,0)),"")</f>
      </c>
      <c r="S38">
        <f>IFERROR(INDEX(internal_constants_wide!$A:$ZZ,MATCH($C38,internal_constants_wide!$A:$A,0),MATCH("Hansen_delta_P",internal_constants_wide!$1:$1,0)),"")</f>
      </c>
      <c r="T38">
        <f>IFERROR(INDEX(internal_constants_wide!$A:$ZZ,MATCH($C38,internal_constants_wide!$A:$A,0),MATCH("Hansen_delta_H",internal_constants_wide!$1:$1,0)),"")</f>
      </c>
      <c r="U38">
        <f>IFERROR(INDEX(internal_constants_wide!$A:$ZZ,MATCH($C38,internal_constants_wide!$A:$A,0),MATCH("molar_volume_cm3_mol",internal_constants_wide!$1:$1,0)),"")</f>
      </c>
      <c r="V38">
        <f>IFERROR(IF(AND(ISNUMBER($K38),ISNUMBER($L38),ISNUMBER($M38),$M38&gt;0),($K38*0.027/($L38*$M38)),""),"")</f>
      </c>
      <c r="W38"/>
    </row>
    <row r="39">
      <c r="A39">
        <v>35</v>
      </c>
      <c r="B39"/>
      <c r="C39"/>
      <c r="D39">
        <f>IFERROR(INDEX(internal_constants_wide!$A:$ZZ,MATCH($C39,internal_constants_wide!$A:$A,0),MATCH("name",internal_constants_wide!$1:$1,0)),"")</f>
      </c>
      <c r="E39">
        <f>IFERROR(INDEX(internal_constants_wide!$A:$ZZ,MATCH($C39,internal_constants_wide!$A:$A,0),MATCH("material_type",internal_constants_wide!$1:$1,0)),"")</f>
      </c>
      <c r="F39"/>
      <c r="G39">
        <f>$G$2</f>
      </c>
      <c r="H39">
        <f>IFERROR(IF(IFERROR(INDEX(internal_constants_wide!$A:$ZZ,MATCH($C39,internal_constants_wide!$A:$A,0),MATCH("molecular_weight_g_mol",internal_constants_wide!$1:$1,0)),"")&lt;&gt;"",IFERROR(INDEX(internal_constants_wide!$A:$ZZ,MATCH($C39,internal_constants_wide!$A:$A,0),MATCH("molecular_weight_g_mol",internal_constants_wide!$1:$1,0)),""),IFERROR(INDEX(internal_constants_wide!$A:$ZZ,MATCH($C39,internal_constants_wide!$A:$A,0),MATCH("average_MW",internal_constants_wide!$1:$1,0)),"")),"")</f>
      </c>
      <c r="I39">
        <f>IFERROR(IF(AND(ISNUMBER($F39),ISNUMBER($G39),ISNUMBER($H39)),$F39/100*$G39*$H39,""),"")</f>
      </c>
      <c r="J39">
        <f>IFERROR(INDEX(internal_constants_wide!$A:$ZZ,MATCH($C39,internal_constants_wide!$A:$A,0),MATCH("HLB",internal_constants_wide!$1:$1,0)),"")</f>
      </c>
      <c r="K39">
        <f>IFERROR(INDEX(internal_constants_wide!$A:$ZZ,MATCH($C39,internal_constants_wide!$A:$A,0),MATCH("tail_carbons",internal_constants_wide!$1:$1,0)),"")</f>
      </c>
      <c r="L39">
        <f>IFERROR(INDEX(internal_constants_wide!$A:$ZZ,MATCH($C39,internal_constants_wide!$A:$A,0),MATCH("number_of_tails",internal_constants_wide!$1:$1,0)),"")</f>
      </c>
      <c r="M39">
        <f>IFERROR(INDEX(internal_constants_wide!$A:$ZZ,MATCH($C39,internal_constants_wide!$A:$A,0),MATCH("headgroup_area_nm2",internal_constants_wide!$1:$1,0)),"")</f>
      </c>
      <c r="N39">
        <f>IFERROR(INDEX(internal_constants_wide!$A:$ZZ,MATCH($C39,internal_constants_wide!$A:$A,0),MATCH("formal_charge",internal_constants_wide!$1:$1,0)),"")</f>
      </c>
      <c r="O39">
        <f>IFERROR(IF(IFERROR(INDEX(internal_constants_wide!$A:$ZZ,MATCH($C39,internal_constants_wide!$A:$A,0),MATCH("pKa_if_ionizable",internal_constants_wide!$1:$1,0)),"")&lt;&gt;"",IFERROR(INDEX(internal_constants_wide!$A:$ZZ,MATCH($C39,internal_constants_wide!$A:$A,0),MATCH("pKa_if_ionizable",internal_constants_wide!$1:$1,0)),""),IFERROR(INDEX(internal_constants_wide!$A:$ZZ,MATCH($C39,internal_constants_wide!$A:$A,0),MATCH("pKa",internal_constants_wide!$1:$1,0)),"")),"")</f>
      </c>
      <c r="P39">
        <f>IFERROR(IF(IFERROR(INDEX(internal_constants_wide!$A:$ZZ,MATCH($C39,internal_constants_wide!$A:$A,0),MATCH("phase_transition_temperature_C",internal_constants_wide!$1:$1,0)),"")&lt;&gt;"",IFERROR(INDEX(internal_constants_wide!$A:$ZZ,MATCH($C39,internal_constants_wide!$A:$A,0),MATCH("phase_transition_temperature_C",internal_constants_wide!$1:$1,0)),""),IFERROR(INDEX(internal_constants_wide!$A:$ZZ,MATCH($C39,internal_constants_wide!$A:$A,0),MATCH("melting_point_C",internal_constants_wide!$1:$1,0)),"")),"")</f>
      </c>
      <c r="Q39">
        <f>IFERROR(INDEX(internal_constants_wide!$A:$ZZ,MATCH($C39,internal_constants_wide!$A:$A,0),MATCH("melting_point_C",internal_constants_wide!$1:$1,0)),"")</f>
      </c>
      <c r="R39">
        <f>IFERROR(INDEX(internal_constants_wide!$A:$ZZ,MATCH($C39,internal_constants_wide!$A:$A,0),MATCH("Hansen_delta_D",internal_constants_wide!$1:$1,0)),"")</f>
      </c>
      <c r="S39">
        <f>IFERROR(INDEX(internal_constants_wide!$A:$ZZ,MATCH($C39,internal_constants_wide!$A:$A,0),MATCH("Hansen_delta_P",internal_constants_wide!$1:$1,0)),"")</f>
      </c>
      <c r="T39">
        <f>IFERROR(INDEX(internal_constants_wide!$A:$ZZ,MATCH($C39,internal_constants_wide!$A:$A,0),MATCH("Hansen_delta_H",internal_constants_wide!$1:$1,0)),"")</f>
      </c>
      <c r="U39">
        <f>IFERROR(INDEX(internal_constants_wide!$A:$ZZ,MATCH($C39,internal_constants_wide!$A:$A,0),MATCH("molar_volume_cm3_mol",internal_constants_wide!$1:$1,0)),"")</f>
      </c>
      <c r="V39">
        <f>IFERROR(IF(AND(ISNUMBER($K39),ISNUMBER($L39),ISNUMBER($M39),$M39&gt;0),($K39*0.027/($L39*$M39)),""),"")</f>
      </c>
      <c r="W39"/>
    </row>
    <row r="40">
      <c r="A40">
        <v>36</v>
      </c>
      <c r="B40"/>
      <c r="C40"/>
      <c r="D40">
        <f>IFERROR(INDEX(internal_constants_wide!$A:$ZZ,MATCH($C40,internal_constants_wide!$A:$A,0),MATCH("name",internal_constants_wide!$1:$1,0)),"")</f>
      </c>
      <c r="E40">
        <f>IFERROR(INDEX(internal_constants_wide!$A:$ZZ,MATCH($C40,internal_constants_wide!$A:$A,0),MATCH("material_type",internal_constants_wide!$1:$1,0)),"")</f>
      </c>
      <c r="F40"/>
      <c r="G40">
        <f>$G$2</f>
      </c>
      <c r="H40">
        <f>IFERROR(IF(IFERROR(INDEX(internal_constants_wide!$A:$ZZ,MATCH($C40,internal_constants_wide!$A:$A,0),MATCH("molecular_weight_g_mol",internal_constants_wide!$1:$1,0)),"")&lt;&gt;"",IFERROR(INDEX(internal_constants_wide!$A:$ZZ,MATCH($C40,internal_constants_wide!$A:$A,0),MATCH("molecular_weight_g_mol",internal_constants_wide!$1:$1,0)),""),IFERROR(INDEX(internal_constants_wide!$A:$ZZ,MATCH($C40,internal_constants_wide!$A:$A,0),MATCH("average_MW",internal_constants_wide!$1:$1,0)),"")),"")</f>
      </c>
      <c r="I40">
        <f>IFERROR(IF(AND(ISNUMBER($F40),ISNUMBER($G40),ISNUMBER($H40)),$F40/100*$G40*$H40,""),"")</f>
      </c>
      <c r="J40">
        <f>IFERROR(INDEX(internal_constants_wide!$A:$ZZ,MATCH($C40,internal_constants_wide!$A:$A,0),MATCH("HLB",internal_constants_wide!$1:$1,0)),"")</f>
      </c>
      <c r="K40">
        <f>IFERROR(INDEX(internal_constants_wide!$A:$ZZ,MATCH($C40,internal_constants_wide!$A:$A,0),MATCH("tail_carbons",internal_constants_wide!$1:$1,0)),"")</f>
      </c>
      <c r="L40">
        <f>IFERROR(INDEX(internal_constants_wide!$A:$ZZ,MATCH($C40,internal_constants_wide!$A:$A,0),MATCH("number_of_tails",internal_constants_wide!$1:$1,0)),"")</f>
      </c>
      <c r="M40">
        <f>IFERROR(INDEX(internal_constants_wide!$A:$ZZ,MATCH($C40,internal_constants_wide!$A:$A,0),MATCH("headgroup_area_nm2",internal_constants_wide!$1:$1,0)),"")</f>
      </c>
      <c r="N40">
        <f>IFERROR(INDEX(internal_constants_wide!$A:$ZZ,MATCH($C40,internal_constants_wide!$A:$A,0),MATCH("formal_charge",internal_constants_wide!$1:$1,0)),"")</f>
      </c>
      <c r="O40">
        <f>IFERROR(IF(IFERROR(INDEX(internal_constants_wide!$A:$ZZ,MATCH($C40,internal_constants_wide!$A:$A,0),MATCH("pKa_if_ionizable",internal_constants_wide!$1:$1,0)),"")&lt;&gt;"",IFERROR(INDEX(internal_constants_wide!$A:$ZZ,MATCH($C40,internal_constants_wide!$A:$A,0),MATCH("pKa_if_ionizable",internal_constants_wide!$1:$1,0)),""),IFERROR(INDEX(internal_constants_wide!$A:$ZZ,MATCH($C40,internal_constants_wide!$A:$A,0),MATCH("pKa",internal_constants_wide!$1:$1,0)),"")),"")</f>
      </c>
      <c r="P40">
        <f>IFERROR(IF(IFERROR(INDEX(internal_constants_wide!$A:$ZZ,MATCH($C40,internal_constants_wide!$A:$A,0),MATCH("phase_transition_temperature_C",internal_constants_wide!$1:$1,0)),"")&lt;&gt;"",IFERROR(INDEX(internal_constants_wide!$A:$ZZ,MATCH($C40,internal_constants_wide!$A:$A,0),MATCH("phase_transition_temperature_C",internal_constants_wide!$1:$1,0)),""),IFERROR(INDEX(internal_constants_wide!$A:$ZZ,MATCH($C40,internal_constants_wide!$A:$A,0),MATCH("melting_point_C",internal_constants_wide!$1:$1,0)),"")),"")</f>
      </c>
      <c r="Q40">
        <f>IFERROR(INDEX(internal_constants_wide!$A:$ZZ,MATCH($C40,internal_constants_wide!$A:$A,0),MATCH("melting_point_C",internal_constants_wide!$1:$1,0)),"")</f>
      </c>
      <c r="R40">
        <f>IFERROR(INDEX(internal_constants_wide!$A:$ZZ,MATCH($C40,internal_constants_wide!$A:$A,0),MATCH("Hansen_delta_D",internal_constants_wide!$1:$1,0)),"")</f>
      </c>
      <c r="S40">
        <f>IFERROR(INDEX(internal_constants_wide!$A:$ZZ,MATCH($C40,internal_constants_wide!$A:$A,0),MATCH("Hansen_delta_P",internal_constants_wide!$1:$1,0)),"")</f>
      </c>
      <c r="T40">
        <f>IFERROR(INDEX(internal_constants_wide!$A:$ZZ,MATCH($C40,internal_constants_wide!$A:$A,0),MATCH("Hansen_delta_H",internal_constants_wide!$1:$1,0)),"")</f>
      </c>
      <c r="U40">
        <f>IFERROR(INDEX(internal_constants_wide!$A:$ZZ,MATCH($C40,internal_constants_wide!$A:$A,0),MATCH("molar_volume_cm3_mol",internal_constants_wide!$1:$1,0)),"")</f>
      </c>
      <c r="V40">
        <f>IFERROR(IF(AND(ISNUMBER($K40),ISNUMBER($L40),ISNUMBER($M40),$M40&gt;0),($K40*0.027/($L40*$M40)),""),"")</f>
      </c>
      <c r="W40"/>
    </row>
    <row r="41">
      <c r="A41">
        <v>37</v>
      </c>
      <c r="B41"/>
      <c r="C41"/>
      <c r="D41">
        <f>IFERROR(INDEX(internal_constants_wide!$A:$ZZ,MATCH($C41,internal_constants_wide!$A:$A,0),MATCH("name",internal_constants_wide!$1:$1,0)),"")</f>
      </c>
      <c r="E41">
        <f>IFERROR(INDEX(internal_constants_wide!$A:$ZZ,MATCH($C41,internal_constants_wide!$A:$A,0),MATCH("material_type",internal_constants_wide!$1:$1,0)),"")</f>
      </c>
      <c r="F41"/>
      <c r="G41">
        <f>$G$2</f>
      </c>
      <c r="H41">
        <f>IFERROR(IF(IFERROR(INDEX(internal_constants_wide!$A:$ZZ,MATCH($C41,internal_constants_wide!$A:$A,0),MATCH("molecular_weight_g_mol",internal_constants_wide!$1:$1,0)),"")&lt;&gt;"",IFERROR(INDEX(internal_constants_wide!$A:$ZZ,MATCH($C41,internal_constants_wide!$A:$A,0),MATCH("molecular_weight_g_mol",internal_constants_wide!$1:$1,0)),""),IFERROR(INDEX(internal_constants_wide!$A:$ZZ,MATCH($C41,internal_constants_wide!$A:$A,0),MATCH("average_MW",internal_constants_wide!$1:$1,0)),"")),"")</f>
      </c>
      <c r="I41">
        <f>IFERROR(IF(AND(ISNUMBER($F41),ISNUMBER($G41),ISNUMBER($H41)),$F41/100*$G41*$H41,""),"")</f>
      </c>
      <c r="J41">
        <f>IFERROR(INDEX(internal_constants_wide!$A:$ZZ,MATCH($C41,internal_constants_wide!$A:$A,0),MATCH("HLB",internal_constants_wide!$1:$1,0)),"")</f>
      </c>
      <c r="K41">
        <f>IFERROR(INDEX(internal_constants_wide!$A:$ZZ,MATCH($C41,internal_constants_wide!$A:$A,0),MATCH("tail_carbons",internal_constants_wide!$1:$1,0)),"")</f>
      </c>
      <c r="L41">
        <f>IFERROR(INDEX(internal_constants_wide!$A:$ZZ,MATCH($C41,internal_constants_wide!$A:$A,0),MATCH("number_of_tails",internal_constants_wide!$1:$1,0)),"")</f>
      </c>
      <c r="M41">
        <f>IFERROR(INDEX(internal_constants_wide!$A:$ZZ,MATCH($C41,internal_constants_wide!$A:$A,0),MATCH("headgroup_area_nm2",internal_constants_wide!$1:$1,0)),"")</f>
      </c>
      <c r="N41">
        <f>IFERROR(INDEX(internal_constants_wide!$A:$ZZ,MATCH($C41,internal_constants_wide!$A:$A,0),MATCH("formal_charge",internal_constants_wide!$1:$1,0)),"")</f>
      </c>
      <c r="O41">
        <f>IFERROR(IF(IFERROR(INDEX(internal_constants_wide!$A:$ZZ,MATCH($C41,internal_constants_wide!$A:$A,0),MATCH("pKa_if_ionizable",internal_constants_wide!$1:$1,0)),"")&lt;&gt;"",IFERROR(INDEX(internal_constants_wide!$A:$ZZ,MATCH($C41,internal_constants_wide!$A:$A,0),MATCH("pKa_if_ionizable",internal_constants_wide!$1:$1,0)),""),IFERROR(INDEX(internal_constants_wide!$A:$ZZ,MATCH($C41,internal_constants_wide!$A:$A,0),MATCH("pKa",internal_constants_wide!$1:$1,0)),"")),"")</f>
      </c>
      <c r="P41">
        <f>IFERROR(IF(IFERROR(INDEX(internal_constants_wide!$A:$ZZ,MATCH($C41,internal_constants_wide!$A:$A,0),MATCH("phase_transition_temperature_C",internal_constants_wide!$1:$1,0)),"")&lt;&gt;"",IFERROR(INDEX(internal_constants_wide!$A:$ZZ,MATCH($C41,internal_constants_wide!$A:$A,0),MATCH("phase_transition_temperature_C",internal_constants_wide!$1:$1,0)),""),IFERROR(INDEX(internal_constants_wide!$A:$ZZ,MATCH($C41,internal_constants_wide!$A:$A,0),MATCH("melting_point_C",internal_constants_wide!$1:$1,0)),"")),"")</f>
      </c>
      <c r="Q41">
        <f>IFERROR(INDEX(internal_constants_wide!$A:$ZZ,MATCH($C41,internal_constants_wide!$A:$A,0),MATCH("melting_point_C",internal_constants_wide!$1:$1,0)),"")</f>
      </c>
      <c r="R41">
        <f>IFERROR(INDEX(internal_constants_wide!$A:$ZZ,MATCH($C41,internal_constants_wide!$A:$A,0),MATCH("Hansen_delta_D",internal_constants_wide!$1:$1,0)),"")</f>
      </c>
      <c r="S41">
        <f>IFERROR(INDEX(internal_constants_wide!$A:$ZZ,MATCH($C41,internal_constants_wide!$A:$A,0),MATCH("Hansen_delta_P",internal_constants_wide!$1:$1,0)),"")</f>
      </c>
      <c r="T41">
        <f>IFERROR(INDEX(internal_constants_wide!$A:$ZZ,MATCH($C41,internal_constants_wide!$A:$A,0),MATCH("Hansen_delta_H",internal_constants_wide!$1:$1,0)),"")</f>
      </c>
      <c r="U41">
        <f>IFERROR(INDEX(internal_constants_wide!$A:$ZZ,MATCH($C41,internal_constants_wide!$A:$A,0),MATCH("molar_volume_cm3_mol",internal_constants_wide!$1:$1,0)),"")</f>
      </c>
      <c r="V41">
        <f>IFERROR(IF(AND(ISNUMBER($K41),ISNUMBER($L41),ISNUMBER($M41),$M41&gt;0),($K41*0.027/($L41*$M41)),""),"")</f>
      </c>
      <c r="W41"/>
    </row>
    <row r="42">
      <c r="A42">
        <v>38</v>
      </c>
      <c r="B42"/>
      <c r="C42"/>
      <c r="D42">
        <f>IFERROR(INDEX(internal_constants_wide!$A:$ZZ,MATCH($C42,internal_constants_wide!$A:$A,0),MATCH("name",internal_constants_wide!$1:$1,0)),"")</f>
      </c>
      <c r="E42">
        <f>IFERROR(INDEX(internal_constants_wide!$A:$ZZ,MATCH($C42,internal_constants_wide!$A:$A,0),MATCH("material_type",internal_constants_wide!$1:$1,0)),"")</f>
      </c>
      <c r="F42"/>
      <c r="G42">
        <f>$G$2</f>
      </c>
      <c r="H42">
        <f>IFERROR(IF(IFERROR(INDEX(internal_constants_wide!$A:$ZZ,MATCH($C42,internal_constants_wide!$A:$A,0),MATCH("molecular_weight_g_mol",internal_constants_wide!$1:$1,0)),"")&lt;&gt;"",IFERROR(INDEX(internal_constants_wide!$A:$ZZ,MATCH($C42,internal_constants_wide!$A:$A,0),MATCH("molecular_weight_g_mol",internal_constants_wide!$1:$1,0)),""),IFERROR(INDEX(internal_constants_wide!$A:$ZZ,MATCH($C42,internal_constants_wide!$A:$A,0),MATCH("average_MW",internal_constants_wide!$1:$1,0)),"")),"")</f>
      </c>
      <c r="I42">
        <f>IFERROR(IF(AND(ISNUMBER($F42),ISNUMBER($G42),ISNUMBER($H42)),$F42/100*$G42*$H42,""),"")</f>
      </c>
      <c r="J42">
        <f>IFERROR(INDEX(internal_constants_wide!$A:$ZZ,MATCH($C42,internal_constants_wide!$A:$A,0),MATCH("HLB",internal_constants_wide!$1:$1,0)),"")</f>
      </c>
      <c r="K42">
        <f>IFERROR(INDEX(internal_constants_wide!$A:$ZZ,MATCH($C42,internal_constants_wide!$A:$A,0),MATCH("tail_carbons",internal_constants_wide!$1:$1,0)),"")</f>
      </c>
      <c r="L42">
        <f>IFERROR(INDEX(internal_constants_wide!$A:$ZZ,MATCH($C42,internal_constants_wide!$A:$A,0),MATCH("number_of_tails",internal_constants_wide!$1:$1,0)),"")</f>
      </c>
      <c r="M42">
        <f>IFERROR(INDEX(internal_constants_wide!$A:$ZZ,MATCH($C42,internal_constants_wide!$A:$A,0),MATCH("headgroup_area_nm2",internal_constants_wide!$1:$1,0)),"")</f>
      </c>
      <c r="N42">
        <f>IFERROR(INDEX(internal_constants_wide!$A:$ZZ,MATCH($C42,internal_constants_wide!$A:$A,0),MATCH("formal_charge",internal_constants_wide!$1:$1,0)),"")</f>
      </c>
      <c r="O42">
        <f>IFERROR(IF(IFERROR(INDEX(internal_constants_wide!$A:$ZZ,MATCH($C42,internal_constants_wide!$A:$A,0),MATCH("pKa_if_ionizable",internal_constants_wide!$1:$1,0)),"")&lt;&gt;"",IFERROR(INDEX(internal_constants_wide!$A:$ZZ,MATCH($C42,internal_constants_wide!$A:$A,0),MATCH("pKa_if_ionizable",internal_constants_wide!$1:$1,0)),""),IFERROR(INDEX(internal_constants_wide!$A:$ZZ,MATCH($C42,internal_constants_wide!$A:$A,0),MATCH("pKa",internal_constants_wide!$1:$1,0)),"")),"")</f>
      </c>
      <c r="P42">
        <f>IFERROR(IF(IFERROR(INDEX(internal_constants_wide!$A:$ZZ,MATCH($C42,internal_constants_wide!$A:$A,0),MATCH("phase_transition_temperature_C",internal_constants_wide!$1:$1,0)),"")&lt;&gt;"",IFERROR(INDEX(internal_constants_wide!$A:$ZZ,MATCH($C42,internal_constants_wide!$A:$A,0),MATCH("phase_transition_temperature_C",internal_constants_wide!$1:$1,0)),""),IFERROR(INDEX(internal_constants_wide!$A:$ZZ,MATCH($C42,internal_constants_wide!$A:$A,0),MATCH("melting_point_C",internal_constants_wide!$1:$1,0)),"")),"")</f>
      </c>
      <c r="Q42">
        <f>IFERROR(INDEX(internal_constants_wide!$A:$ZZ,MATCH($C42,internal_constants_wide!$A:$A,0),MATCH("melting_point_C",internal_constants_wide!$1:$1,0)),"")</f>
      </c>
      <c r="R42">
        <f>IFERROR(INDEX(internal_constants_wide!$A:$ZZ,MATCH($C42,internal_constants_wide!$A:$A,0),MATCH("Hansen_delta_D",internal_constants_wide!$1:$1,0)),"")</f>
      </c>
      <c r="S42">
        <f>IFERROR(INDEX(internal_constants_wide!$A:$ZZ,MATCH($C42,internal_constants_wide!$A:$A,0),MATCH("Hansen_delta_P",internal_constants_wide!$1:$1,0)),"")</f>
      </c>
      <c r="T42">
        <f>IFERROR(INDEX(internal_constants_wide!$A:$ZZ,MATCH($C42,internal_constants_wide!$A:$A,0),MATCH("Hansen_delta_H",internal_constants_wide!$1:$1,0)),"")</f>
      </c>
      <c r="U42">
        <f>IFERROR(INDEX(internal_constants_wide!$A:$ZZ,MATCH($C42,internal_constants_wide!$A:$A,0),MATCH("molar_volume_cm3_mol",internal_constants_wide!$1:$1,0)),"")</f>
      </c>
      <c r="V42">
        <f>IFERROR(IF(AND(ISNUMBER($K42),ISNUMBER($L42),ISNUMBER($M42),$M42&gt;0),($K42*0.027/($L42*$M42)),""),"")</f>
      </c>
      <c r="W42"/>
    </row>
    <row r="43">
      <c r="A43">
        <v>39</v>
      </c>
      <c r="B43"/>
      <c r="C43"/>
      <c r="D43">
        <f>IFERROR(INDEX(internal_constants_wide!$A:$ZZ,MATCH($C43,internal_constants_wide!$A:$A,0),MATCH("name",internal_constants_wide!$1:$1,0)),"")</f>
      </c>
      <c r="E43">
        <f>IFERROR(INDEX(internal_constants_wide!$A:$ZZ,MATCH($C43,internal_constants_wide!$A:$A,0),MATCH("material_type",internal_constants_wide!$1:$1,0)),"")</f>
      </c>
      <c r="F43"/>
      <c r="G43">
        <f>$G$2</f>
      </c>
      <c r="H43">
        <f>IFERROR(IF(IFERROR(INDEX(internal_constants_wide!$A:$ZZ,MATCH($C43,internal_constants_wide!$A:$A,0),MATCH("molecular_weight_g_mol",internal_constants_wide!$1:$1,0)),"")&lt;&gt;"",IFERROR(INDEX(internal_constants_wide!$A:$ZZ,MATCH($C43,internal_constants_wide!$A:$A,0),MATCH("molecular_weight_g_mol",internal_constants_wide!$1:$1,0)),""),IFERROR(INDEX(internal_constants_wide!$A:$ZZ,MATCH($C43,internal_constants_wide!$A:$A,0),MATCH("average_MW",internal_constants_wide!$1:$1,0)),"")),"")</f>
      </c>
      <c r="I43">
        <f>IFERROR(IF(AND(ISNUMBER($F43),ISNUMBER($G43),ISNUMBER($H43)),$F43/100*$G43*$H43,""),"")</f>
      </c>
      <c r="J43">
        <f>IFERROR(INDEX(internal_constants_wide!$A:$ZZ,MATCH($C43,internal_constants_wide!$A:$A,0),MATCH("HLB",internal_constants_wide!$1:$1,0)),"")</f>
      </c>
      <c r="K43">
        <f>IFERROR(INDEX(internal_constants_wide!$A:$ZZ,MATCH($C43,internal_constants_wide!$A:$A,0),MATCH("tail_carbons",internal_constants_wide!$1:$1,0)),"")</f>
      </c>
      <c r="L43">
        <f>IFERROR(INDEX(internal_constants_wide!$A:$ZZ,MATCH($C43,internal_constants_wide!$A:$A,0),MATCH("number_of_tails",internal_constants_wide!$1:$1,0)),"")</f>
      </c>
      <c r="M43">
        <f>IFERROR(INDEX(internal_constants_wide!$A:$ZZ,MATCH($C43,internal_constants_wide!$A:$A,0),MATCH("headgroup_area_nm2",internal_constants_wide!$1:$1,0)),"")</f>
      </c>
      <c r="N43">
        <f>IFERROR(INDEX(internal_constants_wide!$A:$ZZ,MATCH($C43,internal_constants_wide!$A:$A,0),MATCH("formal_charge",internal_constants_wide!$1:$1,0)),"")</f>
      </c>
      <c r="O43">
        <f>IFERROR(IF(IFERROR(INDEX(internal_constants_wide!$A:$ZZ,MATCH($C43,internal_constants_wide!$A:$A,0),MATCH("pKa_if_ionizable",internal_constants_wide!$1:$1,0)),"")&lt;&gt;"",IFERROR(INDEX(internal_constants_wide!$A:$ZZ,MATCH($C43,internal_constants_wide!$A:$A,0),MATCH("pKa_if_ionizable",internal_constants_wide!$1:$1,0)),""),IFERROR(INDEX(internal_constants_wide!$A:$ZZ,MATCH($C43,internal_constants_wide!$A:$A,0),MATCH("pKa",internal_constants_wide!$1:$1,0)),"")),"")</f>
      </c>
      <c r="P43">
        <f>IFERROR(IF(IFERROR(INDEX(internal_constants_wide!$A:$ZZ,MATCH($C43,internal_constants_wide!$A:$A,0),MATCH("phase_transition_temperature_C",internal_constants_wide!$1:$1,0)),"")&lt;&gt;"",IFERROR(INDEX(internal_constants_wide!$A:$ZZ,MATCH($C43,internal_constants_wide!$A:$A,0),MATCH("phase_transition_temperature_C",internal_constants_wide!$1:$1,0)),""),IFERROR(INDEX(internal_constants_wide!$A:$ZZ,MATCH($C43,internal_constants_wide!$A:$A,0),MATCH("melting_point_C",internal_constants_wide!$1:$1,0)),"")),"")</f>
      </c>
      <c r="Q43">
        <f>IFERROR(INDEX(internal_constants_wide!$A:$ZZ,MATCH($C43,internal_constants_wide!$A:$A,0),MATCH("melting_point_C",internal_constants_wide!$1:$1,0)),"")</f>
      </c>
      <c r="R43">
        <f>IFERROR(INDEX(internal_constants_wide!$A:$ZZ,MATCH($C43,internal_constants_wide!$A:$A,0),MATCH("Hansen_delta_D",internal_constants_wide!$1:$1,0)),"")</f>
      </c>
      <c r="S43">
        <f>IFERROR(INDEX(internal_constants_wide!$A:$ZZ,MATCH($C43,internal_constants_wide!$A:$A,0),MATCH("Hansen_delta_P",internal_constants_wide!$1:$1,0)),"")</f>
      </c>
      <c r="T43">
        <f>IFERROR(INDEX(internal_constants_wide!$A:$ZZ,MATCH($C43,internal_constants_wide!$A:$A,0),MATCH("Hansen_delta_H",internal_constants_wide!$1:$1,0)),"")</f>
      </c>
      <c r="U43">
        <f>IFERROR(INDEX(internal_constants_wide!$A:$ZZ,MATCH($C43,internal_constants_wide!$A:$A,0),MATCH("molar_volume_cm3_mol",internal_constants_wide!$1:$1,0)),"")</f>
      </c>
      <c r="V43">
        <f>IFERROR(IF(AND(ISNUMBER($K43),ISNUMBER($L43),ISNUMBER($M43),$M43&gt;0),($K43*0.027/($L43*$M43)),""),"")</f>
      </c>
      <c r="W43"/>
    </row>
    <row r="44">
      <c r="A44">
        <v>40</v>
      </c>
      <c r="B44"/>
      <c r="C44"/>
      <c r="D44">
        <f>IFERROR(INDEX(internal_constants_wide!$A:$ZZ,MATCH($C44,internal_constants_wide!$A:$A,0),MATCH("name",internal_constants_wide!$1:$1,0)),"")</f>
      </c>
      <c r="E44">
        <f>IFERROR(INDEX(internal_constants_wide!$A:$ZZ,MATCH($C44,internal_constants_wide!$A:$A,0),MATCH("material_type",internal_constants_wide!$1:$1,0)),"")</f>
      </c>
      <c r="F44"/>
      <c r="G44">
        <f>$G$2</f>
      </c>
      <c r="H44">
        <f>IFERROR(IF(IFERROR(INDEX(internal_constants_wide!$A:$ZZ,MATCH($C44,internal_constants_wide!$A:$A,0),MATCH("molecular_weight_g_mol",internal_constants_wide!$1:$1,0)),"")&lt;&gt;"",IFERROR(INDEX(internal_constants_wide!$A:$ZZ,MATCH($C44,internal_constants_wide!$A:$A,0),MATCH("molecular_weight_g_mol",internal_constants_wide!$1:$1,0)),""),IFERROR(INDEX(internal_constants_wide!$A:$ZZ,MATCH($C44,internal_constants_wide!$A:$A,0),MATCH("average_MW",internal_constants_wide!$1:$1,0)),"")),"")</f>
      </c>
      <c r="I44">
        <f>IFERROR(IF(AND(ISNUMBER($F44),ISNUMBER($G44),ISNUMBER($H44)),$F44/100*$G44*$H44,""),"")</f>
      </c>
      <c r="J44">
        <f>IFERROR(INDEX(internal_constants_wide!$A:$ZZ,MATCH($C44,internal_constants_wide!$A:$A,0),MATCH("HLB",internal_constants_wide!$1:$1,0)),"")</f>
      </c>
      <c r="K44">
        <f>IFERROR(INDEX(internal_constants_wide!$A:$ZZ,MATCH($C44,internal_constants_wide!$A:$A,0),MATCH("tail_carbons",internal_constants_wide!$1:$1,0)),"")</f>
      </c>
      <c r="L44">
        <f>IFERROR(INDEX(internal_constants_wide!$A:$ZZ,MATCH($C44,internal_constants_wide!$A:$A,0),MATCH("number_of_tails",internal_constants_wide!$1:$1,0)),"")</f>
      </c>
      <c r="M44">
        <f>IFERROR(INDEX(internal_constants_wide!$A:$ZZ,MATCH($C44,internal_constants_wide!$A:$A,0),MATCH("headgroup_area_nm2",internal_constants_wide!$1:$1,0)),"")</f>
      </c>
      <c r="N44">
        <f>IFERROR(INDEX(internal_constants_wide!$A:$ZZ,MATCH($C44,internal_constants_wide!$A:$A,0),MATCH("formal_charge",internal_constants_wide!$1:$1,0)),"")</f>
      </c>
      <c r="O44">
        <f>IFERROR(IF(IFERROR(INDEX(internal_constants_wide!$A:$ZZ,MATCH($C44,internal_constants_wide!$A:$A,0),MATCH("pKa_if_ionizable",internal_constants_wide!$1:$1,0)),"")&lt;&gt;"",IFERROR(INDEX(internal_constants_wide!$A:$ZZ,MATCH($C44,internal_constants_wide!$A:$A,0),MATCH("pKa_if_ionizable",internal_constants_wide!$1:$1,0)),""),IFERROR(INDEX(internal_constants_wide!$A:$ZZ,MATCH($C44,internal_constants_wide!$A:$A,0),MATCH("pKa",internal_constants_wide!$1:$1,0)),"")),"")</f>
      </c>
      <c r="P44">
        <f>IFERROR(IF(IFERROR(INDEX(internal_constants_wide!$A:$ZZ,MATCH($C44,internal_constants_wide!$A:$A,0),MATCH("phase_transition_temperature_C",internal_constants_wide!$1:$1,0)),"")&lt;&gt;"",IFERROR(INDEX(internal_constants_wide!$A:$ZZ,MATCH($C44,internal_constants_wide!$A:$A,0),MATCH("phase_transition_temperature_C",internal_constants_wide!$1:$1,0)),""),IFERROR(INDEX(internal_constants_wide!$A:$ZZ,MATCH($C44,internal_constants_wide!$A:$A,0),MATCH("melting_point_C",internal_constants_wide!$1:$1,0)),"")),"")</f>
      </c>
      <c r="Q44">
        <f>IFERROR(INDEX(internal_constants_wide!$A:$ZZ,MATCH($C44,internal_constants_wide!$A:$A,0),MATCH("melting_point_C",internal_constants_wide!$1:$1,0)),"")</f>
      </c>
      <c r="R44">
        <f>IFERROR(INDEX(internal_constants_wide!$A:$ZZ,MATCH($C44,internal_constants_wide!$A:$A,0),MATCH("Hansen_delta_D",internal_constants_wide!$1:$1,0)),"")</f>
      </c>
      <c r="S44">
        <f>IFERROR(INDEX(internal_constants_wide!$A:$ZZ,MATCH($C44,internal_constants_wide!$A:$A,0),MATCH("Hansen_delta_P",internal_constants_wide!$1:$1,0)),"")</f>
      </c>
      <c r="T44">
        <f>IFERROR(INDEX(internal_constants_wide!$A:$ZZ,MATCH($C44,internal_constants_wide!$A:$A,0),MATCH("Hansen_delta_H",internal_constants_wide!$1:$1,0)),"")</f>
      </c>
      <c r="U44">
        <f>IFERROR(INDEX(internal_constants_wide!$A:$ZZ,MATCH($C44,internal_constants_wide!$A:$A,0),MATCH("molar_volume_cm3_mol",internal_constants_wide!$1:$1,0)),"")</f>
      </c>
      <c r="V44">
        <f>IFERROR(IF(AND(ISNUMBER($K44),ISNUMBER($L44),ISNUMBER($M44),$M44&gt;0),($K44*0.027/($L44*$M44)),""),"")</f>
      </c>
      <c r="W44"/>
    </row>
    <row r="45">
      <c r="A45">
        <v>41</v>
      </c>
      <c r="B45"/>
      <c r="C45"/>
      <c r="D45">
        <f>IFERROR(INDEX(internal_constants_wide!$A:$ZZ,MATCH($C45,internal_constants_wide!$A:$A,0),MATCH("name",internal_constants_wide!$1:$1,0)),"")</f>
      </c>
      <c r="E45">
        <f>IFERROR(INDEX(internal_constants_wide!$A:$ZZ,MATCH($C45,internal_constants_wide!$A:$A,0),MATCH("material_type",internal_constants_wide!$1:$1,0)),"")</f>
      </c>
      <c r="F45"/>
      <c r="G45">
        <f>$G$2</f>
      </c>
      <c r="H45">
        <f>IFERROR(IF(IFERROR(INDEX(internal_constants_wide!$A:$ZZ,MATCH($C45,internal_constants_wide!$A:$A,0),MATCH("molecular_weight_g_mol",internal_constants_wide!$1:$1,0)),"")&lt;&gt;"",IFERROR(INDEX(internal_constants_wide!$A:$ZZ,MATCH($C45,internal_constants_wide!$A:$A,0),MATCH("molecular_weight_g_mol",internal_constants_wide!$1:$1,0)),""),IFERROR(INDEX(internal_constants_wide!$A:$ZZ,MATCH($C45,internal_constants_wide!$A:$A,0),MATCH("average_MW",internal_constants_wide!$1:$1,0)),"")),"")</f>
      </c>
      <c r="I45">
        <f>IFERROR(IF(AND(ISNUMBER($F45),ISNUMBER($G45),ISNUMBER($H45)),$F45/100*$G45*$H45,""),"")</f>
      </c>
      <c r="J45">
        <f>IFERROR(INDEX(internal_constants_wide!$A:$ZZ,MATCH($C45,internal_constants_wide!$A:$A,0),MATCH("HLB",internal_constants_wide!$1:$1,0)),"")</f>
      </c>
      <c r="K45">
        <f>IFERROR(INDEX(internal_constants_wide!$A:$ZZ,MATCH($C45,internal_constants_wide!$A:$A,0),MATCH("tail_carbons",internal_constants_wide!$1:$1,0)),"")</f>
      </c>
      <c r="L45">
        <f>IFERROR(INDEX(internal_constants_wide!$A:$ZZ,MATCH($C45,internal_constants_wide!$A:$A,0),MATCH("number_of_tails",internal_constants_wide!$1:$1,0)),"")</f>
      </c>
      <c r="M45">
        <f>IFERROR(INDEX(internal_constants_wide!$A:$ZZ,MATCH($C45,internal_constants_wide!$A:$A,0),MATCH("headgroup_area_nm2",internal_constants_wide!$1:$1,0)),"")</f>
      </c>
      <c r="N45">
        <f>IFERROR(INDEX(internal_constants_wide!$A:$ZZ,MATCH($C45,internal_constants_wide!$A:$A,0),MATCH("formal_charge",internal_constants_wide!$1:$1,0)),"")</f>
      </c>
      <c r="O45">
        <f>IFERROR(IF(IFERROR(INDEX(internal_constants_wide!$A:$ZZ,MATCH($C45,internal_constants_wide!$A:$A,0),MATCH("pKa_if_ionizable",internal_constants_wide!$1:$1,0)),"")&lt;&gt;"",IFERROR(INDEX(internal_constants_wide!$A:$ZZ,MATCH($C45,internal_constants_wide!$A:$A,0),MATCH("pKa_if_ionizable",internal_constants_wide!$1:$1,0)),""),IFERROR(INDEX(internal_constants_wide!$A:$ZZ,MATCH($C45,internal_constants_wide!$A:$A,0),MATCH("pKa",internal_constants_wide!$1:$1,0)),"")),"")</f>
      </c>
      <c r="P45">
        <f>IFERROR(IF(IFERROR(INDEX(internal_constants_wide!$A:$ZZ,MATCH($C45,internal_constants_wide!$A:$A,0),MATCH("phase_transition_temperature_C",internal_constants_wide!$1:$1,0)),"")&lt;&gt;"",IFERROR(INDEX(internal_constants_wide!$A:$ZZ,MATCH($C45,internal_constants_wide!$A:$A,0),MATCH("phase_transition_temperature_C",internal_constants_wide!$1:$1,0)),""),IFERROR(INDEX(internal_constants_wide!$A:$ZZ,MATCH($C45,internal_constants_wide!$A:$A,0),MATCH("melting_point_C",internal_constants_wide!$1:$1,0)),"")),"")</f>
      </c>
      <c r="Q45">
        <f>IFERROR(INDEX(internal_constants_wide!$A:$ZZ,MATCH($C45,internal_constants_wide!$A:$A,0),MATCH("melting_point_C",internal_constants_wide!$1:$1,0)),"")</f>
      </c>
      <c r="R45">
        <f>IFERROR(INDEX(internal_constants_wide!$A:$ZZ,MATCH($C45,internal_constants_wide!$A:$A,0),MATCH("Hansen_delta_D",internal_constants_wide!$1:$1,0)),"")</f>
      </c>
      <c r="S45">
        <f>IFERROR(INDEX(internal_constants_wide!$A:$ZZ,MATCH($C45,internal_constants_wide!$A:$A,0),MATCH("Hansen_delta_P",internal_constants_wide!$1:$1,0)),"")</f>
      </c>
      <c r="T45">
        <f>IFERROR(INDEX(internal_constants_wide!$A:$ZZ,MATCH($C45,internal_constants_wide!$A:$A,0),MATCH("Hansen_delta_H",internal_constants_wide!$1:$1,0)),"")</f>
      </c>
      <c r="U45">
        <f>IFERROR(INDEX(internal_constants_wide!$A:$ZZ,MATCH($C45,internal_constants_wide!$A:$A,0),MATCH("molar_volume_cm3_mol",internal_constants_wide!$1:$1,0)),"")</f>
      </c>
      <c r="V45">
        <f>IFERROR(IF(AND(ISNUMBER($K45),ISNUMBER($L45),ISNUMBER($M45),$M45&gt;0),($K45*0.027/($L45*$M45)),""),"")</f>
      </c>
      <c r="W45"/>
    </row>
    <row r="46">
      <c r="A46">
        <v>42</v>
      </c>
      <c r="B46"/>
      <c r="C46"/>
      <c r="D46">
        <f>IFERROR(INDEX(internal_constants_wide!$A:$ZZ,MATCH($C46,internal_constants_wide!$A:$A,0),MATCH("name",internal_constants_wide!$1:$1,0)),"")</f>
      </c>
      <c r="E46">
        <f>IFERROR(INDEX(internal_constants_wide!$A:$ZZ,MATCH($C46,internal_constants_wide!$A:$A,0),MATCH("material_type",internal_constants_wide!$1:$1,0)),"")</f>
      </c>
      <c r="F46"/>
      <c r="G46">
        <f>$G$2</f>
      </c>
      <c r="H46">
        <f>IFERROR(IF(IFERROR(INDEX(internal_constants_wide!$A:$ZZ,MATCH($C46,internal_constants_wide!$A:$A,0),MATCH("molecular_weight_g_mol",internal_constants_wide!$1:$1,0)),"")&lt;&gt;"",IFERROR(INDEX(internal_constants_wide!$A:$ZZ,MATCH($C46,internal_constants_wide!$A:$A,0),MATCH("molecular_weight_g_mol",internal_constants_wide!$1:$1,0)),""),IFERROR(INDEX(internal_constants_wide!$A:$ZZ,MATCH($C46,internal_constants_wide!$A:$A,0),MATCH("average_MW",internal_constants_wide!$1:$1,0)),"")),"")</f>
      </c>
      <c r="I46">
        <f>IFERROR(IF(AND(ISNUMBER($F46),ISNUMBER($G46),ISNUMBER($H46)),$F46/100*$G46*$H46,""),"")</f>
      </c>
      <c r="J46">
        <f>IFERROR(INDEX(internal_constants_wide!$A:$ZZ,MATCH($C46,internal_constants_wide!$A:$A,0),MATCH("HLB",internal_constants_wide!$1:$1,0)),"")</f>
      </c>
      <c r="K46">
        <f>IFERROR(INDEX(internal_constants_wide!$A:$ZZ,MATCH($C46,internal_constants_wide!$A:$A,0),MATCH("tail_carbons",internal_constants_wide!$1:$1,0)),"")</f>
      </c>
      <c r="L46">
        <f>IFERROR(INDEX(internal_constants_wide!$A:$ZZ,MATCH($C46,internal_constants_wide!$A:$A,0),MATCH("number_of_tails",internal_constants_wide!$1:$1,0)),"")</f>
      </c>
      <c r="M46">
        <f>IFERROR(INDEX(internal_constants_wide!$A:$ZZ,MATCH($C46,internal_constants_wide!$A:$A,0),MATCH("headgroup_area_nm2",internal_constants_wide!$1:$1,0)),"")</f>
      </c>
      <c r="N46">
        <f>IFERROR(INDEX(internal_constants_wide!$A:$ZZ,MATCH($C46,internal_constants_wide!$A:$A,0),MATCH("formal_charge",internal_constants_wide!$1:$1,0)),"")</f>
      </c>
      <c r="O46">
        <f>IFERROR(IF(IFERROR(INDEX(internal_constants_wide!$A:$ZZ,MATCH($C46,internal_constants_wide!$A:$A,0),MATCH("pKa_if_ionizable",internal_constants_wide!$1:$1,0)),"")&lt;&gt;"",IFERROR(INDEX(internal_constants_wide!$A:$ZZ,MATCH($C46,internal_constants_wide!$A:$A,0),MATCH("pKa_if_ionizable",internal_constants_wide!$1:$1,0)),""),IFERROR(INDEX(internal_constants_wide!$A:$ZZ,MATCH($C46,internal_constants_wide!$A:$A,0),MATCH("pKa",internal_constants_wide!$1:$1,0)),"")),"")</f>
      </c>
      <c r="P46">
        <f>IFERROR(IF(IFERROR(INDEX(internal_constants_wide!$A:$ZZ,MATCH($C46,internal_constants_wide!$A:$A,0),MATCH("phase_transition_temperature_C",internal_constants_wide!$1:$1,0)),"")&lt;&gt;"",IFERROR(INDEX(internal_constants_wide!$A:$ZZ,MATCH($C46,internal_constants_wide!$A:$A,0),MATCH("phase_transition_temperature_C",internal_constants_wide!$1:$1,0)),""),IFERROR(INDEX(internal_constants_wide!$A:$ZZ,MATCH($C46,internal_constants_wide!$A:$A,0),MATCH("melting_point_C",internal_constants_wide!$1:$1,0)),"")),"")</f>
      </c>
      <c r="Q46">
        <f>IFERROR(INDEX(internal_constants_wide!$A:$ZZ,MATCH($C46,internal_constants_wide!$A:$A,0),MATCH("melting_point_C",internal_constants_wide!$1:$1,0)),"")</f>
      </c>
      <c r="R46">
        <f>IFERROR(INDEX(internal_constants_wide!$A:$ZZ,MATCH($C46,internal_constants_wide!$A:$A,0),MATCH("Hansen_delta_D",internal_constants_wide!$1:$1,0)),"")</f>
      </c>
      <c r="S46">
        <f>IFERROR(INDEX(internal_constants_wide!$A:$ZZ,MATCH($C46,internal_constants_wide!$A:$A,0),MATCH("Hansen_delta_P",internal_constants_wide!$1:$1,0)),"")</f>
      </c>
      <c r="T46">
        <f>IFERROR(INDEX(internal_constants_wide!$A:$ZZ,MATCH($C46,internal_constants_wide!$A:$A,0),MATCH("Hansen_delta_H",internal_constants_wide!$1:$1,0)),"")</f>
      </c>
      <c r="U46">
        <f>IFERROR(INDEX(internal_constants_wide!$A:$ZZ,MATCH($C46,internal_constants_wide!$A:$A,0),MATCH("molar_volume_cm3_mol",internal_constants_wide!$1:$1,0)),"")</f>
      </c>
      <c r="V46">
        <f>IFERROR(IF(AND(ISNUMBER($K46),ISNUMBER($L46),ISNUMBER($M46),$M46&gt;0),($K46*0.027/($L46*$M46)),""),"")</f>
      </c>
      <c r="W46"/>
    </row>
    <row r="47">
      <c r="A47">
        <v>43</v>
      </c>
      <c r="B47"/>
      <c r="C47"/>
      <c r="D47">
        <f>IFERROR(INDEX(internal_constants_wide!$A:$ZZ,MATCH($C47,internal_constants_wide!$A:$A,0),MATCH("name",internal_constants_wide!$1:$1,0)),"")</f>
      </c>
      <c r="E47">
        <f>IFERROR(INDEX(internal_constants_wide!$A:$ZZ,MATCH($C47,internal_constants_wide!$A:$A,0),MATCH("material_type",internal_constants_wide!$1:$1,0)),"")</f>
      </c>
      <c r="F47"/>
      <c r="G47">
        <f>$G$2</f>
      </c>
      <c r="H47">
        <f>IFERROR(IF(IFERROR(INDEX(internal_constants_wide!$A:$ZZ,MATCH($C47,internal_constants_wide!$A:$A,0),MATCH("molecular_weight_g_mol",internal_constants_wide!$1:$1,0)),"")&lt;&gt;"",IFERROR(INDEX(internal_constants_wide!$A:$ZZ,MATCH($C47,internal_constants_wide!$A:$A,0),MATCH("molecular_weight_g_mol",internal_constants_wide!$1:$1,0)),""),IFERROR(INDEX(internal_constants_wide!$A:$ZZ,MATCH($C47,internal_constants_wide!$A:$A,0),MATCH("average_MW",internal_constants_wide!$1:$1,0)),"")),"")</f>
      </c>
      <c r="I47">
        <f>IFERROR(IF(AND(ISNUMBER($F47),ISNUMBER($G47),ISNUMBER($H47)),$F47/100*$G47*$H47,""),"")</f>
      </c>
      <c r="J47">
        <f>IFERROR(INDEX(internal_constants_wide!$A:$ZZ,MATCH($C47,internal_constants_wide!$A:$A,0),MATCH("HLB",internal_constants_wide!$1:$1,0)),"")</f>
      </c>
      <c r="K47">
        <f>IFERROR(INDEX(internal_constants_wide!$A:$ZZ,MATCH($C47,internal_constants_wide!$A:$A,0),MATCH("tail_carbons",internal_constants_wide!$1:$1,0)),"")</f>
      </c>
      <c r="L47">
        <f>IFERROR(INDEX(internal_constants_wide!$A:$ZZ,MATCH($C47,internal_constants_wide!$A:$A,0),MATCH("number_of_tails",internal_constants_wide!$1:$1,0)),"")</f>
      </c>
      <c r="M47">
        <f>IFERROR(INDEX(internal_constants_wide!$A:$ZZ,MATCH($C47,internal_constants_wide!$A:$A,0),MATCH("headgroup_area_nm2",internal_constants_wide!$1:$1,0)),"")</f>
      </c>
      <c r="N47">
        <f>IFERROR(INDEX(internal_constants_wide!$A:$ZZ,MATCH($C47,internal_constants_wide!$A:$A,0),MATCH("formal_charge",internal_constants_wide!$1:$1,0)),"")</f>
      </c>
      <c r="O47">
        <f>IFERROR(IF(IFERROR(INDEX(internal_constants_wide!$A:$ZZ,MATCH($C47,internal_constants_wide!$A:$A,0),MATCH("pKa_if_ionizable",internal_constants_wide!$1:$1,0)),"")&lt;&gt;"",IFERROR(INDEX(internal_constants_wide!$A:$ZZ,MATCH($C47,internal_constants_wide!$A:$A,0),MATCH("pKa_if_ionizable",internal_constants_wide!$1:$1,0)),""),IFERROR(INDEX(internal_constants_wide!$A:$ZZ,MATCH($C47,internal_constants_wide!$A:$A,0),MATCH("pKa",internal_constants_wide!$1:$1,0)),"")),"")</f>
      </c>
      <c r="P47">
        <f>IFERROR(IF(IFERROR(INDEX(internal_constants_wide!$A:$ZZ,MATCH($C47,internal_constants_wide!$A:$A,0),MATCH("phase_transition_temperature_C",internal_constants_wide!$1:$1,0)),"")&lt;&gt;"",IFERROR(INDEX(internal_constants_wide!$A:$ZZ,MATCH($C47,internal_constants_wide!$A:$A,0),MATCH("phase_transition_temperature_C",internal_constants_wide!$1:$1,0)),""),IFERROR(INDEX(internal_constants_wide!$A:$ZZ,MATCH($C47,internal_constants_wide!$A:$A,0),MATCH("melting_point_C",internal_constants_wide!$1:$1,0)),"")),"")</f>
      </c>
      <c r="Q47">
        <f>IFERROR(INDEX(internal_constants_wide!$A:$ZZ,MATCH($C47,internal_constants_wide!$A:$A,0),MATCH("melting_point_C",internal_constants_wide!$1:$1,0)),"")</f>
      </c>
      <c r="R47">
        <f>IFERROR(INDEX(internal_constants_wide!$A:$ZZ,MATCH($C47,internal_constants_wide!$A:$A,0),MATCH("Hansen_delta_D",internal_constants_wide!$1:$1,0)),"")</f>
      </c>
      <c r="S47">
        <f>IFERROR(INDEX(internal_constants_wide!$A:$ZZ,MATCH($C47,internal_constants_wide!$A:$A,0),MATCH("Hansen_delta_P",internal_constants_wide!$1:$1,0)),"")</f>
      </c>
      <c r="T47">
        <f>IFERROR(INDEX(internal_constants_wide!$A:$ZZ,MATCH($C47,internal_constants_wide!$A:$A,0),MATCH("Hansen_delta_H",internal_constants_wide!$1:$1,0)),"")</f>
      </c>
      <c r="U47">
        <f>IFERROR(INDEX(internal_constants_wide!$A:$ZZ,MATCH($C47,internal_constants_wide!$A:$A,0),MATCH("molar_volume_cm3_mol",internal_constants_wide!$1:$1,0)),"")</f>
      </c>
      <c r="V47">
        <f>IFERROR(IF(AND(ISNUMBER($K47),ISNUMBER($L47),ISNUMBER($M47),$M47&gt;0),($K47*0.027/($L47*$M47)),""),"")</f>
      </c>
      <c r="W47"/>
    </row>
    <row r="48">
      <c r="A48">
        <v>44</v>
      </c>
      <c r="B48"/>
      <c r="C48"/>
      <c r="D48">
        <f>IFERROR(INDEX(internal_constants_wide!$A:$ZZ,MATCH($C48,internal_constants_wide!$A:$A,0),MATCH("name",internal_constants_wide!$1:$1,0)),"")</f>
      </c>
      <c r="E48">
        <f>IFERROR(INDEX(internal_constants_wide!$A:$ZZ,MATCH($C48,internal_constants_wide!$A:$A,0),MATCH("material_type",internal_constants_wide!$1:$1,0)),"")</f>
      </c>
      <c r="F48"/>
      <c r="G48">
        <f>$G$2</f>
      </c>
      <c r="H48">
        <f>IFERROR(IF(IFERROR(INDEX(internal_constants_wide!$A:$ZZ,MATCH($C48,internal_constants_wide!$A:$A,0),MATCH("molecular_weight_g_mol",internal_constants_wide!$1:$1,0)),"")&lt;&gt;"",IFERROR(INDEX(internal_constants_wide!$A:$ZZ,MATCH($C48,internal_constants_wide!$A:$A,0),MATCH("molecular_weight_g_mol",internal_constants_wide!$1:$1,0)),""),IFERROR(INDEX(internal_constants_wide!$A:$ZZ,MATCH($C48,internal_constants_wide!$A:$A,0),MATCH("average_MW",internal_constants_wide!$1:$1,0)),"")),"")</f>
      </c>
      <c r="I48">
        <f>IFERROR(IF(AND(ISNUMBER($F48),ISNUMBER($G48),ISNUMBER($H48)),$F48/100*$G48*$H48,""),"")</f>
      </c>
      <c r="J48">
        <f>IFERROR(INDEX(internal_constants_wide!$A:$ZZ,MATCH($C48,internal_constants_wide!$A:$A,0),MATCH("HLB",internal_constants_wide!$1:$1,0)),"")</f>
      </c>
      <c r="K48">
        <f>IFERROR(INDEX(internal_constants_wide!$A:$ZZ,MATCH($C48,internal_constants_wide!$A:$A,0),MATCH("tail_carbons",internal_constants_wide!$1:$1,0)),"")</f>
      </c>
      <c r="L48">
        <f>IFERROR(INDEX(internal_constants_wide!$A:$ZZ,MATCH($C48,internal_constants_wide!$A:$A,0),MATCH("number_of_tails",internal_constants_wide!$1:$1,0)),"")</f>
      </c>
      <c r="M48">
        <f>IFERROR(INDEX(internal_constants_wide!$A:$ZZ,MATCH($C48,internal_constants_wide!$A:$A,0),MATCH("headgroup_area_nm2",internal_constants_wide!$1:$1,0)),"")</f>
      </c>
      <c r="N48">
        <f>IFERROR(INDEX(internal_constants_wide!$A:$ZZ,MATCH($C48,internal_constants_wide!$A:$A,0),MATCH("formal_charge",internal_constants_wide!$1:$1,0)),"")</f>
      </c>
      <c r="O48">
        <f>IFERROR(IF(IFERROR(INDEX(internal_constants_wide!$A:$ZZ,MATCH($C48,internal_constants_wide!$A:$A,0),MATCH("pKa_if_ionizable",internal_constants_wide!$1:$1,0)),"")&lt;&gt;"",IFERROR(INDEX(internal_constants_wide!$A:$ZZ,MATCH($C48,internal_constants_wide!$A:$A,0),MATCH("pKa_if_ionizable",internal_constants_wide!$1:$1,0)),""),IFERROR(INDEX(internal_constants_wide!$A:$ZZ,MATCH($C48,internal_constants_wide!$A:$A,0),MATCH("pKa",internal_constants_wide!$1:$1,0)),"")),"")</f>
      </c>
      <c r="P48">
        <f>IFERROR(IF(IFERROR(INDEX(internal_constants_wide!$A:$ZZ,MATCH($C48,internal_constants_wide!$A:$A,0),MATCH("phase_transition_temperature_C",internal_constants_wide!$1:$1,0)),"")&lt;&gt;"",IFERROR(INDEX(internal_constants_wide!$A:$ZZ,MATCH($C48,internal_constants_wide!$A:$A,0),MATCH("phase_transition_temperature_C",internal_constants_wide!$1:$1,0)),""),IFERROR(INDEX(internal_constants_wide!$A:$ZZ,MATCH($C48,internal_constants_wide!$A:$A,0),MATCH("melting_point_C",internal_constants_wide!$1:$1,0)),"")),"")</f>
      </c>
      <c r="Q48">
        <f>IFERROR(INDEX(internal_constants_wide!$A:$ZZ,MATCH($C48,internal_constants_wide!$A:$A,0),MATCH("melting_point_C",internal_constants_wide!$1:$1,0)),"")</f>
      </c>
      <c r="R48">
        <f>IFERROR(INDEX(internal_constants_wide!$A:$ZZ,MATCH($C48,internal_constants_wide!$A:$A,0),MATCH("Hansen_delta_D",internal_constants_wide!$1:$1,0)),"")</f>
      </c>
      <c r="S48">
        <f>IFERROR(INDEX(internal_constants_wide!$A:$ZZ,MATCH($C48,internal_constants_wide!$A:$A,0),MATCH("Hansen_delta_P",internal_constants_wide!$1:$1,0)),"")</f>
      </c>
      <c r="T48">
        <f>IFERROR(INDEX(internal_constants_wide!$A:$ZZ,MATCH($C48,internal_constants_wide!$A:$A,0),MATCH("Hansen_delta_H",internal_constants_wide!$1:$1,0)),"")</f>
      </c>
      <c r="U48">
        <f>IFERROR(INDEX(internal_constants_wide!$A:$ZZ,MATCH($C48,internal_constants_wide!$A:$A,0),MATCH("molar_volume_cm3_mol",internal_constants_wide!$1:$1,0)),"")</f>
      </c>
      <c r="V48">
        <f>IFERROR(IF(AND(ISNUMBER($K48),ISNUMBER($L48),ISNUMBER($M48),$M48&gt;0),($K48*0.027/($L48*$M48)),""),"")</f>
      </c>
      <c r="W48"/>
    </row>
    <row r="49">
      <c r="A49">
        <v>45</v>
      </c>
      <c r="B49"/>
      <c r="C49"/>
      <c r="D49">
        <f>IFERROR(INDEX(internal_constants_wide!$A:$ZZ,MATCH($C49,internal_constants_wide!$A:$A,0),MATCH("name",internal_constants_wide!$1:$1,0)),"")</f>
      </c>
      <c r="E49">
        <f>IFERROR(INDEX(internal_constants_wide!$A:$ZZ,MATCH($C49,internal_constants_wide!$A:$A,0),MATCH("material_type",internal_constants_wide!$1:$1,0)),"")</f>
      </c>
      <c r="F49"/>
      <c r="G49">
        <f>$G$2</f>
      </c>
      <c r="H49">
        <f>IFERROR(IF(IFERROR(INDEX(internal_constants_wide!$A:$ZZ,MATCH($C49,internal_constants_wide!$A:$A,0),MATCH("molecular_weight_g_mol",internal_constants_wide!$1:$1,0)),"")&lt;&gt;"",IFERROR(INDEX(internal_constants_wide!$A:$ZZ,MATCH($C49,internal_constants_wide!$A:$A,0),MATCH("molecular_weight_g_mol",internal_constants_wide!$1:$1,0)),""),IFERROR(INDEX(internal_constants_wide!$A:$ZZ,MATCH($C49,internal_constants_wide!$A:$A,0),MATCH("average_MW",internal_constants_wide!$1:$1,0)),"")),"")</f>
      </c>
      <c r="I49">
        <f>IFERROR(IF(AND(ISNUMBER($F49),ISNUMBER($G49),ISNUMBER($H49)),$F49/100*$G49*$H49,""),"")</f>
      </c>
      <c r="J49">
        <f>IFERROR(INDEX(internal_constants_wide!$A:$ZZ,MATCH($C49,internal_constants_wide!$A:$A,0),MATCH("HLB",internal_constants_wide!$1:$1,0)),"")</f>
      </c>
      <c r="K49">
        <f>IFERROR(INDEX(internal_constants_wide!$A:$ZZ,MATCH($C49,internal_constants_wide!$A:$A,0),MATCH("tail_carbons",internal_constants_wide!$1:$1,0)),"")</f>
      </c>
      <c r="L49">
        <f>IFERROR(INDEX(internal_constants_wide!$A:$ZZ,MATCH($C49,internal_constants_wide!$A:$A,0),MATCH("number_of_tails",internal_constants_wide!$1:$1,0)),"")</f>
      </c>
      <c r="M49">
        <f>IFERROR(INDEX(internal_constants_wide!$A:$ZZ,MATCH($C49,internal_constants_wide!$A:$A,0),MATCH("headgroup_area_nm2",internal_constants_wide!$1:$1,0)),"")</f>
      </c>
      <c r="N49">
        <f>IFERROR(INDEX(internal_constants_wide!$A:$ZZ,MATCH($C49,internal_constants_wide!$A:$A,0),MATCH("formal_charge",internal_constants_wide!$1:$1,0)),"")</f>
      </c>
      <c r="O49">
        <f>IFERROR(IF(IFERROR(INDEX(internal_constants_wide!$A:$ZZ,MATCH($C49,internal_constants_wide!$A:$A,0),MATCH("pKa_if_ionizable",internal_constants_wide!$1:$1,0)),"")&lt;&gt;"",IFERROR(INDEX(internal_constants_wide!$A:$ZZ,MATCH($C49,internal_constants_wide!$A:$A,0),MATCH("pKa_if_ionizable",internal_constants_wide!$1:$1,0)),""),IFERROR(INDEX(internal_constants_wide!$A:$ZZ,MATCH($C49,internal_constants_wide!$A:$A,0),MATCH("pKa",internal_constants_wide!$1:$1,0)),"")),"")</f>
      </c>
      <c r="P49">
        <f>IFERROR(IF(IFERROR(INDEX(internal_constants_wide!$A:$ZZ,MATCH($C49,internal_constants_wide!$A:$A,0),MATCH("phase_transition_temperature_C",internal_constants_wide!$1:$1,0)),"")&lt;&gt;"",IFERROR(INDEX(internal_constants_wide!$A:$ZZ,MATCH($C49,internal_constants_wide!$A:$A,0),MATCH("phase_transition_temperature_C",internal_constants_wide!$1:$1,0)),""),IFERROR(INDEX(internal_constants_wide!$A:$ZZ,MATCH($C49,internal_constants_wide!$A:$A,0),MATCH("melting_point_C",internal_constants_wide!$1:$1,0)),"")),"")</f>
      </c>
      <c r="Q49">
        <f>IFERROR(INDEX(internal_constants_wide!$A:$ZZ,MATCH($C49,internal_constants_wide!$A:$A,0),MATCH("melting_point_C",internal_constants_wide!$1:$1,0)),"")</f>
      </c>
      <c r="R49">
        <f>IFERROR(INDEX(internal_constants_wide!$A:$ZZ,MATCH($C49,internal_constants_wide!$A:$A,0),MATCH("Hansen_delta_D",internal_constants_wide!$1:$1,0)),"")</f>
      </c>
      <c r="S49">
        <f>IFERROR(INDEX(internal_constants_wide!$A:$ZZ,MATCH($C49,internal_constants_wide!$A:$A,0),MATCH("Hansen_delta_P",internal_constants_wide!$1:$1,0)),"")</f>
      </c>
      <c r="T49">
        <f>IFERROR(INDEX(internal_constants_wide!$A:$ZZ,MATCH($C49,internal_constants_wide!$A:$A,0),MATCH("Hansen_delta_H",internal_constants_wide!$1:$1,0)),"")</f>
      </c>
      <c r="U49">
        <f>IFERROR(INDEX(internal_constants_wide!$A:$ZZ,MATCH($C49,internal_constants_wide!$A:$A,0),MATCH("molar_volume_cm3_mol",internal_constants_wide!$1:$1,0)),"")</f>
      </c>
      <c r="V49">
        <f>IFERROR(IF(AND(ISNUMBER($K49),ISNUMBER($L49),ISNUMBER($M49),$M49&gt;0),($K49*0.027/($L49*$M49)),""),"")</f>
      </c>
      <c r="W49"/>
    </row>
    <row r="50">
      <c r="A50">
        <v>46</v>
      </c>
      <c r="B50"/>
      <c r="C50"/>
      <c r="D50">
        <f>IFERROR(INDEX(internal_constants_wide!$A:$ZZ,MATCH($C50,internal_constants_wide!$A:$A,0),MATCH("name",internal_constants_wide!$1:$1,0)),"")</f>
      </c>
      <c r="E50">
        <f>IFERROR(INDEX(internal_constants_wide!$A:$ZZ,MATCH($C50,internal_constants_wide!$A:$A,0),MATCH("material_type",internal_constants_wide!$1:$1,0)),"")</f>
      </c>
      <c r="F50"/>
      <c r="G50">
        <f>$G$2</f>
      </c>
      <c r="H50">
        <f>IFERROR(IF(IFERROR(INDEX(internal_constants_wide!$A:$ZZ,MATCH($C50,internal_constants_wide!$A:$A,0),MATCH("molecular_weight_g_mol",internal_constants_wide!$1:$1,0)),"")&lt;&gt;"",IFERROR(INDEX(internal_constants_wide!$A:$ZZ,MATCH($C50,internal_constants_wide!$A:$A,0),MATCH("molecular_weight_g_mol",internal_constants_wide!$1:$1,0)),""),IFERROR(INDEX(internal_constants_wide!$A:$ZZ,MATCH($C50,internal_constants_wide!$A:$A,0),MATCH("average_MW",internal_constants_wide!$1:$1,0)),"")),"")</f>
      </c>
      <c r="I50">
        <f>IFERROR(IF(AND(ISNUMBER($F50),ISNUMBER($G50),ISNUMBER($H50)),$F50/100*$G50*$H50,""),"")</f>
      </c>
      <c r="J50">
        <f>IFERROR(INDEX(internal_constants_wide!$A:$ZZ,MATCH($C50,internal_constants_wide!$A:$A,0),MATCH("HLB",internal_constants_wide!$1:$1,0)),"")</f>
      </c>
      <c r="K50">
        <f>IFERROR(INDEX(internal_constants_wide!$A:$ZZ,MATCH($C50,internal_constants_wide!$A:$A,0),MATCH("tail_carbons",internal_constants_wide!$1:$1,0)),"")</f>
      </c>
      <c r="L50">
        <f>IFERROR(INDEX(internal_constants_wide!$A:$ZZ,MATCH($C50,internal_constants_wide!$A:$A,0),MATCH("number_of_tails",internal_constants_wide!$1:$1,0)),"")</f>
      </c>
      <c r="M50">
        <f>IFERROR(INDEX(internal_constants_wide!$A:$ZZ,MATCH($C50,internal_constants_wide!$A:$A,0),MATCH("headgroup_area_nm2",internal_constants_wide!$1:$1,0)),"")</f>
      </c>
      <c r="N50">
        <f>IFERROR(INDEX(internal_constants_wide!$A:$ZZ,MATCH($C50,internal_constants_wide!$A:$A,0),MATCH("formal_charge",internal_constants_wide!$1:$1,0)),"")</f>
      </c>
      <c r="O50">
        <f>IFERROR(IF(IFERROR(INDEX(internal_constants_wide!$A:$ZZ,MATCH($C50,internal_constants_wide!$A:$A,0),MATCH("pKa_if_ionizable",internal_constants_wide!$1:$1,0)),"")&lt;&gt;"",IFERROR(INDEX(internal_constants_wide!$A:$ZZ,MATCH($C50,internal_constants_wide!$A:$A,0),MATCH("pKa_if_ionizable",internal_constants_wide!$1:$1,0)),""),IFERROR(INDEX(internal_constants_wide!$A:$ZZ,MATCH($C50,internal_constants_wide!$A:$A,0),MATCH("pKa",internal_constants_wide!$1:$1,0)),"")),"")</f>
      </c>
      <c r="P50">
        <f>IFERROR(IF(IFERROR(INDEX(internal_constants_wide!$A:$ZZ,MATCH($C50,internal_constants_wide!$A:$A,0),MATCH("phase_transition_temperature_C",internal_constants_wide!$1:$1,0)),"")&lt;&gt;"",IFERROR(INDEX(internal_constants_wide!$A:$ZZ,MATCH($C50,internal_constants_wide!$A:$A,0),MATCH("phase_transition_temperature_C",internal_constants_wide!$1:$1,0)),""),IFERROR(INDEX(internal_constants_wide!$A:$ZZ,MATCH($C50,internal_constants_wide!$A:$A,0),MATCH("melting_point_C",internal_constants_wide!$1:$1,0)),"")),"")</f>
      </c>
      <c r="Q50">
        <f>IFERROR(INDEX(internal_constants_wide!$A:$ZZ,MATCH($C50,internal_constants_wide!$A:$A,0),MATCH("melting_point_C",internal_constants_wide!$1:$1,0)),"")</f>
      </c>
      <c r="R50">
        <f>IFERROR(INDEX(internal_constants_wide!$A:$ZZ,MATCH($C50,internal_constants_wide!$A:$A,0),MATCH("Hansen_delta_D",internal_constants_wide!$1:$1,0)),"")</f>
      </c>
      <c r="S50">
        <f>IFERROR(INDEX(internal_constants_wide!$A:$ZZ,MATCH($C50,internal_constants_wide!$A:$A,0),MATCH("Hansen_delta_P",internal_constants_wide!$1:$1,0)),"")</f>
      </c>
      <c r="T50">
        <f>IFERROR(INDEX(internal_constants_wide!$A:$ZZ,MATCH($C50,internal_constants_wide!$A:$A,0),MATCH("Hansen_delta_H",internal_constants_wide!$1:$1,0)),"")</f>
      </c>
      <c r="U50">
        <f>IFERROR(INDEX(internal_constants_wide!$A:$ZZ,MATCH($C50,internal_constants_wide!$A:$A,0),MATCH("molar_volume_cm3_mol",internal_constants_wide!$1:$1,0)),"")</f>
      </c>
      <c r="V50">
        <f>IFERROR(IF(AND(ISNUMBER($K50),ISNUMBER($L50),ISNUMBER($M50),$M50&gt;0),($K50*0.027/($L50*$M50)),""),"")</f>
      </c>
      <c r="W50"/>
    </row>
    <row r="51">
      <c r="A51">
        <v>47</v>
      </c>
      <c r="B51"/>
      <c r="C51"/>
      <c r="D51">
        <f>IFERROR(INDEX(internal_constants_wide!$A:$ZZ,MATCH($C51,internal_constants_wide!$A:$A,0),MATCH("name",internal_constants_wide!$1:$1,0)),"")</f>
      </c>
      <c r="E51">
        <f>IFERROR(INDEX(internal_constants_wide!$A:$ZZ,MATCH($C51,internal_constants_wide!$A:$A,0),MATCH("material_type",internal_constants_wide!$1:$1,0)),"")</f>
      </c>
      <c r="F51"/>
      <c r="G51">
        <f>$G$2</f>
      </c>
      <c r="H51">
        <f>IFERROR(IF(IFERROR(INDEX(internal_constants_wide!$A:$ZZ,MATCH($C51,internal_constants_wide!$A:$A,0),MATCH("molecular_weight_g_mol",internal_constants_wide!$1:$1,0)),"")&lt;&gt;"",IFERROR(INDEX(internal_constants_wide!$A:$ZZ,MATCH($C51,internal_constants_wide!$A:$A,0),MATCH("molecular_weight_g_mol",internal_constants_wide!$1:$1,0)),""),IFERROR(INDEX(internal_constants_wide!$A:$ZZ,MATCH($C51,internal_constants_wide!$A:$A,0),MATCH("average_MW",internal_constants_wide!$1:$1,0)),"")),"")</f>
      </c>
      <c r="I51">
        <f>IFERROR(IF(AND(ISNUMBER($F51),ISNUMBER($G51),ISNUMBER($H51)),$F51/100*$G51*$H51,""),"")</f>
      </c>
      <c r="J51">
        <f>IFERROR(INDEX(internal_constants_wide!$A:$ZZ,MATCH($C51,internal_constants_wide!$A:$A,0),MATCH("HLB",internal_constants_wide!$1:$1,0)),"")</f>
      </c>
      <c r="K51">
        <f>IFERROR(INDEX(internal_constants_wide!$A:$ZZ,MATCH($C51,internal_constants_wide!$A:$A,0),MATCH("tail_carbons",internal_constants_wide!$1:$1,0)),"")</f>
      </c>
      <c r="L51">
        <f>IFERROR(INDEX(internal_constants_wide!$A:$ZZ,MATCH($C51,internal_constants_wide!$A:$A,0),MATCH("number_of_tails",internal_constants_wide!$1:$1,0)),"")</f>
      </c>
      <c r="M51">
        <f>IFERROR(INDEX(internal_constants_wide!$A:$ZZ,MATCH($C51,internal_constants_wide!$A:$A,0),MATCH("headgroup_area_nm2",internal_constants_wide!$1:$1,0)),"")</f>
      </c>
      <c r="N51">
        <f>IFERROR(INDEX(internal_constants_wide!$A:$ZZ,MATCH($C51,internal_constants_wide!$A:$A,0),MATCH("formal_charge",internal_constants_wide!$1:$1,0)),"")</f>
      </c>
      <c r="O51">
        <f>IFERROR(IF(IFERROR(INDEX(internal_constants_wide!$A:$ZZ,MATCH($C51,internal_constants_wide!$A:$A,0),MATCH("pKa_if_ionizable",internal_constants_wide!$1:$1,0)),"")&lt;&gt;"",IFERROR(INDEX(internal_constants_wide!$A:$ZZ,MATCH($C51,internal_constants_wide!$A:$A,0),MATCH("pKa_if_ionizable",internal_constants_wide!$1:$1,0)),""),IFERROR(INDEX(internal_constants_wide!$A:$ZZ,MATCH($C51,internal_constants_wide!$A:$A,0),MATCH("pKa",internal_constants_wide!$1:$1,0)),"")),"")</f>
      </c>
      <c r="P51">
        <f>IFERROR(IF(IFERROR(INDEX(internal_constants_wide!$A:$ZZ,MATCH($C51,internal_constants_wide!$A:$A,0),MATCH("phase_transition_temperature_C",internal_constants_wide!$1:$1,0)),"")&lt;&gt;"",IFERROR(INDEX(internal_constants_wide!$A:$ZZ,MATCH($C51,internal_constants_wide!$A:$A,0),MATCH("phase_transition_temperature_C",internal_constants_wide!$1:$1,0)),""),IFERROR(INDEX(internal_constants_wide!$A:$ZZ,MATCH($C51,internal_constants_wide!$A:$A,0),MATCH("melting_point_C",internal_constants_wide!$1:$1,0)),"")),"")</f>
      </c>
      <c r="Q51">
        <f>IFERROR(INDEX(internal_constants_wide!$A:$ZZ,MATCH($C51,internal_constants_wide!$A:$A,0),MATCH("melting_point_C",internal_constants_wide!$1:$1,0)),"")</f>
      </c>
      <c r="R51">
        <f>IFERROR(INDEX(internal_constants_wide!$A:$ZZ,MATCH($C51,internal_constants_wide!$A:$A,0),MATCH("Hansen_delta_D",internal_constants_wide!$1:$1,0)),"")</f>
      </c>
      <c r="S51">
        <f>IFERROR(INDEX(internal_constants_wide!$A:$ZZ,MATCH($C51,internal_constants_wide!$A:$A,0),MATCH("Hansen_delta_P",internal_constants_wide!$1:$1,0)),"")</f>
      </c>
      <c r="T51">
        <f>IFERROR(INDEX(internal_constants_wide!$A:$ZZ,MATCH($C51,internal_constants_wide!$A:$A,0),MATCH("Hansen_delta_H",internal_constants_wide!$1:$1,0)),"")</f>
      </c>
      <c r="U51">
        <f>IFERROR(INDEX(internal_constants_wide!$A:$ZZ,MATCH($C51,internal_constants_wide!$A:$A,0),MATCH("molar_volume_cm3_mol",internal_constants_wide!$1:$1,0)),"")</f>
      </c>
      <c r="V51">
        <f>IFERROR(IF(AND(ISNUMBER($K51),ISNUMBER($L51),ISNUMBER($M51),$M51&gt;0),($K51*0.027/($L51*$M51)),""),"")</f>
      </c>
      <c r="W51"/>
    </row>
    <row r="52">
      <c r="A52">
        <v>48</v>
      </c>
      <c r="B52"/>
      <c r="C52"/>
      <c r="D52">
        <f>IFERROR(INDEX(internal_constants_wide!$A:$ZZ,MATCH($C52,internal_constants_wide!$A:$A,0),MATCH("name",internal_constants_wide!$1:$1,0)),"")</f>
      </c>
      <c r="E52">
        <f>IFERROR(INDEX(internal_constants_wide!$A:$ZZ,MATCH($C52,internal_constants_wide!$A:$A,0),MATCH("material_type",internal_constants_wide!$1:$1,0)),"")</f>
      </c>
      <c r="F52"/>
      <c r="G52">
        <f>$G$2</f>
      </c>
      <c r="H52">
        <f>IFERROR(IF(IFERROR(INDEX(internal_constants_wide!$A:$ZZ,MATCH($C52,internal_constants_wide!$A:$A,0),MATCH("molecular_weight_g_mol",internal_constants_wide!$1:$1,0)),"")&lt;&gt;"",IFERROR(INDEX(internal_constants_wide!$A:$ZZ,MATCH($C52,internal_constants_wide!$A:$A,0),MATCH("molecular_weight_g_mol",internal_constants_wide!$1:$1,0)),""),IFERROR(INDEX(internal_constants_wide!$A:$ZZ,MATCH($C52,internal_constants_wide!$A:$A,0),MATCH("average_MW",internal_constants_wide!$1:$1,0)),"")),"")</f>
      </c>
      <c r="I52">
        <f>IFERROR(IF(AND(ISNUMBER($F52),ISNUMBER($G52),ISNUMBER($H52)),$F52/100*$G52*$H52,""),"")</f>
      </c>
      <c r="J52">
        <f>IFERROR(INDEX(internal_constants_wide!$A:$ZZ,MATCH($C52,internal_constants_wide!$A:$A,0),MATCH("HLB",internal_constants_wide!$1:$1,0)),"")</f>
      </c>
      <c r="K52">
        <f>IFERROR(INDEX(internal_constants_wide!$A:$ZZ,MATCH($C52,internal_constants_wide!$A:$A,0),MATCH("tail_carbons",internal_constants_wide!$1:$1,0)),"")</f>
      </c>
      <c r="L52">
        <f>IFERROR(INDEX(internal_constants_wide!$A:$ZZ,MATCH($C52,internal_constants_wide!$A:$A,0),MATCH("number_of_tails",internal_constants_wide!$1:$1,0)),"")</f>
      </c>
      <c r="M52">
        <f>IFERROR(INDEX(internal_constants_wide!$A:$ZZ,MATCH($C52,internal_constants_wide!$A:$A,0),MATCH("headgroup_area_nm2",internal_constants_wide!$1:$1,0)),"")</f>
      </c>
      <c r="N52">
        <f>IFERROR(INDEX(internal_constants_wide!$A:$ZZ,MATCH($C52,internal_constants_wide!$A:$A,0),MATCH("formal_charge",internal_constants_wide!$1:$1,0)),"")</f>
      </c>
      <c r="O52">
        <f>IFERROR(IF(IFERROR(INDEX(internal_constants_wide!$A:$ZZ,MATCH($C52,internal_constants_wide!$A:$A,0),MATCH("pKa_if_ionizable",internal_constants_wide!$1:$1,0)),"")&lt;&gt;"",IFERROR(INDEX(internal_constants_wide!$A:$ZZ,MATCH($C52,internal_constants_wide!$A:$A,0),MATCH("pKa_if_ionizable",internal_constants_wide!$1:$1,0)),""),IFERROR(INDEX(internal_constants_wide!$A:$ZZ,MATCH($C52,internal_constants_wide!$A:$A,0),MATCH("pKa",internal_constants_wide!$1:$1,0)),"")),"")</f>
      </c>
      <c r="P52">
        <f>IFERROR(IF(IFERROR(INDEX(internal_constants_wide!$A:$ZZ,MATCH($C52,internal_constants_wide!$A:$A,0),MATCH("phase_transition_temperature_C",internal_constants_wide!$1:$1,0)),"")&lt;&gt;"",IFERROR(INDEX(internal_constants_wide!$A:$ZZ,MATCH($C52,internal_constants_wide!$A:$A,0),MATCH("phase_transition_temperature_C",internal_constants_wide!$1:$1,0)),""),IFERROR(INDEX(internal_constants_wide!$A:$ZZ,MATCH($C52,internal_constants_wide!$A:$A,0),MATCH("melting_point_C",internal_constants_wide!$1:$1,0)),"")),"")</f>
      </c>
      <c r="Q52">
        <f>IFERROR(INDEX(internal_constants_wide!$A:$ZZ,MATCH($C52,internal_constants_wide!$A:$A,0),MATCH("melting_point_C",internal_constants_wide!$1:$1,0)),"")</f>
      </c>
      <c r="R52">
        <f>IFERROR(INDEX(internal_constants_wide!$A:$ZZ,MATCH($C52,internal_constants_wide!$A:$A,0),MATCH("Hansen_delta_D",internal_constants_wide!$1:$1,0)),"")</f>
      </c>
      <c r="S52">
        <f>IFERROR(INDEX(internal_constants_wide!$A:$ZZ,MATCH($C52,internal_constants_wide!$A:$A,0),MATCH("Hansen_delta_P",internal_constants_wide!$1:$1,0)),"")</f>
      </c>
      <c r="T52">
        <f>IFERROR(INDEX(internal_constants_wide!$A:$ZZ,MATCH($C52,internal_constants_wide!$A:$A,0),MATCH("Hansen_delta_H",internal_constants_wide!$1:$1,0)),"")</f>
      </c>
      <c r="U52">
        <f>IFERROR(INDEX(internal_constants_wide!$A:$ZZ,MATCH($C52,internal_constants_wide!$A:$A,0),MATCH("molar_volume_cm3_mol",internal_constants_wide!$1:$1,0)),"")</f>
      </c>
      <c r="V52">
        <f>IFERROR(IF(AND(ISNUMBER($K52),ISNUMBER($L52),ISNUMBER($M52),$M52&gt;0),($K52*0.027/($L52*$M52)),""),"")</f>
      </c>
      <c r="W52"/>
    </row>
    <row r="53">
      <c r="A53">
        <v>49</v>
      </c>
      <c r="B53"/>
      <c r="C53"/>
      <c r="D53">
        <f>IFERROR(INDEX(internal_constants_wide!$A:$ZZ,MATCH($C53,internal_constants_wide!$A:$A,0),MATCH("name",internal_constants_wide!$1:$1,0)),"")</f>
      </c>
      <c r="E53">
        <f>IFERROR(INDEX(internal_constants_wide!$A:$ZZ,MATCH($C53,internal_constants_wide!$A:$A,0),MATCH("material_type",internal_constants_wide!$1:$1,0)),"")</f>
      </c>
      <c r="F53"/>
      <c r="G53">
        <f>$G$2</f>
      </c>
      <c r="H53">
        <f>IFERROR(IF(IFERROR(INDEX(internal_constants_wide!$A:$ZZ,MATCH($C53,internal_constants_wide!$A:$A,0),MATCH("molecular_weight_g_mol",internal_constants_wide!$1:$1,0)),"")&lt;&gt;"",IFERROR(INDEX(internal_constants_wide!$A:$ZZ,MATCH($C53,internal_constants_wide!$A:$A,0),MATCH("molecular_weight_g_mol",internal_constants_wide!$1:$1,0)),""),IFERROR(INDEX(internal_constants_wide!$A:$ZZ,MATCH($C53,internal_constants_wide!$A:$A,0),MATCH("average_MW",internal_constants_wide!$1:$1,0)),"")),"")</f>
      </c>
      <c r="I53">
        <f>IFERROR(IF(AND(ISNUMBER($F53),ISNUMBER($G53),ISNUMBER($H53)),$F53/100*$G53*$H53,""),"")</f>
      </c>
      <c r="J53">
        <f>IFERROR(INDEX(internal_constants_wide!$A:$ZZ,MATCH($C53,internal_constants_wide!$A:$A,0),MATCH("HLB",internal_constants_wide!$1:$1,0)),"")</f>
      </c>
      <c r="K53">
        <f>IFERROR(INDEX(internal_constants_wide!$A:$ZZ,MATCH($C53,internal_constants_wide!$A:$A,0),MATCH("tail_carbons",internal_constants_wide!$1:$1,0)),"")</f>
      </c>
      <c r="L53">
        <f>IFERROR(INDEX(internal_constants_wide!$A:$ZZ,MATCH($C53,internal_constants_wide!$A:$A,0),MATCH("number_of_tails",internal_constants_wide!$1:$1,0)),"")</f>
      </c>
      <c r="M53">
        <f>IFERROR(INDEX(internal_constants_wide!$A:$ZZ,MATCH($C53,internal_constants_wide!$A:$A,0),MATCH("headgroup_area_nm2",internal_constants_wide!$1:$1,0)),"")</f>
      </c>
      <c r="N53">
        <f>IFERROR(INDEX(internal_constants_wide!$A:$ZZ,MATCH($C53,internal_constants_wide!$A:$A,0),MATCH("formal_charge",internal_constants_wide!$1:$1,0)),"")</f>
      </c>
      <c r="O53">
        <f>IFERROR(IF(IFERROR(INDEX(internal_constants_wide!$A:$ZZ,MATCH($C53,internal_constants_wide!$A:$A,0),MATCH("pKa_if_ionizable",internal_constants_wide!$1:$1,0)),"")&lt;&gt;"",IFERROR(INDEX(internal_constants_wide!$A:$ZZ,MATCH($C53,internal_constants_wide!$A:$A,0),MATCH("pKa_if_ionizable",internal_constants_wide!$1:$1,0)),""),IFERROR(INDEX(internal_constants_wide!$A:$ZZ,MATCH($C53,internal_constants_wide!$A:$A,0),MATCH("pKa",internal_constants_wide!$1:$1,0)),"")),"")</f>
      </c>
      <c r="P53">
        <f>IFERROR(IF(IFERROR(INDEX(internal_constants_wide!$A:$ZZ,MATCH($C53,internal_constants_wide!$A:$A,0),MATCH("phase_transition_temperature_C",internal_constants_wide!$1:$1,0)),"")&lt;&gt;"",IFERROR(INDEX(internal_constants_wide!$A:$ZZ,MATCH($C53,internal_constants_wide!$A:$A,0),MATCH("phase_transition_temperature_C",internal_constants_wide!$1:$1,0)),""),IFERROR(INDEX(internal_constants_wide!$A:$ZZ,MATCH($C53,internal_constants_wide!$A:$A,0),MATCH("melting_point_C",internal_constants_wide!$1:$1,0)),"")),"")</f>
      </c>
      <c r="Q53">
        <f>IFERROR(INDEX(internal_constants_wide!$A:$ZZ,MATCH($C53,internal_constants_wide!$A:$A,0),MATCH("melting_point_C",internal_constants_wide!$1:$1,0)),"")</f>
      </c>
      <c r="R53">
        <f>IFERROR(INDEX(internal_constants_wide!$A:$ZZ,MATCH($C53,internal_constants_wide!$A:$A,0),MATCH("Hansen_delta_D",internal_constants_wide!$1:$1,0)),"")</f>
      </c>
      <c r="S53">
        <f>IFERROR(INDEX(internal_constants_wide!$A:$ZZ,MATCH($C53,internal_constants_wide!$A:$A,0),MATCH("Hansen_delta_P",internal_constants_wide!$1:$1,0)),"")</f>
      </c>
      <c r="T53">
        <f>IFERROR(INDEX(internal_constants_wide!$A:$ZZ,MATCH($C53,internal_constants_wide!$A:$A,0),MATCH("Hansen_delta_H",internal_constants_wide!$1:$1,0)),"")</f>
      </c>
      <c r="U53">
        <f>IFERROR(INDEX(internal_constants_wide!$A:$ZZ,MATCH($C53,internal_constants_wide!$A:$A,0),MATCH("molar_volume_cm3_mol",internal_constants_wide!$1:$1,0)),"")</f>
      </c>
      <c r="V53">
        <f>IFERROR(IF(AND(ISNUMBER($K53),ISNUMBER($L53),ISNUMBER($M53),$M53&gt;0),($K53*0.027/($L53*$M53)),""),"")</f>
      </c>
      <c r="W53"/>
    </row>
    <row r="54">
      <c r="A54">
        <v>50</v>
      </c>
      <c r="B54"/>
      <c r="C54"/>
      <c r="D54">
        <f>IFERROR(INDEX(internal_constants_wide!$A:$ZZ,MATCH($C54,internal_constants_wide!$A:$A,0),MATCH("name",internal_constants_wide!$1:$1,0)),"")</f>
      </c>
      <c r="E54">
        <f>IFERROR(INDEX(internal_constants_wide!$A:$ZZ,MATCH($C54,internal_constants_wide!$A:$A,0),MATCH("material_type",internal_constants_wide!$1:$1,0)),"")</f>
      </c>
      <c r="F54"/>
      <c r="G54">
        <f>$G$2</f>
      </c>
      <c r="H54">
        <f>IFERROR(IF(IFERROR(INDEX(internal_constants_wide!$A:$ZZ,MATCH($C54,internal_constants_wide!$A:$A,0),MATCH("molecular_weight_g_mol",internal_constants_wide!$1:$1,0)),"")&lt;&gt;"",IFERROR(INDEX(internal_constants_wide!$A:$ZZ,MATCH($C54,internal_constants_wide!$A:$A,0),MATCH("molecular_weight_g_mol",internal_constants_wide!$1:$1,0)),""),IFERROR(INDEX(internal_constants_wide!$A:$ZZ,MATCH($C54,internal_constants_wide!$A:$A,0),MATCH("average_MW",internal_constants_wide!$1:$1,0)),"")),"")</f>
      </c>
      <c r="I54">
        <f>IFERROR(IF(AND(ISNUMBER($F54),ISNUMBER($G54),ISNUMBER($H54)),$F54/100*$G54*$H54,""),"")</f>
      </c>
      <c r="J54">
        <f>IFERROR(INDEX(internal_constants_wide!$A:$ZZ,MATCH($C54,internal_constants_wide!$A:$A,0),MATCH("HLB",internal_constants_wide!$1:$1,0)),"")</f>
      </c>
      <c r="K54">
        <f>IFERROR(INDEX(internal_constants_wide!$A:$ZZ,MATCH($C54,internal_constants_wide!$A:$A,0),MATCH("tail_carbons",internal_constants_wide!$1:$1,0)),"")</f>
      </c>
      <c r="L54">
        <f>IFERROR(INDEX(internal_constants_wide!$A:$ZZ,MATCH($C54,internal_constants_wide!$A:$A,0),MATCH("number_of_tails",internal_constants_wide!$1:$1,0)),"")</f>
      </c>
      <c r="M54">
        <f>IFERROR(INDEX(internal_constants_wide!$A:$ZZ,MATCH($C54,internal_constants_wide!$A:$A,0),MATCH("headgroup_area_nm2",internal_constants_wide!$1:$1,0)),"")</f>
      </c>
      <c r="N54">
        <f>IFERROR(INDEX(internal_constants_wide!$A:$ZZ,MATCH($C54,internal_constants_wide!$A:$A,0),MATCH("formal_charge",internal_constants_wide!$1:$1,0)),"")</f>
      </c>
      <c r="O54">
        <f>IFERROR(IF(IFERROR(INDEX(internal_constants_wide!$A:$ZZ,MATCH($C54,internal_constants_wide!$A:$A,0),MATCH("pKa_if_ionizable",internal_constants_wide!$1:$1,0)),"")&lt;&gt;"",IFERROR(INDEX(internal_constants_wide!$A:$ZZ,MATCH($C54,internal_constants_wide!$A:$A,0),MATCH("pKa_if_ionizable",internal_constants_wide!$1:$1,0)),""),IFERROR(INDEX(internal_constants_wide!$A:$ZZ,MATCH($C54,internal_constants_wide!$A:$A,0),MATCH("pKa",internal_constants_wide!$1:$1,0)),"")),"")</f>
      </c>
      <c r="P54">
        <f>IFERROR(IF(IFERROR(INDEX(internal_constants_wide!$A:$ZZ,MATCH($C54,internal_constants_wide!$A:$A,0),MATCH("phase_transition_temperature_C",internal_constants_wide!$1:$1,0)),"")&lt;&gt;"",IFERROR(INDEX(internal_constants_wide!$A:$ZZ,MATCH($C54,internal_constants_wide!$A:$A,0),MATCH("phase_transition_temperature_C",internal_constants_wide!$1:$1,0)),""),IFERROR(INDEX(internal_constants_wide!$A:$ZZ,MATCH($C54,internal_constants_wide!$A:$A,0),MATCH("melting_point_C",internal_constants_wide!$1:$1,0)),"")),"")</f>
      </c>
      <c r="Q54">
        <f>IFERROR(INDEX(internal_constants_wide!$A:$ZZ,MATCH($C54,internal_constants_wide!$A:$A,0),MATCH("melting_point_C",internal_constants_wide!$1:$1,0)),"")</f>
      </c>
      <c r="R54">
        <f>IFERROR(INDEX(internal_constants_wide!$A:$ZZ,MATCH($C54,internal_constants_wide!$A:$A,0),MATCH("Hansen_delta_D",internal_constants_wide!$1:$1,0)),"")</f>
      </c>
      <c r="S54">
        <f>IFERROR(INDEX(internal_constants_wide!$A:$ZZ,MATCH($C54,internal_constants_wide!$A:$A,0),MATCH("Hansen_delta_P",internal_constants_wide!$1:$1,0)),"")</f>
      </c>
      <c r="T54">
        <f>IFERROR(INDEX(internal_constants_wide!$A:$ZZ,MATCH($C54,internal_constants_wide!$A:$A,0),MATCH("Hansen_delta_H",internal_constants_wide!$1:$1,0)),"")</f>
      </c>
      <c r="U54">
        <f>IFERROR(INDEX(internal_constants_wide!$A:$ZZ,MATCH($C54,internal_constants_wide!$A:$A,0),MATCH("molar_volume_cm3_mol",internal_constants_wide!$1:$1,0)),"")</f>
      </c>
      <c r="V54">
        <f>IFERROR(IF(AND(ISNUMBER($K54),ISNUMBER($L54),ISNUMBER($M54),$M54&gt;0),($K54*0.027/($L54*$M54)),""),"")</f>
      </c>
      <c r="W54"/>
    </row>
    <row r="55">
      <c r="A55">
        <v>51</v>
      </c>
      <c r="B55"/>
      <c r="C55"/>
      <c r="D55">
        <f>IFERROR(INDEX(internal_constants_wide!$A:$ZZ,MATCH($C55,internal_constants_wide!$A:$A,0),MATCH("name",internal_constants_wide!$1:$1,0)),"")</f>
      </c>
      <c r="E55">
        <f>IFERROR(INDEX(internal_constants_wide!$A:$ZZ,MATCH($C55,internal_constants_wide!$A:$A,0),MATCH("material_type",internal_constants_wide!$1:$1,0)),"")</f>
      </c>
      <c r="F55"/>
      <c r="G55">
        <f>$G$2</f>
      </c>
      <c r="H55">
        <f>IFERROR(IF(IFERROR(INDEX(internal_constants_wide!$A:$ZZ,MATCH($C55,internal_constants_wide!$A:$A,0),MATCH("molecular_weight_g_mol",internal_constants_wide!$1:$1,0)),"")&lt;&gt;"",IFERROR(INDEX(internal_constants_wide!$A:$ZZ,MATCH($C55,internal_constants_wide!$A:$A,0),MATCH("molecular_weight_g_mol",internal_constants_wide!$1:$1,0)),""),IFERROR(INDEX(internal_constants_wide!$A:$ZZ,MATCH($C55,internal_constants_wide!$A:$A,0),MATCH("average_MW",internal_constants_wide!$1:$1,0)),"")),"")</f>
      </c>
      <c r="I55">
        <f>IFERROR(IF(AND(ISNUMBER($F55),ISNUMBER($G55),ISNUMBER($H55)),$F55/100*$G55*$H55,""),"")</f>
      </c>
      <c r="J55">
        <f>IFERROR(INDEX(internal_constants_wide!$A:$ZZ,MATCH($C55,internal_constants_wide!$A:$A,0),MATCH("HLB",internal_constants_wide!$1:$1,0)),"")</f>
      </c>
      <c r="K55">
        <f>IFERROR(INDEX(internal_constants_wide!$A:$ZZ,MATCH($C55,internal_constants_wide!$A:$A,0),MATCH("tail_carbons",internal_constants_wide!$1:$1,0)),"")</f>
      </c>
      <c r="L55">
        <f>IFERROR(INDEX(internal_constants_wide!$A:$ZZ,MATCH($C55,internal_constants_wide!$A:$A,0),MATCH("number_of_tails",internal_constants_wide!$1:$1,0)),"")</f>
      </c>
      <c r="M55">
        <f>IFERROR(INDEX(internal_constants_wide!$A:$ZZ,MATCH($C55,internal_constants_wide!$A:$A,0),MATCH("headgroup_area_nm2",internal_constants_wide!$1:$1,0)),"")</f>
      </c>
      <c r="N55">
        <f>IFERROR(INDEX(internal_constants_wide!$A:$ZZ,MATCH($C55,internal_constants_wide!$A:$A,0),MATCH("formal_charge",internal_constants_wide!$1:$1,0)),"")</f>
      </c>
      <c r="O55">
        <f>IFERROR(IF(IFERROR(INDEX(internal_constants_wide!$A:$ZZ,MATCH($C55,internal_constants_wide!$A:$A,0),MATCH("pKa_if_ionizable",internal_constants_wide!$1:$1,0)),"")&lt;&gt;"",IFERROR(INDEX(internal_constants_wide!$A:$ZZ,MATCH($C55,internal_constants_wide!$A:$A,0),MATCH("pKa_if_ionizable",internal_constants_wide!$1:$1,0)),""),IFERROR(INDEX(internal_constants_wide!$A:$ZZ,MATCH($C55,internal_constants_wide!$A:$A,0),MATCH("pKa",internal_constants_wide!$1:$1,0)),"")),"")</f>
      </c>
      <c r="P55">
        <f>IFERROR(IF(IFERROR(INDEX(internal_constants_wide!$A:$ZZ,MATCH($C55,internal_constants_wide!$A:$A,0),MATCH("phase_transition_temperature_C",internal_constants_wide!$1:$1,0)),"")&lt;&gt;"",IFERROR(INDEX(internal_constants_wide!$A:$ZZ,MATCH($C55,internal_constants_wide!$A:$A,0),MATCH("phase_transition_temperature_C",internal_constants_wide!$1:$1,0)),""),IFERROR(INDEX(internal_constants_wide!$A:$ZZ,MATCH($C55,internal_constants_wide!$A:$A,0),MATCH("melting_point_C",internal_constants_wide!$1:$1,0)),"")),"")</f>
      </c>
      <c r="Q55">
        <f>IFERROR(INDEX(internal_constants_wide!$A:$ZZ,MATCH($C55,internal_constants_wide!$A:$A,0),MATCH("melting_point_C",internal_constants_wide!$1:$1,0)),"")</f>
      </c>
      <c r="R55">
        <f>IFERROR(INDEX(internal_constants_wide!$A:$ZZ,MATCH($C55,internal_constants_wide!$A:$A,0),MATCH("Hansen_delta_D",internal_constants_wide!$1:$1,0)),"")</f>
      </c>
      <c r="S55">
        <f>IFERROR(INDEX(internal_constants_wide!$A:$ZZ,MATCH($C55,internal_constants_wide!$A:$A,0),MATCH("Hansen_delta_P",internal_constants_wide!$1:$1,0)),"")</f>
      </c>
      <c r="T55">
        <f>IFERROR(INDEX(internal_constants_wide!$A:$ZZ,MATCH($C55,internal_constants_wide!$A:$A,0),MATCH("Hansen_delta_H",internal_constants_wide!$1:$1,0)),"")</f>
      </c>
      <c r="U55">
        <f>IFERROR(INDEX(internal_constants_wide!$A:$ZZ,MATCH($C55,internal_constants_wide!$A:$A,0),MATCH("molar_volume_cm3_mol",internal_constants_wide!$1:$1,0)),"")</f>
      </c>
      <c r="V55">
        <f>IFERROR(IF(AND(ISNUMBER($K55),ISNUMBER($L55),ISNUMBER($M55),$M55&gt;0),($K55*0.027/($L55*$M55)),""),"")</f>
      </c>
      <c r="W55"/>
    </row>
    <row r="56">
      <c r="A56">
        <v>52</v>
      </c>
      <c r="B56"/>
      <c r="C56"/>
      <c r="D56">
        <f>IFERROR(INDEX(internal_constants_wide!$A:$ZZ,MATCH($C56,internal_constants_wide!$A:$A,0),MATCH("name",internal_constants_wide!$1:$1,0)),"")</f>
      </c>
      <c r="E56">
        <f>IFERROR(INDEX(internal_constants_wide!$A:$ZZ,MATCH($C56,internal_constants_wide!$A:$A,0),MATCH("material_type",internal_constants_wide!$1:$1,0)),"")</f>
      </c>
      <c r="F56"/>
      <c r="G56">
        <f>$G$2</f>
      </c>
      <c r="H56">
        <f>IFERROR(IF(IFERROR(INDEX(internal_constants_wide!$A:$ZZ,MATCH($C56,internal_constants_wide!$A:$A,0),MATCH("molecular_weight_g_mol",internal_constants_wide!$1:$1,0)),"")&lt;&gt;"",IFERROR(INDEX(internal_constants_wide!$A:$ZZ,MATCH($C56,internal_constants_wide!$A:$A,0),MATCH("molecular_weight_g_mol",internal_constants_wide!$1:$1,0)),""),IFERROR(INDEX(internal_constants_wide!$A:$ZZ,MATCH($C56,internal_constants_wide!$A:$A,0),MATCH("average_MW",internal_constants_wide!$1:$1,0)),"")),"")</f>
      </c>
      <c r="I56">
        <f>IFERROR(IF(AND(ISNUMBER($F56),ISNUMBER($G56),ISNUMBER($H56)),$F56/100*$G56*$H56,""),"")</f>
      </c>
      <c r="J56">
        <f>IFERROR(INDEX(internal_constants_wide!$A:$ZZ,MATCH($C56,internal_constants_wide!$A:$A,0),MATCH("HLB",internal_constants_wide!$1:$1,0)),"")</f>
      </c>
      <c r="K56">
        <f>IFERROR(INDEX(internal_constants_wide!$A:$ZZ,MATCH($C56,internal_constants_wide!$A:$A,0),MATCH("tail_carbons",internal_constants_wide!$1:$1,0)),"")</f>
      </c>
      <c r="L56">
        <f>IFERROR(INDEX(internal_constants_wide!$A:$ZZ,MATCH($C56,internal_constants_wide!$A:$A,0),MATCH("number_of_tails",internal_constants_wide!$1:$1,0)),"")</f>
      </c>
      <c r="M56">
        <f>IFERROR(INDEX(internal_constants_wide!$A:$ZZ,MATCH($C56,internal_constants_wide!$A:$A,0),MATCH("headgroup_area_nm2",internal_constants_wide!$1:$1,0)),"")</f>
      </c>
      <c r="N56">
        <f>IFERROR(INDEX(internal_constants_wide!$A:$ZZ,MATCH($C56,internal_constants_wide!$A:$A,0),MATCH("formal_charge",internal_constants_wide!$1:$1,0)),"")</f>
      </c>
      <c r="O56">
        <f>IFERROR(IF(IFERROR(INDEX(internal_constants_wide!$A:$ZZ,MATCH($C56,internal_constants_wide!$A:$A,0),MATCH("pKa_if_ionizable",internal_constants_wide!$1:$1,0)),"")&lt;&gt;"",IFERROR(INDEX(internal_constants_wide!$A:$ZZ,MATCH($C56,internal_constants_wide!$A:$A,0),MATCH("pKa_if_ionizable",internal_constants_wide!$1:$1,0)),""),IFERROR(INDEX(internal_constants_wide!$A:$ZZ,MATCH($C56,internal_constants_wide!$A:$A,0),MATCH("pKa",internal_constants_wide!$1:$1,0)),"")),"")</f>
      </c>
      <c r="P56">
        <f>IFERROR(IF(IFERROR(INDEX(internal_constants_wide!$A:$ZZ,MATCH($C56,internal_constants_wide!$A:$A,0),MATCH("phase_transition_temperature_C",internal_constants_wide!$1:$1,0)),"")&lt;&gt;"",IFERROR(INDEX(internal_constants_wide!$A:$ZZ,MATCH($C56,internal_constants_wide!$A:$A,0),MATCH("phase_transition_temperature_C",internal_constants_wide!$1:$1,0)),""),IFERROR(INDEX(internal_constants_wide!$A:$ZZ,MATCH($C56,internal_constants_wide!$A:$A,0),MATCH("melting_point_C",internal_constants_wide!$1:$1,0)),"")),"")</f>
      </c>
      <c r="Q56">
        <f>IFERROR(INDEX(internal_constants_wide!$A:$ZZ,MATCH($C56,internal_constants_wide!$A:$A,0),MATCH("melting_point_C",internal_constants_wide!$1:$1,0)),"")</f>
      </c>
      <c r="R56">
        <f>IFERROR(INDEX(internal_constants_wide!$A:$ZZ,MATCH($C56,internal_constants_wide!$A:$A,0),MATCH("Hansen_delta_D",internal_constants_wide!$1:$1,0)),"")</f>
      </c>
      <c r="S56">
        <f>IFERROR(INDEX(internal_constants_wide!$A:$ZZ,MATCH($C56,internal_constants_wide!$A:$A,0),MATCH("Hansen_delta_P",internal_constants_wide!$1:$1,0)),"")</f>
      </c>
      <c r="T56">
        <f>IFERROR(INDEX(internal_constants_wide!$A:$ZZ,MATCH($C56,internal_constants_wide!$A:$A,0),MATCH("Hansen_delta_H",internal_constants_wide!$1:$1,0)),"")</f>
      </c>
      <c r="U56">
        <f>IFERROR(INDEX(internal_constants_wide!$A:$ZZ,MATCH($C56,internal_constants_wide!$A:$A,0),MATCH("molar_volume_cm3_mol",internal_constants_wide!$1:$1,0)),"")</f>
      </c>
      <c r="V56">
        <f>IFERROR(IF(AND(ISNUMBER($K56),ISNUMBER($L56),ISNUMBER($M56),$M56&gt;0),($K56*0.027/($L56*$M56)),""),"")</f>
      </c>
      <c r="W56"/>
    </row>
    <row r="57">
      <c r="A57">
        <v>53</v>
      </c>
      <c r="B57"/>
      <c r="C57"/>
      <c r="D57">
        <f>IFERROR(INDEX(internal_constants_wide!$A:$ZZ,MATCH($C57,internal_constants_wide!$A:$A,0),MATCH("name",internal_constants_wide!$1:$1,0)),"")</f>
      </c>
      <c r="E57">
        <f>IFERROR(INDEX(internal_constants_wide!$A:$ZZ,MATCH($C57,internal_constants_wide!$A:$A,0),MATCH("material_type",internal_constants_wide!$1:$1,0)),"")</f>
      </c>
      <c r="F57"/>
      <c r="G57">
        <f>$G$2</f>
      </c>
      <c r="H57">
        <f>IFERROR(IF(IFERROR(INDEX(internal_constants_wide!$A:$ZZ,MATCH($C57,internal_constants_wide!$A:$A,0),MATCH("molecular_weight_g_mol",internal_constants_wide!$1:$1,0)),"")&lt;&gt;"",IFERROR(INDEX(internal_constants_wide!$A:$ZZ,MATCH($C57,internal_constants_wide!$A:$A,0),MATCH("molecular_weight_g_mol",internal_constants_wide!$1:$1,0)),""),IFERROR(INDEX(internal_constants_wide!$A:$ZZ,MATCH($C57,internal_constants_wide!$A:$A,0),MATCH("average_MW",internal_constants_wide!$1:$1,0)),"")),"")</f>
      </c>
      <c r="I57">
        <f>IFERROR(IF(AND(ISNUMBER($F57),ISNUMBER($G57),ISNUMBER($H57)),$F57/100*$G57*$H57,""),"")</f>
      </c>
      <c r="J57">
        <f>IFERROR(INDEX(internal_constants_wide!$A:$ZZ,MATCH($C57,internal_constants_wide!$A:$A,0),MATCH("HLB",internal_constants_wide!$1:$1,0)),"")</f>
      </c>
      <c r="K57">
        <f>IFERROR(INDEX(internal_constants_wide!$A:$ZZ,MATCH($C57,internal_constants_wide!$A:$A,0),MATCH("tail_carbons",internal_constants_wide!$1:$1,0)),"")</f>
      </c>
      <c r="L57">
        <f>IFERROR(INDEX(internal_constants_wide!$A:$ZZ,MATCH($C57,internal_constants_wide!$A:$A,0),MATCH("number_of_tails",internal_constants_wide!$1:$1,0)),"")</f>
      </c>
      <c r="M57">
        <f>IFERROR(INDEX(internal_constants_wide!$A:$ZZ,MATCH($C57,internal_constants_wide!$A:$A,0),MATCH("headgroup_area_nm2",internal_constants_wide!$1:$1,0)),"")</f>
      </c>
      <c r="N57">
        <f>IFERROR(INDEX(internal_constants_wide!$A:$ZZ,MATCH($C57,internal_constants_wide!$A:$A,0),MATCH("formal_charge",internal_constants_wide!$1:$1,0)),"")</f>
      </c>
      <c r="O57">
        <f>IFERROR(IF(IFERROR(INDEX(internal_constants_wide!$A:$ZZ,MATCH($C57,internal_constants_wide!$A:$A,0),MATCH("pKa_if_ionizable",internal_constants_wide!$1:$1,0)),"")&lt;&gt;"",IFERROR(INDEX(internal_constants_wide!$A:$ZZ,MATCH($C57,internal_constants_wide!$A:$A,0),MATCH("pKa_if_ionizable",internal_constants_wide!$1:$1,0)),""),IFERROR(INDEX(internal_constants_wide!$A:$ZZ,MATCH($C57,internal_constants_wide!$A:$A,0),MATCH("pKa",internal_constants_wide!$1:$1,0)),"")),"")</f>
      </c>
      <c r="P57">
        <f>IFERROR(IF(IFERROR(INDEX(internal_constants_wide!$A:$ZZ,MATCH($C57,internal_constants_wide!$A:$A,0),MATCH("phase_transition_temperature_C",internal_constants_wide!$1:$1,0)),"")&lt;&gt;"",IFERROR(INDEX(internal_constants_wide!$A:$ZZ,MATCH($C57,internal_constants_wide!$A:$A,0),MATCH("phase_transition_temperature_C",internal_constants_wide!$1:$1,0)),""),IFERROR(INDEX(internal_constants_wide!$A:$ZZ,MATCH($C57,internal_constants_wide!$A:$A,0),MATCH("melting_point_C",internal_constants_wide!$1:$1,0)),"")),"")</f>
      </c>
      <c r="Q57">
        <f>IFERROR(INDEX(internal_constants_wide!$A:$ZZ,MATCH($C57,internal_constants_wide!$A:$A,0),MATCH("melting_point_C",internal_constants_wide!$1:$1,0)),"")</f>
      </c>
      <c r="R57">
        <f>IFERROR(INDEX(internal_constants_wide!$A:$ZZ,MATCH($C57,internal_constants_wide!$A:$A,0),MATCH("Hansen_delta_D",internal_constants_wide!$1:$1,0)),"")</f>
      </c>
      <c r="S57">
        <f>IFERROR(INDEX(internal_constants_wide!$A:$ZZ,MATCH($C57,internal_constants_wide!$A:$A,0),MATCH("Hansen_delta_P",internal_constants_wide!$1:$1,0)),"")</f>
      </c>
      <c r="T57">
        <f>IFERROR(INDEX(internal_constants_wide!$A:$ZZ,MATCH($C57,internal_constants_wide!$A:$A,0),MATCH("Hansen_delta_H",internal_constants_wide!$1:$1,0)),"")</f>
      </c>
      <c r="U57">
        <f>IFERROR(INDEX(internal_constants_wide!$A:$ZZ,MATCH($C57,internal_constants_wide!$A:$A,0),MATCH("molar_volume_cm3_mol",internal_constants_wide!$1:$1,0)),"")</f>
      </c>
      <c r="V57">
        <f>IFERROR(IF(AND(ISNUMBER($K57),ISNUMBER($L57),ISNUMBER($M57),$M57&gt;0),($K57*0.027/($L57*$M57)),""),"")</f>
      </c>
      <c r="W57"/>
    </row>
    <row r="58">
      <c r="A58">
        <v>54</v>
      </c>
      <c r="B58"/>
      <c r="C58"/>
      <c r="D58">
        <f>IFERROR(INDEX(internal_constants_wide!$A:$ZZ,MATCH($C58,internal_constants_wide!$A:$A,0),MATCH("name",internal_constants_wide!$1:$1,0)),"")</f>
      </c>
      <c r="E58">
        <f>IFERROR(INDEX(internal_constants_wide!$A:$ZZ,MATCH($C58,internal_constants_wide!$A:$A,0),MATCH("material_type",internal_constants_wide!$1:$1,0)),"")</f>
      </c>
      <c r="F58"/>
      <c r="G58">
        <f>$G$2</f>
      </c>
      <c r="H58">
        <f>IFERROR(IF(IFERROR(INDEX(internal_constants_wide!$A:$ZZ,MATCH($C58,internal_constants_wide!$A:$A,0),MATCH("molecular_weight_g_mol",internal_constants_wide!$1:$1,0)),"")&lt;&gt;"",IFERROR(INDEX(internal_constants_wide!$A:$ZZ,MATCH($C58,internal_constants_wide!$A:$A,0),MATCH("molecular_weight_g_mol",internal_constants_wide!$1:$1,0)),""),IFERROR(INDEX(internal_constants_wide!$A:$ZZ,MATCH($C58,internal_constants_wide!$A:$A,0),MATCH("average_MW",internal_constants_wide!$1:$1,0)),"")),"")</f>
      </c>
      <c r="I58">
        <f>IFERROR(IF(AND(ISNUMBER($F58),ISNUMBER($G58),ISNUMBER($H58)),$F58/100*$G58*$H58,""),"")</f>
      </c>
      <c r="J58">
        <f>IFERROR(INDEX(internal_constants_wide!$A:$ZZ,MATCH($C58,internal_constants_wide!$A:$A,0),MATCH("HLB",internal_constants_wide!$1:$1,0)),"")</f>
      </c>
      <c r="K58">
        <f>IFERROR(INDEX(internal_constants_wide!$A:$ZZ,MATCH($C58,internal_constants_wide!$A:$A,0),MATCH("tail_carbons",internal_constants_wide!$1:$1,0)),"")</f>
      </c>
      <c r="L58">
        <f>IFERROR(INDEX(internal_constants_wide!$A:$ZZ,MATCH($C58,internal_constants_wide!$A:$A,0),MATCH("number_of_tails",internal_constants_wide!$1:$1,0)),"")</f>
      </c>
      <c r="M58">
        <f>IFERROR(INDEX(internal_constants_wide!$A:$ZZ,MATCH($C58,internal_constants_wide!$A:$A,0),MATCH("headgroup_area_nm2",internal_constants_wide!$1:$1,0)),"")</f>
      </c>
      <c r="N58">
        <f>IFERROR(INDEX(internal_constants_wide!$A:$ZZ,MATCH($C58,internal_constants_wide!$A:$A,0),MATCH("formal_charge",internal_constants_wide!$1:$1,0)),"")</f>
      </c>
      <c r="O58">
        <f>IFERROR(IF(IFERROR(INDEX(internal_constants_wide!$A:$ZZ,MATCH($C58,internal_constants_wide!$A:$A,0),MATCH("pKa_if_ionizable",internal_constants_wide!$1:$1,0)),"")&lt;&gt;"",IFERROR(INDEX(internal_constants_wide!$A:$ZZ,MATCH($C58,internal_constants_wide!$A:$A,0),MATCH("pKa_if_ionizable",internal_constants_wide!$1:$1,0)),""),IFERROR(INDEX(internal_constants_wide!$A:$ZZ,MATCH($C58,internal_constants_wide!$A:$A,0),MATCH("pKa",internal_constants_wide!$1:$1,0)),"")),"")</f>
      </c>
      <c r="P58">
        <f>IFERROR(IF(IFERROR(INDEX(internal_constants_wide!$A:$ZZ,MATCH($C58,internal_constants_wide!$A:$A,0),MATCH("phase_transition_temperature_C",internal_constants_wide!$1:$1,0)),"")&lt;&gt;"",IFERROR(INDEX(internal_constants_wide!$A:$ZZ,MATCH($C58,internal_constants_wide!$A:$A,0),MATCH("phase_transition_temperature_C",internal_constants_wide!$1:$1,0)),""),IFERROR(INDEX(internal_constants_wide!$A:$ZZ,MATCH($C58,internal_constants_wide!$A:$A,0),MATCH("melting_point_C",internal_constants_wide!$1:$1,0)),"")),"")</f>
      </c>
      <c r="Q58">
        <f>IFERROR(INDEX(internal_constants_wide!$A:$ZZ,MATCH($C58,internal_constants_wide!$A:$A,0),MATCH("melting_point_C",internal_constants_wide!$1:$1,0)),"")</f>
      </c>
      <c r="R58">
        <f>IFERROR(INDEX(internal_constants_wide!$A:$ZZ,MATCH($C58,internal_constants_wide!$A:$A,0),MATCH("Hansen_delta_D",internal_constants_wide!$1:$1,0)),"")</f>
      </c>
      <c r="S58">
        <f>IFERROR(INDEX(internal_constants_wide!$A:$ZZ,MATCH($C58,internal_constants_wide!$A:$A,0),MATCH("Hansen_delta_P",internal_constants_wide!$1:$1,0)),"")</f>
      </c>
      <c r="T58">
        <f>IFERROR(INDEX(internal_constants_wide!$A:$ZZ,MATCH($C58,internal_constants_wide!$A:$A,0),MATCH("Hansen_delta_H",internal_constants_wide!$1:$1,0)),"")</f>
      </c>
      <c r="U58">
        <f>IFERROR(INDEX(internal_constants_wide!$A:$ZZ,MATCH($C58,internal_constants_wide!$A:$A,0),MATCH("molar_volume_cm3_mol",internal_constants_wide!$1:$1,0)),"")</f>
      </c>
      <c r="V58">
        <f>IFERROR(IF(AND(ISNUMBER($K58),ISNUMBER($L58),ISNUMBER($M58),$M58&gt;0),($K58*0.027/($L58*$M58)),""),"")</f>
      </c>
      <c r="W58"/>
    </row>
    <row r="59">
      <c r="A59">
        <v>55</v>
      </c>
      <c r="B59"/>
      <c r="C59"/>
      <c r="D59">
        <f>IFERROR(INDEX(internal_constants_wide!$A:$ZZ,MATCH($C59,internal_constants_wide!$A:$A,0),MATCH("name",internal_constants_wide!$1:$1,0)),"")</f>
      </c>
      <c r="E59">
        <f>IFERROR(INDEX(internal_constants_wide!$A:$ZZ,MATCH($C59,internal_constants_wide!$A:$A,0),MATCH("material_type",internal_constants_wide!$1:$1,0)),"")</f>
      </c>
      <c r="F59"/>
      <c r="G59">
        <f>$G$2</f>
      </c>
      <c r="H59">
        <f>IFERROR(IF(IFERROR(INDEX(internal_constants_wide!$A:$ZZ,MATCH($C59,internal_constants_wide!$A:$A,0),MATCH("molecular_weight_g_mol",internal_constants_wide!$1:$1,0)),"")&lt;&gt;"",IFERROR(INDEX(internal_constants_wide!$A:$ZZ,MATCH($C59,internal_constants_wide!$A:$A,0),MATCH("molecular_weight_g_mol",internal_constants_wide!$1:$1,0)),""),IFERROR(INDEX(internal_constants_wide!$A:$ZZ,MATCH($C59,internal_constants_wide!$A:$A,0),MATCH("average_MW",internal_constants_wide!$1:$1,0)),"")),"")</f>
      </c>
      <c r="I59">
        <f>IFERROR(IF(AND(ISNUMBER($F59),ISNUMBER($G59),ISNUMBER($H59)),$F59/100*$G59*$H59,""),"")</f>
      </c>
      <c r="J59">
        <f>IFERROR(INDEX(internal_constants_wide!$A:$ZZ,MATCH($C59,internal_constants_wide!$A:$A,0),MATCH("HLB",internal_constants_wide!$1:$1,0)),"")</f>
      </c>
      <c r="K59">
        <f>IFERROR(INDEX(internal_constants_wide!$A:$ZZ,MATCH($C59,internal_constants_wide!$A:$A,0),MATCH("tail_carbons",internal_constants_wide!$1:$1,0)),"")</f>
      </c>
      <c r="L59">
        <f>IFERROR(INDEX(internal_constants_wide!$A:$ZZ,MATCH($C59,internal_constants_wide!$A:$A,0),MATCH("number_of_tails",internal_constants_wide!$1:$1,0)),"")</f>
      </c>
      <c r="M59">
        <f>IFERROR(INDEX(internal_constants_wide!$A:$ZZ,MATCH($C59,internal_constants_wide!$A:$A,0),MATCH("headgroup_area_nm2",internal_constants_wide!$1:$1,0)),"")</f>
      </c>
      <c r="N59">
        <f>IFERROR(INDEX(internal_constants_wide!$A:$ZZ,MATCH($C59,internal_constants_wide!$A:$A,0),MATCH("formal_charge",internal_constants_wide!$1:$1,0)),"")</f>
      </c>
      <c r="O59">
        <f>IFERROR(IF(IFERROR(INDEX(internal_constants_wide!$A:$ZZ,MATCH($C59,internal_constants_wide!$A:$A,0),MATCH("pKa_if_ionizable",internal_constants_wide!$1:$1,0)),"")&lt;&gt;"",IFERROR(INDEX(internal_constants_wide!$A:$ZZ,MATCH($C59,internal_constants_wide!$A:$A,0),MATCH("pKa_if_ionizable",internal_constants_wide!$1:$1,0)),""),IFERROR(INDEX(internal_constants_wide!$A:$ZZ,MATCH($C59,internal_constants_wide!$A:$A,0),MATCH("pKa",internal_constants_wide!$1:$1,0)),"")),"")</f>
      </c>
      <c r="P59">
        <f>IFERROR(IF(IFERROR(INDEX(internal_constants_wide!$A:$ZZ,MATCH($C59,internal_constants_wide!$A:$A,0),MATCH("phase_transition_temperature_C",internal_constants_wide!$1:$1,0)),"")&lt;&gt;"",IFERROR(INDEX(internal_constants_wide!$A:$ZZ,MATCH($C59,internal_constants_wide!$A:$A,0),MATCH("phase_transition_temperature_C",internal_constants_wide!$1:$1,0)),""),IFERROR(INDEX(internal_constants_wide!$A:$ZZ,MATCH($C59,internal_constants_wide!$A:$A,0),MATCH("melting_point_C",internal_constants_wide!$1:$1,0)),"")),"")</f>
      </c>
      <c r="Q59">
        <f>IFERROR(INDEX(internal_constants_wide!$A:$ZZ,MATCH($C59,internal_constants_wide!$A:$A,0),MATCH("melting_point_C",internal_constants_wide!$1:$1,0)),"")</f>
      </c>
      <c r="R59">
        <f>IFERROR(INDEX(internal_constants_wide!$A:$ZZ,MATCH($C59,internal_constants_wide!$A:$A,0),MATCH("Hansen_delta_D",internal_constants_wide!$1:$1,0)),"")</f>
      </c>
      <c r="S59">
        <f>IFERROR(INDEX(internal_constants_wide!$A:$ZZ,MATCH($C59,internal_constants_wide!$A:$A,0),MATCH("Hansen_delta_P",internal_constants_wide!$1:$1,0)),"")</f>
      </c>
      <c r="T59">
        <f>IFERROR(INDEX(internal_constants_wide!$A:$ZZ,MATCH($C59,internal_constants_wide!$A:$A,0),MATCH("Hansen_delta_H",internal_constants_wide!$1:$1,0)),"")</f>
      </c>
      <c r="U59">
        <f>IFERROR(INDEX(internal_constants_wide!$A:$ZZ,MATCH($C59,internal_constants_wide!$A:$A,0),MATCH("molar_volume_cm3_mol",internal_constants_wide!$1:$1,0)),"")</f>
      </c>
      <c r="V59">
        <f>IFERROR(IF(AND(ISNUMBER($K59),ISNUMBER($L59),ISNUMBER($M59),$M59&gt;0),($K59*0.027/($L59*$M59)),""),"")</f>
      </c>
      <c r="W59"/>
    </row>
    <row r="60">
      <c r="A60">
        <v>56</v>
      </c>
      <c r="B60"/>
      <c r="C60"/>
      <c r="D60">
        <f>IFERROR(INDEX(internal_constants_wide!$A:$ZZ,MATCH($C60,internal_constants_wide!$A:$A,0),MATCH("name",internal_constants_wide!$1:$1,0)),"")</f>
      </c>
      <c r="E60">
        <f>IFERROR(INDEX(internal_constants_wide!$A:$ZZ,MATCH($C60,internal_constants_wide!$A:$A,0),MATCH("material_type",internal_constants_wide!$1:$1,0)),"")</f>
      </c>
      <c r="F60"/>
      <c r="G60">
        <f>$G$2</f>
      </c>
      <c r="H60">
        <f>IFERROR(IF(IFERROR(INDEX(internal_constants_wide!$A:$ZZ,MATCH($C60,internal_constants_wide!$A:$A,0),MATCH("molecular_weight_g_mol",internal_constants_wide!$1:$1,0)),"")&lt;&gt;"",IFERROR(INDEX(internal_constants_wide!$A:$ZZ,MATCH($C60,internal_constants_wide!$A:$A,0),MATCH("molecular_weight_g_mol",internal_constants_wide!$1:$1,0)),""),IFERROR(INDEX(internal_constants_wide!$A:$ZZ,MATCH($C60,internal_constants_wide!$A:$A,0),MATCH("average_MW",internal_constants_wide!$1:$1,0)),"")),"")</f>
      </c>
      <c r="I60">
        <f>IFERROR(IF(AND(ISNUMBER($F60),ISNUMBER($G60),ISNUMBER($H60)),$F60/100*$G60*$H60,""),"")</f>
      </c>
      <c r="J60">
        <f>IFERROR(INDEX(internal_constants_wide!$A:$ZZ,MATCH($C60,internal_constants_wide!$A:$A,0),MATCH("HLB",internal_constants_wide!$1:$1,0)),"")</f>
      </c>
      <c r="K60">
        <f>IFERROR(INDEX(internal_constants_wide!$A:$ZZ,MATCH($C60,internal_constants_wide!$A:$A,0),MATCH("tail_carbons",internal_constants_wide!$1:$1,0)),"")</f>
      </c>
      <c r="L60">
        <f>IFERROR(INDEX(internal_constants_wide!$A:$ZZ,MATCH($C60,internal_constants_wide!$A:$A,0),MATCH("number_of_tails",internal_constants_wide!$1:$1,0)),"")</f>
      </c>
      <c r="M60">
        <f>IFERROR(INDEX(internal_constants_wide!$A:$ZZ,MATCH($C60,internal_constants_wide!$A:$A,0),MATCH("headgroup_area_nm2",internal_constants_wide!$1:$1,0)),"")</f>
      </c>
      <c r="N60">
        <f>IFERROR(INDEX(internal_constants_wide!$A:$ZZ,MATCH($C60,internal_constants_wide!$A:$A,0),MATCH("formal_charge",internal_constants_wide!$1:$1,0)),"")</f>
      </c>
      <c r="O60">
        <f>IFERROR(IF(IFERROR(INDEX(internal_constants_wide!$A:$ZZ,MATCH($C60,internal_constants_wide!$A:$A,0),MATCH("pKa_if_ionizable",internal_constants_wide!$1:$1,0)),"")&lt;&gt;"",IFERROR(INDEX(internal_constants_wide!$A:$ZZ,MATCH($C60,internal_constants_wide!$A:$A,0),MATCH("pKa_if_ionizable",internal_constants_wide!$1:$1,0)),""),IFERROR(INDEX(internal_constants_wide!$A:$ZZ,MATCH($C60,internal_constants_wide!$A:$A,0),MATCH("pKa",internal_constants_wide!$1:$1,0)),"")),"")</f>
      </c>
      <c r="P60">
        <f>IFERROR(IF(IFERROR(INDEX(internal_constants_wide!$A:$ZZ,MATCH($C60,internal_constants_wide!$A:$A,0),MATCH("phase_transition_temperature_C",internal_constants_wide!$1:$1,0)),"")&lt;&gt;"",IFERROR(INDEX(internal_constants_wide!$A:$ZZ,MATCH($C60,internal_constants_wide!$A:$A,0),MATCH("phase_transition_temperature_C",internal_constants_wide!$1:$1,0)),""),IFERROR(INDEX(internal_constants_wide!$A:$ZZ,MATCH($C60,internal_constants_wide!$A:$A,0),MATCH("melting_point_C",internal_constants_wide!$1:$1,0)),"")),"")</f>
      </c>
      <c r="Q60">
        <f>IFERROR(INDEX(internal_constants_wide!$A:$ZZ,MATCH($C60,internal_constants_wide!$A:$A,0),MATCH("melting_point_C",internal_constants_wide!$1:$1,0)),"")</f>
      </c>
      <c r="R60">
        <f>IFERROR(INDEX(internal_constants_wide!$A:$ZZ,MATCH($C60,internal_constants_wide!$A:$A,0),MATCH("Hansen_delta_D",internal_constants_wide!$1:$1,0)),"")</f>
      </c>
      <c r="S60">
        <f>IFERROR(INDEX(internal_constants_wide!$A:$ZZ,MATCH($C60,internal_constants_wide!$A:$A,0),MATCH("Hansen_delta_P",internal_constants_wide!$1:$1,0)),"")</f>
      </c>
      <c r="T60">
        <f>IFERROR(INDEX(internal_constants_wide!$A:$ZZ,MATCH($C60,internal_constants_wide!$A:$A,0),MATCH("Hansen_delta_H",internal_constants_wide!$1:$1,0)),"")</f>
      </c>
      <c r="U60">
        <f>IFERROR(INDEX(internal_constants_wide!$A:$ZZ,MATCH($C60,internal_constants_wide!$A:$A,0),MATCH("molar_volume_cm3_mol",internal_constants_wide!$1:$1,0)),"")</f>
      </c>
      <c r="V60">
        <f>IFERROR(IF(AND(ISNUMBER($K60),ISNUMBER($L60),ISNUMBER($M60),$M60&gt;0),($K60*0.027/($L60*$M60)),""),"")</f>
      </c>
      <c r="W60"/>
    </row>
    <row r="61">
      <c r="A61">
        <v>57</v>
      </c>
      <c r="B61"/>
      <c r="C61"/>
      <c r="D61">
        <f>IFERROR(INDEX(internal_constants_wide!$A:$ZZ,MATCH($C61,internal_constants_wide!$A:$A,0),MATCH("name",internal_constants_wide!$1:$1,0)),"")</f>
      </c>
      <c r="E61">
        <f>IFERROR(INDEX(internal_constants_wide!$A:$ZZ,MATCH($C61,internal_constants_wide!$A:$A,0),MATCH("material_type",internal_constants_wide!$1:$1,0)),"")</f>
      </c>
      <c r="F61"/>
      <c r="G61">
        <f>$G$2</f>
      </c>
      <c r="H61">
        <f>IFERROR(IF(IFERROR(INDEX(internal_constants_wide!$A:$ZZ,MATCH($C61,internal_constants_wide!$A:$A,0),MATCH("molecular_weight_g_mol",internal_constants_wide!$1:$1,0)),"")&lt;&gt;"",IFERROR(INDEX(internal_constants_wide!$A:$ZZ,MATCH($C61,internal_constants_wide!$A:$A,0),MATCH("molecular_weight_g_mol",internal_constants_wide!$1:$1,0)),""),IFERROR(INDEX(internal_constants_wide!$A:$ZZ,MATCH($C61,internal_constants_wide!$A:$A,0),MATCH("average_MW",internal_constants_wide!$1:$1,0)),"")),"")</f>
      </c>
      <c r="I61">
        <f>IFERROR(IF(AND(ISNUMBER($F61),ISNUMBER($G61),ISNUMBER($H61)),$F61/100*$G61*$H61,""),"")</f>
      </c>
      <c r="J61">
        <f>IFERROR(INDEX(internal_constants_wide!$A:$ZZ,MATCH($C61,internal_constants_wide!$A:$A,0),MATCH("HLB",internal_constants_wide!$1:$1,0)),"")</f>
      </c>
      <c r="K61">
        <f>IFERROR(INDEX(internal_constants_wide!$A:$ZZ,MATCH($C61,internal_constants_wide!$A:$A,0),MATCH("tail_carbons",internal_constants_wide!$1:$1,0)),"")</f>
      </c>
      <c r="L61">
        <f>IFERROR(INDEX(internal_constants_wide!$A:$ZZ,MATCH($C61,internal_constants_wide!$A:$A,0),MATCH("number_of_tails",internal_constants_wide!$1:$1,0)),"")</f>
      </c>
      <c r="M61">
        <f>IFERROR(INDEX(internal_constants_wide!$A:$ZZ,MATCH($C61,internal_constants_wide!$A:$A,0),MATCH("headgroup_area_nm2",internal_constants_wide!$1:$1,0)),"")</f>
      </c>
      <c r="N61">
        <f>IFERROR(INDEX(internal_constants_wide!$A:$ZZ,MATCH($C61,internal_constants_wide!$A:$A,0),MATCH("formal_charge",internal_constants_wide!$1:$1,0)),"")</f>
      </c>
      <c r="O61">
        <f>IFERROR(IF(IFERROR(INDEX(internal_constants_wide!$A:$ZZ,MATCH($C61,internal_constants_wide!$A:$A,0),MATCH("pKa_if_ionizable",internal_constants_wide!$1:$1,0)),"")&lt;&gt;"",IFERROR(INDEX(internal_constants_wide!$A:$ZZ,MATCH($C61,internal_constants_wide!$A:$A,0),MATCH("pKa_if_ionizable",internal_constants_wide!$1:$1,0)),""),IFERROR(INDEX(internal_constants_wide!$A:$ZZ,MATCH($C61,internal_constants_wide!$A:$A,0),MATCH("pKa",internal_constants_wide!$1:$1,0)),"")),"")</f>
      </c>
      <c r="P61">
        <f>IFERROR(IF(IFERROR(INDEX(internal_constants_wide!$A:$ZZ,MATCH($C61,internal_constants_wide!$A:$A,0),MATCH("phase_transition_temperature_C",internal_constants_wide!$1:$1,0)),"")&lt;&gt;"",IFERROR(INDEX(internal_constants_wide!$A:$ZZ,MATCH($C61,internal_constants_wide!$A:$A,0),MATCH("phase_transition_temperature_C",internal_constants_wide!$1:$1,0)),""),IFERROR(INDEX(internal_constants_wide!$A:$ZZ,MATCH($C61,internal_constants_wide!$A:$A,0),MATCH("melting_point_C",internal_constants_wide!$1:$1,0)),"")),"")</f>
      </c>
      <c r="Q61">
        <f>IFERROR(INDEX(internal_constants_wide!$A:$ZZ,MATCH($C61,internal_constants_wide!$A:$A,0),MATCH("melting_point_C",internal_constants_wide!$1:$1,0)),"")</f>
      </c>
      <c r="R61">
        <f>IFERROR(INDEX(internal_constants_wide!$A:$ZZ,MATCH($C61,internal_constants_wide!$A:$A,0),MATCH("Hansen_delta_D",internal_constants_wide!$1:$1,0)),"")</f>
      </c>
      <c r="S61">
        <f>IFERROR(INDEX(internal_constants_wide!$A:$ZZ,MATCH($C61,internal_constants_wide!$A:$A,0),MATCH("Hansen_delta_P",internal_constants_wide!$1:$1,0)),"")</f>
      </c>
      <c r="T61">
        <f>IFERROR(INDEX(internal_constants_wide!$A:$ZZ,MATCH($C61,internal_constants_wide!$A:$A,0),MATCH("Hansen_delta_H",internal_constants_wide!$1:$1,0)),"")</f>
      </c>
      <c r="U61">
        <f>IFERROR(INDEX(internal_constants_wide!$A:$ZZ,MATCH($C61,internal_constants_wide!$A:$A,0),MATCH("molar_volume_cm3_mol",internal_constants_wide!$1:$1,0)),"")</f>
      </c>
      <c r="V61">
        <f>IFERROR(IF(AND(ISNUMBER($K61),ISNUMBER($L61),ISNUMBER($M61),$M61&gt;0),($K61*0.027/($L61*$M61)),""),"")</f>
      </c>
      <c r="W61"/>
    </row>
    <row r="62">
      <c r="A62">
        <v>58</v>
      </c>
      <c r="B62"/>
      <c r="C62"/>
      <c r="D62">
        <f>IFERROR(INDEX(internal_constants_wide!$A:$ZZ,MATCH($C62,internal_constants_wide!$A:$A,0),MATCH("name",internal_constants_wide!$1:$1,0)),"")</f>
      </c>
      <c r="E62">
        <f>IFERROR(INDEX(internal_constants_wide!$A:$ZZ,MATCH($C62,internal_constants_wide!$A:$A,0),MATCH("material_type",internal_constants_wide!$1:$1,0)),"")</f>
      </c>
      <c r="F62"/>
      <c r="G62">
        <f>$G$2</f>
      </c>
      <c r="H62">
        <f>IFERROR(IF(IFERROR(INDEX(internal_constants_wide!$A:$ZZ,MATCH($C62,internal_constants_wide!$A:$A,0),MATCH("molecular_weight_g_mol",internal_constants_wide!$1:$1,0)),"")&lt;&gt;"",IFERROR(INDEX(internal_constants_wide!$A:$ZZ,MATCH($C62,internal_constants_wide!$A:$A,0),MATCH("molecular_weight_g_mol",internal_constants_wide!$1:$1,0)),""),IFERROR(INDEX(internal_constants_wide!$A:$ZZ,MATCH($C62,internal_constants_wide!$A:$A,0),MATCH("average_MW",internal_constants_wide!$1:$1,0)),"")),"")</f>
      </c>
      <c r="I62">
        <f>IFERROR(IF(AND(ISNUMBER($F62),ISNUMBER($G62),ISNUMBER($H62)),$F62/100*$G62*$H62,""),"")</f>
      </c>
      <c r="J62">
        <f>IFERROR(INDEX(internal_constants_wide!$A:$ZZ,MATCH($C62,internal_constants_wide!$A:$A,0),MATCH("HLB",internal_constants_wide!$1:$1,0)),"")</f>
      </c>
      <c r="K62">
        <f>IFERROR(INDEX(internal_constants_wide!$A:$ZZ,MATCH($C62,internal_constants_wide!$A:$A,0),MATCH("tail_carbons",internal_constants_wide!$1:$1,0)),"")</f>
      </c>
      <c r="L62">
        <f>IFERROR(INDEX(internal_constants_wide!$A:$ZZ,MATCH($C62,internal_constants_wide!$A:$A,0),MATCH("number_of_tails",internal_constants_wide!$1:$1,0)),"")</f>
      </c>
      <c r="M62">
        <f>IFERROR(INDEX(internal_constants_wide!$A:$ZZ,MATCH($C62,internal_constants_wide!$A:$A,0),MATCH("headgroup_area_nm2",internal_constants_wide!$1:$1,0)),"")</f>
      </c>
      <c r="N62">
        <f>IFERROR(INDEX(internal_constants_wide!$A:$ZZ,MATCH($C62,internal_constants_wide!$A:$A,0),MATCH("formal_charge",internal_constants_wide!$1:$1,0)),"")</f>
      </c>
      <c r="O62">
        <f>IFERROR(IF(IFERROR(INDEX(internal_constants_wide!$A:$ZZ,MATCH($C62,internal_constants_wide!$A:$A,0),MATCH("pKa_if_ionizable",internal_constants_wide!$1:$1,0)),"")&lt;&gt;"",IFERROR(INDEX(internal_constants_wide!$A:$ZZ,MATCH($C62,internal_constants_wide!$A:$A,0),MATCH("pKa_if_ionizable",internal_constants_wide!$1:$1,0)),""),IFERROR(INDEX(internal_constants_wide!$A:$ZZ,MATCH($C62,internal_constants_wide!$A:$A,0),MATCH("pKa",internal_constants_wide!$1:$1,0)),"")),"")</f>
      </c>
      <c r="P62">
        <f>IFERROR(IF(IFERROR(INDEX(internal_constants_wide!$A:$ZZ,MATCH($C62,internal_constants_wide!$A:$A,0),MATCH("phase_transition_temperature_C",internal_constants_wide!$1:$1,0)),"")&lt;&gt;"",IFERROR(INDEX(internal_constants_wide!$A:$ZZ,MATCH($C62,internal_constants_wide!$A:$A,0),MATCH("phase_transition_temperature_C",internal_constants_wide!$1:$1,0)),""),IFERROR(INDEX(internal_constants_wide!$A:$ZZ,MATCH($C62,internal_constants_wide!$A:$A,0),MATCH("melting_point_C",internal_constants_wide!$1:$1,0)),"")),"")</f>
      </c>
      <c r="Q62">
        <f>IFERROR(INDEX(internal_constants_wide!$A:$ZZ,MATCH($C62,internal_constants_wide!$A:$A,0),MATCH("melting_point_C",internal_constants_wide!$1:$1,0)),"")</f>
      </c>
      <c r="R62">
        <f>IFERROR(INDEX(internal_constants_wide!$A:$ZZ,MATCH($C62,internal_constants_wide!$A:$A,0),MATCH("Hansen_delta_D",internal_constants_wide!$1:$1,0)),"")</f>
      </c>
      <c r="S62">
        <f>IFERROR(INDEX(internal_constants_wide!$A:$ZZ,MATCH($C62,internal_constants_wide!$A:$A,0),MATCH("Hansen_delta_P",internal_constants_wide!$1:$1,0)),"")</f>
      </c>
      <c r="T62">
        <f>IFERROR(INDEX(internal_constants_wide!$A:$ZZ,MATCH($C62,internal_constants_wide!$A:$A,0),MATCH("Hansen_delta_H",internal_constants_wide!$1:$1,0)),"")</f>
      </c>
      <c r="U62">
        <f>IFERROR(INDEX(internal_constants_wide!$A:$ZZ,MATCH($C62,internal_constants_wide!$A:$A,0),MATCH("molar_volume_cm3_mol",internal_constants_wide!$1:$1,0)),"")</f>
      </c>
      <c r="V62">
        <f>IFERROR(IF(AND(ISNUMBER($K62),ISNUMBER($L62),ISNUMBER($M62),$M62&gt;0),($K62*0.027/($L62*$M62)),""),"")</f>
      </c>
      <c r="W62"/>
    </row>
    <row r="63">
      <c r="A63">
        <v>59</v>
      </c>
      <c r="B63"/>
      <c r="C63"/>
      <c r="D63">
        <f>IFERROR(INDEX(internal_constants_wide!$A:$ZZ,MATCH($C63,internal_constants_wide!$A:$A,0),MATCH("name",internal_constants_wide!$1:$1,0)),"")</f>
      </c>
      <c r="E63">
        <f>IFERROR(INDEX(internal_constants_wide!$A:$ZZ,MATCH($C63,internal_constants_wide!$A:$A,0),MATCH("material_type",internal_constants_wide!$1:$1,0)),"")</f>
      </c>
      <c r="F63"/>
      <c r="G63">
        <f>$G$2</f>
      </c>
      <c r="H63">
        <f>IFERROR(IF(IFERROR(INDEX(internal_constants_wide!$A:$ZZ,MATCH($C63,internal_constants_wide!$A:$A,0),MATCH("molecular_weight_g_mol",internal_constants_wide!$1:$1,0)),"")&lt;&gt;"",IFERROR(INDEX(internal_constants_wide!$A:$ZZ,MATCH($C63,internal_constants_wide!$A:$A,0),MATCH("molecular_weight_g_mol",internal_constants_wide!$1:$1,0)),""),IFERROR(INDEX(internal_constants_wide!$A:$ZZ,MATCH($C63,internal_constants_wide!$A:$A,0),MATCH("average_MW",internal_constants_wide!$1:$1,0)),"")),"")</f>
      </c>
      <c r="I63">
        <f>IFERROR(IF(AND(ISNUMBER($F63),ISNUMBER($G63),ISNUMBER($H63)),$F63/100*$G63*$H63,""),"")</f>
      </c>
      <c r="J63">
        <f>IFERROR(INDEX(internal_constants_wide!$A:$ZZ,MATCH($C63,internal_constants_wide!$A:$A,0),MATCH("HLB",internal_constants_wide!$1:$1,0)),"")</f>
      </c>
      <c r="K63">
        <f>IFERROR(INDEX(internal_constants_wide!$A:$ZZ,MATCH($C63,internal_constants_wide!$A:$A,0),MATCH("tail_carbons",internal_constants_wide!$1:$1,0)),"")</f>
      </c>
      <c r="L63">
        <f>IFERROR(INDEX(internal_constants_wide!$A:$ZZ,MATCH($C63,internal_constants_wide!$A:$A,0),MATCH("number_of_tails",internal_constants_wide!$1:$1,0)),"")</f>
      </c>
      <c r="M63">
        <f>IFERROR(INDEX(internal_constants_wide!$A:$ZZ,MATCH($C63,internal_constants_wide!$A:$A,0),MATCH("headgroup_area_nm2",internal_constants_wide!$1:$1,0)),"")</f>
      </c>
      <c r="N63">
        <f>IFERROR(INDEX(internal_constants_wide!$A:$ZZ,MATCH($C63,internal_constants_wide!$A:$A,0),MATCH("formal_charge",internal_constants_wide!$1:$1,0)),"")</f>
      </c>
      <c r="O63">
        <f>IFERROR(IF(IFERROR(INDEX(internal_constants_wide!$A:$ZZ,MATCH($C63,internal_constants_wide!$A:$A,0),MATCH("pKa_if_ionizable",internal_constants_wide!$1:$1,0)),"")&lt;&gt;"",IFERROR(INDEX(internal_constants_wide!$A:$ZZ,MATCH($C63,internal_constants_wide!$A:$A,0),MATCH("pKa_if_ionizable",internal_constants_wide!$1:$1,0)),""),IFERROR(INDEX(internal_constants_wide!$A:$ZZ,MATCH($C63,internal_constants_wide!$A:$A,0),MATCH("pKa",internal_constants_wide!$1:$1,0)),"")),"")</f>
      </c>
      <c r="P63">
        <f>IFERROR(IF(IFERROR(INDEX(internal_constants_wide!$A:$ZZ,MATCH($C63,internal_constants_wide!$A:$A,0),MATCH("phase_transition_temperature_C",internal_constants_wide!$1:$1,0)),"")&lt;&gt;"",IFERROR(INDEX(internal_constants_wide!$A:$ZZ,MATCH($C63,internal_constants_wide!$A:$A,0),MATCH("phase_transition_temperature_C",internal_constants_wide!$1:$1,0)),""),IFERROR(INDEX(internal_constants_wide!$A:$ZZ,MATCH($C63,internal_constants_wide!$A:$A,0),MATCH("melting_point_C",internal_constants_wide!$1:$1,0)),"")),"")</f>
      </c>
      <c r="Q63">
        <f>IFERROR(INDEX(internal_constants_wide!$A:$ZZ,MATCH($C63,internal_constants_wide!$A:$A,0),MATCH("melting_point_C",internal_constants_wide!$1:$1,0)),"")</f>
      </c>
      <c r="R63">
        <f>IFERROR(INDEX(internal_constants_wide!$A:$ZZ,MATCH($C63,internal_constants_wide!$A:$A,0),MATCH("Hansen_delta_D",internal_constants_wide!$1:$1,0)),"")</f>
      </c>
      <c r="S63">
        <f>IFERROR(INDEX(internal_constants_wide!$A:$ZZ,MATCH($C63,internal_constants_wide!$A:$A,0),MATCH("Hansen_delta_P",internal_constants_wide!$1:$1,0)),"")</f>
      </c>
      <c r="T63">
        <f>IFERROR(INDEX(internal_constants_wide!$A:$ZZ,MATCH($C63,internal_constants_wide!$A:$A,0),MATCH("Hansen_delta_H",internal_constants_wide!$1:$1,0)),"")</f>
      </c>
      <c r="U63">
        <f>IFERROR(INDEX(internal_constants_wide!$A:$ZZ,MATCH($C63,internal_constants_wide!$A:$A,0),MATCH("molar_volume_cm3_mol",internal_constants_wide!$1:$1,0)),"")</f>
      </c>
      <c r="V63">
        <f>IFERROR(IF(AND(ISNUMBER($K63),ISNUMBER($L63),ISNUMBER($M63),$M63&gt;0),($K63*0.027/($L63*$M63)),""),"")</f>
      </c>
      <c r="W63"/>
    </row>
    <row r="64">
      <c r="A64">
        <v>60</v>
      </c>
      <c r="B64"/>
      <c r="C64"/>
      <c r="D64">
        <f>IFERROR(INDEX(internal_constants_wide!$A:$ZZ,MATCH($C64,internal_constants_wide!$A:$A,0),MATCH("name",internal_constants_wide!$1:$1,0)),"")</f>
      </c>
      <c r="E64">
        <f>IFERROR(INDEX(internal_constants_wide!$A:$ZZ,MATCH($C64,internal_constants_wide!$A:$A,0),MATCH("material_type",internal_constants_wide!$1:$1,0)),"")</f>
      </c>
      <c r="F64"/>
      <c r="G64">
        <f>$G$2</f>
      </c>
      <c r="H64">
        <f>IFERROR(IF(IFERROR(INDEX(internal_constants_wide!$A:$ZZ,MATCH($C64,internal_constants_wide!$A:$A,0),MATCH("molecular_weight_g_mol",internal_constants_wide!$1:$1,0)),"")&lt;&gt;"",IFERROR(INDEX(internal_constants_wide!$A:$ZZ,MATCH($C64,internal_constants_wide!$A:$A,0),MATCH("molecular_weight_g_mol",internal_constants_wide!$1:$1,0)),""),IFERROR(INDEX(internal_constants_wide!$A:$ZZ,MATCH($C64,internal_constants_wide!$A:$A,0),MATCH("average_MW",internal_constants_wide!$1:$1,0)),"")),"")</f>
      </c>
      <c r="I64">
        <f>IFERROR(IF(AND(ISNUMBER($F64),ISNUMBER($G64),ISNUMBER($H64)),$F64/100*$G64*$H64,""),"")</f>
      </c>
      <c r="J64">
        <f>IFERROR(INDEX(internal_constants_wide!$A:$ZZ,MATCH($C64,internal_constants_wide!$A:$A,0),MATCH("HLB",internal_constants_wide!$1:$1,0)),"")</f>
      </c>
      <c r="K64">
        <f>IFERROR(INDEX(internal_constants_wide!$A:$ZZ,MATCH($C64,internal_constants_wide!$A:$A,0),MATCH("tail_carbons",internal_constants_wide!$1:$1,0)),"")</f>
      </c>
      <c r="L64">
        <f>IFERROR(INDEX(internal_constants_wide!$A:$ZZ,MATCH($C64,internal_constants_wide!$A:$A,0),MATCH("number_of_tails",internal_constants_wide!$1:$1,0)),"")</f>
      </c>
      <c r="M64">
        <f>IFERROR(INDEX(internal_constants_wide!$A:$ZZ,MATCH($C64,internal_constants_wide!$A:$A,0),MATCH("headgroup_area_nm2",internal_constants_wide!$1:$1,0)),"")</f>
      </c>
      <c r="N64">
        <f>IFERROR(INDEX(internal_constants_wide!$A:$ZZ,MATCH($C64,internal_constants_wide!$A:$A,0),MATCH("formal_charge",internal_constants_wide!$1:$1,0)),"")</f>
      </c>
      <c r="O64">
        <f>IFERROR(IF(IFERROR(INDEX(internal_constants_wide!$A:$ZZ,MATCH($C64,internal_constants_wide!$A:$A,0),MATCH("pKa_if_ionizable",internal_constants_wide!$1:$1,0)),"")&lt;&gt;"",IFERROR(INDEX(internal_constants_wide!$A:$ZZ,MATCH($C64,internal_constants_wide!$A:$A,0),MATCH("pKa_if_ionizable",internal_constants_wide!$1:$1,0)),""),IFERROR(INDEX(internal_constants_wide!$A:$ZZ,MATCH($C64,internal_constants_wide!$A:$A,0),MATCH("pKa",internal_constants_wide!$1:$1,0)),"")),"")</f>
      </c>
      <c r="P64">
        <f>IFERROR(IF(IFERROR(INDEX(internal_constants_wide!$A:$ZZ,MATCH($C64,internal_constants_wide!$A:$A,0),MATCH("phase_transition_temperature_C",internal_constants_wide!$1:$1,0)),"")&lt;&gt;"",IFERROR(INDEX(internal_constants_wide!$A:$ZZ,MATCH($C64,internal_constants_wide!$A:$A,0),MATCH("phase_transition_temperature_C",internal_constants_wide!$1:$1,0)),""),IFERROR(INDEX(internal_constants_wide!$A:$ZZ,MATCH($C64,internal_constants_wide!$A:$A,0),MATCH("melting_point_C",internal_constants_wide!$1:$1,0)),"")),"")</f>
      </c>
      <c r="Q64">
        <f>IFERROR(INDEX(internal_constants_wide!$A:$ZZ,MATCH($C64,internal_constants_wide!$A:$A,0),MATCH("melting_point_C",internal_constants_wide!$1:$1,0)),"")</f>
      </c>
      <c r="R64">
        <f>IFERROR(INDEX(internal_constants_wide!$A:$ZZ,MATCH($C64,internal_constants_wide!$A:$A,0),MATCH("Hansen_delta_D",internal_constants_wide!$1:$1,0)),"")</f>
      </c>
      <c r="S64">
        <f>IFERROR(INDEX(internal_constants_wide!$A:$ZZ,MATCH($C64,internal_constants_wide!$A:$A,0),MATCH("Hansen_delta_P",internal_constants_wide!$1:$1,0)),"")</f>
      </c>
      <c r="T64">
        <f>IFERROR(INDEX(internal_constants_wide!$A:$ZZ,MATCH($C64,internal_constants_wide!$A:$A,0),MATCH("Hansen_delta_H",internal_constants_wide!$1:$1,0)),"")</f>
      </c>
      <c r="U64">
        <f>IFERROR(INDEX(internal_constants_wide!$A:$ZZ,MATCH($C64,internal_constants_wide!$A:$A,0),MATCH("molar_volume_cm3_mol",internal_constants_wide!$1:$1,0)),"")</f>
      </c>
      <c r="V64">
        <f>IFERROR(IF(AND(ISNUMBER($K64),ISNUMBER($L64),ISNUMBER($M64),$M64&gt;0),($K64*0.027/($L64*$M64)),""),"")</f>
      </c>
      <c r="W64"/>
    </row>
    <row r="6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</row>
    <row r="66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</row>
    <row r="67">
      <c r="A67" t="inlineStr">
        <is>
          <t>Descriptor</t>
        </is>
      </c>
      <c r="B67" t="inlineStr">
        <is>
          <t>Formula / interpretation</t>
        </is>
      </c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</row>
    <row r="68">
      <c r="A68" t="inlineStr">
        <is>
          <t>Total mol %</t>
        </is>
      </c>
      <c r="B68">
        <f>SUM(F5:F64)</f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</row>
    <row r="69">
      <c r="A69" t="inlineStr">
        <is>
          <t>Mixed HLB</t>
        </is>
      </c>
      <c r="B69">
        <f>IFERROR(SUMPRODUCT(F5:F64,J5:J64)/SUM(F5:F64),"")</f>
      </c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</row>
    <row r="70">
      <c r="A70" t="inlineStr">
        <is>
          <t>Approx. zeta tendency</t>
        </is>
      </c>
      <c r="B70">
        <f>SUMPRODUCT(F5:F64,N5:N64)/100</f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</row>
    <row r="71">
      <c r="A71" t="inlineStr">
        <is>
          <t>Mean CPP</t>
        </is>
      </c>
      <c r="B71">
        <f>IFERROR(AVERAGE(V5:V64),"")</f>
      </c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</row>
    <row r="72">
      <c r="A72" t="inlineStr">
        <is>
          <t>MW-weighted mass mg</t>
        </is>
      </c>
      <c r="B72">
        <f>SUM(I5:I64)</f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</row>
  </sheetData>
  <mergeCells count="1">
    <mergeCell ref="A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materials</vt:lpstr>
      <vt:lpstr>material_properties</vt:lpstr>
      <vt:lpstr>sources</vt:lpstr>
      <vt:lpstr>coverage_summary</vt:lpstr>
      <vt:lpstr>unresolved_missing_values</vt:lpstr>
      <vt:lpstr>internal_constants_wide</vt:lpstr>
      <vt:lpstr>calculation_logic</vt:lpstr>
      <vt:lpstr>ui_integration_map</vt:lpstr>
      <vt:lpstr>README</vt:lpstr>
      <vt:lpstr>Formulation_Template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NanoFormulationDesigner Internal Material Database</dc:title>
  <dc:creator>OpenAI ChatGPT</dc:creator>
  <cp:keywords>pharmaceutics; lipid chemistry; excipient database; formulation design</cp:keywords>
  <dc:description>Internal local material-constants snapshot for formulation-designer calculations.</dc:description>
</cp:coreProperties>
</file>